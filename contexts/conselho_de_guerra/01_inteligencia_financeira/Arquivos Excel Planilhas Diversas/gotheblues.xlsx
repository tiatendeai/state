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oyf\Website\Dashboards\"/>
    </mc:Choice>
  </mc:AlternateContent>
  <bookViews>
    <workbookView xWindow="0" yWindow="0" windowWidth="28800" windowHeight="13500" activeTab="9"/>
  </bookViews>
  <sheets>
    <sheet name="Lists" sheetId="1" r:id="rId1"/>
    <sheet name="Projects" sheetId="3" r:id="rId2"/>
    <sheet name="HR" sheetId="4" r:id="rId3"/>
    <sheet name="Exp" sheetId="10" r:id="rId4"/>
    <sheet name="Data" sheetId="2" r:id="rId5"/>
    <sheet name="Sales" sheetId="8" r:id="rId6"/>
    <sheet name="Profit" sheetId="9" r:id="rId7"/>
    <sheet name="Calcs" sheetId="5" r:id="rId8"/>
    <sheet name="Charts" sheetId="7" r:id="rId9"/>
    <sheet name="Dashboard" sheetId="6" r:id="rId10"/>
  </sheets>
  <definedNames>
    <definedName name="_xlnm._FilterDatabase" localSheetId="1" hidden="1">Projects!$A$1:$D$6</definedName>
    <definedName name="Loans">Dashboard!$L$18:$Q$18</definedName>
    <definedName name="test1">OFFSET(Calcs!$I$1,COUNTA(Calcs!XFA:XFA)-1,0,-18)</definedName>
    <definedName name="Tstuuuu">OFFSET(Calcs!$I$1,COUNTA(Calcs!$I:$I)-(12+1),0,12,1)</definedName>
    <definedName name="xVals">OFFSET(Calcs!$I$1,COUNTA(Calcs!$I:$I)-1,0,MIN(12,COUNTA(Calcs!$I:$I)-1),1)</definedName>
  </definedNames>
  <calcPr calcId="171027"/>
</workbook>
</file>

<file path=xl/calcChain.xml><?xml version="1.0" encoding="utf-8"?>
<calcChain xmlns="http://schemas.openxmlformats.org/spreadsheetml/2006/main">
  <c r="D75" i="4" l="1"/>
  <c r="E75" i="4"/>
  <c r="F75" i="4"/>
  <c r="G75" i="4"/>
  <c r="D66" i="4" l="1"/>
  <c r="E66" i="4"/>
  <c r="D67" i="4"/>
  <c r="E67" i="4"/>
  <c r="E65" i="4"/>
  <c r="D65" i="4"/>
  <c r="E22" i="10"/>
  <c r="E23" i="10"/>
  <c r="E24" i="10"/>
  <c r="E25" i="10"/>
  <c r="E26" i="10"/>
  <c r="D23" i="10"/>
  <c r="D24" i="10"/>
  <c r="D25" i="10"/>
  <c r="D26" i="10"/>
  <c r="D22" i="10"/>
  <c r="E70" i="5"/>
  <c r="F70" i="5" s="1"/>
  <c r="C70" i="5"/>
  <c r="D70" i="5"/>
  <c r="C75" i="4"/>
  <c r="D87" i="4"/>
  <c r="E87" i="4"/>
  <c r="F87" i="4"/>
  <c r="G87" i="4"/>
  <c r="H87" i="4"/>
  <c r="I87" i="4"/>
  <c r="J87" i="4"/>
  <c r="K87" i="4"/>
  <c r="L87" i="4"/>
  <c r="M87" i="4"/>
  <c r="N87" i="4"/>
  <c r="D88" i="4"/>
  <c r="E88" i="4"/>
  <c r="F88" i="4"/>
  <c r="G88" i="4"/>
  <c r="H88" i="4"/>
  <c r="I88" i="4"/>
  <c r="J88" i="4"/>
  <c r="K88" i="4"/>
  <c r="L88" i="4"/>
  <c r="M88" i="4"/>
  <c r="N88" i="4"/>
  <c r="C88" i="4"/>
  <c r="C87" i="4"/>
  <c r="C33" i="9" l="1"/>
  <c r="C49" i="4" l="1"/>
  <c r="C48" i="4"/>
  <c r="C47" i="4"/>
  <c r="C46" i="4"/>
  <c r="C45" i="4"/>
  <c r="I24" i="6"/>
  <c r="A1" i="5"/>
  <c r="H1" i="5"/>
  <c r="Q1" i="5" s="1"/>
  <c r="I1" i="5"/>
  <c r="J1" i="5"/>
  <c r="N1" i="5"/>
  <c r="E22" i="9"/>
  <c r="E23" i="9"/>
  <c r="E24" i="9"/>
  <c r="E25" i="9"/>
  <c r="E26" i="9"/>
  <c r="C1362" i="8"/>
  <c r="D1362" i="8"/>
  <c r="C1363" i="8"/>
  <c r="D1363" i="8"/>
  <c r="C1364" i="8"/>
  <c r="D1364" i="8"/>
  <c r="C1365" i="8"/>
  <c r="D1365" i="8"/>
  <c r="C1366" i="8"/>
  <c r="D1366" i="8"/>
  <c r="C1367" i="8"/>
  <c r="D1367" i="8"/>
  <c r="C1368" i="8"/>
  <c r="D1368" i="8"/>
  <c r="C1369" i="8"/>
  <c r="D1369" i="8"/>
  <c r="C1370" i="8"/>
  <c r="D1370" i="8"/>
  <c r="C1371" i="8"/>
  <c r="D1371" i="8"/>
  <c r="C1372" i="8"/>
  <c r="D1372" i="8"/>
  <c r="C1373" i="8"/>
  <c r="D1373" i="8"/>
  <c r="C1374" i="8"/>
  <c r="D1374" i="8"/>
  <c r="C1375" i="8"/>
  <c r="D1375" i="8"/>
  <c r="C1376" i="8"/>
  <c r="D1376" i="8"/>
  <c r="C1377" i="8"/>
  <c r="D1377" i="8"/>
  <c r="C1378" i="8"/>
  <c r="D1378" i="8"/>
  <c r="C1379" i="8"/>
  <c r="D1379" i="8"/>
  <c r="C1380" i="8"/>
  <c r="D1380" i="8"/>
  <c r="C1381" i="8"/>
  <c r="D1381" i="8"/>
  <c r="C1382" i="8"/>
  <c r="D1382" i="8"/>
  <c r="C1383" i="8"/>
  <c r="D1383" i="8"/>
  <c r="C1384" i="8"/>
  <c r="D1384" i="8"/>
  <c r="C1385" i="8"/>
  <c r="D1385" i="8"/>
  <c r="C1386" i="8"/>
  <c r="D1386" i="8"/>
  <c r="C1387" i="8"/>
  <c r="D1387" i="8"/>
  <c r="C1388" i="8"/>
  <c r="D1388" i="8"/>
  <c r="C1389" i="8"/>
  <c r="D1389" i="8"/>
  <c r="C1390" i="8"/>
  <c r="D1390" i="8"/>
  <c r="C1391" i="8"/>
  <c r="D1391" i="8"/>
  <c r="C1392" i="8"/>
  <c r="D1392" i="8"/>
  <c r="C1393" i="8"/>
  <c r="D1393" i="8"/>
  <c r="C1394" i="8"/>
  <c r="D1394" i="8"/>
  <c r="C1395" i="8"/>
  <c r="D1395" i="8"/>
  <c r="C1396" i="8"/>
  <c r="D1396" i="8"/>
  <c r="C1397" i="8"/>
  <c r="D1397" i="8"/>
  <c r="C1398" i="8"/>
  <c r="D1398" i="8"/>
  <c r="C1399" i="8"/>
  <c r="D1399" i="8"/>
  <c r="C1400" i="8"/>
  <c r="D1400" i="8"/>
  <c r="C1401" i="8"/>
  <c r="D1401" i="8"/>
  <c r="C1402" i="8"/>
  <c r="D1402" i="8"/>
  <c r="C1403" i="8"/>
  <c r="D1403" i="8"/>
  <c r="C1404" i="8"/>
  <c r="D1404" i="8"/>
  <c r="C1405" i="8"/>
  <c r="D1405" i="8"/>
  <c r="C1406" i="8"/>
  <c r="D1406" i="8"/>
  <c r="C1407" i="8"/>
  <c r="D1407" i="8"/>
  <c r="C1408" i="8"/>
  <c r="D1408" i="8"/>
  <c r="C1409" i="8"/>
  <c r="D1409" i="8"/>
  <c r="C1410" i="8"/>
  <c r="D1410" i="8"/>
  <c r="C1411" i="8"/>
  <c r="D1411" i="8"/>
  <c r="C1412" i="8"/>
  <c r="D1412" i="8"/>
  <c r="C1413" i="8"/>
  <c r="D1413" i="8"/>
  <c r="C1414" i="8"/>
  <c r="D1414" i="8"/>
  <c r="C1415" i="8"/>
  <c r="D1415" i="8"/>
  <c r="C1416" i="8"/>
  <c r="D1416" i="8"/>
  <c r="C1417" i="8"/>
  <c r="D1417" i="8"/>
  <c r="C1418" i="8"/>
  <c r="D1418" i="8"/>
  <c r="C1419" i="8"/>
  <c r="D1419" i="8"/>
  <c r="C1420" i="8"/>
  <c r="D1420" i="8"/>
  <c r="C1421" i="8"/>
  <c r="D1421" i="8"/>
  <c r="C1422" i="8"/>
  <c r="D1422" i="8"/>
  <c r="C1423" i="8"/>
  <c r="D1423" i="8"/>
  <c r="C1424" i="8"/>
  <c r="D1424" i="8"/>
  <c r="C1425" i="8"/>
  <c r="D1425" i="8"/>
  <c r="C1426" i="8"/>
  <c r="D1426" i="8"/>
  <c r="C1427" i="8"/>
  <c r="D1427" i="8"/>
  <c r="C1428" i="8"/>
  <c r="D1428" i="8"/>
  <c r="C1429" i="8"/>
  <c r="D1429" i="8"/>
  <c r="C1430" i="8"/>
  <c r="D1430" i="8"/>
  <c r="C1431" i="8"/>
  <c r="D1431" i="8"/>
  <c r="C1432" i="8"/>
  <c r="D1432" i="8"/>
  <c r="C1433" i="8"/>
  <c r="D1433" i="8"/>
  <c r="C1434" i="8"/>
  <c r="D1434" i="8"/>
  <c r="C1435" i="8"/>
  <c r="D1435" i="8"/>
  <c r="C1436" i="8"/>
  <c r="D1436" i="8"/>
  <c r="C1437" i="8"/>
  <c r="D1437" i="8"/>
  <c r="C1438" i="8"/>
  <c r="D1438" i="8"/>
  <c r="C1439" i="8"/>
  <c r="D1439" i="8"/>
  <c r="C1440" i="8"/>
  <c r="D1440" i="8"/>
  <c r="C1441" i="8"/>
  <c r="D1441" i="8"/>
  <c r="C1442" i="8"/>
  <c r="D1442" i="8"/>
  <c r="C1443" i="8"/>
  <c r="D1443" i="8"/>
  <c r="C1444" i="8"/>
  <c r="D1444" i="8"/>
  <c r="C1445" i="8"/>
  <c r="D1445" i="8"/>
  <c r="C1446" i="8"/>
  <c r="D1446" i="8"/>
  <c r="C1447" i="8"/>
  <c r="D1447" i="8"/>
  <c r="C1448" i="8"/>
  <c r="D1448" i="8"/>
  <c r="C1449" i="8"/>
  <c r="D1449" i="8"/>
  <c r="C1450" i="8"/>
  <c r="D1450" i="8"/>
  <c r="C1451" i="8"/>
  <c r="D1451" i="8"/>
  <c r="C1452" i="8"/>
  <c r="D1452" i="8"/>
  <c r="C1453" i="8"/>
  <c r="D1453" i="8"/>
  <c r="C1454" i="8"/>
  <c r="D1454" i="8"/>
  <c r="C1455" i="8"/>
  <c r="D1455" i="8"/>
  <c r="C1456" i="8"/>
  <c r="D1456" i="8"/>
  <c r="C1457" i="8"/>
  <c r="D1457" i="8"/>
  <c r="C1458" i="8"/>
  <c r="D1458" i="8"/>
  <c r="C1459" i="8"/>
  <c r="D1459" i="8"/>
  <c r="C1460" i="8"/>
  <c r="D1460" i="8"/>
  <c r="C1461" i="8"/>
  <c r="D1461" i="8"/>
  <c r="C1462" i="8"/>
  <c r="D1462" i="8"/>
  <c r="C1463" i="8"/>
  <c r="D1463" i="8"/>
  <c r="C1464" i="8"/>
  <c r="D1464" i="8"/>
  <c r="C1465" i="8"/>
  <c r="D1465" i="8"/>
  <c r="C1466" i="8"/>
  <c r="D1466" i="8"/>
  <c r="C1467" i="8"/>
  <c r="D1467" i="8"/>
  <c r="C1468" i="8"/>
  <c r="D1468" i="8"/>
  <c r="C1469" i="8"/>
  <c r="D1469" i="8"/>
  <c r="C1470" i="8"/>
  <c r="D1470" i="8"/>
  <c r="C1471" i="8"/>
  <c r="D1471" i="8"/>
  <c r="C1472" i="8"/>
  <c r="D1472" i="8"/>
  <c r="C1473" i="8"/>
  <c r="D1473" i="8"/>
  <c r="C1474" i="8"/>
  <c r="D1474" i="8"/>
  <c r="C1475" i="8"/>
  <c r="D1475" i="8"/>
  <c r="C1476" i="8"/>
  <c r="D1476" i="8"/>
  <c r="C1477" i="8"/>
  <c r="D1477" i="8"/>
  <c r="C1478" i="8"/>
  <c r="D1478" i="8"/>
  <c r="C1479" i="8"/>
  <c r="D1479" i="8"/>
  <c r="C1480" i="8"/>
  <c r="D1480" i="8"/>
  <c r="C1481" i="8"/>
  <c r="D1481" i="8"/>
  <c r="C1482" i="8"/>
  <c r="D1482" i="8"/>
  <c r="C1483" i="8"/>
  <c r="D1483" i="8"/>
  <c r="C1484" i="8"/>
  <c r="D1484" i="8"/>
  <c r="C1485" i="8"/>
  <c r="D1485" i="8"/>
  <c r="C1486" i="8"/>
  <c r="D1486" i="8"/>
  <c r="C1487" i="8"/>
  <c r="D1487" i="8"/>
  <c r="C1488" i="8"/>
  <c r="D1488" i="8"/>
  <c r="C1489" i="8"/>
  <c r="D1489" i="8"/>
  <c r="C1490" i="8"/>
  <c r="D1490" i="8"/>
  <c r="C1491" i="8"/>
  <c r="D1491" i="8"/>
  <c r="C1492" i="8"/>
  <c r="D1492" i="8"/>
  <c r="C1493" i="8"/>
  <c r="D1493" i="8"/>
  <c r="C1494" i="8"/>
  <c r="D1494" i="8"/>
  <c r="C1495" i="8"/>
  <c r="D1495" i="8"/>
  <c r="C1496" i="8"/>
  <c r="D1496" i="8"/>
  <c r="C1497" i="8"/>
  <c r="D1497" i="8"/>
  <c r="C1498" i="8"/>
  <c r="D1498" i="8"/>
  <c r="C1499" i="8"/>
  <c r="D1499" i="8"/>
  <c r="C1500" i="8"/>
  <c r="D1500" i="8"/>
  <c r="C1501" i="8"/>
  <c r="D1501" i="8"/>
  <c r="C1502" i="8"/>
  <c r="D1502" i="8"/>
  <c r="C1503" i="8"/>
  <c r="D1503" i="8"/>
  <c r="C1504" i="8"/>
  <c r="D1504" i="8"/>
  <c r="C1505" i="8"/>
  <c r="D1505" i="8"/>
  <c r="C1506" i="8"/>
  <c r="D1506" i="8"/>
  <c r="C1507" i="8"/>
  <c r="D1507" i="8"/>
  <c r="C1508" i="8"/>
  <c r="D1508" i="8"/>
  <c r="C1509" i="8"/>
  <c r="D1509" i="8"/>
  <c r="C1510" i="8"/>
  <c r="D1510" i="8"/>
  <c r="C1511" i="8"/>
  <c r="D1511" i="8"/>
  <c r="C1512" i="8"/>
  <c r="D1512" i="8"/>
  <c r="C1513" i="8"/>
  <c r="D1513" i="8"/>
  <c r="C1514" i="8"/>
  <c r="D1514" i="8"/>
  <c r="C1515" i="8"/>
  <c r="D1515" i="8"/>
  <c r="C1516" i="8"/>
  <c r="D1516" i="8"/>
  <c r="C1517" i="8"/>
  <c r="D1517" i="8"/>
  <c r="C1518" i="8"/>
  <c r="D1518" i="8"/>
  <c r="C1519" i="8"/>
  <c r="D1519" i="8"/>
  <c r="C1520" i="8"/>
  <c r="D1520" i="8"/>
  <c r="C1521" i="8"/>
  <c r="D1521" i="8"/>
  <c r="C1522" i="8"/>
  <c r="D1522" i="8"/>
  <c r="C1523" i="8"/>
  <c r="D1523" i="8"/>
  <c r="C1524" i="8"/>
  <c r="D1524" i="8"/>
  <c r="C1525" i="8"/>
  <c r="D1525" i="8"/>
  <c r="C1526" i="8"/>
  <c r="D1526" i="8"/>
  <c r="C1527" i="8"/>
  <c r="D1527" i="8"/>
  <c r="C1528" i="8"/>
  <c r="D1528" i="8"/>
  <c r="C1529" i="8"/>
  <c r="D1529" i="8"/>
  <c r="C1530" i="8"/>
  <c r="D1530" i="8"/>
  <c r="C1531" i="8"/>
  <c r="D1531" i="8"/>
  <c r="C1532" i="8"/>
  <c r="D1532" i="8"/>
  <c r="C1533" i="8"/>
  <c r="D1533" i="8"/>
  <c r="C1534" i="8"/>
  <c r="D1534" i="8"/>
  <c r="C1535" i="8"/>
  <c r="D1535" i="8"/>
  <c r="C1536" i="8"/>
  <c r="D1536" i="8"/>
  <c r="C1537" i="8"/>
  <c r="D1537" i="8"/>
  <c r="C1538" i="8"/>
  <c r="D1538" i="8"/>
  <c r="C1539" i="8"/>
  <c r="D1539" i="8"/>
  <c r="C1540" i="8"/>
  <c r="D1540" i="8"/>
  <c r="C1541" i="8"/>
  <c r="D1541" i="8"/>
  <c r="C1542" i="8"/>
  <c r="D1542" i="8"/>
  <c r="C1543" i="8"/>
  <c r="D1543" i="8"/>
  <c r="C1544" i="8"/>
  <c r="D1544" i="8"/>
  <c r="C1545" i="8"/>
  <c r="D1545" i="8"/>
  <c r="C1546" i="8"/>
  <c r="D1546" i="8"/>
  <c r="C1547" i="8"/>
  <c r="D1547" i="8"/>
  <c r="C1548" i="8"/>
  <c r="D1548" i="8"/>
  <c r="C1549" i="8"/>
  <c r="D1549" i="8"/>
  <c r="C1550" i="8"/>
  <c r="D1550" i="8"/>
  <c r="C1551" i="8"/>
  <c r="D1551" i="8"/>
  <c r="C1552" i="8"/>
  <c r="D1552" i="8"/>
  <c r="C1553" i="8"/>
  <c r="D1553" i="8"/>
  <c r="C1554" i="8"/>
  <c r="D1554" i="8"/>
  <c r="C1555" i="8"/>
  <c r="D1555" i="8"/>
  <c r="C1556" i="8"/>
  <c r="D1556" i="8"/>
  <c r="C1557" i="8"/>
  <c r="D1557" i="8"/>
  <c r="C1558" i="8"/>
  <c r="D1558" i="8"/>
  <c r="C1559" i="8"/>
  <c r="D1559" i="8"/>
  <c r="C1560" i="8"/>
  <c r="D1560" i="8"/>
  <c r="C1561" i="8"/>
  <c r="D1561" i="8"/>
  <c r="C1562" i="8"/>
  <c r="D1562" i="8"/>
  <c r="C1563" i="8"/>
  <c r="D1563" i="8"/>
  <c r="C1564" i="8"/>
  <c r="D1564" i="8"/>
  <c r="C1565" i="8"/>
  <c r="D1565" i="8"/>
  <c r="C1566" i="8"/>
  <c r="D1566" i="8"/>
  <c r="C1567" i="8"/>
  <c r="D1567" i="8"/>
  <c r="C1568" i="8"/>
  <c r="D1568" i="8"/>
  <c r="C1569" i="8"/>
  <c r="D1569" i="8"/>
  <c r="C1570" i="8"/>
  <c r="D1570" i="8"/>
  <c r="C1571" i="8"/>
  <c r="D1571" i="8"/>
  <c r="C1572" i="8"/>
  <c r="D1572" i="8"/>
  <c r="C1573" i="8"/>
  <c r="D1573" i="8"/>
  <c r="C1574" i="8"/>
  <c r="D1574" i="8"/>
  <c r="C1575" i="8"/>
  <c r="D1575" i="8"/>
  <c r="C1576" i="8"/>
  <c r="D1576" i="8"/>
  <c r="C1577" i="8"/>
  <c r="D1577" i="8"/>
  <c r="C1578" i="8"/>
  <c r="D1578" i="8"/>
  <c r="C1579" i="8"/>
  <c r="D1579" i="8"/>
  <c r="C1580" i="8"/>
  <c r="D1580" i="8"/>
  <c r="C1581" i="8"/>
  <c r="D1581" i="8"/>
  <c r="C1582" i="8"/>
  <c r="D1582" i="8"/>
  <c r="C1583" i="8"/>
  <c r="D1583" i="8"/>
  <c r="C1584" i="8"/>
  <c r="D1584" i="8"/>
  <c r="C1585" i="8"/>
  <c r="D1585" i="8"/>
  <c r="C1586" i="8"/>
  <c r="D1586" i="8"/>
  <c r="C1587" i="8"/>
  <c r="D1587" i="8"/>
  <c r="C1588" i="8"/>
  <c r="D1588" i="8"/>
  <c r="C1589" i="8"/>
  <c r="D1589" i="8"/>
  <c r="C1590" i="8"/>
  <c r="D1590" i="8"/>
  <c r="C1591" i="8"/>
  <c r="D1591" i="8"/>
  <c r="C1592" i="8"/>
  <c r="D1592" i="8"/>
  <c r="C1593" i="8"/>
  <c r="D1593" i="8"/>
  <c r="C1594" i="8"/>
  <c r="D1594" i="8"/>
  <c r="C1595" i="8"/>
  <c r="D1595" i="8"/>
  <c r="C1596" i="8"/>
  <c r="D1596" i="8"/>
  <c r="C1597" i="8"/>
  <c r="D1597" i="8"/>
  <c r="C1598" i="8"/>
  <c r="D1598" i="8"/>
  <c r="C1599" i="8"/>
  <c r="D1599" i="8"/>
  <c r="C1600" i="8"/>
  <c r="D1600" i="8"/>
  <c r="C1601" i="8"/>
  <c r="D1601" i="8"/>
  <c r="C1602" i="8"/>
  <c r="D1602" i="8"/>
  <c r="C1603" i="8"/>
  <c r="D1603" i="8"/>
  <c r="C1604" i="8"/>
  <c r="D1604" i="8"/>
  <c r="C1605" i="8"/>
  <c r="D1605" i="8"/>
  <c r="C1606" i="8"/>
  <c r="D1606" i="8"/>
  <c r="C1607" i="8"/>
  <c r="D1607" i="8"/>
  <c r="C1608" i="8"/>
  <c r="D1608" i="8"/>
  <c r="C1609" i="8"/>
  <c r="D1609" i="8"/>
  <c r="C1610" i="8"/>
  <c r="D1610" i="8"/>
  <c r="C1611" i="8"/>
  <c r="D1611" i="8"/>
  <c r="C1612" i="8"/>
  <c r="D1612" i="8"/>
  <c r="C1613" i="8"/>
  <c r="D1613" i="8"/>
  <c r="C1614" i="8"/>
  <c r="D1614" i="8"/>
  <c r="C1615" i="8"/>
  <c r="D1615" i="8"/>
  <c r="C1616" i="8"/>
  <c r="D1616" i="8"/>
  <c r="C1617" i="8"/>
  <c r="D1617" i="8"/>
  <c r="C1618" i="8"/>
  <c r="D1618" i="8"/>
  <c r="C1619" i="8"/>
  <c r="D1619" i="8"/>
  <c r="C1620" i="8"/>
  <c r="D1620" i="8"/>
  <c r="C1621" i="8"/>
  <c r="D1621" i="8"/>
  <c r="C1622" i="8"/>
  <c r="D1622" i="8"/>
  <c r="C1623" i="8"/>
  <c r="D1623" i="8"/>
  <c r="C1624" i="8"/>
  <c r="D1624" i="8"/>
  <c r="C1625" i="8"/>
  <c r="D1625" i="8"/>
  <c r="C1626" i="8"/>
  <c r="D1626" i="8"/>
  <c r="C1627" i="8"/>
  <c r="D1627" i="8"/>
  <c r="C1628" i="8"/>
  <c r="D1628" i="8"/>
  <c r="C1629" i="8"/>
  <c r="D1629" i="8"/>
  <c r="C1630" i="8"/>
  <c r="D1630" i="8"/>
  <c r="C1631" i="8"/>
  <c r="D1631" i="8"/>
  <c r="C1632" i="8"/>
  <c r="D1632" i="8"/>
  <c r="C1633" i="8"/>
  <c r="D1633" i="8"/>
  <c r="C1634" i="8"/>
  <c r="D1634" i="8"/>
  <c r="C1635" i="8"/>
  <c r="D1635" i="8"/>
  <c r="C1636" i="8"/>
  <c r="D1636" i="8"/>
  <c r="C1637" i="8"/>
  <c r="D1637" i="8"/>
  <c r="C1638" i="8"/>
  <c r="D1638" i="8"/>
  <c r="C1639" i="8"/>
  <c r="D1639" i="8"/>
  <c r="C1640" i="8"/>
  <c r="D1640" i="8"/>
  <c r="C1641" i="8"/>
  <c r="D1641" i="8"/>
  <c r="C1642" i="8"/>
  <c r="D1642" i="8"/>
  <c r="C1643" i="8"/>
  <c r="D1643" i="8"/>
  <c r="C1644" i="8"/>
  <c r="D1644" i="8"/>
  <c r="C1645" i="8"/>
  <c r="D1645" i="8"/>
  <c r="C1646" i="8"/>
  <c r="D1646" i="8"/>
  <c r="C1647" i="8"/>
  <c r="D1647" i="8"/>
  <c r="C1648" i="8"/>
  <c r="D1648" i="8"/>
  <c r="C1649" i="8"/>
  <c r="D1649" i="8"/>
  <c r="C1650" i="8"/>
  <c r="D1650" i="8"/>
  <c r="C1651" i="8"/>
  <c r="D1651" i="8"/>
  <c r="C1652" i="8"/>
  <c r="D1652" i="8"/>
  <c r="C1653" i="8"/>
  <c r="D1653" i="8"/>
  <c r="C1654" i="8"/>
  <c r="D1654" i="8"/>
  <c r="C1655" i="8"/>
  <c r="D1655" i="8"/>
  <c r="C1656" i="8"/>
  <c r="D1656" i="8"/>
  <c r="C1657" i="8"/>
  <c r="D1657" i="8"/>
  <c r="C1658" i="8"/>
  <c r="D1658" i="8"/>
  <c r="C1659" i="8"/>
  <c r="D1659" i="8"/>
  <c r="C1660" i="8"/>
  <c r="D1660" i="8"/>
  <c r="C1661" i="8"/>
  <c r="D1661" i="8"/>
  <c r="C1662" i="8"/>
  <c r="D1662" i="8"/>
  <c r="C1663" i="8"/>
  <c r="D1663" i="8"/>
  <c r="C1664" i="8"/>
  <c r="D1664" i="8"/>
  <c r="C1665" i="8"/>
  <c r="D1665" i="8"/>
  <c r="C1666" i="8"/>
  <c r="D1666" i="8"/>
  <c r="C1667" i="8"/>
  <c r="D1667" i="8"/>
  <c r="C1668" i="8"/>
  <c r="D1668" i="8"/>
  <c r="C1669" i="8"/>
  <c r="D1669" i="8"/>
  <c r="C1670" i="8"/>
  <c r="D1670" i="8"/>
  <c r="C1671" i="8"/>
  <c r="D1671" i="8"/>
  <c r="C1672" i="8"/>
  <c r="D1672" i="8"/>
  <c r="C1673" i="8"/>
  <c r="D1673" i="8"/>
  <c r="C1674" i="8"/>
  <c r="D1674" i="8"/>
  <c r="C1675" i="8"/>
  <c r="D1675" i="8"/>
  <c r="C1676" i="8"/>
  <c r="D1676" i="8"/>
  <c r="C1677" i="8"/>
  <c r="D1677" i="8"/>
  <c r="C1678" i="8"/>
  <c r="D1678" i="8"/>
  <c r="C1679" i="8"/>
  <c r="D1679" i="8"/>
  <c r="C1680" i="8"/>
  <c r="D1680" i="8"/>
  <c r="C1681" i="8"/>
  <c r="D1681" i="8"/>
  <c r="C1682" i="8"/>
  <c r="D1682" i="8"/>
  <c r="C1683" i="8"/>
  <c r="D1683" i="8"/>
  <c r="C1684" i="8"/>
  <c r="D1684" i="8"/>
  <c r="C1685" i="8"/>
  <c r="D1685" i="8"/>
  <c r="C1686" i="8"/>
  <c r="D1686" i="8"/>
  <c r="C1687" i="8"/>
  <c r="D1687" i="8"/>
  <c r="C1688" i="8"/>
  <c r="D1688" i="8"/>
  <c r="C1689" i="8"/>
  <c r="D1689" i="8"/>
  <c r="C1690" i="8"/>
  <c r="D1690" i="8"/>
  <c r="C1691" i="8"/>
  <c r="D1691" i="8"/>
  <c r="C1692" i="8"/>
  <c r="D1692" i="8"/>
  <c r="C1693" i="8"/>
  <c r="D1693" i="8"/>
  <c r="C1694" i="8"/>
  <c r="D1694" i="8"/>
  <c r="C1695" i="8"/>
  <c r="D1695" i="8"/>
  <c r="C1696" i="8"/>
  <c r="D1696" i="8"/>
  <c r="C1697" i="8"/>
  <c r="D1697" i="8"/>
  <c r="C1698" i="8"/>
  <c r="D1698" i="8"/>
  <c r="C1699" i="8"/>
  <c r="D1699" i="8"/>
  <c r="C1700" i="8"/>
  <c r="D1700" i="8"/>
  <c r="C1701" i="8"/>
  <c r="D1701" i="8"/>
  <c r="M78" i="2"/>
  <c r="M79" i="2"/>
  <c r="M80" i="2"/>
  <c r="M81" i="2"/>
  <c r="D98" i="2"/>
  <c r="B2" i="5" s="1"/>
  <c r="E98" i="2"/>
  <c r="C2" i="5" s="1"/>
  <c r="F98" i="2"/>
  <c r="D3" i="5" s="1"/>
  <c r="G98" i="2"/>
  <c r="E3" i="5" s="1"/>
  <c r="H98" i="2"/>
  <c r="F2" i="5" s="1"/>
  <c r="I98" i="2"/>
  <c r="G2" i="5" s="1"/>
  <c r="D99" i="2"/>
  <c r="E99" i="2"/>
  <c r="F99" i="2"/>
  <c r="G99" i="2"/>
  <c r="H99" i="2"/>
  <c r="I99" i="2"/>
  <c r="D100" i="2"/>
  <c r="E100" i="2"/>
  <c r="F100" i="2"/>
  <c r="G100" i="2"/>
  <c r="H100" i="2"/>
  <c r="I100" i="2"/>
  <c r="D101" i="2"/>
  <c r="E101" i="2"/>
  <c r="F101" i="2"/>
  <c r="G101" i="2"/>
  <c r="H101" i="2"/>
  <c r="I101" i="2"/>
  <c r="D102" i="2"/>
  <c r="E102" i="2"/>
  <c r="F102" i="2"/>
  <c r="G102" i="2"/>
  <c r="H102" i="2"/>
  <c r="I102" i="2"/>
  <c r="D103" i="2"/>
  <c r="E103" i="2"/>
  <c r="F103" i="2"/>
  <c r="G103" i="2"/>
  <c r="H103" i="2"/>
  <c r="I103" i="2"/>
  <c r="D104" i="2"/>
  <c r="E104" i="2"/>
  <c r="F104" i="2"/>
  <c r="G104" i="2"/>
  <c r="H104" i="2"/>
  <c r="I104" i="2"/>
  <c r="D105" i="2"/>
  <c r="E105" i="2"/>
  <c r="F105" i="2"/>
  <c r="G105" i="2"/>
  <c r="H105" i="2"/>
  <c r="I105" i="2"/>
  <c r="D106" i="2"/>
  <c r="E106" i="2"/>
  <c r="F106" i="2"/>
  <c r="G106" i="2"/>
  <c r="H106" i="2"/>
  <c r="I106" i="2"/>
  <c r="D107" i="2"/>
  <c r="E107" i="2"/>
  <c r="F107" i="2"/>
  <c r="G107" i="2"/>
  <c r="H107" i="2"/>
  <c r="I107" i="2"/>
  <c r="D108" i="2"/>
  <c r="E108" i="2"/>
  <c r="F108" i="2"/>
  <c r="G108" i="2"/>
  <c r="H108" i="2"/>
  <c r="I108" i="2"/>
  <c r="D109" i="2"/>
  <c r="E109" i="2"/>
  <c r="F109" i="2"/>
  <c r="G109" i="2"/>
  <c r="H109" i="2"/>
  <c r="I109" i="2"/>
  <c r="D110" i="2"/>
  <c r="E110" i="2"/>
  <c r="F110" i="2"/>
  <c r="G110" i="2"/>
  <c r="H110" i="2"/>
  <c r="I110" i="2"/>
  <c r="D111" i="2"/>
  <c r="E111" i="2"/>
  <c r="F111" i="2"/>
  <c r="G111" i="2"/>
  <c r="H111" i="2"/>
  <c r="I111" i="2"/>
  <c r="D112" i="2"/>
  <c r="E112" i="2"/>
  <c r="F112" i="2"/>
  <c r="G112" i="2"/>
  <c r="H112" i="2"/>
  <c r="I112" i="2"/>
  <c r="D113" i="2"/>
  <c r="E113" i="2"/>
  <c r="F113" i="2"/>
  <c r="G113" i="2"/>
  <c r="H113" i="2"/>
  <c r="I113" i="2"/>
  <c r="D114" i="2"/>
  <c r="E114" i="2"/>
  <c r="F114" i="2"/>
  <c r="G114" i="2"/>
  <c r="H114" i="2"/>
  <c r="I114" i="2"/>
  <c r="D115" i="2"/>
  <c r="E115" i="2"/>
  <c r="F115" i="2"/>
  <c r="G115" i="2"/>
  <c r="H115" i="2"/>
  <c r="I115" i="2"/>
  <c r="D116" i="2"/>
  <c r="E116" i="2"/>
  <c r="F116" i="2"/>
  <c r="G116" i="2"/>
  <c r="H116" i="2"/>
  <c r="I116" i="2"/>
  <c r="D117" i="2"/>
  <c r="E117" i="2"/>
  <c r="F117" i="2"/>
  <c r="G117" i="2"/>
  <c r="H117" i="2"/>
  <c r="I117" i="2"/>
  <c r="D118" i="2"/>
  <c r="E118" i="2"/>
  <c r="F118" i="2"/>
  <c r="G118" i="2"/>
  <c r="H118" i="2"/>
  <c r="I118" i="2"/>
  <c r="D119" i="2"/>
  <c r="E119" i="2"/>
  <c r="F119" i="2"/>
  <c r="G119" i="2"/>
  <c r="H119" i="2"/>
  <c r="I119" i="2"/>
  <c r="D120" i="2"/>
  <c r="E120" i="2"/>
  <c r="F120" i="2"/>
  <c r="G120" i="2"/>
  <c r="H120" i="2"/>
  <c r="I120" i="2"/>
  <c r="D121" i="2"/>
  <c r="E121" i="2"/>
  <c r="F121" i="2"/>
  <c r="G121" i="2"/>
  <c r="H121" i="2"/>
  <c r="I121" i="2"/>
  <c r="H2" i="4"/>
  <c r="D18" i="4"/>
  <c r="C18" i="4" s="1"/>
  <c r="E18" i="4" s="1"/>
  <c r="C19" i="4"/>
  <c r="E19" i="4" s="1"/>
  <c r="D19" i="4"/>
  <c r="D20" i="4"/>
  <c r="C20" i="4" s="1"/>
  <c r="E20" i="4" s="1"/>
  <c r="D21" i="4"/>
  <c r="C21" i="4" s="1"/>
  <c r="E21" i="4" s="1"/>
  <c r="D22" i="3"/>
  <c r="D23" i="3"/>
  <c r="D24" i="3"/>
  <c r="D25" i="3"/>
  <c r="D26" i="3"/>
  <c r="A75" i="5" l="1"/>
  <c r="A74" i="5"/>
  <c r="A76" i="5"/>
  <c r="A77" i="5"/>
  <c r="A78" i="5"/>
  <c r="A61" i="5"/>
  <c r="A66" i="5"/>
  <c r="A65" i="5"/>
  <c r="P1" i="5"/>
  <c r="A36" i="5"/>
  <c r="C36" i="5" s="1" a="1"/>
  <c r="C36" i="5" s="1"/>
  <c r="S26" i="6" s="1"/>
  <c r="A57" i="5"/>
  <c r="C57" i="5" s="1"/>
  <c r="A30" i="5"/>
  <c r="B30" i="5" s="1"/>
  <c r="G27" i="6" s="1"/>
  <c r="A52" i="5"/>
  <c r="A51" i="5"/>
  <c r="A53" i="5"/>
  <c r="A35" i="5"/>
  <c r="C35" i="5" s="1" a="1"/>
  <c r="C35" i="5" s="1"/>
  <c r="S25" i="6" s="1"/>
  <c r="A29" i="5"/>
  <c r="B29" i="5" s="1"/>
  <c r="L26" i="6" s="1"/>
  <c r="E25" i="5"/>
  <c r="E24" i="5"/>
  <c r="E23" i="5"/>
  <c r="J23" i="5" s="1"/>
  <c r="Q23" i="5" s="1"/>
  <c r="E22" i="5"/>
  <c r="E21" i="5"/>
  <c r="E20" i="5"/>
  <c r="E19" i="5"/>
  <c r="J19" i="5" s="1"/>
  <c r="Q19" i="5" s="1"/>
  <c r="E18" i="5"/>
  <c r="E17" i="5"/>
  <c r="E16" i="5"/>
  <c r="E15" i="5"/>
  <c r="J15" i="5" s="1"/>
  <c r="Q15" i="5" s="1"/>
  <c r="E14" i="5"/>
  <c r="G13" i="5"/>
  <c r="C13" i="5"/>
  <c r="E12" i="5"/>
  <c r="J12" i="5" s="1"/>
  <c r="Q12" i="5" s="1"/>
  <c r="G11" i="5"/>
  <c r="C11" i="5"/>
  <c r="E10" i="5"/>
  <c r="G9" i="5"/>
  <c r="C9" i="5"/>
  <c r="E8" i="5"/>
  <c r="G7" i="5"/>
  <c r="C7" i="5"/>
  <c r="E6" i="5"/>
  <c r="G5" i="5"/>
  <c r="C5" i="5"/>
  <c r="E4" i="5"/>
  <c r="J4" i="5" s="1"/>
  <c r="Q4" i="5" s="1"/>
  <c r="G3" i="5"/>
  <c r="C3" i="5"/>
  <c r="E2" i="5"/>
  <c r="J2" i="5" s="1"/>
  <c r="Q2" i="5" s="1"/>
  <c r="D25" i="5"/>
  <c r="D24" i="5"/>
  <c r="D23" i="5"/>
  <c r="D22" i="5"/>
  <c r="D21" i="5"/>
  <c r="D20" i="5"/>
  <c r="D19" i="5"/>
  <c r="D18" i="5"/>
  <c r="D17" i="5"/>
  <c r="D16" i="5"/>
  <c r="D15" i="5"/>
  <c r="D14" i="5"/>
  <c r="F13" i="5"/>
  <c r="B13" i="5"/>
  <c r="D12" i="5"/>
  <c r="F11" i="5"/>
  <c r="B11" i="5"/>
  <c r="D10" i="5"/>
  <c r="F9" i="5"/>
  <c r="B9" i="5"/>
  <c r="D8" i="5"/>
  <c r="F7" i="5"/>
  <c r="B7" i="5"/>
  <c r="D6" i="5"/>
  <c r="F5" i="5"/>
  <c r="B5" i="5"/>
  <c r="D4" i="5"/>
  <c r="F3" i="5"/>
  <c r="B3" i="5"/>
  <c r="D2" i="5"/>
  <c r="I2" i="5" s="1"/>
  <c r="P2" i="5" s="1"/>
  <c r="R2" i="5" s="1"/>
  <c r="G25" i="5"/>
  <c r="C25" i="5"/>
  <c r="G24" i="5"/>
  <c r="C24" i="5"/>
  <c r="G23" i="5"/>
  <c r="C23" i="5"/>
  <c r="G22" i="5"/>
  <c r="C22" i="5"/>
  <c r="G21" i="5"/>
  <c r="C21" i="5"/>
  <c r="G20" i="5"/>
  <c r="C20" i="5"/>
  <c r="G19" i="5"/>
  <c r="C19" i="5"/>
  <c r="G18" i="5"/>
  <c r="C18" i="5"/>
  <c r="G17" i="5"/>
  <c r="C17" i="5"/>
  <c r="G16" i="5"/>
  <c r="C16" i="5"/>
  <c r="G15" i="5"/>
  <c r="C15" i="5"/>
  <c r="G14" i="5"/>
  <c r="C14" i="5"/>
  <c r="E13" i="5"/>
  <c r="G12" i="5"/>
  <c r="C12" i="5"/>
  <c r="E11" i="5"/>
  <c r="G10" i="5"/>
  <c r="C10" i="5"/>
  <c r="E9" i="5"/>
  <c r="G8" i="5"/>
  <c r="C8" i="5"/>
  <c r="E7" i="5"/>
  <c r="J7" i="5" s="1"/>
  <c r="Q7" i="5" s="1"/>
  <c r="G6" i="5"/>
  <c r="C6" i="5"/>
  <c r="E5" i="5"/>
  <c r="J5" i="5" s="1"/>
  <c r="Q5" i="5" s="1"/>
  <c r="G4" i="5"/>
  <c r="C4" i="5"/>
  <c r="F25" i="5"/>
  <c r="B25" i="5"/>
  <c r="F24" i="5"/>
  <c r="B24" i="5"/>
  <c r="F23" i="5"/>
  <c r="B23" i="5"/>
  <c r="F22" i="5"/>
  <c r="B22" i="5"/>
  <c r="F21" i="5"/>
  <c r="B21" i="5"/>
  <c r="F20" i="5"/>
  <c r="B20" i="5"/>
  <c r="F19" i="5"/>
  <c r="B19" i="5"/>
  <c r="F18" i="5"/>
  <c r="B18" i="5"/>
  <c r="F17" i="5"/>
  <c r="B17" i="5"/>
  <c r="F16" i="5"/>
  <c r="B16" i="5"/>
  <c r="F15" i="5"/>
  <c r="B15" i="5"/>
  <c r="F14" i="5"/>
  <c r="B14" i="5"/>
  <c r="D13" i="5"/>
  <c r="F12" i="5"/>
  <c r="B12" i="5"/>
  <c r="D11" i="5"/>
  <c r="I11" i="5" s="1"/>
  <c r="P11" i="5" s="1"/>
  <c r="R11" i="5" s="1"/>
  <c r="F10" i="5"/>
  <c r="B10" i="5"/>
  <c r="D9" i="5"/>
  <c r="I9" i="5" s="1"/>
  <c r="P9" i="5" s="1"/>
  <c r="R9" i="5" s="1"/>
  <c r="F8" i="5"/>
  <c r="B8" i="5"/>
  <c r="D7" i="5"/>
  <c r="I7" i="5" s="1"/>
  <c r="P7" i="5" s="1"/>
  <c r="R7" i="5" s="1"/>
  <c r="F6" i="5"/>
  <c r="B6" i="5"/>
  <c r="D5" i="5"/>
  <c r="F4" i="5"/>
  <c r="B4" i="5"/>
  <c r="J3" i="5"/>
  <c r="Q3" i="5" s="1"/>
  <c r="A43" i="5"/>
  <c r="C43" i="5" s="1"/>
  <c r="W25" i="6" s="1"/>
  <c r="A45" i="5"/>
  <c r="C45" i="5" s="1"/>
  <c r="W27" i="6" s="1"/>
  <c r="A44" i="5"/>
  <c r="C44" i="5" s="1"/>
  <c r="W26" i="6" s="1"/>
  <c r="I3" i="5"/>
  <c r="P3" i="5" s="1"/>
  <c r="R3" i="5" s="1"/>
  <c r="A47" i="5"/>
  <c r="C47" i="5" s="1"/>
  <c r="W29" i="6" s="1"/>
  <c r="J8" i="5"/>
  <c r="Q8" i="5" s="1"/>
  <c r="A46" i="5"/>
  <c r="C46" i="5" s="1"/>
  <c r="W28" i="6" s="1"/>
  <c r="A39" i="5"/>
  <c r="C39" i="5" s="1" a="1"/>
  <c r="C39" i="5" s="1"/>
  <c r="S29" i="6" s="1"/>
  <c r="A28" i="5"/>
  <c r="A37" i="7" s="1"/>
  <c r="A38" i="5"/>
  <c r="C38" i="5" s="1" a="1"/>
  <c r="C38" i="5" s="1"/>
  <c r="S28" i="6" s="1"/>
  <c r="A31" i="5"/>
  <c r="B31" i="5" s="1"/>
  <c r="L28" i="6" s="1"/>
  <c r="A37" i="5"/>
  <c r="C37" i="5" s="1" a="1"/>
  <c r="C37" i="5" s="1"/>
  <c r="S27" i="6" s="1"/>
  <c r="A4" i="7"/>
  <c r="A5" i="7"/>
  <c r="A6" i="7"/>
  <c r="A2" i="7"/>
  <c r="A3" i="7"/>
  <c r="O3" i="5" l="1"/>
  <c r="O9" i="5"/>
  <c r="O11" i="5"/>
  <c r="O7" i="5"/>
  <c r="O2" i="5"/>
  <c r="J10" i="5"/>
  <c r="Q10" i="5" s="1"/>
  <c r="J20" i="5"/>
  <c r="Q20" i="5" s="1"/>
  <c r="J16" i="5"/>
  <c r="Q16" i="5" s="1"/>
  <c r="J24" i="5"/>
  <c r="Q24" i="5" s="1"/>
  <c r="J17" i="5"/>
  <c r="Q17" i="5" s="1"/>
  <c r="J21" i="5"/>
  <c r="Q21" i="5" s="1"/>
  <c r="J25" i="5"/>
  <c r="Q25" i="5" s="1"/>
  <c r="I5" i="5"/>
  <c r="P5" i="5" s="1"/>
  <c r="R5" i="5" s="1"/>
  <c r="I13" i="5"/>
  <c r="P13" i="5" s="1"/>
  <c r="R13" i="5" s="1"/>
  <c r="J6" i="5"/>
  <c r="Q6" i="5" s="1"/>
  <c r="J14" i="5"/>
  <c r="Q14" i="5" s="1"/>
  <c r="J18" i="5"/>
  <c r="Q18" i="5" s="1"/>
  <c r="J22" i="5"/>
  <c r="Q22" i="5" s="1"/>
  <c r="A210" i="7"/>
  <c r="C76" i="5"/>
  <c r="C27" i="6" s="1"/>
  <c r="D76" i="5"/>
  <c r="D27" i="6" s="1"/>
  <c r="C74" i="5"/>
  <c r="C25" i="6" s="1"/>
  <c r="D74" i="5"/>
  <c r="D25" i="6" s="1"/>
  <c r="C78" i="5"/>
  <c r="C29" i="6" s="1"/>
  <c r="D78" i="5"/>
  <c r="D29" i="6" s="1"/>
  <c r="D75" i="5"/>
  <c r="D26" i="6" s="1"/>
  <c r="C75" i="5"/>
  <c r="C26" i="6" s="1"/>
  <c r="D77" i="5"/>
  <c r="D28" i="6" s="1"/>
  <c r="C77" i="5"/>
  <c r="C28" i="6" s="1"/>
  <c r="I16" i="5"/>
  <c r="P16" i="5" s="1"/>
  <c r="R16" i="5" s="1"/>
  <c r="I20" i="5"/>
  <c r="P20" i="5" s="1"/>
  <c r="R20" i="5" s="1"/>
  <c r="I24" i="5"/>
  <c r="P24" i="5" s="1"/>
  <c r="R24" i="5" s="1"/>
  <c r="C52" i="5"/>
  <c r="D52" i="5" s="1"/>
  <c r="E52" i="5"/>
  <c r="F52" i="5"/>
  <c r="C53" i="5"/>
  <c r="D53" i="5" s="1"/>
  <c r="E53" i="5"/>
  <c r="F53" i="5"/>
  <c r="C51" i="5"/>
  <c r="D51" i="5" s="1"/>
  <c r="F51" i="5"/>
  <c r="E51" i="5"/>
  <c r="D61" i="5"/>
  <c r="C61" i="5"/>
  <c r="E61" i="5"/>
  <c r="F61" i="5"/>
  <c r="G61" i="5"/>
  <c r="A187" i="7"/>
  <c r="D65" i="5"/>
  <c r="F65" i="5"/>
  <c r="K65" i="5"/>
  <c r="I65" i="5"/>
  <c r="E65" i="5"/>
  <c r="C65" i="5"/>
  <c r="G65" i="5"/>
  <c r="M65" i="5"/>
  <c r="N65" i="5"/>
  <c r="J65" i="5"/>
  <c r="L65" i="5"/>
  <c r="H65" i="5"/>
  <c r="D66" i="5"/>
  <c r="H66" i="5"/>
  <c r="L66" i="5"/>
  <c r="N66" i="5"/>
  <c r="C66" i="5"/>
  <c r="E66" i="5"/>
  <c r="I66" i="5"/>
  <c r="M66" i="5"/>
  <c r="J66" i="5"/>
  <c r="G66" i="5"/>
  <c r="K66" i="5"/>
  <c r="F66" i="5"/>
  <c r="B36" i="5"/>
  <c r="Q26" i="6" s="1"/>
  <c r="A209" i="7"/>
  <c r="D209" i="7" s="1"/>
  <c r="I8" i="5"/>
  <c r="P8" i="5" s="1"/>
  <c r="R8" i="5" s="1"/>
  <c r="A83" i="7"/>
  <c r="L27" i="6"/>
  <c r="C30" i="5"/>
  <c r="I27" i="6" s="1"/>
  <c r="D30" i="5"/>
  <c r="N27" i="6" s="1"/>
  <c r="G26" i="6"/>
  <c r="D29" i="5"/>
  <c r="N26" i="6" s="1"/>
  <c r="A276" i="7"/>
  <c r="A88" i="7"/>
  <c r="A172" i="7"/>
  <c r="A144" i="7"/>
  <c r="A137" i="7"/>
  <c r="C137" i="7" s="1"/>
  <c r="C29" i="5"/>
  <c r="I26" i="6" s="1"/>
  <c r="A307" i="7"/>
  <c r="A297" i="7"/>
  <c r="A342" i="7"/>
  <c r="D342" i="7" s="1"/>
  <c r="A357" i="7"/>
  <c r="D357" i="7" s="1"/>
  <c r="A54" i="7"/>
  <c r="A148" i="7"/>
  <c r="A244" i="7"/>
  <c r="C244" i="7" s="1"/>
  <c r="A337" i="7"/>
  <c r="D337" i="7" s="1"/>
  <c r="A165" i="7"/>
  <c r="A167" i="7"/>
  <c r="A44" i="7"/>
  <c r="D44" i="7" s="1"/>
  <c r="A319" i="7"/>
  <c r="A278" i="7"/>
  <c r="D278" i="7" s="1"/>
  <c r="A330" i="7"/>
  <c r="A332" i="7"/>
  <c r="D332" i="7" s="1"/>
  <c r="A220" i="7"/>
  <c r="D220" i="7" s="1"/>
  <c r="A30" i="7"/>
  <c r="D30" i="7" s="1"/>
  <c r="A123" i="7"/>
  <c r="A97" i="7"/>
  <c r="C97" i="7" s="1"/>
  <c r="B39" i="5"/>
  <c r="Q29" i="6" s="1"/>
  <c r="A279" i="7"/>
  <c r="A222" i="7"/>
  <c r="A251" i="7"/>
  <c r="D251" i="7" s="1"/>
  <c r="A266" i="7"/>
  <c r="D266" i="7" s="1"/>
  <c r="A304" i="7"/>
  <c r="A192" i="7"/>
  <c r="A253" i="7"/>
  <c r="D253" i="7" s="1"/>
  <c r="A134" i="7"/>
  <c r="C134" i="7" s="1"/>
  <c r="A42" i="7"/>
  <c r="I17" i="5"/>
  <c r="P17" i="5" s="1"/>
  <c r="R17" i="5" s="1"/>
  <c r="I21" i="5"/>
  <c r="P21" i="5" s="1"/>
  <c r="R21" i="5" s="1"/>
  <c r="I25" i="5"/>
  <c r="P25" i="5" s="1"/>
  <c r="R25" i="5" s="1"/>
  <c r="A255" i="7"/>
  <c r="A347" i="7"/>
  <c r="B28" i="5"/>
  <c r="G25" i="6" s="1"/>
  <c r="A153" i="7"/>
  <c r="D153" i="7" s="1"/>
  <c r="A45" i="7"/>
  <c r="D45" i="7" s="1"/>
  <c r="A77" i="7"/>
  <c r="A101" i="7"/>
  <c r="D101" i="7" s="1"/>
  <c r="A28" i="7"/>
  <c r="A52" i="7"/>
  <c r="A72" i="7"/>
  <c r="A92" i="7"/>
  <c r="A116" i="7"/>
  <c r="A50" i="7"/>
  <c r="A90" i="7"/>
  <c r="A131" i="7"/>
  <c r="A151" i="7"/>
  <c r="A171" i="7"/>
  <c r="A51" i="7"/>
  <c r="A91" i="7"/>
  <c r="D91" i="7" s="1"/>
  <c r="A119" i="7"/>
  <c r="A142" i="7"/>
  <c r="A162" i="7"/>
  <c r="A46" i="7"/>
  <c r="A133" i="7"/>
  <c r="A173" i="7"/>
  <c r="A193" i="7"/>
  <c r="A217" i="7"/>
  <c r="A237" i="7"/>
  <c r="D237" i="7" s="1"/>
  <c r="A257" i="7"/>
  <c r="A281" i="7"/>
  <c r="A301" i="7"/>
  <c r="D301" i="7" s="1"/>
  <c r="A321" i="7"/>
  <c r="D321" i="7" s="1"/>
  <c r="A345" i="7"/>
  <c r="A95" i="7"/>
  <c r="A152" i="7"/>
  <c r="D152" i="7" s="1"/>
  <c r="A188" i="7"/>
  <c r="D188" i="7" s="1"/>
  <c r="A208" i="7"/>
  <c r="A228" i="7"/>
  <c r="A252" i="7"/>
  <c r="D252" i="7" s="1"/>
  <c r="A272" i="7"/>
  <c r="D272" i="7" s="1"/>
  <c r="A292" i="7"/>
  <c r="A316" i="7"/>
  <c r="A336" i="7"/>
  <c r="D336" i="7" s="1"/>
  <c r="A103" i="7"/>
  <c r="D103" i="7" s="1"/>
  <c r="A194" i="7"/>
  <c r="A234" i="7"/>
  <c r="A274" i="7"/>
  <c r="D274" i="7" s="1"/>
  <c r="A322" i="7"/>
  <c r="D322" i="7" s="1"/>
  <c r="A354" i="7"/>
  <c r="A129" i="7"/>
  <c r="A203" i="7"/>
  <c r="D203" i="7" s="1"/>
  <c r="A243" i="7"/>
  <c r="C243" i="7" s="1"/>
  <c r="A283" i="7"/>
  <c r="C283" i="7" s="1"/>
  <c r="A331" i="7"/>
  <c r="A23" i="7"/>
  <c r="D23" i="7" s="1"/>
  <c r="A140" i="7"/>
  <c r="D140" i="7" s="1"/>
  <c r="A206" i="7"/>
  <c r="A246" i="7"/>
  <c r="A286" i="7"/>
  <c r="D286" i="7" s="1"/>
  <c r="A334" i="7"/>
  <c r="A343" i="7"/>
  <c r="A215" i="7"/>
  <c r="A223" i="7"/>
  <c r="D223" i="7" s="1"/>
  <c r="A263" i="7"/>
  <c r="A335" i="7"/>
  <c r="A21" i="7"/>
  <c r="A53" i="7"/>
  <c r="C53" i="7" s="1"/>
  <c r="A81" i="7"/>
  <c r="D81" i="7" s="1"/>
  <c r="A36" i="7"/>
  <c r="A56" i="7"/>
  <c r="A76" i="7"/>
  <c r="C76" i="7" s="1"/>
  <c r="A100" i="7"/>
  <c r="D100" i="7" s="1"/>
  <c r="A58" i="7"/>
  <c r="D58" i="7" s="1"/>
  <c r="A106" i="7"/>
  <c r="A155" i="7"/>
  <c r="D155" i="7" s="1"/>
  <c r="A59" i="7"/>
  <c r="D59" i="7" s="1"/>
  <c r="A126" i="7"/>
  <c r="A166" i="7"/>
  <c r="A141" i="7"/>
  <c r="C141" i="7" s="1"/>
  <c r="A201" i="7"/>
  <c r="C201" i="7" s="1"/>
  <c r="A241" i="7"/>
  <c r="D241" i="7" s="1"/>
  <c r="A285" i="7"/>
  <c r="A305" i="7"/>
  <c r="D305" i="7" s="1"/>
  <c r="A31" i="7"/>
  <c r="D31" i="7" s="1"/>
  <c r="A109" i="7"/>
  <c r="D109" i="7" s="1"/>
  <c r="A120" i="7"/>
  <c r="A135" i="7"/>
  <c r="D135" i="7" s="1"/>
  <c r="A19" i="7"/>
  <c r="D19" i="7" s="1"/>
  <c r="A99" i="7"/>
  <c r="C99" i="7" s="1"/>
  <c r="A146" i="7"/>
  <c r="A78" i="7"/>
  <c r="C78" i="7" s="1"/>
  <c r="A177" i="7"/>
  <c r="D177" i="7" s="1"/>
  <c r="A221" i="7"/>
  <c r="D221" i="7" s="1"/>
  <c r="A265" i="7"/>
  <c r="A329" i="7"/>
  <c r="C329" i="7" s="1"/>
  <c r="A111" i="7"/>
  <c r="D111" i="7" s="1"/>
  <c r="A169" i="7"/>
  <c r="D169" i="7" s="1"/>
  <c r="A311" i="7"/>
  <c r="A318" i="7"/>
  <c r="A270" i="7"/>
  <c r="A214" i="7"/>
  <c r="D214" i="7" s="1"/>
  <c r="A124" i="7"/>
  <c r="A349" i="7"/>
  <c r="C349" i="7" s="1"/>
  <c r="A299" i="7"/>
  <c r="C299" i="7" s="1"/>
  <c r="A235" i="7"/>
  <c r="C235" i="7" s="1"/>
  <c r="A179" i="7"/>
  <c r="A358" i="7"/>
  <c r="C358" i="7" s="1"/>
  <c r="A306" i="7"/>
  <c r="D306" i="7" s="1"/>
  <c r="A258" i="7"/>
  <c r="A202" i="7"/>
  <c r="A71" i="7"/>
  <c r="C71" i="7" s="1"/>
  <c r="A324" i="7"/>
  <c r="C324" i="7" s="1"/>
  <c r="A300" i="7"/>
  <c r="C300" i="7" s="1"/>
  <c r="A268" i="7"/>
  <c r="A240" i="7"/>
  <c r="D240" i="7" s="1"/>
  <c r="A212" i="7"/>
  <c r="D212" i="7" s="1"/>
  <c r="A180" i="7"/>
  <c r="C180" i="7" s="1"/>
  <c r="A136" i="7"/>
  <c r="A333" i="7"/>
  <c r="D333" i="7" s="1"/>
  <c r="A289" i="7"/>
  <c r="D289" i="7" s="1"/>
  <c r="A249" i="7"/>
  <c r="A205" i="7"/>
  <c r="A149" i="7"/>
  <c r="D149" i="7" s="1"/>
  <c r="A174" i="7"/>
  <c r="A130" i="7"/>
  <c r="C130" i="7" s="1"/>
  <c r="A67" i="7"/>
  <c r="A163" i="7"/>
  <c r="A114" i="7"/>
  <c r="C114" i="7" s="1"/>
  <c r="A26" i="7"/>
  <c r="C26" i="7" s="1"/>
  <c r="A84" i="7"/>
  <c r="A40" i="7"/>
  <c r="D40" i="7" s="1"/>
  <c r="A85" i="7"/>
  <c r="A33" i="7"/>
  <c r="C33" i="7" s="1"/>
  <c r="A231" i="7"/>
  <c r="A356" i="7"/>
  <c r="C356" i="7" s="1"/>
  <c r="A183" i="7"/>
  <c r="C183" i="7" s="1"/>
  <c r="A351" i="7"/>
  <c r="D351" i="7" s="1"/>
  <c r="A310" i="7"/>
  <c r="A254" i="7"/>
  <c r="C254" i="7" s="1"/>
  <c r="A190" i="7"/>
  <c r="D190" i="7" s="1"/>
  <c r="A118" i="7"/>
  <c r="C118" i="7" s="1"/>
  <c r="A339" i="7"/>
  <c r="A275" i="7"/>
  <c r="C275" i="7" s="1"/>
  <c r="A219" i="7"/>
  <c r="D219" i="7" s="1"/>
  <c r="A161" i="7"/>
  <c r="C161" i="7" s="1"/>
  <c r="A350" i="7"/>
  <c r="A298" i="7"/>
  <c r="A242" i="7"/>
  <c r="C242" i="7" s="1"/>
  <c r="A178" i="7"/>
  <c r="C178" i="7" s="1"/>
  <c r="A39" i="7"/>
  <c r="A320" i="7"/>
  <c r="D320" i="7" s="1"/>
  <c r="A288" i="7"/>
  <c r="D288" i="7" s="1"/>
  <c r="A260" i="7"/>
  <c r="D260" i="7" s="1"/>
  <c r="A236" i="7"/>
  <c r="A204" i="7"/>
  <c r="A176" i="7"/>
  <c r="C176" i="7" s="1"/>
  <c r="A79" i="7"/>
  <c r="C79" i="7" s="1"/>
  <c r="A317" i="7"/>
  <c r="A273" i="7"/>
  <c r="C273" i="7" s="1"/>
  <c r="A233" i="7"/>
  <c r="C233" i="7" s="1"/>
  <c r="A189" i="7"/>
  <c r="D189" i="7" s="1"/>
  <c r="A110" i="7"/>
  <c r="A158" i="7"/>
  <c r="D158" i="7" s="1"/>
  <c r="A117" i="7"/>
  <c r="C117" i="7" s="1"/>
  <c r="A35" i="7"/>
  <c r="C35" i="7" s="1"/>
  <c r="A147" i="7"/>
  <c r="A82" i="7"/>
  <c r="D82" i="7" s="1"/>
  <c r="A108" i="7"/>
  <c r="D108" i="7" s="1"/>
  <c r="A68" i="7"/>
  <c r="C68" i="7" s="1"/>
  <c r="A24" i="7"/>
  <c r="A65" i="7"/>
  <c r="D65" i="7" s="1"/>
  <c r="A207" i="7"/>
  <c r="C207" i="7" s="1"/>
  <c r="A355" i="7"/>
  <c r="C355" i="7" s="1"/>
  <c r="A247" i="7"/>
  <c r="A302" i="7"/>
  <c r="C302" i="7" s="1"/>
  <c r="A238" i="7"/>
  <c r="C238" i="7" s="1"/>
  <c r="A182" i="7"/>
  <c r="D182" i="7" s="1"/>
  <c r="A55" i="7"/>
  <c r="A315" i="7"/>
  <c r="D315" i="7" s="1"/>
  <c r="A267" i="7"/>
  <c r="A211" i="7"/>
  <c r="C211" i="7" s="1"/>
  <c r="A86" i="7"/>
  <c r="A338" i="7"/>
  <c r="C338" i="7" s="1"/>
  <c r="A290" i="7"/>
  <c r="D290" i="7" s="1"/>
  <c r="A226" i="7"/>
  <c r="D226" i="7" s="1"/>
  <c r="A164" i="7"/>
  <c r="A340" i="7"/>
  <c r="C340" i="7" s="1"/>
  <c r="A308" i="7"/>
  <c r="C308" i="7" s="1"/>
  <c r="A284" i="7"/>
  <c r="C284" i="7" s="1"/>
  <c r="A256" i="7"/>
  <c r="A224" i="7"/>
  <c r="D224" i="7" s="1"/>
  <c r="A196" i="7"/>
  <c r="A168" i="7"/>
  <c r="D168" i="7" s="1"/>
  <c r="A47" i="7"/>
  <c r="A313" i="7"/>
  <c r="A269" i="7"/>
  <c r="D269" i="7" s="1"/>
  <c r="A225" i="7"/>
  <c r="C225" i="7" s="1"/>
  <c r="A185" i="7"/>
  <c r="A94" i="7"/>
  <c r="C94" i="7" s="1"/>
  <c r="A150" i="7"/>
  <c r="C150" i="7" s="1"/>
  <c r="A115" i="7"/>
  <c r="A27" i="7"/>
  <c r="A139" i="7"/>
  <c r="C139" i="7" s="1"/>
  <c r="A74" i="7"/>
  <c r="A104" i="7"/>
  <c r="C104" i="7" s="1"/>
  <c r="A60" i="7"/>
  <c r="A20" i="7"/>
  <c r="A61" i="7"/>
  <c r="C61" i="7" s="1"/>
  <c r="A303" i="7"/>
  <c r="C303" i="7" s="1"/>
  <c r="A38" i="7"/>
  <c r="B35" i="5"/>
  <c r="Q25" i="6" s="1"/>
  <c r="I4" i="5"/>
  <c r="P4" i="5" s="1"/>
  <c r="R4" i="5" s="1"/>
  <c r="A102" i="7"/>
  <c r="D102" i="7" s="1"/>
  <c r="A348" i="7"/>
  <c r="A191" i="7"/>
  <c r="D191" i="7" s="1"/>
  <c r="A295" i="7"/>
  <c r="D295" i="7" s="1"/>
  <c r="A70" i="7"/>
  <c r="C70" i="7" s="1"/>
  <c r="A271" i="7"/>
  <c r="A29" i="7"/>
  <c r="D29" i="7" s="1"/>
  <c r="A49" i="7"/>
  <c r="C49" i="7" s="1"/>
  <c r="A69" i="7"/>
  <c r="D69" i="7" s="1"/>
  <c r="A93" i="7"/>
  <c r="A113" i="7"/>
  <c r="D113" i="7" s="1"/>
  <c r="A32" i="7"/>
  <c r="D32" i="7" s="1"/>
  <c r="A48" i="7"/>
  <c r="D48" i="7" s="1"/>
  <c r="A64" i="7"/>
  <c r="A80" i="7"/>
  <c r="C80" i="7" s="1"/>
  <c r="A96" i="7"/>
  <c r="D96" i="7" s="1"/>
  <c r="A112" i="7"/>
  <c r="D112" i="7" s="1"/>
  <c r="A34" i="7"/>
  <c r="A66" i="7"/>
  <c r="D66" i="7" s="1"/>
  <c r="A98" i="7"/>
  <c r="D98" i="7" s="1"/>
  <c r="A127" i="7"/>
  <c r="D127" i="7" s="1"/>
  <c r="A143" i="7"/>
  <c r="A159" i="7"/>
  <c r="C159" i="7" s="1"/>
  <c r="A175" i="7"/>
  <c r="D175" i="7" s="1"/>
  <c r="A43" i="7"/>
  <c r="C43" i="7" s="1"/>
  <c r="A75" i="7"/>
  <c r="A107" i="7"/>
  <c r="C107" i="7" s="1"/>
  <c r="A122" i="7"/>
  <c r="D122" i="7" s="1"/>
  <c r="A138" i="7"/>
  <c r="D138" i="7" s="1"/>
  <c r="A154" i="7"/>
  <c r="A170" i="7"/>
  <c r="C170" i="7" s="1"/>
  <c r="A62" i="7"/>
  <c r="D62" i="7" s="1"/>
  <c r="A125" i="7"/>
  <c r="C125" i="7" s="1"/>
  <c r="A157" i="7"/>
  <c r="A181" i="7"/>
  <c r="C181" i="7" s="1"/>
  <c r="A197" i="7"/>
  <c r="D197" i="7" s="1"/>
  <c r="A213" i="7"/>
  <c r="D213" i="7" s="1"/>
  <c r="A229" i="7"/>
  <c r="A245" i="7"/>
  <c r="D245" i="7" s="1"/>
  <c r="A261" i="7"/>
  <c r="D261" i="7" s="1"/>
  <c r="A277" i="7"/>
  <c r="C277" i="7" s="1"/>
  <c r="A293" i="7"/>
  <c r="A309" i="7"/>
  <c r="C309" i="7" s="1"/>
  <c r="A325" i="7"/>
  <c r="C325" i="7" s="1"/>
  <c r="A341" i="7"/>
  <c r="C341" i="7" s="1"/>
  <c r="A63" i="7"/>
  <c r="A128" i="7"/>
  <c r="D128" i="7" s="1"/>
  <c r="A160" i="7"/>
  <c r="C160" i="7" s="1"/>
  <c r="A184" i="7"/>
  <c r="C184" i="7" s="1"/>
  <c r="A200" i="7"/>
  <c r="A216" i="7"/>
  <c r="C216" i="7" s="1"/>
  <c r="A232" i="7"/>
  <c r="C232" i="7" s="1"/>
  <c r="A248" i="7"/>
  <c r="C248" i="7" s="1"/>
  <c r="A264" i="7"/>
  <c r="A280" i="7"/>
  <c r="C280" i="7" s="1"/>
  <c r="A296" i="7"/>
  <c r="C296" i="7" s="1"/>
  <c r="A312" i="7"/>
  <c r="C312" i="7" s="1"/>
  <c r="A328" i="7"/>
  <c r="A344" i="7"/>
  <c r="C344" i="7" s="1"/>
  <c r="A132" i="7"/>
  <c r="C132" i="7" s="1"/>
  <c r="A186" i="7"/>
  <c r="C186" i="7" s="1"/>
  <c r="A218" i="7"/>
  <c r="A250" i="7"/>
  <c r="D250" i="7" s="1"/>
  <c r="A282" i="7"/>
  <c r="D282" i="7" s="1"/>
  <c r="A314" i="7"/>
  <c r="D314" i="7" s="1"/>
  <c r="A346" i="7"/>
  <c r="A22" i="7"/>
  <c r="D22" i="7" s="1"/>
  <c r="A145" i="7"/>
  <c r="C145" i="7" s="1"/>
  <c r="A195" i="7"/>
  <c r="C195" i="7" s="1"/>
  <c r="A227" i="7"/>
  <c r="A259" i="7"/>
  <c r="A291" i="7"/>
  <c r="D291" i="7" s="1"/>
  <c r="A323" i="7"/>
  <c r="D323" i="7" s="1"/>
  <c r="A353" i="7"/>
  <c r="A87" i="7"/>
  <c r="D87" i="7" s="1"/>
  <c r="A156" i="7"/>
  <c r="C156" i="7" s="1"/>
  <c r="A198" i="7"/>
  <c r="C198" i="7" s="1"/>
  <c r="A230" i="7"/>
  <c r="A262" i="7"/>
  <c r="D262" i="7" s="1"/>
  <c r="A294" i="7"/>
  <c r="D294" i="7" s="1"/>
  <c r="A326" i="7"/>
  <c r="C326" i="7" s="1"/>
  <c r="I12" i="5"/>
  <c r="P12" i="5" s="1"/>
  <c r="R12" i="5" s="1"/>
  <c r="I10" i="5"/>
  <c r="P10" i="5" s="1"/>
  <c r="R10" i="5" s="1"/>
  <c r="I15" i="5"/>
  <c r="P15" i="5" s="1"/>
  <c r="R15" i="5" s="1"/>
  <c r="I19" i="5"/>
  <c r="P19" i="5" s="1"/>
  <c r="R19" i="5" s="1"/>
  <c r="I23" i="5"/>
  <c r="P23" i="5" s="1"/>
  <c r="R23" i="5" s="1"/>
  <c r="J13" i="5"/>
  <c r="Q13" i="5" s="1"/>
  <c r="I6" i="5"/>
  <c r="P6" i="5" s="1"/>
  <c r="R6" i="5" s="1"/>
  <c r="I14" i="5"/>
  <c r="P14" i="5" s="1"/>
  <c r="R14" i="5" s="1"/>
  <c r="I18" i="5"/>
  <c r="P18" i="5" s="1"/>
  <c r="R18" i="5" s="1"/>
  <c r="I22" i="5"/>
  <c r="P22" i="5" s="1"/>
  <c r="R22" i="5" s="1"/>
  <c r="J11" i="5"/>
  <c r="Q11" i="5" s="1"/>
  <c r="A105" i="7"/>
  <c r="C105" i="7" s="1"/>
  <c r="A89" i="7"/>
  <c r="A73" i="7"/>
  <c r="D73" i="7" s="1"/>
  <c r="A57" i="7"/>
  <c r="D57" i="7" s="1"/>
  <c r="A41" i="7"/>
  <c r="C41" i="7" s="1"/>
  <c r="A25" i="7"/>
  <c r="A239" i="7"/>
  <c r="C239" i="7" s="1"/>
  <c r="A352" i="7"/>
  <c r="C352" i="7" s="1"/>
  <c r="A199" i="7"/>
  <c r="D199" i="7" s="1"/>
  <c r="A327" i="7"/>
  <c r="A121" i="7"/>
  <c r="C121" i="7" s="1"/>
  <c r="A287" i="7"/>
  <c r="C287" i="7" s="1"/>
  <c r="C102" i="7"/>
  <c r="J9" i="5"/>
  <c r="Q9" i="5" s="1"/>
  <c r="B37" i="5"/>
  <c r="Q27" i="6" s="1"/>
  <c r="C31" i="5"/>
  <c r="I28" i="6" s="1"/>
  <c r="B38" i="5"/>
  <c r="Q28" i="6" s="1"/>
  <c r="G28" i="6"/>
  <c r="D31" i="5"/>
  <c r="N28" i="6" s="1"/>
  <c r="D2" i="7"/>
  <c r="H2" i="7" s="1"/>
  <c r="I2" i="7" s="1"/>
  <c r="C2" i="7"/>
  <c r="F2" i="7" s="1"/>
  <c r="D353" i="7"/>
  <c r="C353" i="7"/>
  <c r="C218" i="7"/>
  <c r="D218" i="7"/>
  <c r="C328" i="7"/>
  <c r="D328" i="7"/>
  <c r="C264" i="7"/>
  <c r="D264" i="7"/>
  <c r="C200" i="7"/>
  <c r="D200" i="7"/>
  <c r="D63" i="7"/>
  <c r="C63" i="7"/>
  <c r="C293" i="7"/>
  <c r="D293" i="7"/>
  <c r="D4" i="7"/>
  <c r="H4" i="7" s="1"/>
  <c r="I4" i="7" s="1"/>
  <c r="E4" i="7"/>
  <c r="C4" i="7"/>
  <c r="F4" i="7" s="1"/>
  <c r="C222" i="7"/>
  <c r="D222" i="7"/>
  <c r="D283" i="7"/>
  <c r="D129" i="7"/>
  <c r="C129" i="7"/>
  <c r="D276" i="7"/>
  <c r="C276" i="7"/>
  <c r="C209" i="7"/>
  <c r="C110" i="7"/>
  <c r="D110" i="7"/>
  <c r="C166" i="7"/>
  <c r="D166" i="7"/>
  <c r="C155" i="7"/>
  <c r="C123" i="7"/>
  <c r="D123" i="7"/>
  <c r="C58" i="7"/>
  <c r="C108" i="7"/>
  <c r="D76" i="7"/>
  <c r="C109" i="7"/>
  <c r="C77" i="7"/>
  <c r="D77" i="7"/>
  <c r="C45" i="7"/>
  <c r="D207" i="7"/>
  <c r="D137" i="7"/>
  <c r="D255" i="7"/>
  <c r="C255" i="7"/>
  <c r="D311" i="7"/>
  <c r="C311" i="7"/>
  <c r="E2" i="7"/>
  <c r="C310" i="7"/>
  <c r="D310" i="7"/>
  <c r="C278" i="7"/>
  <c r="C246" i="7"/>
  <c r="D246" i="7"/>
  <c r="C124" i="7"/>
  <c r="D124" i="7"/>
  <c r="D339" i="7"/>
  <c r="C339" i="7"/>
  <c r="D307" i="7"/>
  <c r="C307" i="7"/>
  <c r="D179" i="7"/>
  <c r="C179" i="7"/>
  <c r="C86" i="7"/>
  <c r="D86" i="7"/>
  <c r="C354" i="7"/>
  <c r="D354" i="7"/>
  <c r="C330" i="7"/>
  <c r="D330" i="7"/>
  <c r="C298" i="7"/>
  <c r="D298" i="7"/>
  <c r="C234" i="7"/>
  <c r="D234" i="7"/>
  <c r="C202" i="7"/>
  <c r="D202" i="7"/>
  <c r="C164" i="7"/>
  <c r="D164" i="7"/>
  <c r="D71" i="7"/>
  <c r="C336" i="7"/>
  <c r="C304" i="7"/>
  <c r="D304" i="7"/>
  <c r="C272" i="7"/>
  <c r="C256" i="7"/>
  <c r="D256" i="7"/>
  <c r="C208" i="7"/>
  <c r="D208" i="7"/>
  <c r="C192" i="7"/>
  <c r="D192" i="7"/>
  <c r="C144" i="7"/>
  <c r="D144" i="7"/>
  <c r="D95" i="7"/>
  <c r="C95" i="7"/>
  <c r="C31" i="7"/>
  <c r="C317" i="7"/>
  <c r="D317" i="7"/>
  <c r="C285" i="7"/>
  <c r="D285" i="7"/>
  <c r="C253" i="7"/>
  <c r="C221" i="7"/>
  <c r="C205" i="7"/>
  <c r="D205" i="7"/>
  <c r="D173" i="7"/>
  <c r="C173" i="7"/>
  <c r="D141" i="7"/>
  <c r="C30" i="7"/>
  <c r="C162" i="7"/>
  <c r="D162" i="7"/>
  <c r="C146" i="7"/>
  <c r="D146" i="7"/>
  <c r="C91" i="7"/>
  <c r="D27" i="7"/>
  <c r="C27" i="7"/>
  <c r="C167" i="7"/>
  <c r="D167" i="7"/>
  <c r="C151" i="7"/>
  <c r="D151" i="7"/>
  <c r="D114" i="7"/>
  <c r="C82" i="7"/>
  <c r="C50" i="7"/>
  <c r="D50" i="7"/>
  <c r="C120" i="7"/>
  <c r="D120" i="7"/>
  <c r="C88" i="7"/>
  <c r="D88" i="7"/>
  <c r="C72" i="7"/>
  <c r="D72" i="7"/>
  <c r="C56" i="7"/>
  <c r="D56" i="7"/>
  <c r="C24" i="7"/>
  <c r="D24" i="7"/>
  <c r="C89" i="7"/>
  <c r="D89" i="7"/>
  <c r="C73" i="7"/>
  <c r="C25" i="7"/>
  <c r="D25" i="7"/>
  <c r="D327" i="7"/>
  <c r="C327" i="7"/>
  <c r="D121" i="7"/>
  <c r="D247" i="7"/>
  <c r="C247" i="7"/>
  <c r="E5" i="7"/>
  <c r="C5" i="7"/>
  <c r="F5" i="7" s="1"/>
  <c r="D5" i="7"/>
  <c r="H5" i="7" s="1"/>
  <c r="I5" i="7" s="1"/>
  <c r="C230" i="7"/>
  <c r="D230" i="7"/>
  <c r="D259" i="7"/>
  <c r="C259" i="7"/>
  <c r="D227" i="7"/>
  <c r="C227" i="7"/>
  <c r="C346" i="7"/>
  <c r="D346" i="7"/>
  <c r="C128" i="7"/>
  <c r="D309" i="7"/>
  <c r="C229" i="7"/>
  <c r="D229" i="7"/>
  <c r="D157" i="7"/>
  <c r="C157" i="7"/>
  <c r="C154" i="7"/>
  <c r="D154" i="7"/>
  <c r="D75" i="7"/>
  <c r="C75" i="7"/>
  <c r="C143" i="7"/>
  <c r="D143" i="7"/>
  <c r="C34" i="7"/>
  <c r="D34" i="7"/>
  <c r="C64" i="7"/>
  <c r="D64" i="7"/>
  <c r="D97" i="7"/>
  <c r="C65" i="7"/>
  <c r="D263" i="7"/>
  <c r="C263" i="7"/>
  <c r="D348" i="7"/>
  <c r="C348" i="7"/>
  <c r="D279" i="7"/>
  <c r="C279" i="7"/>
  <c r="C3" i="7"/>
  <c r="F3" i="7" s="1"/>
  <c r="D3" i="7"/>
  <c r="H3" i="7" s="1"/>
  <c r="I3" i="7" s="1"/>
  <c r="E3" i="7"/>
  <c r="C318" i="7"/>
  <c r="D318" i="7"/>
  <c r="C190" i="7"/>
  <c r="D55" i="7"/>
  <c r="C55" i="7"/>
  <c r="C315" i="7"/>
  <c r="C251" i="7"/>
  <c r="D187" i="7"/>
  <c r="C187" i="7"/>
  <c r="D358" i="7"/>
  <c r="C306" i="7"/>
  <c r="D242" i="7"/>
  <c r="C210" i="7"/>
  <c r="D210" i="7"/>
  <c r="C103" i="7"/>
  <c r="D324" i="7"/>
  <c r="D292" i="7"/>
  <c r="C292" i="7"/>
  <c r="C260" i="7"/>
  <c r="D228" i="7"/>
  <c r="C228" i="7"/>
  <c r="D196" i="7"/>
  <c r="C196" i="7"/>
  <c r="C152" i="7"/>
  <c r="D47" i="7"/>
  <c r="C47" i="7"/>
  <c r="C321" i="7"/>
  <c r="C289" i="7"/>
  <c r="C257" i="7"/>
  <c r="D257" i="7"/>
  <c r="D225" i="7"/>
  <c r="C193" i="7"/>
  <c r="D193" i="7"/>
  <c r="C149" i="7"/>
  <c r="C46" i="7"/>
  <c r="D46" i="7"/>
  <c r="D150" i="7"/>
  <c r="C119" i="7"/>
  <c r="D119" i="7"/>
  <c r="D67" i="7"/>
  <c r="C67" i="7"/>
  <c r="C171" i="7"/>
  <c r="D171" i="7"/>
  <c r="C90" i="7"/>
  <c r="D90" i="7"/>
  <c r="D26" i="7"/>
  <c r="D92" i="7"/>
  <c r="C92" i="7"/>
  <c r="D60" i="7"/>
  <c r="C60" i="7"/>
  <c r="D28" i="7"/>
  <c r="C28" i="7"/>
  <c r="C93" i="7"/>
  <c r="D93" i="7"/>
  <c r="D61" i="7"/>
  <c r="C29" i="7"/>
  <c r="D335" i="7"/>
  <c r="C335" i="7"/>
  <c r="C38" i="7"/>
  <c r="D38" i="7"/>
  <c r="D215" i="7"/>
  <c r="C215" i="7"/>
  <c r="D343" i="7"/>
  <c r="C343" i="7"/>
  <c r="C6" i="7"/>
  <c r="F6" i="7" s="1"/>
  <c r="D6" i="7"/>
  <c r="H6" i="7" s="1"/>
  <c r="I6" i="7" s="1"/>
  <c r="E6" i="7"/>
  <c r="C334" i="7"/>
  <c r="D334" i="7"/>
  <c r="C270" i="7"/>
  <c r="D270" i="7"/>
  <c r="D238" i="7"/>
  <c r="C206" i="7"/>
  <c r="D206" i="7"/>
  <c r="C172" i="7"/>
  <c r="D172" i="7"/>
  <c r="D118" i="7"/>
  <c r="C357" i="7"/>
  <c r="D331" i="7"/>
  <c r="C331" i="7"/>
  <c r="D299" i="7"/>
  <c r="D267" i="7"/>
  <c r="C267" i="7"/>
  <c r="D235" i="7"/>
  <c r="C203" i="7"/>
  <c r="D161" i="7"/>
  <c r="C54" i="7"/>
  <c r="D54" i="7"/>
  <c r="C350" i="7"/>
  <c r="D350" i="7"/>
  <c r="C322" i="7"/>
  <c r="C290" i="7"/>
  <c r="C258" i="7"/>
  <c r="D258" i="7"/>
  <c r="C226" i="7"/>
  <c r="C194" i="7"/>
  <c r="D194" i="7"/>
  <c r="C148" i="7"/>
  <c r="D148" i="7"/>
  <c r="D39" i="7"/>
  <c r="C39" i="7"/>
  <c r="C332" i="7"/>
  <c r="D316" i="7"/>
  <c r="C316" i="7"/>
  <c r="D300" i="7"/>
  <c r="D284" i="7"/>
  <c r="D268" i="7"/>
  <c r="C268" i="7"/>
  <c r="C252" i="7"/>
  <c r="D236" i="7"/>
  <c r="C236" i="7"/>
  <c r="C220" i="7"/>
  <c r="D204" i="7"/>
  <c r="C204" i="7"/>
  <c r="C188" i="7"/>
  <c r="C168" i="7"/>
  <c r="C136" i="7"/>
  <c r="D136" i="7"/>
  <c r="D79" i="7"/>
  <c r="C345" i="7"/>
  <c r="D345" i="7"/>
  <c r="D329" i="7"/>
  <c r="C313" i="7"/>
  <c r="D313" i="7"/>
  <c r="C297" i="7"/>
  <c r="D297" i="7"/>
  <c r="C281" i="7"/>
  <c r="D281" i="7"/>
  <c r="C265" i="7"/>
  <c r="D265" i="7"/>
  <c r="C249" i="7"/>
  <c r="D249" i="7"/>
  <c r="D233" i="7"/>
  <c r="C217" i="7"/>
  <c r="D217" i="7"/>
  <c r="D201" i="7"/>
  <c r="C185" i="7"/>
  <c r="D185" i="7"/>
  <c r="D165" i="7"/>
  <c r="C165" i="7"/>
  <c r="D133" i="7"/>
  <c r="C133" i="7"/>
  <c r="D78" i="7"/>
  <c r="D174" i="7"/>
  <c r="C174" i="7"/>
  <c r="C158" i="7"/>
  <c r="D142" i="7"/>
  <c r="C142" i="7"/>
  <c r="D126" i="7"/>
  <c r="C126" i="7"/>
  <c r="D115" i="7"/>
  <c r="C115" i="7"/>
  <c r="D83" i="7"/>
  <c r="C83" i="7"/>
  <c r="D51" i="7"/>
  <c r="C51" i="7"/>
  <c r="C19" i="7"/>
  <c r="C163" i="7"/>
  <c r="D163" i="7"/>
  <c r="C147" i="7"/>
  <c r="D147" i="7"/>
  <c r="C131" i="7"/>
  <c r="D131" i="7"/>
  <c r="C106" i="7"/>
  <c r="D106" i="7"/>
  <c r="C74" i="7"/>
  <c r="D74" i="7"/>
  <c r="C42" i="7"/>
  <c r="D42" i="7"/>
  <c r="D116" i="7"/>
  <c r="C116" i="7"/>
  <c r="C100" i="7"/>
  <c r="D84" i="7"/>
  <c r="C84" i="7"/>
  <c r="D68" i="7"/>
  <c r="D52" i="7"/>
  <c r="C52" i="7"/>
  <c r="D36" i="7"/>
  <c r="C36" i="7"/>
  <c r="D20" i="7"/>
  <c r="C20" i="7"/>
  <c r="C101" i="7"/>
  <c r="C85" i="7"/>
  <c r="D85" i="7"/>
  <c r="C69" i="7"/>
  <c r="D53" i="7"/>
  <c r="C37" i="7"/>
  <c r="D37" i="7"/>
  <c r="C21" i="7"/>
  <c r="D21" i="7"/>
  <c r="D271" i="7"/>
  <c r="C271" i="7"/>
  <c r="D231" i="7"/>
  <c r="C231" i="7"/>
  <c r="C347" i="7"/>
  <c r="D347" i="7"/>
  <c r="C191" i="7"/>
  <c r="D319" i="7"/>
  <c r="C319" i="7"/>
  <c r="O25" i="5" l="1"/>
  <c r="O24" i="5"/>
  <c r="O23" i="5"/>
  <c r="O22" i="5"/>
  <c r="O21" i="5"/>
  <c r="O20" i="5"/>
  <c r="O19" i="5"/>
  <c r="O18" i="5"/>
  <c r="O17" i="5"/>
  <c r="O16" i="5"/>
  <c r="O15" i="5"/>
  <c r="O14" i="5"/>
  <c r="O12" i="5"/>
  <c r="O4" i="5"/>
  <c r="O8" i="5"/>
  <c r="O13" i="5"/>
  <c r="O6" i="5"/>
  <c r="O10" i="5"/>
  <c r="O5" i="5"/>
  <c r="D280" i="7"/>
  <c r="D94" i="7"/>
  <c r="D302" i="7"/>
  <c r="D139" i="7"/>
  <c r="D254" i="7"/>
  <c r="C135" i="7"/>
  <c r="C301" i="7"/>
  <c r="C224" i="7"/>
  <c r="C23" i="7"/>
  <c r="C342" i="7"/>
  <c r="C44" i="7"/>
  <c r="C337" i="7"/>
  <c r="C197" i="7"/>
  <c r="D344" i="7"/>
  <c r="C40" i="7"/>
  <c r="C333" i="7"/>
  <c r="C320" i="7"/>
  <c r="C98" i="7"/>
  <c r="C62" i="7"/>
  <c r="D117" i="7"/>
  <c r="C177" i="7"/>
  <c r="C111" i="7"/>
  <c r="C295" i="7"/>
  <c r="D303" i="7"/>
  <c r="C96" i="7"/>
  <c r="C122" i="7"/>
  <c r="D216" i="7"/>
  <c r="C282" i="7"/>
  <c r="C59" i="7"/>
  <c r="C237" i="7"/>
  <c r="C240" i="7"/>
  <c r="C288" i="7"/>
  <c r="D243" i="7"/>
  <c r="D244" i="7"/>
  <c r="C32" i="7"/>
  <c r="C266" i="7"/>
  <c r="D239" i="7"/>
  <c r="C87" i="7"/>
  <c r="D28" i="5"/>
  <c r="N25" i="6" s="1"/>
  <c r="C175" i="7"/>
  <c r="D176" i="7"/>
  <c r="C269" i="7"/>
  <c r="D183" i="7"/>
  <c r="D145" i="7"/>
  <c r="C294" i="7"/>
  <c r="D134" i="7"/>
  <c r="D273" i="7"/>
  <c r="C261" i="7"/>
  <c r="C241" i="7"/>
  <c r="C212" i="7"/>
  <c r="C274" i="7"/>
  <c r="D349" i="7"/>
  <c r="D156" i="7"/>
  <c r="D211" i="7"/>
  <c r="C153" i="7"/>
  <c r="C81" i="7"/>
  <c r="D35" i="7"/>
  <c r="C66" i="7"/>
  <c r="D355" i="7"/>
  <c r="D170" i="7"/>
  <c r="C182" i="7"/>
  <c r="D99" i="7"/>
  <c r="D308" i="7"/>
  <c r="C219" i="7"/>
  <c r="C140" i="7"/>
  <c r="C22" i="7"/>
  <c r="D33" i="7"/>
  <c r="C199" i="7"/>
  <c r="C214" i="7"/>
  <c r="C48" i="7"/>
  <c r="C250" i="7"/>
  <c r="D41" i="7"/>
  <c r="D104" i="7"/>
  <c r="D130" i="7"/>
  <c r="C189" i="7"/>
  <c r="D178" i="7"/>
  <c r="C351" i="7"/>
  <c r="D105" i="7"/>
  <c r="D43" i="7"/>
  <c r="C262" i="7"/>
  <c r="C305" i="7"/>
  <c r="D180" i="7"/>
  <c r="D49" i="7"/>
  <c r="D80" i="7"/>
  <c r="D181" i="7"/>
  <c r="D275" i="7"/>
  <c r="D356" i="7"/>
  <c r="D338" i="7"/>
  <c r="C286" i="7"/>
  <c r="C223" i="7"/>
  <c r="C113" i="7"/>
  <c r="D159" i="7"/>
  <c r="D340" i="7"/>
  <c r="C169" i="7"/>
  <c r="D107" i="7"/>
  <c r="C245" i="7"/>
  <c r="C112" i="7"/>
  <c r="D160" i="7"/>
  <c r="C213" i="7"/>
  <c r="C127" i="7"/>
  <c r="D125" i="7"/>
  <c r="D325" i="7"/>
  <c r="C28" i="5"/>
  <c r="I25" i="6" s="1"/>
  <c r="I29" i="6" s="1"/>
  <c r="L25" i="6"/>
  <c r="D195" i="7"/>
  <c r="D132" i="7"/>
  <c r="C138" i="7"/>
  <c r="D296" i="7"/>
  <c r="C314" i="7"/>
  <c r="C291" i="7"/>
  <c r="D232" i="7"/>
  <c r="D198" i="7"/>
  <c r="D70" i="7"/>
  <c r="D326" i="7"/>
  <c r="D287" i="7"/>
  <c r="D352" i="7"/>
  <c r="C57" i="7"/>
  <c r="D277" i="7"/>
  <c r="D341" i="7"/>
  <c r="D184" i="7"/>
  <c r="D248" i="7"/>
  <c r="D312" i="7"/>
  <c r="D186" i="7"/>
  <c r="C323" i="7"/>
  <c r="E7" i="7"/>
  <c r="G3" i="7" s="1"/>
  <c r="G4" i="7" l="1"/>
  <c r="G6" i="7"/>
  <c r="G2" i="7"/>
  <c r="G5" i="7"/>
</calcChain>
</file>

<file path=xl/sharedStrings.xml><?xml version="1.0" encoding="utf-8"?>
<sst xmlns="http://schemas.openxmlformats.org/spreadsheetml/2006/main" count="2368" uniqueCount="141">
  <si>
    <t>Dec</t>
  </si>
  <si>
    <t>Nov</t>
  </si>
  <si>
    <t>Oct</t>
  </si>
  <si>
    <t>Sep</t>
  </si>
  <si>
    <t>Aug</t>
  </si>
  <si>
    <t>Jul</t>
  </si>
  <si>
    <t>Jun</t>
  </si>
  <si>
    <t>Northern Ireland</t>
  </si>
  <si>
    <t>May</t>
  </si>
  <si>
    <t>Forecast 3</t>
  </si>
  <si>
    <t>Wales</t>
  </si>
  <si>
    <t>Expenses</t>
  </si>
  <si>
    <t>Apr</t>
  </si>
  <si>
    <t>Forecast 2</t>
  </si>
  <si>
    <t>Scotland</t>
  </si>
  <si>
    <t>Revenue</t>
  </si>
  <si>
    <t>Mar</t>
  </si>
  <si>
    <t>Forecast 1</t>
  </si>
  <si>
    <t>England</t>
  </si>
  <si>
    <t>EBIT</t>
  </si>
  <si>
    <t>Feb</t>
  </si>
  <si>
    <t>Budget</t>
  </si>
  <si>
    <t>Group</t>
  </si>
  <si>
    <t>Report</t>
  </si>
  <si>
    <t>Jan</t>
  </si>
  <si>
    <t>Actual</t>
  </si>
  <si>
    <t>List of Areas</t>
  </si>
  <si>
    <t>Region</t>
  </si>
  <si>
    <t>Exp Budget</t>
  </si>
  <si>
    <t>Exp Actual</t>
  </si>
  <si>
    <t>Rev Budget</t>
  </si>
  <si>
    <t xml:space="preserve">Rev Actual </t>
  </si>
  <si>
    <t>P&amp;L Budget</t>
  </si>
  <si>
    <t>P&amp;L Actual</t>
  </si>
  <si>
    <t>Code</t>
  </si>
  <si>
    <t>Project 5</t>
  </si>
  <si>
    <t>Project 4</t>
  </si>
  <si>
    <t>Project 3</t>
  </si>
  <si>
    <t>Project 2</t>
  </si>
  <si>
    <t>Project 1</t>
  </si>
  <si>
    <t>Mthly Spend</t>
  </si>
  <si>
    <t>Project</t>
  </si>
  <si>
    <t>Index</t>
  </si>
  <si>
    <t>Bangor</t>
  </si>
  <si>
    <t>Lisburn</t>
  </si>
  <si>
    <t>Derry</t>
  </si>
  <si>
    <t>Belfast</t>
  </si>
  <si>
    <t>Llanelli</t>
  </si>
  <si>
    <t>Newport</t>
  </si>
  <si>
    <t>Swansea</t>
  </si>
  <si>
    <t>Cardiff</t>
  </si>
  <si>
    <t>Dundee</t>
  </si>
  <si>
    <t>Aberdeen</t>
  </si>
  <si>
    <t>Glasgow</t>
  </si>
  <si>
    <t>Edinburgh</t>
  </si>
  <si>
    <t>Bristol</t>
  </si>
  <si>
    <t>Liverpool</t>
  </si>
  <si>
    <t>Manchester</t>
  </si>
  <si>
    <t>London</t>
  </si>
  <si>
    <t>Overtime Hrs</t>
  </si>
  <si>
    <t>FTEs</t>
  </si>
  <si>
    <t>City</t>
  </si>
  <si>
    <t>Spend</t>
  </si>
  <si>
    <t>Projects</t>
  </si>
  <si>
    <t>OT Hrs</t>
  </si>
  <si>
    <t>Other Measure</t>
  </si>
  <si>
    <t>Leave Balances</t>
  </si>
  <si>
    <t>Menu</t>
  </si>
  <si>
    <t>Data Supplied by;</t>
  </si>
  <si>
    <t>Total FTEs</t>
  </si>
  <si>
    <t>Top 5 $m</t>
  </si>
  <si>
    <t>Capital Spend</t>
  </si>
  <si>
    <t>Hrs</t>
  </si>
  <si>
    <t>Overtime</t>
  </si>
  <si>
    <t>Headcount</t>
  </si>
  <si>
    <t>`</t>
  </si>
  <si>
    <t>Avg Svs Length</t>
  </si>
  <si>
    <t>Avg Salary</t>
  </si>
  <si>
    <t>Month</t>
  </si>
  <si>
    <t>Leave Bal</t>
  </si>
  <si>
    <t>Top 5</t>
  </si>
  <si>
    <t>Emp1</t>
  </si>
  <si>
    <t>Emp2</t>
  </si>
  <si>
    <t>Emp3</t>
  </si>
  <si>
    <t>Emp4</t>
  </si>
  <si>
    <t>Emp5</t>
  </si>
  <si>
    <t>y</t>
  </si>
  <si>
    <t>x</t>
  </si>
  <si>
    <t>Product</t>
  </si>
  <si>
    <t>Profit %</t>
  </si>
  <si>
    <t>Growth</t>
  </si>
  <si>
    <t>Furniture</t>
  </si>
  <si>
    <t>Hardware</t>
  </si>
  <si>
    <t>Clothing</t>
  </si>
  <si>
    <t>IT</t>
  </si>
  <si>
    <t>TOTAL</t>
  </si>
  <si>
    <t>Sales Volume</t>
  </si>
  <si>
    <t>Sales Growth</t>
  </si>
  <si>
    <t>Household</t>
  </si>
  <si>
    <t>Date</t>
  </si>
  <si>
    <t>PY</t>
  </si>
  <si>
    <t>CY</t>
  </si>
  <si>
    <t>Volume</t>
  </si>
  <si>
    <t>Staff</t>
  </si>
  <si>
    <t>Employee 1</t>
  </si>
  <si>
    <t>Employee 2</t>
  </si>
  <si>
    <t>Employee 3</t>
  </si>
  <si>
    <t>Employee 4</t>
  </si>
  <si>
    <t>Employee 5</t>
  </si>
  <si>
    <t>HR</t>
  </si>
  <si>
    <t>Ops</t>
  </si>
  <si>
    <t>CY F %</t>
  </si>
  <si>
    <t>Male %</t>
  </si>
  <si>
    <t>Cash</t>
  </si>
  <si>
    <t>Value</t>
  </si>
  <si>
    <t>Reserve</t>
  </si>
  <si>
    <t>Type</t>
  </si>
  <si>
    <t>State</t>
  </si>
  <si>
    <t>Termination</t>
  </si>
  <si>
    <t>New Hires</t>
  </si>
  <si>
    <t>Consultants</t>
  </si>
  <si>
    <t>Operations</t>
  </si>
  <si>
    <t>Strategy</t>
  </si>
  <si>
    <t>Finance</t>
  </si>
  <si>
    <t>Commercial</t>
  </si>
  <si>
    <t>Expenditure by Department</t>
  </si>
  <si>
    <t>Dept</t>
  </si>
  <si>
    <t>Stock Price</t>
  </si>
  <si>
    <t>Stock P</t>
  </si>
  <si>
    <t>Prior</t>
  </si>
  <si>
    <t>▲</t>
  </si>
  <si>
    <t>▼</t>
  </si>
  <si>
    <t>Category</t>
  </si>
  <si>
    <t>Exp</t>
  </si>
  <si>
    <t>Issues PY</t>
  </si>
  <si>
    <t>Issues CY</t>
  </si>
  <si>
    <t>New Proj</t>
  </si>
  <si>
    <t>Social Campaigns</t>
  </si>
  <si>
    <t>Alliances</t>
  </si>
  <si>
    <t>Community</t>
  </si>
  <si>
    <t>Chart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</si>
</sst>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mmm\ yy"/>
    <numFmt numFmtId="167" formatCode="0.0%"/>
    <numFmt numFmtId="168" formatCode="#,##0.0_);\(#,##0.0\)"/>
    <numFmt numFmtId="169" formatCode="#,##0_);\(#,##0\)"/>
    <numFmt numFmtId="170" formatCode="#,##0.0\ &quot;m&quot;"/>
    <numFmt numFmtId="171" formatCode="_-* #,##0_-;\-* #,##0_-;_-* &quot;-&quot;??_-;_-@_-"/>
    <numFmt numFmtId="172" formatCode="[Blue]\+0.0%;[Red]\(0.0%\);0%;&quot;&quot;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63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color indexed="9"/>
      <name val="Arial"/>
      <family val="2"/>
    </font>
    <font>
      <sz val="10"/>
      <color indexed="33"/>
      <name val="Arial"/>
      <family val="2"/>
    </font>
    <font>
      <i/>
      <sz val="8.5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8.5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 tint="0.34998626667073579"/>
      <name val="Arial"/>
      <family val="2"/>
    </font>
    <font>
      <sz val="8"/>
      <name val="Arial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theme="0" tint="-0.499984740745262"/>
      </left>
      <right style="thin">
        <color indexed="9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Fill="1"/>
    <xf numFmtId="43" fontId="0" fillId="0" borderId="0" xfId="0" applyNumberFormat="1"/>
    <xf numFmtId="165" fontId="0" fillId="0" borderId="0" xfId="1" applyNumberFormat="1" applyFont="1"/>
    <xf numFmtId="3" fontId="0" fillId="0" borderId="0" xfId="0" applyNumberFormat="1"/>
    <xf numFmtId="165" fontId="0" fillId="0" borderId="0" xfId="0" applyNumberFormat="1"/>
    <xf numFmtId="0" fontId="0" fillId="0" borderId="0" xfId="0" applyFill="1"/>
    <xf numFmtId="166" fontId="3" fillId="2" borderId="0" xfId="0" applyNumberFormat="1" applyFont="1" applyFill="1" applyProtection="1">
      <protection locked="0"/>
    </xf>
    <xf numFmtId="0" fontId="0" fillId="0" borderId="0" xfId="0" applyFont="1" applyFill="1" applyBorder="1" applyAlignment="1" applyProtection="1">
      <alignment horizontal="left" indent="1"/>
      <protection locked="0"/>
    </xf>
    <xf numFmtId="166" fontId="3" fillId="0" borderId="0" xfId="0" applyNumberFormat="1" applyFont="1" applyFill="1" applyProtection="1">
      <protection locked="0"/>
    </xf>
    <xf numFmtId="3" fontId="3" fillId="0" borderId="0" xfId="1" applyNumberFormat="1" applyFont="1" applyFill="1" applyProtection="1">
      <protection locked="0"/>
    </xf>
    <xf numFmtId="3" fontId="2" fillId="0" borderId="0" xfId="1" applyNumberFormat="1" applyFont="1" applyFill="1"/>
    <xf numFmtId="165" fontId="3" fillId="0" borderId="0" xfId="1" applyNumberFormat="1" applyFont="1" applyFill="1" applyProtection="1">
      <protection locked="0"/>
    </xf>
    <xf numFmtId="0" fontId="0" fillId="0" borderId="0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9" fillId="0" borderId="4" xfId="0" applyFont="1" applyFill="1" applyBorder="1" applyAlignment="1">
      <alignment horizontal="left" indent="1"/>
    </xf>
    <xf numFmtId="37" fontId="11" fillId="0" borderId="5" xfId="0" applyNumberFormat="1" applyFont="1" applyFill="1" applyBorder="1" applyAlignment="1">
      <alignment horizontal="left" indent="1"/>
    </xf>
    <xf numFmtId="0" fontId="10" fillId="0" borderId="4" xfId="0" applyFont="1" applyFill="1" applyBorder="1" applyAlignment="1">
      <alignment horizontal="left" indent="1"/>
    </xf>
    <xf numFmtId="3" fontId="10" fillId="0" borderId="5" xfId="0" applyNumberFormat="1" applyFont="1" applyFill="1" applyBorder="1" applyAlignment="1">
      <alignment horizontal="left" indent="1"/>
    </xf>
    <xf numFmtId="0" fontId="4" fillId="0" borderId="0" xfId="0" applyFont="1" applyFill="1" applyBorder="1"/>
    <xf numFmtId="167" fontId="9" fillId="0" borderId="5" xfId="2" applyNumberFormat="1" applyFont="1" applyFill="1" applyBorder="1" applyAlignment="1" applyProtection="1">
      <alignment horizontal="left" indent="1"/>
      <protection locked="0"/>
    </xf>
    <xf numFmtId="168" fontId="10" fillId="0" borderId="5" xfId="0" applyNumberFormat="1" applyFont="1" applyFill="1" applyBorder="1" applyAlignment="1">
      <alignment horizontal="left" indent="1"/>
    </xf>
    <xf numFmtId="3" fontId="5" fillId="0" borderId="5" xfId="0" applyNumberFormat="1" applyFont="1" applyFill="1" applyBorder="1" applyAlignment="1">
      <alignment horizontal="left" indent="1"/>
    </xf>
    <xf numFmtId="169" fontId="5" fillId="0" borderId="6" xfId="0" applyNumberFormat="1" applyFont="1" applyFill="1" applyBorder="1" applyAlignment="1">
      <alignment horizontal="left" indent="1"/>
    </xf>
    <xf numFmtId="169" fontId="5" fillId="0" borderId="5" xfId="0" applyNumberFormat="1" applyFont="1" applyFill="1" applyBorder="1" applyAlignment="1">
      <alignment horizontal="left" indent="1"/>
    </xf>
    <xf numFmtId="37" fontId="8" fillId="0" borderId="5" xfId="0" applyNumberFormat="1" applyFont="1" applyFill="1" applyBorder="1" applyAlignment="1">
      <alignment horizontal="left" indent="1"/>
    </xf>
    <xf numFmtId="168" fontId="5" fillId="0" borderId="5" xfId="0" applyNumberFormat="1" applyFont="1" applyFill="1" applyBorder="1" applyAlignment="1">
      <alignment horizontal="left" indent="1"/>
    </xf>
    <xf numFmtId="0" fontId="7" fillId="0" borderId="0" xfId="0" applyFont="1" applyFill="1"/>
    <xf numFmtId="0" fontId="0" fillId="0" borderId="0" xfId="0" applyFill="1" applyProtection="1">
      <protection locked="0"/>
    </xf>
    <xf numFmtId="0" fontId="5" fillId="0" borderId="0" xfId="0" applyFont="1" applyFill="1" applyProtection="1">
      <protection locked="0"/>
    </xf>
    <xf numFmtId="0" fontId="3" fillId="0" borderId="0" xfId="0" applyFont="1" applyFill="1" applyProtection="1">
      <protection locked="0"/>
    </xf>
    <xf numFmtId="0" fontId="6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right"/>
    </xf>
    <xf numFmtId="17" fontId="0" fillId="0" borderId="0" xfId="0" applyNumberFormat="1" applyFill="1"/>
    <xf numFmtId="37" fontId="0" fillId="0" borderId="5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Fill="1"/>
    <xf numFmtId="9" fontId="13" fillId="0" borderId="0" xfId="2" applyFont="1" applyFill="1" applyAlignment="1">
      <alignment horizontal="right"/>
    </xf>
    <xf numFmtId="3" fontId="13" fillId="0" borderId="0" xfId="0" applyNumberFormat="1" applyFont="1" applyFill="1" applyAlignment="1">
      <alignment horizontal="right"/>
    </xf>
    <xf numFmtId="9" fontId="14" fillId="0" borderId="0" xfId="2" applyFont="1" applyFill="1" applyBorder="1" applyAlignment="1">
      <alignment horizontal="right"/>
    </xf>
    <xf numFmtId="165" fontId="2" fillId="0" borderId="0" xfId="1" applyNumberFormat="1" applyFont="1"/>
    <xf numFmtId="0" fontId="0" fillId="0" borderId="0" xfId="0" applyFont="1"/>
    <xf numFmtId="0" fontId="15" fillId="3" borderId="0" xfId="0" applyFont="1" applyFill="1"/>
    <xf numFmtId="0" fontId="16" fillId="3" borderId="0" xfId="0" applyFont="1" applyFill="1"/>
    <xf numFmtId="165" fontId="16" fillId="3" borderId="0" xfId="1" applyNumberFormat="1" applyFont="1" applyFill="1"/>
    <xf numFmtId="165" fontId="15" fillId="3" borderId="0" xfId="1" applyNumberFormat="1" applyFont="1" applyFill="1"/>
    <xf numFmtId="0" fontId="15" fillId="3" borderId="0" xfId="0" applyFont="1" applyFill="1" applyAlignment="1">
      <alignment horizontal="center"/>
    </xf>
    <xf numFmtId="165" fontId="14" fillId="0" borderId="0" xfId="1" applyNumberFormat="1" applyFont="1" applyFill="1" applyBorder="1" applyAlignment="1">
      <alignment horizontal="right"/>
    </xf>
    <xf numFmtId="9" fontId="0" fillId="0" borderId="0" xfId="0" applyNumberFormat="1"/>
    <xf numFmtId="170" fontId="0" fillId="0" borderId="0" xfId="1" applyNumberFormat="1" applyFont="1"/>
    <xf numFmtId="0" fontId="15" fillId="3" borderId="0" xfId="0" applyFont="1" applyFill="1" applyAlignment="1">
      <alignment horizontal="right"/>
    </xf>
    <xf numFmtId="0" fontId="9" fillId="0" borderId="4" xfId="0" applyFont="1" applyFill="1" applyBorder="1" applyAlignment="1"/>
    <xf numFmtId="0" fontId="4" fillId="0" borderId="1" xfId="0" applyFont="1" applyFill="1" applyBorder="1"/>
    <xf numFmtId="0" fontId="19" fillId="0" borderId="4" xfId="0" applyFont="1" applyFill="1" applyBorder="1" applyAlignment="1"/>
    <xf numFmtId="0" fontId="17" fillId="3" borderId="0" xfId="3" applyFont="1" applyFill="1"/>
    <xf numFmtId="0" fontId="1" fillId="0" borderId="0" xfId="3" applyFont="1" applyFill="1"/>
    <xf numFmtId="0" fontId="20" fillId="0" borderId="0" xfId="3" applyFont="1" applyFill="1" applyBorder="1" applyAlignment="1">
      <alignment vertical="center"/>
    </xf>
    <xf numFmtId="171" fontId="0" fillId="0" borderId="0" xfId="0" applyNumberFormat="1"/>
    <xf numFmtId="171" fontId="0" fillId="0" borderId="0" xfId="1" applyNumberFormat="1" applyFont="1"/>
    <xf numFmtId="165" fontId="18" fillId="0" borderId="0" xfId="1" applyNumberFormat="1" applyFont="1" applyFill="1" applyBorder="1"/>
    <xf numFmtId="165" fontId="0" fillId="0" borderId="0" xfId="1" applyNumberFormat="1" applyFont="1" applyFill="1" applyAlignment="1">
      <alignment horizontal="right"/>
    </xf>
    <xf numFmtId="165" fontId="0" fillId="0" borderId="0" xfId="1" applyNumberFormat="1" applyFont="1" applyFill="1"/>
    <xf numFmtId="172" fontId="4" fillId="0" borderId="0" xfId="0" applyNumberFormat="1" applyFont="1" applyFill="1"/>
  </cellXfs>
  <cellStyles count="4">
    <cellStyle name="Comma" xfId="1" builtinId="3"/>
    <cellStyle name="Normal" xfId="0" builtinId="0"/>
    <cellStyle name="Normal 3" xfId="3"/>
    <cellStyle name="Percent" xfId="2" builtinId="5"/>
  </cellStyles>
  <dxfs count="32"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4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15344728250432"/>
          <c:y val="8.9844105057337614E-2"/>
          <c:w val="0.84596871239470584"/>
          <c:h val="0.82043935052531036"/>
        </c:manualLayout>
      </c:layout>
      <c:scatterChart>
        <c:scatterStyle val="lineMarker"/>
        <c:varyColors val="0"/>
        <c:ser>
          <c:idx val="6"/>
          <c:order val="0"/>
          <c:tx>
            <c:strRef>
              <c:f>Charts!$B$2</c:f>
              <c:strCache>
                <c:ptCount val="1"/>
                <c:pt idx="0">
                  <c:v>Household</c:v>
                </c:pt>
              </c:strCache>
            </c:strRef>
          </c:tx>
          <c:spPr>
            <a:ln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6095303069065826E-2"/>
                  <c:y val="3.477562439365566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F-49DA-942C-14F010B6A4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F-49DA-942C-14F010B6A401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Charts!$H$2:$I$2</c:f>
              <c:numCache>
                <c:formatCode>0%</c:formatCode>
                <c:ptCount val="2"/>
                <c:pt idx="0">
                  <c:v>0.22</c:v>
                </c:pt>
                <c:pt idx="1">
                  <c:v>0.22</c:v>
                </c:pt>
              </c:numCache>
            </c:numRef>
          </c:xVal>
          <c:yVal>
            <c:numRef>
              <c:f>Charts!$F$2:$G$2</c:f>
              <c:numCache>
                <c:formatCode>0%</c:formatCode>
                <c:ptCount val="2"/>
                <c:pt idx="0">
                  <c:v>0.06</c:v>
                </c:pt>
                <c:pt idx="1">
                  <c:v>0.33672955974842766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9F-49DA-942C-14F010B6A401}"/>
            </c:ext>
          </c:extLst>
        </c:ser>
        <c:ser>
          <c:idx val="17"/>
          <c:order val="1"/>
          <c:tx>
            <c:strRef>
              <c:f>Charts!$B$6</c:f>
              <c:strCache>
                <c:ptCount val="1"/>
                <c:pt idx="0">
                  <c:v>IT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1289026597307166E-3"/>
                  <c:y val="2.33143063420797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F-49DA-942C-14F010B6A4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9F-49DA-942C-14F010B6A401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Charts!$H$6:$I$6</c:f>
              <c:numCache>
                <c:formatCode>0%</c:formatCode>
                <c:ptCount val="2"/>
                <c:pt idx="0">
                  <c:v>0.21</c:v>
                </c:pt>
                <c:pt idx="1">
                  <c:v>0.21</c:v>
                </c:pt>
              </c:numCache>
            </c:numRef>
          </c:xVal>
          <c:yVal>
            <c:numRef>
              <c:f>Charts!$F$6:$G$6</c:f>
              <c:numCache>
                <c:formatCode>0%</c:formatCode>
                <c:ptCount val="2"/>
                <c:pt idx="0">
                  <c:v>-0.06</c:v>
                </c:pt>
                <c:pt idx="1">
                  <c:v>4.6918238993710698E-2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9F-49DA-942C-14F010B6A401}"/>
            </c:ext>
          </c:extLst>
        </c:ser>
        <c:ser>
          <c:idx val="18"/>
          <c:order val="2"/>
          <c:tx>
            <c:strRef>
              <c:f>Charts!$B$5</c:f>
              <c:strCache>
                <c:ptCount val="1"/>
                <c:pt idx="0">
                  <c:v>Clothing</c:v>
                </c:pt>
              </c:strCache>
            </c:strRef>
          </c:tx>
          <c:spPr>
            <a:ln>
              <a:solidFill>
                <a:schemeClr val="accent1">
                  <a:lumMod val="20000"/>
                  <a:lumOff val="80000"/>
                </a:schemeClr>
              </a:solidFill>
              <a:headEnd type="oval" w="lg" len="lg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ED9F-49DA-942C-14F010B6A401}"/>
              </c:ext>
            </c:extLst>
          </c:dPt>
          <c:dLbls>
            <c:dLbl>
              <c:idx val="0"/>
              <c:layout>
                <c:manualLayout>
                  <c:x val="-0.20465308684240563"/>
                  <c:y val="-1.115357714956117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9F-49DA-942C-14F010B6A4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F-49DA-942C-14F010B6A401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Charts!$H$5:$I$5</c:f>
              <c:numCache>
                <c:formatCode>0%</c:formatCode>
                <c:ptCount val="2"/>
                <c:pt idx="0">
                  <c:v>0.16</c:v>
                </c:pt>
                <c:pt idx="1">
                  <c:v>0.16</c:v>
                </c:pt>
              </c:numCache>
            </c:numRef>
          </c:xVal>
          <c:yVal>
            <c:numRef>
              <c:f>Charts!$F$5:$G$5</c:f>
              <c:numCache>
                <c:formatCode>0%</c:formatCode>
                <c:ptCount val="2"/>
                <c:pt idx="0">
                  <c:v>0.15</c:v>
                </c:pt>
                <c:pt idx="1">
                  <c:v>0.35440251572327042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D9F-49DA-942C-14F010B6A401}"/>
            </c:ext>
          </c:extLst>
        </c:ser>
        <c:ser>
          <c:idx val="12"/>
          <c:order val="3"/>
          <c:tx>
            <c:strRef>
              <c:f>Charts!$B$4</c:f>
              <c:strCache>
                <c:ptCount val="1"/>
                <c:pt idx="0">
                  <c:v>Hardware</c:v>
                </c:pt>
              </c:strCache>
            </c:strRef>
          </c:tx>
          <c:spPr>
            <a:ln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199170416197975"/>
                  <c:y val="4.24165030947062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9F-49DA-942C-14F010B6A4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9F-49DA-942C-14F010B6A401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Charts!$H$4:$I$4</c:f>
              <c:numCache>
                <c:formatCode>0%</c:formatCode>
                <c:ptCount val="2"/>
                <c:pt idx="0">
                  <c:v>9.5000000000000001E-2</c:v>
                </c:pt>
                <c:pt idx="1">
                  <c:v>9.5000000000000001E-2</c:v>
                </c:pt>
              </c:numCache>
            </c:numRef>
          </c:xVal>
          <c:yVal>
            <c:numRef>
              <c:f>Charts!$F$4:$G$4</c:f>
              <c:numCache>
                <c:formatCode>0%</c:formatCode>
                <c:ptCount val="2"/>
                <c:pt idx="0">
                  <c:v>-0.03</c:v>
                </c:pt>
                <c:pt idx="1">
                  <c:v>0.12094339622641509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9F-49DA-942C-14F010B6A401}"/>
            </c:ext>
          </c:extLst>
        </c:ser>
        <c:ser>
          <c:idx val="4"/>
          <c:order val="4"/>
          <c:tx>
            <c:strRef>
              <c:f>Charts!$B$3</c:f>
              <c:strCache>
                <c:ptCount val="1"/>
                <c:pt idx="0">
                  <c:v>Furniture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5884381780797256E-2"/>
                  <c:y val="4.202483285577841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9F-49DA-942C-14F010B6A4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D9F-49DA-942C-14F010B6A401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Charts!$H$3:$I$3</c:f>
              <c:numCache>
                <c:formatCode>0%</c:formatCode>
                <c:ptCount val="2"/>
                <c:pt idx="0">
                  <c:v>0.31</c:v>
                </c:pt>
                <c:pt idx="1">
                  <c:v>0.31</c:v>
                </c:pt>
              </c:numCache>
            </c:numRef>
          </c:xVal>
          <c:yVal>
            <c:numRef>
              <c:f>Charts!$F$3:$G$3</c:f>
              <c:numCache>
                <c:formatCode>0%</c:formatCode>
                <c:ptCount val="2"/>
                <c:pt idx="0">
                  <c:v>0</c:v>
                </c:pt>
                <c:pt idx="1">
                  <c:v>0.2610062893081761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D9F-49DA-942C-14F010B6A401}"/>
            </c:ext>
          </c:extLst>
        </c:ser>
        <c:ser>
          <c:idx val="20"/>
          <c:order val="5"/>
          <c:tx>
            <c:v>axis_v</c:v>
          </c:tx>
          <c:spPr>
            <a:ln w="28575">
              <a:noFill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xVal>
          <c:yVal>
            <c:numLit>
              <c:formatCode>General</c:formatCode>
              <c:ptCount val="5"/>
              <c:pt idx="0">
                <c:v>-0.05</c:v>
              </c:pt>
              <c:pt idx="1">
                <c:v>0.05</c:v>
              </c:pt>
              <c:pt idx="2">
                <c:v>0.15</c:v>
              </c:pt>
              <c:pt idx="3">
                <c:v>0.25</c:v>
              </c:pt>
              <c:pt idx="4">
                <c:v>0.35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ED9F-49DA-942C-14F010B6A401}"/>
            </c:ext>
          </c:extLst>
        </c:ser>
        <c:ser>
          <c:idx val="21"/>
          <c:order val="6"/>
          <c:tx>
            <c:v>axis_h</c:v>
          </c:tx>
          <c:spPr>
            <a:ln>
              <a:noFill/>
            </a:ln>
          </c:spPr>
          <c:marker>
            <c:symbol val="none"/>
          </c:marker>
          <c:xVal>
            <c:numLit>
              <c:formatCode>General</c:formatCode>
              <c:ptCount val="6"/>
              <c:pt idx="0">
                <c:v>0.05</c:v>
              </c:pt>
              <c:pt idx="1">
                <c:v>0.15000000000000002</c:v>
              </c:pt>
              <c:pt idx="2">
                <c:v>0.25</c:v>
              </c:pt>
              <c:pt idx="3">
                <c:v>0.35</c:v>
              </c:pt>
              <c:pt idx="4">
                <c:v>0.44999999999999996</c:v>
              </c:pt>
              <c:pt idx="5">
                <c:v>0.54999999999999993</c:v>
              </c:pt>
            </c:numLit>
          </c:xVal>
          <c:yVal>
            <c:numLit>
              <c:formatCode>General</c:formatCode>
              <c:ptCount val="6"/>
              <c:pt idx="0">
                <c:v>0.4</c:v>
              </c:pt>
              <c:pt idx="1">
                <c:v>0.4</c:v>
              </c:pt>
              <c:pt idx="2">
                <c:v>0.4</c:v>
              </c:pt>
              <c:pt idx="3">
                <c:v>0.4</c:v>
              </c:pt>
              <c:pt idx="4">
                <c:v>0.4</c:v>
              </c:pt>
              <c:pt idx="5">
                <c:v>0.4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ED9F-49DA-942C-14F010B6A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87544"/>
        <c:axId val="1"/>
      </c:scatterChart>
      <c:valAx>
        <c:axId val="366787544"/>
        <c:scaling>
          <c:orientation val="minMax"/>
          <c:max val="0.4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5"/>
          <c:min val="-0.1"/>
        </c:scaling>
        <c:delete val="0"/>
        <c:axPos val="l"/>
        <c:majorGridlines>
          <c:spPr>
            <a:ln w="9525"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low"/>
        <c:spPr>
          <a:ln>
            <a:noFill/>
          </a:ln>
        </c:spPr>
        <c:crossAx val="366787544"/>
        <c:crossesAt val="7.0000000000000021E-2"/>
        <c:crossBetween val="midCat"/>
        <c:majorUnit val="0.1"/>
        <c:minorUnit val="0.05"/>
      </c:valAx>
      <c:spPr>
        <a:solidFill>
          <a:schemeClr val="bg1">
            <a:alpha val="47000"/>
          </a:schemeClr>
        </a:solidFill>
        <a:ln w="12700"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301288882910677E-3"/>
          <c:y val="0.16216246787989388"/>
          <c:w val="0.97848086334806039"/>
          <c:h val="0.732305353722676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Calcs!$P$1</c:f>
              <c:strCache>
                <c:ptCount val="1"/>
                <c:pt idx="0">
                  <c:v> Expenses Actual 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dLbls>
            <c:dLbl>
              <c:idx val="0"/>
              <c:tx>
                <c:rich>
                  <a:bodyPr/>
                  <a:lstStyle/>
                  <a:p>
                    <a:fld id="{DB0D2553-69B2-4797-8C1C-F6F1F4557F6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5AA-482D-98E1-7ABB899BC62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58A1CE-80EA-41B7-B220-5223FD3D86B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5AA-482D-98E1-7ABB899BC62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074F5B-446D-481F-8CDC-9AE36E34BD90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5AA-482D-98E1-7ABB899BC62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F26990C-FFD2-4008-B7B1-57DD9BFF463C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5AA-482D-98E1-7ABB899BC62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8FE5BB-E2A8-4349-A5AD-16C868F171BA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5AA-482D-98E1-7ABB899BC62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17DD8AF-F39D-4822-8F1D-E66C2AE1623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5AA-482D-98E1-7ABB899BC62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FFBB7B-488C-48FB-B1C3-ACC6BD65DF5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5AA-482D-98E1-7ABB899BC62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A9F751-3286-4816-B263-A1E072606D0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5AA-482D-98E1-7ABB899BC62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E53C964-7D98-4E53-9665-6FE58D19538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5AA-482D-98E1-7ABB899BC62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100479A-A7DB-4209-B763-B5C759E342A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5AA-482D-98E1-7ABB899BC62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DA5224D-EDB5-46BA-A991-268F5EDA09AF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5AA-482D-98E1-7ABB899BC62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D166DF7-C243-4A10-A74E-750BCA20B4E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5AA-482D-98E1-7ABB899BC62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A8FFAAC-106C-4C7B-A931-E017867C5BA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5AA-482D-98E1-7ABB899BC62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74615FC-F588-4EFF-956B-DDBB7AD5162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5AA-482D-98E1-7ABB899BC62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D13A78B-734D-447C-B828-68327459D2B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5AA-482D-98E1-7ABB899BC62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84538B0-B963-4367-B392-C564699D8B0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5AA-482D-98E1-7ABB899BC62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B74E066-AD6C-4148-BC4F-7F59721A6ECB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35AA-482D-98E1-7ABB899BC62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8DC9089-1658-4C28-91AC-131CF0D55EBE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5AA-482D-98E1-7ABB899BC62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D1E392E-7FD2-429B-A8F4-1099E876207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5AA-482D-98E1-7ABB899BC62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3E4519E-9F57-4A83-B35D-1533976D6E91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5AA-482D-98E1-7ABB899BC62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6933619-23CA-4FB0-A44A-34E48E9D3188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35AA-482D-98E1-7ABB899BC62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B5E3BDF-CEE5-4CDF-B700-E15F0F3A7DC3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35AA-482D-98E1-7ABB899BC62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93415FC-1A9D-4F1D-B613-116311437229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35AA-482D-98E1-7ABB899BC62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26D501E-3D5E-47FB-B033-DF113518A85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35AA-482D-98E1-7ABB899BC625}"/>
                </c:ext>
              </c:extLst>
            </c:dLbl>
            <c:numFmt formatCode="##,##0.0,&quot;m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Calcs!$O$2:$O$25</c:f>
              <c:numCache>
                <c:formatCode>mmm\ yy</c:formatCode>
                <c:ptCount val="24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cat>
          <c:val>
            <c:numRef>
              <c:f>Calcs!$P$2:$P$25</c:f>
              <c:numCache>
                <c:formatCode>_(* #,##0_);_(* \(#,##0\);_(* "-"??_);_(@_)</c:formatCode>
                <c:ptCount val="24"/>
                <c:pt idx="0">
                  <c:v>6657.1875</c:v>
                </c:pt>
                <c:pt idx="1">
                  <c:v>7087.5</c:v>
                </c:pt>
                <c:pt idx="2">
                  <c:v>6108.75</c:v>
                </c:pt>
                <c:pt idx="3">
                  <c:v>5653.125</c:v>
                </c:pt>
                <c:pt idx="4">
                  <c:v>5340.9375</c:v>
                </c:pt>
                <c:pt idx="5">
                  <c:v>7661.25</c:v>
                </c:pt>
                <c:pt idx="6">
                  <c:v>6032.8125</c:v>
                </c:pt>
                <c:pt idx="7">
                  <c:v>7458.75</c:v>
                </c:pt>
                <c:pt idx="8">
                  <c:v>7499.8125</c:v>
                </c:pt>
                <c:pt idx="9">
                  <c:v>6468.7049999999999</c:v>
                </c:pt>
                <c:pt idx="10">
                  <c:v>7423.7849999999999</c:v>
                </c:pt>
                <c:pt idx="11">
                  <c:v>7676.28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Calcs!$R$2:$R$25</c15:f>
                <c15:dlblRangeCache>
                  <c:ptCount val="24"/>
                  <c:pt idx="0">
                    <c:v>6.7 m</c:v>
                  </c:pt>
                  <c:pt idx="1">
                    <c:v>7.1 m</c:v>
                  </c:pt>
                  <c:pt idx="2">
                    <c:v>6.1 m</c:v>
                  </c:pt>
                  <c:pt idx="3">
                    <c:v>5.7 m</c:v>
                  </c:pt>
                  <c:pt idx="4">
                    <c:v>5.3 m</c:v>
                  </c:pt>
                  <c:pt idx="5">
                    <c:v>7.7 m</c:v>
                  </c:pt>
                  <c:pt idx="6">
                    <c:v>6.0 m</c:v>
                  </c:pt>
                  <c:pt idx="7">
                    <c:v>7.5 m</c:v>
                  </c:pt>
                  <c:pt idx="8">
                    <c:v>7.5 m</c:v>
                  </c:pt>
                  <c:pt idx="9">
                    <c:v>6.5 m</c:v>
                  </c:pt>
                  <c:pt idx="10">
                    <c:v>7.4 m</c:v>
                  </c:pt>
                  <c:pt idx="11">
                    <c:v>7.7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A25F-4576-9857-13E20F05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366787216"/>
        <c:axId val="1"/>
      </c:barChart>
      <c:lineChart>
        <c:grouping val="standard"/>
        <c:varyColors val="0"/>
        <c:ser>
          <c:idx val="0"/>
          <c:order val="1"/>
          <c:tx>
            <c:strRef>
              <c:f>Calcs!$Q$1</c:f>
              <c:strCache>
                <c:ptCount val="1"/>
                <c:pt idx="0">
                  <c:v> Expenses Budget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  <a:tailEnd type="triangle"/>
            </a:ln>
          </c:spPr>
          <c:marker>
            <c:symbol val="none"/>
          </c:marker>
          <c:cat>
            <c:numRef>
              <c:f>Calcs!$O$2:$O$25</c:f>
              <c:numCache>
                <c:formatCode>mmm\ yy</c:formatCode>
                <c:ptCount val="24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cat>
          <c:val>
            <c:numRef>
              <c:f>Calcs!$Q$2:$Q$25</c:f>
              <c:numCache>
                <c:formatCode>_(* #,##0_);_(* \(#,##0\);_(* "-"??_);_(@_)</c:formatCode>
                <c:ptCount val="24"/>
                <c:pt idx="0">
                  <c:v>7203.9508339035947</c:v>
                </c:pt>
                <c:pt idx="1">
                  <c:v>8044.0684631999993</c:v>
                </c:pt>
                <c:pt idx="2">
                  <c:v>5096.590366438124</c:v>
                </c:pt>
                <c:pt idx="3">
                  <c:v>5129.3463768281254</c:v>
                </c:pt>
                <c:pt idx="4">
                  <c:v>5673.1599768473434</c:v>
                </c:pt>
                <c:pt idx="5">
                  <c:v>6566.4510774525006</c:v>
                </c:pt>
                <c:pt idx="6">
                  <c:v>5745.185902371094</c:v>
                </c:pt>
                <c:pt idx="7">
                  <c:v>6721.9220684362499</c:v>
                </c:pt>
                <c:pt idx="8">
                  <c:v>8393.2533597537567</c:v>
                </c:pt>
                <c:pt idx="9">
                  <c:v>6652.0213657919994</c:v>
                </c:pt>
                <c:pt idx="10">
                  <c:v>7901.0063866694245</c:v>
                </c:pt>
                <c:pt idx="11">
                  <c:v>7678.1935882293765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25F-4576-9857-13E20F05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366787216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366787216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extTo"/>
        <c:crossAx val="4"/>
        <c:crosses val="autoZero"/>
        <c:auto val="0"/>
        <c:lblOffset val="100"/>
        <c:baseTimeUnit val="months"/>
      </c:dateAx>
      <c:valAx>
        <c:axId val="4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64921920731129"/>
          <c:y val="3.4748946283994629E-2"/>
          <c:w val="0.34964164731207165"/>
          <c:h val="7.7220070618208542E-2"/>
        </c:manualLayout>
      </c:layout>
      <c:overlay val="0"/>
      <c:spPr>
        <a:noFill/>
        <a:ln w="25400">
          <a:noFill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411-4704-9C3A-66FD6B39EA9E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1-4704-9C3A-66FD6B39EA9E}"/>
              </c:ext>
            </c:extLst>
          </c:dPt>
          <c:val>
            <c:numRef>
              <c:f>Calcs!$C$53:$D$53</c:f>
              <c:numCache>
                <c:formatCode>0%</c:formatCode>
                <c:ptCount val="2"/>
                <c:pt idx="0">
                  <c:v>0.4325</c:v>
                </c:pt>
                <c:pt idx="1">
                  <c:v>0.5675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11-4704-9C3A-66FD6B39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Charts!$B$19:$B$108</c:f>
              <c:numCache>
                <c:formatCode>mmm\-yy</c:formatCode>
                <c:ptCount val="90"/>
                <c:pt idx="0">
                  <c:v>36892</c:v>
                </c:pt>
                <c:pt idx="1">
                  <c:v>36893</c:v>
                </c:pt>
                <c:pt idx="2">
                  <c:v>36894</c:v>
                </c:pt>
                <c:pt idx="3">
                  <c:v>36895</c:v>
                </c:pt>
                <c:pt idx="4">
                  <c:v>36896</c:v>
                </c:pt>
                <c:pt idx="5">
                  <c:v>36897</c:v>
                </c:pt>
                <c:pt idx="6">
                  <c:v>36898</c:v>
                </c:pt>
                <c:pt idx="7">
                  <c:v>36899</c:v>
                </c:pt>
                <c:pt idx="8">
                  <c:v>36900</c:v>
                </c:pt>
                <c:pt idx="9">
                  <c:v>36901</c:v>
                </c:pt>
                <c:pt idx="10">
                  <c:v>36902</c:v>
                </c:pt>
                <c:pt idx="11">
                  <c:v>36903</c:v>
                </c:pt>
                <c:pt idx="12">
                  <c:v>36904</c:v>
                </c:pt>
                <c:pt idx="13">
                  <c:v>36905</c:v>
                </c:pt>
                <c:pt idx="14">
                  <c:v>36906</c:v>
                </c:pt>
                <c:pt idx="15">
                  <c:v>36907</c:v>
                </c:pt>
                <c:pt idx="16">
                  <c:v>36908</c:v>
                </c:pt>
                <c:pt idx="17">
                  <c:v>36909</c:v>
                </c:pt>
                <c:pt idx="18">
                  <c:v>36910</c:v>
                </c:pt>
                <c:pt idx="19">
                  <c:v>36911</c:v>
                </c:pt>
                <c:pt idx="20">
                  <c:v>36912</c:v>
                </c:pt>
                <c:pt idx="21">
                  <c:v>36913</c:v>
                </c:pt>
                <c:pt idx="22">
                  <c:v>36914</c:v>
                </c:pt>
                <c:pt idx="23">
                  <c:v>36915</c:v>
                </c:pt>
                <c:pt idx="24">
                  <c:v>36916</c:v>
                </c:pt>
                <c:pt idx="25">
                  <c:v>36917</c:v>
                </c:pt>
                <c:pt idx="26">
                  <c:v>36918</c:v>
                </c:pt>
                <c:pt idx="27">
                  <c:v>36919</c:v>
                </c:pt>
                <c:pt idx="28">
                  <c:v>36920</c:v>
                </c:pt>
                <c:pt idx="29">
                  <c:v>36921</c:v>
                </c:pt>
                <c:pt idx="30">
                  <c:v>36922</c:v>
                </c:pt>
                <c:pt idx="31">
                  <c:v>36923</c:v>
                </c:pt>
                <c:pt idx="32">
                  <c:v>36924</c:v>
                </c:pt>
                <c:pt idx="33">
                  <c:v>36925</c:v>
                </c:pt>
                <c:pt idx="34">
                  <c:v>36926</c:v>
                </c:pt>
                <c:pt idx="35">
                  <c:v>36927</c:v>
                </c:pt>
                <c:pt idx="36">
                  <c:v>36928</c:v>
                </c:pt>
                <c:pt idx="37">
                  <c:v>36929</c:v>
                </c:pt>
                <c:pt idx="38">
                  <c:v>36930</c:v>
                </c:pt>
                <c:pt idx="39">
                  <c:v>36931</c:v>
                </c:pt>
                <c:pt idx="40">
                  <c:v>36932</c:v>
                </c:pt>
                <c:pt idx="41">
                  <c:v>36933</c:v>
                </c:pt>
                <c:pt idx="42">
                  <c:v>36934</c:v>
                </c:pt>
                <c:pt idx="43">
                  <c:v>36935</c:v>
                </c:pt>
                <c:pt idx="44">
                  <c:v>36936</c:v>
                </c:pt>
                <c:pt idx="45">
                  <c:v>36937</c:v>
                </c:pt>
                <c:pt idx="46">
                  <c:v>36938</c:v>
                </c:pt>
                <c:pt idx="47">
                  <c:v>36939</c:v>
                </c:pt>
                <c:pt idx="48">
                  <c:v>36940</c:v>
                </c:pt>
                <c:pt idx="49">
                  <c:v>36941</c:v>
                </c:pt>
                <c:pt idx="50">
                  <c:v>36942</c:v>
                </c:pt>
                <c:pt idx="51">
                  <c:v>36943</c:v>
                </c:pt>
                <c:pt idx="52">
                  <c:v>36944</c:v>
                </c:pt>
                <c:pt idx="53">
                  <c:v>36945</c:v>
                </c:pt>
                <c:pt idx="54">
                  <c:v>36946</c:v>
                </c:pt>
                <c:pt idx="55">
                  <c:v>36947</c:v>
                </c:pt>
                <c:pt idx="56">
                  <c:v>36948</c:v>
                </c:pt>
                <c:pt idx="57">
                  <c:v>36949</c:v>
                </c:pt>
                <c:pt idx="58">
                  <c:v>36950</c:v>
                </c:pt>
                <c:pt idx="59">
                  <c:v>36951</c:v>
                </c:pt>
                <c:pt idx="60">
                  <c:v>36952</c:v>
                </c:pt>
                <c:pt idx="61">
                  <c:v>36953</c:v>
                </c:pt>
                <c:pt idx="62">
                  <c:v>36954</c:v>
                </c:pt>
                <c:pt idx="63">
                  <c:v>36955</c:v>
                </c:pt>
                <c:pt idx="64">
                  <c:v>36956</c:v>
                </c:pt>
                <c:pt idx="65">
                  <c:v>36957</c:v>
                </c:pt>
                <c:pt idx="66">
                  <c:v>36958</c:v>
                </c:pt>
                <c:pt idx="67">
                  <c:v>36959</c:v>
                </c:pt>
                <c:pt idx="68">
                  <c:v>36960</c:v>
                </c:pt>
                <c:pt idx="69">
                  <c:v>36961</c:v>
                </c:pt>
                <c:pt idx="70">
                  <c:v>36962</c:v>
                </c:pt>
                <c:pt idx="71">
                  <c:v>36963</c:v>
                </c:pt>
                <c:pt idx="72">
                  <c:v>36964</c:v>
                </c:pt>
                <c:pt idx="73">
                  <c:v>36965</c:v>
                </c:pt>
                <c:pt idx="74">
                  <c:v>36966</c:v>
                </c:pt>
                <c:pt idx="75">
                  <c:v>36967</c:v>
                </c:pt>
                <c:pt idx="76">
                  <c:v>36968</c:v>
                </c:pt>
                <c:pt idx="77">
                  <c:v>36969</c:v>
                </c:pt>
                <c:pt idx="78">
                  <c:v>36970</c:v>
                </c:pt>
                <c:pt idx="79">
                  <c:v>36971</c:v>
                </c:pt>
                <c:pt idx="80">
                  <c:v>36972</c:v>
                </c:pt>
                <c:pt idx="81">
                  <c:v>36973</c:v>
                </c:pt>
                <c:pt idx="82">
                  <c:v>36974</c:v>
                </c:pt>
                <c:pt idx="83">
                  <c:v>36975</c:v>
                </c:pt>
                <c:pt idx="84">
                  <c:v>36976</c:v>
                </c:pt>
                <c:pt idx="85">
                  <c:v>36977</c:v>
                </c:pt>
                <c:pt idx="86">
                  <c:v>36978</c:v>
                </c:pt>
                <c:pt idx="87">
                  <c:v>36979</c:v>
                </c:pt>
                <c:pt idx="88">
                  <c:v>36980</c:v>
                </c:pt>
                <c:pt idx="89">
                  <c:v>36981</c:v>
                </c:pt>
              </c:numCache>
            </c:numRef>
          </c:cat>
          <c:val>
            <c:numRef>
              <c:f>Charts!$C$19:$C$108</c:f>
              <c:numCache>
                <c:formatCode>General</c:formatCode>
                <c:ptCount val="90"/>
                <c:pt idx="0">
                  <c:v>128</c:v>
                </c:pt>
                <c:pt idx="1">
                  <c:v>126</c:v>
                </c:pt>
                <c:pt idx="2">
                  <c:v>142</c:v>
                </c:pt>
                <c:pt idx="3">
                  <c:v>125</c:v>
                </c:pt>
                <c:pt idx="4">
                  <c:v>142</c:v>
                </c:pt>
                <c:pt idx="5">
                  <c:v>123</c:v>
                </c:pt>
                <c:pt idx="6">
                  <c:v>129</c:v>
                </c:pt>
                <c:pt idx="7">
                  <c:v>140</c:v>
                </c:pt>
                <c:pt idx="8">
                  <c:v>137</c:v>
                </c:pt>
                <c:pt idx="9">
                  <c:v>135</c:v>
                </c:pt>
                <c:pt idx="10">
                  <c:v>144</c:v>
                </c:pt>
                <c:pt idx="11">
                  <c:v>113</c:v>
                </c:pt>
                <c:pt idx="12">
                  <c:v>118</c:v>
                </c:pt>
                <c:pt idx="13">
                  <c:v>151</c:v>
                </c:pt>
                <c:pt idx="14">
                  <c:v>135</c:v>
                </c:pt>
                <c:pt idx="15">
                  <c:v>147</c:v>
                </c:pt>
                <c:pt idx="16">
                  <c:v>136</c:v>
                </c:pt>
                <c:pt idx="17">
                  <c:v>131</c:v>
                </c:pt>
                <c:pt idx="18">
                  <c:v>129</c:v>
                </c:pt>
                <c:pt idx="19">
                  <c:v>129</c:v>
                </c:pt>
                <c:pt idx="20">
                  <c:v>144</c:v>
                </c:pt>
                <c:pt idx="21">
                  <c:v>125</c:v>
                </c:pt>
                <c:pt idx="22">
                  <c:v>134</c:v>
                </c:pt>
                <c:pt idx="23">
                  <c:v>130</c:v>
                </c:pt>
                <c:pt idx="24">
                  <c:v>146</c:v>
                </c:pt>
                <c:pt idx="25">
                  <c:v>134</c:v>
                </c:pt>
                <c:pt idx="26">
                  <c:v>133</c:v>
                </c:pt>
                <c:pt idx="27">
                  <c:v>138</c:v>
                </c:pt>
                <c:pt idx="28">
                  <c:v>128</c:v>
                </c:pt>
                <c:pt idx="29">
                  <c:v>136</c:v>
                </c:pt>
                <c:pt idx="30">
                  <c:v>112</c:v>
                </c:pt>
                <c:pt idx="31">
                  <c:v>122</c:v>
                </c:pt>
                <c:pt idx="32">
                  <c:v>129</c:v>
                </c:pt>
                <c:pt idx="33">
                  <c:v>134</c:v>
                </c:pt>
                <c:pt idx="34">
                  <c:v>128</c:v>
                </c:pt>
                <c:pt idx="35">
                  <c:v>148</c:v>
                </c:pt>
                <c:pt idx="36">
                  <c:v>137</c:v>
                </c:pt>
                <c:pt idx="37">
                  <c:v>117</c:v>
                </c:pt>
                <c:pt idx="38">
                  <c:v>144</c:v>
                </c:pt>
                <c:pt idx="39">
                  <c:v>141</c:v>
                </c:pt>
                <c:pt idx="40">
                  <c:v>145</c:v>
                </c:pt>
                <c:pt idx="41">
                  <c:v>123</c:v>
                </c:pt>
                <c:pt idx="42">
                  <c:v>125</c:v>
                </c:pt>
                <c:pt idx="43">
                  <c:v>137</c:v>
                </c:pt>
                <c:pt idx="44">
                  <c:v>134</c:v>
                </c:pt>
                <c:pt idx="45">
                  <c:v>130</c:v>
                </c:pt>
                <c:pt idx="46">
                  <c:v>133</c:v>
                </c:pt>
                <c:pt idx="47">
                  <c:v>141</c:v>
                </c:pt>
                <c:pt idx="48">
                  <c:v>123</c:v>
                </c:pt>
                <c:pt idx="49">
                  <c:v>143</c:v>
                </c:pt>
                <c:pt idx="50">
                  <c:v>118</c:v>
                </c:pt>
                <c:pt idx="51">
                  <c:v>141</c:v>
                </c:pt>
                <c:pt idx="52">
                  <c:v>121</c:v>
                </c:pt>
                <c:pt idx="53">
                  <c:v>113</c:v>
                </c:pt>
                <c:pt idx="54">
                  <c:v>128</c:v>
                </c:pt>
                <c:pt idx="55">
                  <c:v>138</c:v>
                </c:pt>
                <c:pt idx="56">
                  <c:v>116</c:v>
                </c:pt>
                <c:pt idx="57">
                  <c:v>150</c:v>
                </c:pt>
                <c:pt idx="58">
                  <c:v>119</c:v>
                </c:pt>
                <c:pt idx="59">
                  <c:v>145</c:v>
                </c:pt>
                <c:pt idx="60">
                  <c:v>127</c:v>
                </c:pt>
                <c:pt idx="61">
                  <c:v>130</c:v>
                </c:pt>
                <c:pt idx="62">
                  <c:v>126</c:v>
                </c:pt>
                <c:pt idx="63">
                  <c:v>119</c:v>
                </c:pt>
                <c:pt idx="64">
                  <c:v>115</c:v>
                </c:pt>
                <c:pt idx="65">
                  <c:v>128</c:v>
                </c:pt>
                <c:pt idx="66">
                  <c:v>135</c:v>
                </c:pt>
                <c:pt idx="67">
                  <c:v>123</c:v>
                </c:pt>
                <c:pt idx="68">
                  <c:v>124</c:v>
                </c:pt>
                <c:pt idx="69">
                  <c:v>145</c:v>
                </c:pt>
                <c:pt idx="70">
                  <c:v>135</c:v>
                </c:pt>
                <c:pt idx="71">
                  <c:v>125</c:v>
                </c:pt>
                <c:pt idx="72">
                  <c:v>118</c:v>
                </c:pt>
                <c:pt idx="73">
                  <c:v>117</c:v>
                </c:pt>
                <c:pt idx="74">
                  <c:v>145</c:v>
                </c:pt>
                <c:pt idx="75">
                  <c:v>149</c:v>
                </c:pt>
                <c:pt idx="76">
                  <c:v>123</c:v>
                </c:pt>
                <c:pt idx="77">
                  <c:v>125</c:v>
                </c:pt>
                <c:pt idx="78">
                  <c:v>126</c:v>
                </c:pt>
                <c:pt idx="79">
                  <c:v>113</c:v>
                </c:pt>
                <c:pt idx="80">
                  <c:v>138</c:v>
                </c:pt>
                <c:pt idx="81">
                  <c:v>110</c:v>
                </c:pt>
                <c:pt idx="82">
                  <c:v>135</c:v>
                </c:pt>
                <c:pt idx="83">
                  <c:v>140</c:v>
                </c:pt>
                <c:pt idx="84">
                  <c:v>145</c:v>
                </c:pt>
                <c:pt idx="85">
                  <c:v>121</c:v>
                </c:pt>
                <c:pt idx="86">
                  <c:v>118</c:v>
                </c:pt>
                <c:pt idx="87">
                  <c:v>128</c:v>
                </c:pt>
                <c:pt idx="88">
                  <c:v>123</c:v>
                </c:pt>
                <c:pt idx="89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A-45E1-81C7-6C360697C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733808"/>
        <c:axId val="1"/>
      </c:lineChart>
      <c:dateAx>
        <c:axId val="3657338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33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96574341029995E-2"/>
          <c:y val="0.10256410256410256"/>
          <c:w val="0.86286618407713944"/>
          <c:h val="0.78764242704955989"/>
        </c:manualLayout>
      </c:layout>
      <c:lineChart>
        <c:grouping val="standard"/>
        <c:varyColors val="0"/>
        <c:ser>
          <c:idx val="0"/>
          <c:order val="0"/>
          <c:tx>
            <c:v>CY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Charts!$B$19:$B$358</c:f>
              <c:numCache>
                <c:formatCode>mmm\-yy</c:formatCode>
                <c:ptCount val="340"/>
                <c:pt idx="0">
                  <c:v>36892</c:v>
                </c:pt>
                <c:pt idx="1">
                  <c:v>36893</c:v>
                </c:pt>
                <c:pt idx="2">
                  <c:v>36894</c:v>
                </c:pt>
                <c:pt idx="3">
                  <c:v>36895</c:v>
                </c:pt>
                <c:pt idx="4">
                  <c:v>36896</c:v>
                </c:pt>
                <c:pt idx="5">
                  <c:v>36897</c:v>
                </c:pt>
                <c:pt idx="6">
                  <c:v>36898</c:v>
                </c:pt>
                <c:pt idx="7">
                  <c:v>36899</c:v>
                </c:pt>
                <c:pt idx="8">
                  <c:v>36900</c:v>
                </c:pt>
                <c:pt idx="9">
                  <c:v>36901</c:v>
                </c:pt>
                <c:pt idx="10">
                  <c:v>36902</c:v>
                </c:pt>
                <c:pt idx="11">
                  <c:v>36903</c:v>
                </c:pt>
                <c:pt idx="12">
                  <c:v>36904</c:v>
                </c:pt>
                <c:pt idx="13">
                  <c:v>36905</c:v>
                </c:pt>
                <c:pt idx="14">
                  <c:v>36906</c:v>
                </c:pt>
                <c:pt idx="15">
                  <c:v>36907</c:v>
                </c:pt>
                <c:pt idx="16">
                  <c:v>36908</c:v>
                </c:pt>
                <c:pt idx="17">
                  <c:v>36909</c:v>
                </c:pt>
                <c:pt idx="18">
                  <c:v>36910</c:v>
                </c:pt>
                <c:pt idx="19">
                  <c:v>36911</c:v>
                </c:pt>
                <c:pt idx="20">
                  <c:v>36912</c:v>
                </c:pt>
                <c:pt idx="21">
                  <c:v>36913</c:v>
                </c:pt>
                <c:pt idx="22">
                  <c:v>36914</c:v>
                </c:pt>
                <c:pt idx="23">
                  <c:v>36915</c:v>
                </c:pt>
                <c:pt idx="24">
                  <c:v>36916</c:v>
                </c:pt>
                <c:pt idx="25">
                  <c:v>36917</c:v>
                </c:pt>
                <c:pt idx="26">
                  <c:v>36918</c:v>
                </c:pt>
                <c:pt idx="27">
                  <c:v>36919</c:v>
                </c:pt>
                <c:pt idx="28">
                  <c:v>36920</c:v>
                </c:pt>
                <c:pt idx="29">
                  <c:v>36921</c:v>
                </c:pt>
                <c:pt idx="30">
                  <c:v>36922</c:v>
                </c:pt>
                <c:pt idx="31">
                  <c:v>36923</c:v>
                </c:pt>
                <c:pt idx="32">
                  <c:v>36924</c:v>
                </c:pt>
                <c:pt idx="33">
                  <c:v>36925</c:v>
                </c:pt>
                <c:pt idx="34">
                  <c:v>36926</c:v>
                </c:pt>
                <c:pt idx="35">
                  <c:v>36927</c:v>
                </c:pt>
                <c:pt idx="36">
                  <c:v>36928</c:v>
                </c:pt>
                <c:pt idx="37">
                  <c:v>36929</c:v>
                </c:pt>
                <c:pt idx="38">
                  <c:v>36930</c:v>
                </c:pt>
                <c:pt idx="39">
                  <c:v>36931</c:v>
                </c:pt>
                <c:pt idx="40">
                  <c:v>36932</c:v>
                </c:pt>
                <c:pt idx="41">
                  <c:v>36933</c:v>
                </c:pt>
                <c:pt idx="42">
                  <c:v>36934</c:v>
                </c:pt>
                <c:pt idx="43">
                  <c:v>36935</c:v>
                </c:pt>
                <c:pt idx="44">
                  <c:v>36936</c:v>
                </c:pt>
                <c:pt idx="45">
                  <c:v>36937</c:v>
                </c:pt>
                <c:pt idx="46">
                  <c:v>36938</c:v>
                </c:pt>
                <c:pt idx="47">
                  <c:v>36939</c:v>
                </c:pt>
                <c:pt idx="48">
                  <c:v>36940</c:v>
                </c:pt>
                <c:pt idx="49">
                  <c:v>36941</c:v>
                </c:pt>
                <c:pt idx="50">
                  <c:v>36942</c:v>
                </c:pt>
                <c:pt idx="51">
                  <c:v>36943</c:v>
                </c:pt>
                <c:pt idx="52">
                  <c:v>36944</c:v>
                </c:pt>
                <c:pt idx="53">
                  <c:v>36945</c:v>
                </c:pt>
                <c:pt idx="54">
                  <c:v>36946</c:v>
                </c:pt>
                <c:pt idx="55">
                  <c:v>36947</c:v>
                </c:pt>
                <c:pt idx="56">
                  <c:v>36948</c:v>
                </c:pt>
                <c:pt idx="57">
                  <c:v>36949</c:v>
                </c:pt>
                <c:pt idx="58">
                  <c:v>36950</c:v>
                </c:pt>
                <c:pt idx="59">
                  <c:v>36951</c:v>
                </c:pt>
                <c:pt idx="60">
                  <c:v>36952</c:v>
                </c:pt>
                <c:pt idx="61">
                  <c:v>36953</c:v>
                </c:pt>
                <c:pt idx="62">
                  <c:v>36954</c:v>
                </c:pt>
                <c:pt idx="63">
                  <c:v>36955</c:v>
                </c:pt>
                <c:pt idx="64">
                  <c:v>36956</c:v>
                </c:pt>
                <c:pt idx="65">
                  <c:v>36957</c:v>
                </c:pt>
                <c:pt idx="66">
                  <c:v>36958</c:v>
                </c:pt>
                <c:pt idx="67">
                  <c:v>36959</c:v>
                </c:pt>
                <c:pt idx="68">
                  <c:v>36960</c:v>
                </c:pt>
                <c:pt idx="69">
                  <c:v>36961</c:v>
                </c:pt>
                <c:pt idx="70">
                  <c:v>36962</c:v>
                </c:pt>
                <c:pt idx="71">
                  <c:v>36963</c:v>
                </c:pt>
                <c:pt idx="72">
                  <c:v>36964</c:v>
                </c:pt>
                <c:pt idx="73">
                  <c:v>36965</c:v>
                </c:pt>
                <c:pt idx="74">
                  <c:v>36966</c:v>
                </c:pt>
                <c:pt idx="75">
                  <c:v>36967</c:v>
                </c:pt>
                <c:pt idx="76">
                  <c:v>36968</c:v>
                </c:pt>
                <c:pt idx="77">
                  <c:v>36969</c:v>
                </c:pt>
                <c:pt idx="78">
                  <c:v>36970</c:v>
                </c:pt>
                <c:pt idx="79">
                  <c:v>36971</c:v>
                </c:pt>
                <c:pt idx="80">
                  <c:v>36972</c:v>
                </c:pt>
                <c:pt idx="81">
                  <c:v>36973</c:v>
                </c:pt>
                <c:pt idx="82">
                  <c:v>36974</c:v>
                </c:pt>
                <c:pt idx="83">
                  <c:v>36975</c:v>
                </c:pt>
                <c:pt idx="84">
                  <c:v>36976</c:v>
                </c:pt>
                <c:pt idx="85">
                  <c:v>36977</c:v>
                </c:pt>
                <c:pt idx="86">
                  <c:v>36978</c:v>
                </c:pt>
                <c:pt idx="87">
                  <c:v>36979</c:v>
                </c:pt>
                <c:pt idx="88">
                  <c:v>36980</c:v>
                </c:pt>
                <c:pt idx="89">
                  <c:v>36981</c:v>
                </c:pt>
                <c:pt idx="90">
                  <c:v>36982</c:v>
                </c:pt>
                <c:pt idx="91">
                  <c:v>36983</c:v>
                </c:pt>
                <c:pt idx="92">
                  <c:v>36984</c:v>
                </c:pt>
                <c:pt idx="93">
                  <c:v>36985</c:v>
                </c:pt>
                <c:pt idx="94">
                  <c:v>36986</c:v>
                </c:pt>
                <c:pt idx="95">
                  <c:v>36987</c:v>
                </c:pt>
                <c:pt idx="96">
                  <c:v>36988</c:v>
                </c:pt>
                <c:pt idx="97">
                  <c:v>36989</c:v>
                </c:pt>
                <c:pt idx="98">
                  <c:v>36990</c:v>
                </c:pt>
                <c:pt idx="99">
                  <c:v>36991</c:v>
                </c:pt>
                <c:pt idx="100">
                  <c:v>36992</c:v>
                </c:pt>
                <c:pt idx="101">
                  <c:v>36993</c:v>
                </c:pt>
                <c:pt idx="102">
                  <c:v>36994</c:v>
                </c:pt>
                <c:pt idx="103">
                  <c:v>36995</c:v>
                </c:pt>
                <c:pt idx="104">
                  <c:v>36996</c:v>
                </c:pt>
                <c:pt idx="105">
                  <c:v>36997</c:v>
                </c:pt>
                <c:pt idx="106">
                  <c:v>36998</c:v>
                </c:pt>
                <c:pt idx="107">
                  <c:v>36999</c:v>
                </c:pt>
                <c:pt idx="108">
                  <c:v>37000</c:v>
                </c:pt>
                <c:pt idx="109">
                  <c:v>37001</c:v>
                </c:pt>
                <c:pt idx="110">
                  <c:v>37002</c:v>
                </c:pt>
                <c:pt idx="111">
                  <c:v>37003</c:v>
                </c:pt>
                <c:pt idx="112">
                  <c:v>37004</c:v>
                </c:pt>
                <c:pt idx="113">
                  <c:v>37005</c:v>
                </c:pt>
                <c:pt idx="114">
                  <c:v>37006</c:v>
                </c:pt>
                <c:pt idx="115">
                  <c:v>37007</c:v>
                </c:pt>
                <c:pt idx="116">
                  <c:v>37008</c:v>
                </c:pt>
                <c:pt idx="117">
                  <c:v>37009</c:v>
                </c:pt>
                <c:pt idx="118">
                  <c:v>37010</c:v>
                </c:pt>
                <c:pt idx="119">
                  <c:v>37011</c:v>
                </c:pt>
                <c:pt idx="120">
                  <c:v>37012</c:v>
                </c:pt>
                <c:pt idx="121">
                  <c:v>37013</c:v>
                </c:pt>
                <c:pt idx="122">
                  <c:v>37014</c:v>
                </c:pt>
                <c:pt idx="123">
                  <c:v>37015</c:v>
                </c:pt>
                <c:pt idx="124">
                  <c:v>37016</c:v>
                </c:pt>
                <c:pt idx="125">
                  <c:v>37017</c:v>
                </c:pt>
                <c:pt idx="126">
                  <c:v>37018</c:v>
                </c:pt>
                <c:pt idx="127">
                  <c:v>37019</c:v>
                </c:pt>
                <c:pt idx="128">
                  <c:v>37020</c:v>
                </c:pt>
                <c:pt idx="129">
                  <c:v>37021</c:v>
                </c:pt>
                <c:pt idx="130">
                  <c:v>37022</c:v>
                </c:pt>
                <c:pt idx="131">
                  <c:v>37023</c:v>
                </c:pt>
                <c:pt idx="132">
                  <c:v>37024</c:v>
                </c:pt>
                <c:pt idx="133">
                  <c:v>37025</c:v>
                </c:pt>
                <c:pt idx="134">
                  <c:v>37026</c:v>
                </c:pt>
                <c:pt idx="135">
                  <c:v>37027</c:v>
                </c:pt>
                <c:pt idx="136">
                  <c:v>37028</c:v>
                </c:pt>
                <c:pt idx="137">
                  <c:v>37029</c:v>
                </c:pt>
                <c:pt idx="138">
                  <c:v>37030</c:v>
                </c:pt>
                <c:pt idx="139">
                  <c:v>37031</c:v>
                </c:pt>
                <c:pt idx="140">
                  <c:v>37032</c:v>
                </c:pt>
                <c:pt idx="141">
                  <c:v>37033</c:v>
                </c:pt>
                <c:pt idx="142">
                  <c:v>37034</c:v>
                </c:pt>
                <c:pt idx="143">
                  <c:v>37035</c:v>
                </c:pt>
                <c:pt idx="144">
                  <c:v>37036</c:v>
                </c:pt>
                <c:pt idx="145">
                  <c:v>37037</c:v>
                </c:pt>
                <c:pt idx="146">
                  <c:v>37038</c:v>
                </c:pt>
                <c:pt idx="147">
                  <c:v>37039</c:v>
                </c:pt>
                <c:pt idx="148">
                  <c:v>37040</c:v>
                </c:pt>
                <c:pt idx="149">
                  <c:v>37041</c:v>
                </c:pt>
                <c:pt idx="150">
                  <c:v>37042</c:v>
                </c:pt>
                <c:pt idx="151">
                  <c:v>37043</c:v>
                </c:pt>
                <c:pt idx="152">
                  <c:v>37044</c:v>
                </c:pt>
                <c:pt idx="153">
                  <c:v>37045</c:v>
                </c:pt>
                <c:pt idx="154">
                  <c:v>37046</c:v>
                </c:pt>
                <c:pt idx="155">
                  <c:v>37047</c:v>
                </c:pt>
                <c:pt idx="156">
                  <c:v>37048</c:v>
                </c:pt>
                <c:pt idx="157">
                  <c:v>37049</c:v>
                </c:pt>
                <c:pt idx="158">
                  <c:v>37050</c:v>
                </c:pt>
                <c:pt idx="159">
                  <c:v>37051</c:v>
                </c:pt>
                <c:pt idx="160">
                  <c:v>37052</c:v>
                </c:pt>
                <c:pt idx="161">
                  <c:v>37053</c:v>
                </c:pt>
                <c:pt idx="162">
                  <c:v>37054</c:v>
                </c:pt>
                <c:pt idx="163">
                  <c:v>37055</c:v>
                </c:pt>
                <c:pt idx="164">
                  <c:v>37056</c:v>
                </c:pt>
                <c:pt idx="165">
                  <c:v>37057</c:v>
                </c:pt>
                <c:pt idx="166">
                  <c:v>37058</c:v>
                </c:pt>
                <c:pt idx="167">
                  <c:v>37059</c:v>
                </c:pt>
                <c:pt idx="168">
                  <c:v>37060</c:v>
                </c:pt>
                <c:pt idx="169">
                  <c:v>37061</c:v>
                </c:pt>
                <c:pt idx="170">
                  <c:v>37062</c:v>
                </c:pt>
                <c:pt idx="171">
                  <c:v>37063</c:v>
                </c:pt>
                <c:pt idx="172">
                  <c:v>37064</c:v>
                </c:pt>
                <c:pt idx="173">
                  <c:v>37065</c:v>
                </c:pt>
                <c:pt idx="174">
                  <c:v>37066</c:v>
                </c:pt>
                <c:pt idx="175">
                  <c:v>37067</c:v>
                </c:pt>
                <c:pt idx="176">
                  <c:v>37068</c:v>
                </c:pt>
                <c:pt idx="177">
                  <c:v>37069</c:v>
                </c:pt>
                <c:pt idx="178">
                  <c:v>37070</c:v>
                </c:pt>
                <c:pt idx="179">
                  <c:v>37071</c:v>
                </c:pt>
                <c:pt idx="180">
                  <c:v>37072</c:v>
                </c:pt>
                <c:pt idx="181">
                  <c:v>37073</c:v>
                </c:pt>
                <c:pt idx="182">
                  <c:v>37074</c:v>
                </c:pt>
                <c:pt idx="183">
                  <c:v>37075</c:v>
                </c:pt>
                <c:pt idx="184">
                  <c:v>37076</c:v>
                </c:pt>
                <c:pt idx="185">
                  <c:v>37077</c:v>
                </c:pt>
                <c:pt idx="186">
                  <c:v>37078</c:v>
                </c:pt>
                <c:pt idx="187">
                  <c:v>37079</c:v>
                </c:pt>
                <c:pt idx="188">
                  <c:v>37080</c:v>
                </c:pt>
                <c:pt idx="189">
                  <c:v>37081</c:v>
                </c:pt>
                <c:pt idx="190">
                  <c:v>37082</c:v>
                </c:pt>
                <c:pt idx="191">
                  <c:v>37083</c:v>
                </c:pt>
                <c:pt idx="192">
                  <c:v>37084</c:v>
                </c:pt>
                <c:pt idx="193">
                  <c:v>37085</c:v>
                </c:pt>
                <c:pt idx="194">
                  <c:v>37086</c:v>
                </c:pt>
                <c:pt idx="195">
                  <c:v>37087</c:v>
                </c:pt>
                <c:pt idx="196">
                  <c:v>37088</c:v>
                </c:pt>
                <c:pt idx="197">
                  <c:v>37089</c:v>
                </c:pt>
                <c:pt idx="198">
                  <c:v>37090</c:v>
                </c:pt>
                <c:pt idx="199">
                  <c:v>37091</c:v>
                </c:pt>
                <c:pt idx="200">
                  <c:v>37092</c:v>
                </c:pt>
                <c:pt idx="201">
                  <c:v>37093</c:v>
                </c:pt>
                <c:pt idx="202">
                  <c:v>37094</c:v>
                </c:pt>
                <c:pt idx="203">
                  <c:v>37095</c:v>
                </c:pt>
                <c:pt idx="204">
                  <c:v>37096</c:v>
                </c:pt>
                <c:pt idx="205">
                  <c:v>37097</c:v>
                </c:pt>
                <c:pt idx="206">
                  <c:v>37098</c:v>
                </c:pt>
                <c:pt idx="207">
                  <c:v>37099</c:v>
                </c:pt>
                <c:pt idx="208">
                  <c:v>37100</c:v>
                </c:pt>
                <c:pt idx="209">
                  <c:v>37101</c:v>
                </c:pt>
                <c:pt idx="210">
                  <c:v>37102</c:v>
                </c:pt>
                <c:pt idx="211">
                  <c:v>37103</c:v>
                </c:pt>
                <c:pt idx="212">
                  <c:v>37104</c:v>
                </c:pt>
                <c:pt idx="213">
                  <c:v>37105</c:v>
                </c:pt>
                <c:pt idx="214">
                  <c:v>37106</c:v>
                </c:pt>
                <c:pt idx="215">
                  <c:v>37107</c:v>
                </c:pt>
                <c:pt idx="216">
                  <c:v>37108</c:v>
                </c:pt>
                <c:pt idx="217">
                  <c:v>37109</c:v>
                </c:pt>
                <c:pt idx="218">
                  <c:v>37110</c:v>
                </c:pt>
                <c:pt idx="219">
                  <c:v>37111</c:v>
                </c:pt>
                <c:pt idx="220">
                  <c:v>37112</c:v>
                </c:pt>
                <c:pt idx="221">
                  <c:v>37113</c:v>
                </c:pt>
                <c:pt idx="222">
                  <c:v>37114</c:v>
                </c:pt>
                <c:pt idx="223">
                  <c:v>37115</c:v>
                </c:pt>
                <c:pt idx="224">
                  <c:v>37116</c:v>
                </c:pt>
                <c:pt idx="225">
                  <c:v>37117</c:v>
                </c:pt>
                <c:pt idx="226">
                  <c:v>37118</c:v>
                </c:pt>
                <c:pt idx="227">
                  <c:v>37119</c:v>
                </c:pt>
                <c:pt idx="228">
                  <c:v>37120</c:v>
                </c:pt>
                <c:pt idx="229">
                  <c:v>37121</c:v>
                </c:pt>
                <c:pt idx="230">
                  <c:v>37122</c:v>
                </c:pt>
                <c:pt idx="231">
                  <c:v>37123</c:v>
                </c:pt>
                <c:pt idx="232">
                  <c:v>37124</c:v>
                </c:pt>
                <c:pt idx="233">
                  <c:v>37125</c:v>
                </c:pt>
                <c:pt idx="234">
                  <c:v>37126</c:v>
                </c:pt>
                <c:pt idx="235">
                  <c:v>37127</c:v>
                </c:pt>
                <c:pt idx="236">
                  <c:v>37128</c:v>
                </c:pt>
                <c:pt idx="237">
                  <c:v>37129</c:v>
                </c:pt>
                <c:pt idx="238">
                  <c:v>37130</c:v>
                </c:pt>
                <c:pt idx="239">
                  <c:v>37131</c:v>
                </c:pt>
                <c:pt idx="240">
                  <c:v>37132</c:v>
                </c:pt>
                <c:pt idx="241">
                  <c:v>37133</c:v>
                </c:pt>
                <c:pt idx="242">
                  <c:v>37134</c:v>
                </c:pt>
                <c:pt idx="243">
                  <c:v>37135</c:v>
                </c:pt>
                <c:pt idx="244">
                  <c:v>37136</c:v>
                </c:pt>
                <c:pt idx="245">
                  <c:v>37137</c:v>
                </c:pt>
                <c:pt idx="246">
                  <c:v>37138</c:v>
                </c:pt>
                <c:pt idx="247">
                  <c:v>37139</c:v>
                </c:pt>
                <c:pt idx="248">
                  <c:v>37140</c:v>
                </c:pt>
                <c:pt idx="249">
                  <c:v>37141</c:v>
                </c:pt>
                <c:pt idx="250">
                  <c:v>37142</c:v>
                </c:pt>
                <c:pt idx="251">
                  <c:v>37143</c:v>
                </c:pt>
                <c:pt idx="252">
                  <c:v>37144</c:v>
                </c:pt>
                <c:pt idx="253">
                  <c:v>37145</c:v>
                </c:pt>
                <c:pt idx="254">
                  <c:v>37146</c:v>
                </c:pt>
                <c:pt idx="255">
                  <c:v>37147</c:v>
                </c:pt>
                <c:pt idx="256">
                  <c:v>37148</c:v>
                </c:pt>
                <c:pt idx="257">
                  <c:v>37149</c:v>
                </c:pt>
                <c:pt idx="258">
                  <c:v>37150</c:v>
                </c:pt>
                <c:pt idx="259">
                  <c:v>37151</c:v>
                </c:pt>
                <c:pt idx="260">
                  <c:v>37152</c:v>
                </c:pt>
                <c:pt idx="261">
                  <c:v>37153</c:v>
                </c:pt>
                <c:pt idx="262">
                  <c:v>37154</c:v>
                </c:pt>
                <c:pt idx="263">
                  <c:v>37155</c:v>
                </c:pt>
                <c:pt idx="264">
                  <c:v>37156</c:v>
                </c:pt>
                <c:pt idx="265">
                  <c:v>37157</c:v>
                </c:pt>
                <c:pt idx="266">
                  <c:v>37158</c:v>
                </c:pt>
                <c:pt idx="267">
                  <c:v>37159</c:v>
                </c:pt>
                <c:pt idx="268">
                  <c:v>37160</c:v>
                </c:pt>
                <c:pt idx="269">
                  <c:v>37161</c:v>
                </c:pt>
                <c:pt idx="270">
                  <c:v>37162</c:v>
                </c:pt>
                <c:pt idx="271">
                  <c:v>37163</c:v>
                </c:pt>
                <c:pt idx="272">
                  <c:v>37164</c:v>
                </c:pt>
                <c:pt idx="273">
                  <c:v>37165</c:v>
                </c:pt>
                <c:pt idx="274">
                  <c:v>37166</c:v>
                </c:pt>
                <c:pt idx="275">
                  <c:v>37167</c:v>
                </c:pt>
                <c:pt idx="276">
                  <c:v>37168</c:v>
                </c:pt>
                <c:pt idx="277">
                  <c:v>37169</c:v>
                </c:pt>
                <c:pt idx="278">
                  <c:v>37170</c:v>
                </c:pt>
                <c:pt idx="279">
                  <c:v>37171</c:v>
                </c:pt>
                <c:pt idx="280">
                  <c:v>37172</c:v>
                </c:pt>
                <c:pt idx="281">
                  <c:v>37173</c:v>
                </c:pt>
                <c:pt idx="282">
                  <c:v>37174</c:v>
                </c:pt>
                <c:pt idx="283">
                  <c:v>37175</c:v>
                </c:pt>
                <c:pt idx="284">
                  <c:v>37176</c:v>
                </c:pt>
                <c:pt idx="285">
                  <c:v>37177</c:v>
                </c:pt>
                <c:pt idx="286">
                  <c:v>37178</c:v>
                </c:pt>
                <c:pt idx="287">
                  <c:v>37179</c:v>
                </c:pt>
                <c:pt idx="288">
                  <c:v>37180</c:v>
                </c:pt>
                <c:pt idx="289">
                  <c:v>37181</c:v>
                </c:pt>
                <c:pt idx="290">
                  <c:v>37182</c:v>
                </c:pt>
                <c:pt idx="291">
                  <c:v>37183</c:v>
                </c:pt>
                <c:pt idx="292">
                  <c:v>37184</c:v>
                </c:pt>
                <c:pt idx="293">
                  <c:v>37185</c:v>
                </c:pt>
                <c:pt idx="294">
                  <c:v>37186</c:v>
                </c:pt>
                <c:pt idx="295">
                  <c:v>37187</c:v>
                </c:pt>
                <c:pt idx="296">
                  <c:v>37188</c:v>
                </c:pt>
                <c:pt idx="297">
                  <c:v>37189</c:v>
                </c:pt>
                <c:pt idx="298">
                  <c:v>37190</c:v>
                </c:pt>
                <c:pt idx="299">
                  <c:v>37191</c:v>
                </c:pt>
                <c:pt idx="300">
                  <c:v>37192</c:v>
                </c:pt>
                <c:pt idx="301">
                  <c:v>37193</c:v>
                </c:pt>
                <c:pt idx="302">
                  <c:v>37194</c:v>
                </c:pt>
                <c:pt idx="303">
                  <c:v>37195</c:v>
                </c:pt>
                <c:pt idx="304">
                  <c:v>37196</c:v>
                </c:pt>
                <c:pt idx="305">
                  <c:v>37197</c:v>
                </c:pt>
                <c:pt idx="306">
                  <c:v>37198</c:v>
                </c:pt>
                <c:pt idx="307">
                  <c:v>37199</c:v>
                </c:pt>
                <c:pt idx="308">
                  <c:v>37200</c:v>
                </c:pt>
                <c:pt idx="309">
                  <c:v>37201</c:v>
                </c:pt>
                <c:pt idx="310">
                  <c:v>37202</c:v>
                </c:pt>
                <c:pt idx="311">
                  <c:v>37203</c:v>
                </c:pt>
                <c:pt idx="312">
                  <c:v>37204</c:v>
                </c:pt>
                <c:pt idx="313">
                  <c:v>37205</c:v>
                </c:pt>
                <c:pt idx="314">
                  <c:v>37206</c:v>
                </c:pt>
                <c:pt idx="315">
                  <c:v>37207</c:v>
                </c:pt>
                <c:pt idx="316">
                  <c:v>37208</c:v>
                </c:pt>
                <c:pt idx="317">
                  <c:v>37209</c:v>
                </c:pt>
                <c:pt idx="318">
                  <c:v>37210</c:v>
                </c:pt>
                <c:pt idx="319">
                  <c:v>37211</c:v>
                </c:pt>
                <c:pt idx="320">
                  <c:v>37212</c:v>
                </c:pt>
                <c:pt idx="321">
                  <c:v>37213</c:v>
                </c:pt>
                <c:pt idx="322">
                  <c:v>37214</c:v>
                </c:pt>
                <c:pt idx="323">
                  <c:v>37215</c:v>
                </c:pt>
                <c:pt idx="324">
                  <c:v>37216</c:v>
                </c:pt>
                <c:pt idx="325">
                  <c:v>37217</c:v>
                </c:pt>
                <c:pt idx="326">
                  <c:v>37218</c:v>
                </c:pt>
                <c:pt idx="327">
                  <c:v>37219</c:v>
                </c:pt>
                <c:pt idx="328">
                  <c:v>37220</c:v>
                </c:pt>
                <c:pt idx="329">
                  <c:v>37221</c:v>
                </c:pt>
                <c:pt idx="330">
                  <c:v>37222</c:v>
                </c:pt>
                <c:pt idx="331">
                  <c:v>37223</c:v>
                </c:pt>
                <c:pt idx="332">
                  <c:v>37224</c:v>
                </c:pt>
                <c:pt idx="333">
                  <c:v>37225</c:v>
                </c:pt>
                <c:pt idx="334">
                  <c:v>37226</c:v>
                </c:pt>
                <c:pt idx="335">
                  <c:v>37227</c:v>
                </c:pt>
                <c:pt idx="336">
                  <c:v>37228</c:v>
                </c:pt>
                <c:pt idx="337">
                  <c:v>37229</c:v>
                </c:pt>
                <c:pt idx="338">
                  <c:v>37230</c:v>
                </c:pt>
                <c:pt idx="339">
                  <c:v>37231</c:v>
                </c:pt>
              </c:numCache>
            </c:numRef>
          </c:cat>
          <c:val>
            <c:numRef>
              <c:f>Charts!$C$19:$C$358</c:f>
              <c:numCache>
                <c:formatCode>General</c:formatCode>
                <c:ptCount val="340"/>
                <c:pt idx="0">
                  <c:v>128</c:v>
                </c:pt>
                <c:pt idx="1">
                  <c:v>126</c:v>
                </c:pt>
                <c:pt idx="2">
                  <c:v>142</c:v>
                </c:pt>
                <c:pt idx="3">
                  <c:v>125</c:v>
                </c:pt>
                <c:pt idx="4">
                  <c:v>142</c:v>
                </c:pt>
                <c:pt idx="5">
                  <c:v>123</c:v>
                </c:pt>
                <c:pt idx="6">
                  <c:v>129</c:v>
                </c:pt>
                <c:pt idx="7">
                  <c:v>140</c:v>
                </c:pt>
                <c:pt idx="8">
                  <c:v>137</c:v>
                </c:pt>
                <c:pt idx="9">
                  <c:v>135</c:v>
                </c:pt>
                <c:pt idx="10">
                  <c:v>144</c:v>
                </c:pt>
                <c:pt idx="11">
                  <c:v>113</c:v>
                </c:pt>
                <c:pt idx="12">
                  <c:v>118</c:v>
                </c:pt>
                <c:pt idx="13">
                  <c:v>151</c:v>
                </c:pt>
                <c:pt idx="14">
                  <c:v>135</c:v>
                </c:pt>
                <c:pt idx="15">
                  <c:v>147</c:v>
                </c:pt>
                <c:pt idx="16">
                  <c:v>136</c:v>
                </c:pt>
                <c:pt idx="17">
                  <c:v>131</c:v>
                </c:pt>
                <c:pt idx="18">
                  <c:v>129</c:v>
                </c:pt>
                <c:pt idx="19">
                  <c:v>129</c:v>
                </c:pt>
                <c:pt idx="20">
                  <c:v>144</c:v>
                </c:pt>
                <c:pt idx="21">
                  <c:v>125</c:v>
                </c:pt>
                <c:pt idx="22">
                  <c:v>134</c:v>
                </c:pt>
                <c:pt idx="23">
                  <c:v>130</c:v>
                </c:pt>
                <c:pt idx="24">
                  <c:v>146</c:v>
                </c:pt>
                <c:pt idx="25">
                  <c:v>134</c:v>
                </c:pt>
                <c:pt idx="26">
                  <c:v>133</c:v>
                </c:pt>
                <c:pt idx="27">
                  <c:v>138</c:v>
                </c:pt>
                <c:pt idx="28">
                  <c:v>128</c:v>
                </c:pt>
                <c:pt idx="29">
                  <c:v>136</c:v>
                </c:pt>
                <c:pt idx="30">
                  <c:v>112</c:v>
                </c:pt>
                <c:pt idx="31">
                  <c:v>122</c:v>
                </c:pt>
                <c:pt idx="32">
                  <c:v>129</c:v>
                </c:pt>
                <c:pt idx="33">
                  <c:v>134</c:v>
                </c:pt>
                <c:pt idx="34">
                  <c:v>128</c:v>
                </c:pt>
                <c:pt idx="35">
                  <c:v>148</c:v>
                </c:pt>
                <c:pt idx="36">
                  <c:v>137</c:v>
                </c:pt>
                <c:pt idx="37">
                  <c:v>117</c:v>
                </c:pt>
                <c:pt idx="38">
                  <c:v>144</c:v>
                </c:pt>
                <c:pt idx="39">
                  <c:v>141</c:v>
                </c:pt>
                <c:pt idx="40">
                  <c:v>145</c:v>
                </c:pt>
                <c:pt idx="41">
                  <c:v>123</c:v>
                </c:pt>
                <c:pt idx="42">
                  <c:v>125</c:v>
                </c:pt>
                <c:pt idx="43">
                  <c:v>137</c:v>
                </c:pt>
                <c:pt idx="44">
                  <c:v>134</c:v>
                </c:pt>
                <c:pt idx="45">
                  <c:v>130</c:v>
                </c:pt>
                <c:pt idx="46">
                  <c:v>133</c:v>
                </c:pt>
                <c:pt idx="47">
                  <c:v>141</c:v>
                </c:pt>
                <c:pt idx="48">
                  <c:v>123</c:v>
                </c:pt>
                <c:pt idx="49">
                  <c:v>143</c:v>
                </c:pt>
                <c:pt idx="50">
                  <c:v>118</c:v>
                </c:pt>
                <c:pt idx="51">
                  <c:v>141</c:v>
                </c:pt>
                <c:pt idx="52">
                  <c:v>121</c:v>
                </c:pt>
                <c:pt idx="53">
                  <c:v>113</c:v>
                </c:pt>
                <c:pt idx="54">
                  <c:v>128</c:v>
                </c:pt>
                <c:pt idx="55">
                  <c:v>138</c:v>
                </c:pt>
                <c:pt idx="56">
                  <c:v>116</c:v>
                </c:pt>
                <c:pt idx="57">
                  <c:v>150</c:v>
                </c:pt>
                <c:pt idx="58">
                  <c:v>119</c:v>
                </c:pt>
                <c:pt idx="59">
                  <c:v>145</c:v>
                </c:pt>
                <c:pt idx="60">
                  <c:v>127</c:v>
                </c:pt>
                <c:pt idx="61">
                  <c:v>130</c:v>
                </c:pt>
                <c:pt idx="62">
                  <c:v>126</c:v>
                </c:pt>
                <c:pt idx="63">
                  <c:v>119</c:v>
                </c:pt>
                <c:pt idx="64">
                  <c:v>115</c:v>
                </c:pt>
                <c:pt idx="65">
                  <c:v>128</c:v>
                </c:pt>
                <c:pt idx="66">
                  <c:v>135</c:v>
                </c:pt>
                <c:pt idx="67">
                  <c:v>123</c:v>
                </c:pt>
                <c:pt idx="68">
                  <c:v>124</c:v>
                </c:pt>
                <c:pt idx="69">
                  <c:v>145</c:v>
                </c:pt>
                <c:pt idx="70">
                  <c:v>135</c:v>
                </c:pt>
                <c:pt idx="71">
                  <c:v>125</c:v>
                </c:pt>
                <c:pt idx="72">
                  <c:v>118</c:v>
                </c:pt>
                <c:pt idx="73">
                  <c:v>117</c:v>
                </c:pt>
                <c:pt idx="74">
                  <c:v>145</c:v>
                </c:pt>
                <c:pt idx="75">
                  <c:v>149</c:v>
                </c:pt>
                <c:pt idx="76">
                  <c:v>123</c:v>
                </c:pt>
                <c:pt idx="77">
                  <c:v>125</c:v>
                </c:pt>
                <c:pt idx="78">
                  <c:v>126</c:v>
                </c:pt>
                <c:pt idx="79">
                  <c:v>113</c:v>
                </c:pt>
                <c:pt idx="80">
                  <c:v>138</c:v>
                </c:pt>
                <c:pt idx="81">
                  <c:v>110</c:v>
                </c:pt>
                <c:pt idx="82">
                  <c:v>135</c:v>
                </c:pt>
                <c:pt idx="83">
                  <c:v>140</c:v>
                </c:pt>
                <c:pt idx="84">
                  <c:v>145</c:v>
                </c:pt>
                <c:pt idx="85">
                  <c:v>121</c:v>
                </c:pt>
                <c:pt idx="86">
                  <c:v>118</c:v>
                </c:pt>
                <c:pt idx="87">
                  <c:v>128</c:v>
                </c:pt>
                <c:pt idx="88">
                  <c:v>123</c:v>
                </c:pt>
                <c:pt idx="89">
                  <c:v>115</c:v>
                </c:pt>
                <c:pt idx="90">
                  <c:v>142</c:v>
                </c:pt>
                <c:pt idx="91">
                  <c:v>134</c:v>
                </c:pt>
                <c:pt idx="92">
                  <c:v>140</c:v>
                </c:pt>
                <c:pt idx="93">
                  <c:v>132</c:v>
                </c:pt>
                <c:pt idx="94">
                  <c:v>123</c:v>
                </c:pt>
                <c:pt idx="95">
                  <c:v>138</c:v>
                </c:pt>
                <c:pt idx="96">
                  <c:v>120</c:v>
                </c:pt>
                <c:pt idx="97">
                  <c:v>118</c:v>
                </c:pt>
                <c:pt idx="98">
                  <c:v>141</c:v>
                </c:pt>
                <c:pt idx="99">
                  <c:v>130</c:v>
                </c:pt>
                <c:pt idx="100">
                  <c:v>133</c:v>
                </c:pt>
                <c:pt idx="101">
                  <c:v>136</c:v>
                </c:pt>
                <c:pt idx="102">
                  <c:v>131</c:v>
                </c:pt>
                <c:pt idx="103">
                  <c:v>107</c:v>
                </c:pt>
                <c:pt idx="104">
                  <c:v>128</c:v>
                </c:pt>
                <c:pt idx="105">
                  <c:v>118</c:v>
                </c:pt>
                <c:pt idx="106">
                  <c:v>136</c:v>
                </c:pt>
                <c:pt idx="107">
                  <c:v>126</c:v>
                </c:pt>
                <c:pt idx="108">
                  <c:v>125</c:v>
                </c:pt>
                <c:pt idx="109">
                  <c:v>131</c:v>
                </c:pt>
                <c:pt idx="110">
                  <c:v>131</c:v>
                </c:pt>
                <c:pt idx="111">
                  <c:v>115</c:v>
                </c:pt>
                <c:pt idx="112">
                  <c:v>152</c:v>
                </c:pt>
                <c:pt idx="113">
                  <c:v>152</c:v>
                </c:pt>
                <c:pt idx="114">
                  <c:v>131</c:v>
                </c:pt>
                <c:pt idx="115">
                  <c:v>137</c:v>
                </c:pt>
                <c:pt idx="116">
                  <c:v>125</c:v>
                </c:pt>
                <c:pt idx="117">
                  <c:v>117</c:v>
                </c:pt>
                <c:pt idx="118">
                  <c:v>132</c:v>
                </c:pt>
                <c:pt idx="119">
                  <c:v>116</c:v>
                </c:pt>
                <c:pt idx="120">
                  <c:v>141</c:v>
                </c:pt>
                <c:pt idx="121">
                  <c:v>119</c:v>
                </c:pt>
                <c:pt idx="122">
                  <c:v>119</c:v>
                </c:pt>
                <c:pt idx="123">
                  <c:v>127</c:v>
                </c:pt>
                <c:pt idx="124">
                  <c:v>123</c:v>
                </c:pt>
                <c:pt idx="125">
                  <c:v>109</c:v>
                </c:pt>
                <c:pt idx="126">
                  <c:v>132</c:v>
                </c:pt>
                <c:pt idx="127">
                  <c:v>147</c:v>
                </c:pt>
                <c:pt idx="128">
                  <c:v>120</c:v>
                </c:pt>
                <c:pt idx="129">
                  <c:v>113</c:v>
                </c:pt>
                <c:pt idx="130">
                  <c:v>133</c:v>
                </c:pt>
                <c:pt idx="131">
                  <c:v>125</c:v>
                </c:pt>
                <c:pt idx="132">
                  <c:v>120</c:v>
                </c:pt>
                <c:pt idx="133">
                  <c:v>106</c:v>
                </c:pt>
                <c:pt idx="134">
                  <c:v>111</c:v>
                </c:pt>
                <c:pt idx="135">
                  <c:v>133</c:v>
                </c:pt>
                <c:pt idx="136">
                  <c:v>140</c:v>
                </c:pt>
                <c:pt idx="137">
                  <c:v>127</c:v>
                </c:pt>
                <c:pt idx="138">
                  <c:v>133</c:v>
                </c:pt>
                <c:pt idx="139">
                  <c:v>134</c:v>
                </c:pt>
                <c:pt idx="140">
                  <c:v>136</c:v>
                </c:pt>
                <c:pt idx="141">
                  <c:v>139</c:v>
                </c:pt>
                <c:pt idx="142">
                  <c:v>150</c:v>
                </c:pt>
                <c:pt idx="143">
                  <c:v>123</c:v>
                </c:pt>
                <c:pt idx="144">
                  <c:v>134</c:v>
                </c:pt>
                <c:pt idx="145">
                  <c:v>143</c:v>
                </c:pt>
                <c:pt idx="146">
                  <c:v>132</c:v>
                </c:pt>
                <c:pt idx="147">
                  <c:v>137</c:v>
                </c:pt>
                <c:pt idx="148">
                  <c:v>147</c:v>
                </c:pt>
                <c:pt idx="149">
                  <c:v>111</c:v>
                </c:pt>
                <c:pt idx="150">
                  <c:v>145</c:v>
                </c:pt>
                <c:pt idx="151">
                  <c:v>116</c:v>
                </c:pt>
                <c:pt idx="152">
                  <c:v>110</c:v>
                </c:pt>
                <c:pt idx="153">
                  <c:v>116</c:v>
                </c:pt>
                <c:pt idx="154">
                  <c:v>126</c:v>
                </c:pt>
                <c:pt idx="155">
                  <c:v>113</c:v>
                </c:pt>
                <c:pt idx="156">
                  <c:v>119</c:v>
                </c:pt>
                <c:pt idx="157">
                  <c:v>119</c:v>
                </c:pt>
                <c:pt idx="158">
                  <c:v>111</c:v>
                </c:pt>
                <c:pt idx="159">
                  <c:v>119</c:v>
                </c:pt>
                <c:pt idx="160">
                  <c:v>130</c:v>
                </c:pt>
                <c:pt idx="161">
                  <c:v>140</c:v>
                </c:pt>
                <c:pt idx="162">
                  <c:v>135</c:v>
                </c:pt>
                <c:pt idx="163">
                  <c:v>137</c:v>
                </c:pt>
                <c:pt idx="164">
                  <c:v>126</c:v>
                </c:pt>
                <c:pt idx="165">
                  <c:v>127</c:v>
                </c:pt>
                <c:pt idx="166">
                  <c:v>127</c:v>
                </c:pt>
                <c:pt idx="167">
                  <c:v>109</c:v>
                </c:pt>
                <c:pt idx="168">
                  <c:v>141</c:v>
                </c:pt>
                <c:pt idx="169">
                  <c:v>149</c:v>
                </c:pt>
                <c:pt idx="170">
                  <c:v>149</c:v>
                </c:pt>
                <c:pt idx="171">
                  <c:v>121</c:v>
                </c:pt>
                <c:pt idx="172">
                  <c:v>112</c:v>
                </c:pt>
                <c:pt idx="173">
                  <c:v>132</c:v>
                </c:pt>
                <c:pt idx="174">
                  <c:v>127</c:v>
                </c:pt>
                <c:pt idx="175">
                  <c:v>127</c:v>
                </c:pt>
                <c:pt idx="176">
                  <c:v>136</c:v>
                </c:pt>
                <c:pt idx="177">
                  <c:v>131</c:v>
                </c:pt>
                <c:pt idx="178">
                  <c:v>126</c:v>
                </c:pt>
                <c:pt idx="179">
                  <c:v>132</c:v>
                </c:pt>
                <c:pt idx="180">
                  <c:v>139</c:v>
                </c:pt>
                <c:pt idx="181">
                  <c:v>135</c:v>
                </c:pt>
                <c:pt idx="182">
                  <c:v>151</c:v>
                </c:pt>
                <c:pt idx="183">
                  <c:v>129</c:v>
                </c:pt>
                <c:pt idx="184">
                  <c:v>143</c:v>
                </c:pt>
                <c:pt idx="185">
                  <c:v>128</c:v>
                </c:pt>
                <c:pt idx="186">
                  <c:v>129</c:v>
                </c:pt>
                <c:pt idx="187">
                  <c:v>138</c:v>
                </c:pt>
                <c:pt idx="188">
                  <c:v>128</c:v>
                </c:pt>
                <c:pt idx="189">
                  <c:v>116</c:v>
                </c:pt>
                <c:pt idx="190">
                  <c:v>117</c:v>
                </c:pt>
                <c:pt idx="191">
                  <c:v>110</c:v>
                </c:pt>
                <c:pt idx="192">
                  <c:v>125</c:v>
                </c:pt>
                <c:pt idx="193">
                  <c:v>140</c:v>
                </c:pt>
                <c:pt idx="194">
                  <c:v>143</c:v>
                </c:pt>
                <c:pt idx="195">
                  <c:v>126</c:v>
                </c:pt>
                <c:pt idx="196">
                  <c:v>134</c:v>
                </c:pt>
                <c:pt idx="197">
                  <c:v>136</c:v>
                </c:pt>
                <c:pt idx="198">
                  <c:v>130</c:v>
                </c:pt>
                <c:pt idx="199">
                  <c:v>120</c:v>
                </c:pt>
                <c:pt idx="200">
                  <c:v>108</c:v>
                </c:pt>
                <c:pt idx="201">
                  <c:v>128</c:v>
                </c:pt>
                <c:pt idx="202">
                  <c:v>124</c:v>
                </c:pt>
                <c:pt idx="203">
                  <c:v>116</c:v>
                </c:pt>
                <c:pt idx="204">
                  <c:v>141</c:v>
                </c:pt>
                <c:pt idx="205">
                  <c:v>146</c:v>
                </c:pt>
                <c:pt idx="206">
                  <c:v>137</c:v>
                </c:pt>
                <c:pt idx="207">
                  <c:v>127</c:v>
                </c:pt>
                <c:pt idx="208">
                  <c:v>113</c:v>
                </c:pt>
                <c:pt idx="209">
                  <c:v>137</c:v>
                </c:pt>
                <c:pt idx="210">
                  <c:v>125</c:v>
                </c:pt>
                <c:pt idx="211">
                  <c:v>131</c:v>
                </c:pt>
                <c:pt idx="212">
                  <c:v>121</c:v>
                </c:pt>
                <c:pt idx="213">
                  <c:v>129</c:v>
                </c:pt>
                <c:pt idx="214">
                  <c:v>128</c:v>
                </c:pt>
                <c:pt idx="215">
                  <c:v>121</c:v>
                </c:pt>
                <c:pt idx="216">
                  <c:v>144</c:v>
                </c:pt>
                <c:pt idx="217">
                  <c:v>128</c:v>
                </c:pt>
                <c:pt idx="218">
                  <c:v>128</c:v>
                </c:pt>
                <c:pt idx="219">
                  <c:v>143</c:v>
                </c:pt>
                <c:pt idx="220">
                  <c:v>147</c:v>
                </c:pt>
                <c:pt idx="221">
                  <c:v>132</c:v>
                </c:pt>
                <c:pt idx="222">
                  <c:v>125</c:v>
                </c:pt>
                <c:pt idx="223">
                  <c:v>139</c:v>
                </c:pt>
                <c:pt idx="224">
                  <c:v>126</c:v>
                </c:pt>
                <c:pt idx="225">
                  <c:v>134</c:v>
                </c:pt>
                <c:pt idx="226">
                  <c:v>144</c:v>
                </c:pt>
                <c:pt idx="227">
                  <c:v>128</c:v>
                </c:pt>
                <c:pt idx="228">
                  <c:v>150</c:v>
                </c:pt>
                <c:pt idx="229">
                  <c:v>118</c:v>
                </c:pt>
                <c:pt idx="230">
                  <c:v>130</c:v>
                </c:pt>
                <c:pt idx="231">
                  <c:v>112</c:v>
                </c:pt>
                <c:pt idx="232">
                  <c:v>122</c:v>
                </c:pt>
                <c:pt idx="233">
                  <c:v>136</c:v>
                </c:pt>
                <c:pt idx="234">
                  <c:v>125</c:v>
                </c:pt>
                <c:pt idx="235">
                  <c:v>119</c:v>
                </c:pt>
                <c:pt idx="236">
                  <c:v>121</c:v>
                </c:pt>
                <c:pt idx="237">
                  <c:v>119</c:v>
                </c:pt>
                <c:pt idx="238">
                  <c:v>131</c:v>
                </c:pt>
                <c:pt idx="239">
                  <c:v>137</c:v>
                </c:pt>
                <c:pt idx="240">
                  <c:v>128</c:v>
                </c:pt>
                <c:pt idx="241">
                  <c:v>113</c:v>
                </c:pt>
                <c:pt idx="242">
                  <c:v>142</c:v>
                </c:pt>
                <c:pt idx="243">
                  <c:v>132</c:v>
                </c:pt>
                <c:pt idx="244">
                  <c:v>119</c:v>
                </c:pt>
                <c:pt idx="245">
                  <c:v>129</c:v>
                </c:pt>
                <c:pt idx="246">
                  <c:v>141</c:v>
                </c:pt>
                <c:pt idx="247">
                  <c:v>117</c:v>
                </c:pt>
                <c:pt idx="248">
                  <c:v>142</c:v>
                </c:pt>
                <c:pt idx="249">
                  <c:v>127</c:v>
                </c:pt>
                <c:pt idx="250">
                  <c:v>135</c:v>
                </c:pt>
                <c:pt idx="251">
                  <c:v>110</c:v>
                </c:pt>
                <c:pt idx="252">
                  <c:v>144</c:v>
                </c:pt>
                <c:pt idx="253">
                  <c:v>145</c:v>
                </c:pt>
                <c:pt idx="254">
                  <c:v>134</c:v>
                </c:pt>
                <c:pt idx="255">
                  <c:v>121</c:v>
                </c:pt>
                <c:pt idx="256">
                  <c:v>135</c:v>
                </c:pt>
                <c:pt idx="257">
                  <c:v>135</c:v>
                </c:pt>
                <c:pt idx="258">
                  <c:v>123</c:v>
                </c:pt>
                <c:pt idx="259">
                  <c:v>125</c:v>
                </c:pt>
                <c:pt idx="260">
                  <c:v>115</c:v>
                </c:pt>
                <c:pt idx="261">
                  <c:v>136</c:v>
                </c:pt>
                <c:pt idx="262">
                  <c:v>130</c:v>
                </c:pt>
                <c:pt idx="263">
                  <c:v>127</c:v>
                </c:pt>
                <c:pt idx="264">
                  <c:v>122</c:v>
                </c:pt>
                <c:pt idx="265">
                  <c:v>146</c:v>
                </c:pt>
                <c:pt idx="266">
                  <c:v>117</c:v>
                </c:pt>
                <c:pt idx="267">
                  <c:v>137</c:v>
                </c:pt>
                <c:pt idx="268">
                  <c:v>123</c:v>
                </c:pt>
                <c:pt idx="269">
                  <c:v>153</c:v>
                </c:pt>
                <c:pt idx="270">
                  <c:v>120</c:v>
                </c:pt>
                <c:pt idx="271">
                  <c:v>129</c:v>
                </c:pt>
                <c:pt idx="272">
                  <c:v>130</c:v>
                </c:pt>
                <c:pt idx="273">
                  <c:v>128</c:v>
                </c:pt>
                <c:pt idx="274">
                  <c:v>134</c:v>
                </c:pt>
                <c:pt idx="275">
                  <c:v>128</c:v>
                </c:pt>
                <c:pt idx="276">
                  <c:v>136</c:v>
                </c:pt>
                <c:pt idx="277">
                  <c:v>130</c:v>
                </c:pt>
                <c:pt idx="278">
                  <c:v>156</c:v>
                </c:pt>
                <c:pt idx="279">
                  <c:v>122</c:v>
                </c:pt>
                <c:pt idx="280">
                  <c:v>125</c:v>
                </c:pt>
                <c:pt idx="281">
                  <c:v>116</c:v>
                </c:pt>
                <c:pt idx="282">
                  <c:v>160</c:v>
                </c:pt>
                <c:pt idx="283">
                  <c:v>135</c:v>
                </c:pt>
                <c:pt idx="284">
                  <c:v>139</c:v>
                </c:pt>
                <c:pt idx="285">
                  <c:v>117</c:v>
                </c:pt>
                <c:pt idx="286">
                  <c:v>137</c:v>
                </c:pt>
                <c:pt idx="287">
                  <c:v>108</c:v>
                </c:pt>
                <c:pt idx="288">
                  <c:v>153</c:v>
                </c:pt>
                <c:pt idx="289">
                  <c:v>126</c:v>
                </c:pt>
                <c:pt idx="290">
                  <c:v>118</c:v>
                </c:pt>
                <c:pt idx="291">
                  <c:v>130</c:v>
                </c:pt>
                <c:pt idx="292">
                  <c:v>103</c:v>
                </c:pt>
                <c:pt idx="293">
                  <c:v>129</c:v>
                </c:pt>
                <c:pt idx="294">
                  <c:v>112</c:v>
                </c:pt>
                <c:pt idx="295">
                  <c:v>139</c:v>
                </c:pt>
                <c:pt idx="296">
                  <c:v>112</c:v>
                </c:pt>
                <c:pt idx="297">
                  <c:v>122</c:v>
                </c:pt>
                <c:pt idx="298">
                  <c:v>139</c:v>
                </c:pt>
                <c:pt idx="299">
                  <c:v>154</c:v>
                </c:pt>
                <c:pt idx="300">
                  <c:v>138</c:v>
                </c:pt>
                <c:pt idx="301">
                  <c:v>139</c:v>
                </c:pt>
                <c:pt idx="302">
                  <c:v>112</c:v>
                </c:pt>
                <c:pt idx="303">
                  <c:v>117</c:v>
                </c:pt>
                <c:pt idx="304">
                  <c:v>118</c:v>
                </c:pt>
                <c:pt idx="305">
                  <c:v>119</c:v>
                </c:pt>
                <c:pt idx="306">
                  <c:v>137</c:v>
                </c:pt>
                <c:pt idx="307">
                  <c:v>129</c:v>
                </c:pt>
                <c:pt idx="308">
                  <c:v>129</c:v>
                </c:pt>
                <c:pt idx="309">
                  <c:v>117</c:v>
                </c:pt>
                <c:pt idx="310">
                  <c:v>110</c:v>
                </c:pt>
                <c:pt idx="311">
                  <c:v>157</c:v>
                </c:pt>
                <c:pt idx="312">
                  <c:v>117</c:v>
                </c:pt>
                <c:pt idx="313">
                  <c:v>130</c:v>
                </c:pt>
                <c:pt idx="314">
                  <c:v>120</c:v>
                </c:pt>
                <c:pt idx="315">
                  <c:v>131</c:v>
                </c:pt>
                <c:pt idx="316">
                  <c:v>129</c:v>
                </c:pt>
                <c:pt idx="317">
                  <c:v>122</c:v>
                </c:pt>
                <c:pt idx="318">
                  <c:v>151</c:v>
                </c:pt>
                <c:pt idx="319">
                  <c:v>128</c:v>
                </c:pt>
                <c:pt idx="320">
                  <c:v>136</c:v>
                </c:pt>
                <c:pt idx="321">
                  <c:v>136</c:v>
                </c:pt>
                <c:pt idx="322">
                  <c:v>127</c:v>
                </c:pt>
                <c:pt idx="323">
                  <c:v>142</c:v>
                </c:pt>
                <c:pt idx="324">
                  <c:v>138</c:v>
                </c:pt>
                <c:pt idx="325">
                  <c:v>133</c:v>
                </c:pt>
                <c:pt idx="326">
                  <c:v>130</c:v>
                </c:pt>
                <c:pt idx="327">
                  <c:v>134</c:v>
                </c:pt>
                <c:pt idx="328">
                  <c:v>130</c:v>
                </c:pt>
                <c:pt idx="329">
                  <c:v>138</c:v>
                </c:pt>
                <c:pt idx="330">
                  <c:v>143</c:v>
                </c:pt>
                <c:pt idx="331">
                  <c:v>139</c:v>
                </c:pt>
                <c:pt idx="332">
                  <c:v>138</c:v>
                </c:pt>
                <c:pt idx="333">
                  <c:v>136</c:v>
                </c:pt>
                <c:pt idx="334">
                  <c:v>143</c:v>
                </c:pt>
                <c:pt idx="335">
                  <c:v>122</c:v>
                </c:pt>
                <c:pt idx="336">
                  <c:v>138</c:v>
                </c:pt>
                <c:pt idx="337">
                  <c:v>111</c:v>
                </c:pt>
                <c:pt idx="338">
                  <c:v>129</c:v>
                </c:pt>
                <c:pt idx="339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2-4BF9-ADED-0EA0F7B61E9F}"/>
            </c:ext>
          </c:extLst>
        </c:ser>
        <c:ser>
          <c:idx val="1"/>
          <c:order val="1"/>
          <c:tx>
            <c:v>PY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Charts!$B$19:$B$358</c:f>
              <c:numCache>
                <c:formatCode>mmm\-yy</c:formatCode>
                <c:ptCount val="340"/>
                <c:pt idx="0">
                  <c:v>36892</c:v>
                </c:pt>
                <c:pt idx="1">
                  <c:v>36893</c:v>
                </c:pt>
                <c:pt idx="2">
                  <c:v>36894</c:v>
                </c:pt>
                <c:pt idx="3">
                  <c:v>36895</c:v>
                </c:pt>
                <c:pt idx="4">
                  <c:v>36896</c:v>
                </c:pt>
                <c:pt idx="5">
                  <c:v>36897</c:v>
                </c:pt>
                <c:pt idx="6">
                  <c:v>36898</c:v>
                </c:pt>
                <c:pt idx="7">
                  <c:v>36899</c:v>
                </c:pt>
                <c:pt idx="8">
                  <c:v>36900</c:v>
                </c:pt>
                <c:pt idx="9">
                  <c:v>36901</c:v>
                </c:pt>
                <c:pt idx="10">
                  <c:v>36902</c:v>
                </c:pt>
                <c:pt idx="11">
                  <c:v>36903</c:v>
                </c:pt>
                <c:pt idx="12">
                  <c:v>36904</c:v>
                </c:pt>
                <c:pt idx="13">
                  <c:v>36905</c:v>
                </c:pt>
                <c:pt idx="14">
                  <c:v>36906</c:v>
                </c:pt>
                <c:pt idx="15">
                  <c:v>36907</c:v>
                </c:pt>
                <c:pt idx="16">
                  <c:v>36908</c:v>
                </c:pt>
                <c:pt idx="17">
                  <c:v>36909</c:v>
                </c:pt>
                <c:pt idx="18">
                  <c:v>36910</c:v>
                </c:pt>
                <c:pt idx="19">
                  <c:v>36911</c:v>
                </c:pt>
                <c:pt idx="20">
                  <c:v>36912</c:v>
                </c:pt>
                <c:pt idx="21">
                  <c:v>36913</c:v>
                </c:pt>
                <c:pt idx="22">
                  <c:v>36914</c:v>
                </c:pt>
                <c:pt idx="23">
                  <c:v>36915</c:v>
                </c:pt>
                <c:pt idx="24">
                  <c:v>36916</c:v>
                </c:pt>
                <c:pt idx="25">
                  <c:v>36917</c:v>
                </c:pt>
                <c:pt idx="26">
                  <c:v>36918</c:v>
                </c:pt>
                <c:pt idx="27">
                  <c:v>36919</c:v>
                </c:pt>
                <c:pt idx="28">
                  <c:v>36920</c:v>
                </c:pt>
                <c:pt idx="29">
                  <c:v>36921</c:v>
                </c:pt>
                <c:pt idx="30">
                  <c:v>36922</c:v>
                </c:pt>
                <c:pt idx="31">
                  <c:v>36923</c:v>
                </c:pt>
                <c:pt idx="32">
                  <c:v>36924</c:v>
                </c:pt>
                <c:pt idx="33">
                  <c:v>36925</c:v>
                </c:pt>
                <c:pt idx="34">
                  <c:v>36926</c:v>
                </c:pt>
                <c:pt idx="35">
                  <c:v>36927</c:v>
                </c:pt>
                <c:pt idx="36">
                  <c:v>36928</c:v>
                </c:pt>
                <c:pt idx="37">
                  <c:v>36929</c:v>
                </c:pt>
                <c:pt idx="38">
                  <c:v>36930</c:v>
                </c:pt>
                <c:pt idx="39">
                  <c:v>36931</c:v>
                </c:pt>
                <c:pt idx="40">
                  <c:v>36932</c:v>
                </c:pt>
                <c:pt idx="41">
                  <c:v>36933</c:v>
                </c:pt>
                <c:pt idx="42">
                  <c:v>36934</c:v>
                </c:pt>
                <c:pt idx="43">
                  <c:v>36935</c:v>
                </c:pt>
                <c:pt idx="44">
                  <c:v>36936</c:v>
                </c:pt>
                <c:pt idx="45">
                  <c:v>36937</c:v>
                </c:pt>
                <c:pt idx="46">
                  <c:v>36938</c:v>
                </c:pt>
                <c:pt idx="47">
                  <c:v>36939</c:v>
                </c:pt>
                <c:pt idx="48">
                  <c:v>36940</c:v>
                </c:pt>
                <c:pt idx="49">
                  <c:v>36941</c:v>
                </c:pt>
                <c:pt idx="50">
                  <c:v>36942</c:v>
                </c:pt>
                <c:pt idx="51">
                  <c:v>36943</c:v>
                </c:pt>
                <c:pt idx="52">
                  <c:v>36944</c:v>
                </c:pt>
                <c:pt idx="53">
                  <c:v>36945</c:v>
                </c:pt>
                <c:pt idx="54">
                  <c:v>36946</c:v>
                </c:pt>
                <c:pt idx="55">
                  <c:v>36947</c:v>
                </c:pt>
                <c:pt idx="56">
                  <c:v>36948</c:v>
                </c:pt>
                <c:pt idx="57">
                  <c:v>36949</c:v>
                </c:pt>
                <c:pt idx="58">
                  <c:v>36950</c:v>
                </c:pt>
                <c:pt idx="59">
                  <c:v>36951</c:v>
                </c:pt>
                <c:pt idx="60">
                  <c:v>36952</c:v>
                </c:pt>
                <c:pt idx="61">
                  <c:v>36953</c:v>
                </c:pt>
                <c:pt idx="62">
                  <c:v>36954</c:v>
                </c:pt>
                <c:pt idx="63">
                  <c:v>36955</c:v>
                </c:pt>
                <c:pt idx="64">
                  <c:v>36956</c:v>
                </c:pt>
                <c:pt idx="65">
                  <c:v>36957</c:v>
                </c:pt>
                <c:pt idx="66">
                  <c:v>36958</c:v>
                </c:pt>
                <c:pt idx="67">
                  <c:v>36959</c:v>
                </c:pt>
                <c:pt idx="68">
                  <c:v>36960</c:v>
                </c:pt>
                <c:pt idx="69">
                  <c:v>36961</c:v>
                </c:pt>
                <c:pt idx="70">
                  <c:v>36962</c:v>
                </c:pt>
                <c:pt idx="71">
                  <c:v>36963</c:v>
                </c:pt>
                <c:pt idx="72">
                  <c:v>36964</c:v>
                </c:pt>
                <c:pt idx="73">
                  <c:v>36965</c:v>
                </c:pt>
                <c:pt idx="74">
                  <c:v>36966</c:v>
                </c:pt>
                <c:pt idx="75">
                  <c:v>36967</c:v>
                </c:pt>
                <c:pt idx="76">
                  <c:v>36968</c:v>
                </c:pt>
                <c:pt idx="77">
                  <c:v>36969</c:v>
                </c:pt>
                <c:pt idx="78">
                  <c:v>36970</c:v>
                </c:pt>
                <c:pt idx="79">
                  <c:v>36971</c:v>
                </c:pt>
                <c:pt idx="80">
                  <c:v>36972</c:v>
                </c:pt>
                <c:pt idx="81">
                  <c:v>36973</c:v>
                </c:pt>
                <c:pt idx="82">
                  <c:v>36974</c:v>
                </c:pt>
                <c:pt idx="83">
                  <c:v>36975</c:v>
                </c:pt>
                <c:pt idx="84">
                  <c:v>36976</c:v>
                </c:pt>
                <c:pt idx="85">
                  <c:v>36977</c:v>
                </c:pt>
                <c:pt idx="86">
                  <c:v>36978</c:v>
                </c:pt>
                <c:pt idx="87">
                  <c:v>36979</c:v>
                </c:pt>
                <c:pt idx="88">
                  <c:v>36980</c:v>
                </c:pt>
                <c:pt idx="89">
                  <c:v>36981</c:v>
                </c:pt>
                <c:pt idx="90">
                  <c:v>36982</c:v>
                </c:pt>
                <c:pt idx="91">
                  <c:v>36983</c:v>
                </c:pt>
                <c:pt idx="92">
                  <c:v>36984</c:v>
                </c:pt>
                <c:pt idx="93">
                  <c:v>36985</c:v>
                </c:pt>
                <c:pt idx="94">
                  <c:v>36986</c:v>
                </c:pt>
                <c:pt idx="95">
                  <c:v>36987</c:v>
                </c:pt>
                <c:pt idx="96">
                  <c:v>36988</c:v>
                </c:pt>
                <c:pt idx="97">
                  <c:v>36989</c:v>
                </c:pt>
                <c:pt idx="98">
                  <c:v>36990</c:v>
                </c:pt>
                <c:pt idx="99">
                  <c:v>36991</c:v>
                </c:pt>
                <c:pt idx="100">
                  <c:v>36992</c:v>
                </c:pt>
                <c:pt idx="101">
                  <c:v>36993</c:v>
                </c:pt>
                <c:pt idx="102">
                  <c:v>36994</c:v>
                </c:pt>
                <c:pt idx="103">
                  <c:v>36995</c:v>
                </c:pt>
                <c:pt idx="104">
                  <c:v>36996</c:v>
                </c:pt>
                <c:pt idx="105">
                  <c:v>36997</c:v>
                </c:pt>
                <c:pt idx="106">
                  <c:v>36998</c:v>
                </c:pt>
                <c:pt idx="107">
                  <c:v>36999</c:v>
                </c:pt>
                <c:pt idx="108">
                  <c:v>37000</c:v>
                </c:pt>
                <c:pt idx="109">
                  <c:v>37001</c:v>
                </c:pt>
                <c:pt idx="110">
                  <c:v>37002</c:v>
                </c:pt>
                <c:pt idx="111">
                  <c:v>37003</c:v>
                </c:pt>
                <c:pt idx="112">
                  <c:v>37004</c:v>
                </c:pt>
                <c:pt idx="113">
                  <c:v>37005</c:v>
                </c:pt>
                <c:pt idx="114">
                  <c:v>37006</c:v>
                </c:pt>
                <c:pt idx="115">
                  <c:v>37007</c:v>
                </c:pt>
                <c:pt idx="116">
                  <c:v>37008</c:v>
                </c:pt>
                <c:pt idx="117">
                  <c:v>37009</c:v>
                </c:pt>
                <c:pt idx="118">
                  <c:v>37010</c:v>
                </c:pt>
                <c:pt idx="119">
                  <c:v>37011</c:v>
                </c:pt>
                <c:pt idx="120">
                  <c:v>37012</c:v>
                </c:pt>
                <c:pt idx="121">
                  <c:v>37013</c:v>
                </c:pt>
                <c:pt idx="122">
                  <c:v>37014</c:v>
                </c:pt>
                <c:pt idx="123">
                  <c:v>37015</c:v>
                </c:pt>
                <c:pt idx="124">
                  <c:v>37016</c:v>
                </c:pt>
                <c:pt idx="125">
                  <c:v>37017</c:v>
                </c:pt>
                <c:pt idx="126">
                  <c:v>37018</c:v>
                </c:pt>
                <c:pt idx="127">
                  <c:v>37019</c:v>
                </c:pt>
                <c:pt idx="128">
                  <c:v>37020</c:v>
                </c:pt>
                <c:pt idx="129">
                  <c:v>37021</c:v>
                </c:pt>
                <c:pt idx="130">
                  <c:v>37022</c:v>
                </c:pt>
                <c:pt idx="131">
                  <c:v>37023</c:v>
                </c:pt>
                <c:pt idx="132">
                  <c:v>37024</c:v>
                </c:pt>
                <c:pt idx="133">
                  <c:v>37025</c:v>
                </c:pt>
                <c:pt idx="134">
                  <c:v>37026</c:v>
                </c:pt>
                <c:pt idx="135">
                  <c:v>37027</c:v>
                </c:pt>
                <c:pt idx="136">
                  <c:v>37028</c:v>
                </c:pt>
                <c:pt idx="137">
                  <c:v>37029</c:v>
                </c:pt>
                <c:pt idx="138">
                  <c:v>37030</c:v>
                </c:pt>
                <c:pt idx="139">
                  <c:v>37031</c:v>
                </c:pt>
                <c:pt idx="140">
                  <c:v>37032</c:v>
                </c:pt>
                <c:pt idx="141">
                  <c:v>37033</c:v>
                </c:pt>
                <c:pt idx="142">
                  <c:v>37034</c:v>
                </c:pt>
                <c:pt idx="143">
                  <c:v>37035</c:v>
                </c:pt>
                <c:pt idx="144">
                  <c:v>37036</c:v>
                </c:pt>
                <c:pt idx="145">
                  <c:v>37037</c:v>
                </c:pt>
                <c:pt idx="146">
                  <c:v>37038</c:v>
                </c:pt>
                <c:pt idx="147">
                  <c:v>37039</c:v>
                </c:pt>
                <c:pt idx="148">
                  <c:v>37040</c:v>
                </c:pt>
                <c:pt idx="149">
                  <c:v>37041</c:v>
                </c:pt>
                <c:pt idx="150">
                  <c:v>37042</c:v>
                </c:pt>
                <c:pt idx="151">
                  <c:v>37043</c:v>
                </c:pt>
                <c:pt idx="152">
                  <c:v>37044</c:v>
                </c:pt>
                <c:pt idx="153">
                  <c:v>37045</c:v>
                </c:pt>
                <c:pt idx="154">
                  <c:v>37046</c:v>
                </c:pt>
                <c:pt idx="155">
                  <c:v>37047</c:v>
                </c:pt>
                <c:pt idx="156">
                  <c:v>37048</c:v>
                </c:pt>
                <c:pt idx="157">
                  <c:v>37049</c:v>
                </c:pt>
                <c:pt idx="158">
                  <c:v>37050</c:v>
                </c:pt>
                <c:pt idx="159">
                  <c:v>37051</c:v>
                </c:pt>
                <c:pt idx="160">
                  <c:v>37052</c:v>
                </c:pt>
                <c:pt idx="161">
                  <c:v>37053</c:v>
                </c:pt>
                <c:pt idx="162">
                  <c:v>37054</c:v>
                </c:pt>
                <c:pt idx="163">
                  <c:v>37055</c:v>
                </c:pt>
                <c:pt idx="164">
                  <c:v>37056</c:v>
                </c:pt>
                <c:pt idx="165">
                  <c:v>37057</c:v>
                </c:pt>
                <c:pt idx="166">
                  <c:v>37058</c:v>
                </c:pt>
                <c:pt idx="167">
                  <c:v>37059</c:v>
                </c:pt>
                <c:pt idx="168">
                  <c:v>37060</c:v>
                </c:pt>
                <c:pt idx="169">
                  <c:v>37061</c:v>
                </c:pt>
                <c:pt idx="170">
                  <c:v>37062</c:v>
                </c:pt>
                <c:pt idx="171">
                  <c:v>37063</c:v>
                </c:pt>
                <c:pt idx="172">
                  <c:v>37064</c:v>
                </c:pt>
                <c:pt idx="173">
                  <c:v>37065</c:v>
                </c:pt>
                <c:pt idx="174">
                  <c:v>37066</c:v>
                </c:pt>
                <c:pt idx="175">
                  <c:v>37067</c:v>
                </c:pt>
                <c:pt idx="176">
                  <c:v>37068</c:v>
                </c:pt>
                <c:pt idx="177">
                  <c:v>37069</c:v>
                </c:pt>
                <c:pt idx="178">
                  <c:v>37070</c:v>
                </c:pt>
                <c:pt idx="179">
                  <c:v>37071</c:v>
                </c:pt>
                <c:pt idx="180">
                  <c:v>37072</c:v>
                </c:pt>
                <c:pt idx="181">
                  <c:v>37073</c:v>
                </c:pt>
                <c:pt idx="182">
                  <c:v>37074</c:v>
                </c:pt>
                <c:pt idx="183">
                  <c:v>37075</c:v>
                </c:pt>
                <c:pt idx="184">
                  <c:v>37076</c:v>
                </c:pt>
                <c:pt idx="185">
                  <c:v>37077</c:v>
                </c:pt>
                <c:pt idx="186">
                  <c:v>37078</c:v>
                </c:pt>
                <c:pt idx="187">
                  <c:v>37079</c:v>
                </c:pt>
                <c:pt idx="188">
                  <c:v>37080</c:v>
                </c:pt>
                <c:pt idx="189">
                  <c:v>37081</c:v>
                </c:pt>
                <c:pt idx="190">
                  <c:v>37082</c:v>
                </c:pt>
                <c:pt idx="191">
                  <c:v>37083</c:v>
                </c:pt>
                <c:pt idx="192">
                  <c:v>37084</c:v>
                </c:pt>
                <c:pt idx="193">
                  <c:v>37085</c:v>
                </c:pt>
                <c:pt idx="194">
                  <c:v>37086</c:v>
                </c:pt>
                <c:pt idx="195">
                  <c:v>37087</c:v>
                </c:pt>
                <c:pt idx="196">
                  <c:v>37088</c:v>
                </c:pt>
                <c:pt idx="197">
                  <c:v>37089</c:v>
                </c:pt>
                <c:pt idx="198">
                  <c:v>37090</c:v>
                </c:pt>
                <c:pt idx="199">
                  <c:v>37091</c:v>
                </c:pt>
                <c:pt idx="200">
                  <c:v>37092</c:v>
                </c:pt>
                <c:pt idx="201">
                  <c:v>37093</c:v>
                </c:pt>
                <c:pt idx="202">
                  <c:v>37094</c:v>
                </c:pt>
                <c:pt idx="203">
                  <c:v>37095</c:v>
                </c:pt>
                <c:pt idx="204">
                  <c:v>37096</c:v>
                </c:pt>
                <c:pt idx="205">
                  <c:v>37097</c:v>
                </c:pt>
                <c:pt idx="206">
                  <c:v>37098</c:v>
                </c:pt>
                <c:pt idx="207">
                  <c:v>37099</c:v>
                </c:pt>
                <c:pt idx="208">
                  <c:v>37100</c:v>
                </c:pt>
                <c:pt idx="209">
                  <c:v>37101</c:v>
                </c:pt>
                <c:pt idx="210">
                  <c:v>37102</c:v>
                </c:pt>
                <c:pt idx="211">
                  <c:v>37103</c:v>
                </c:pt>
                <c:pt idx="212">
                  <c:v>37104</c:v>
                </c:pt>
                <c:pt idx="213">
                  <c:v>37105</c:v>
                </c:pt>
                <c:pt idx="214">
                  <c:v>37106</c:v>
                </c:pt>
                <c:pt idx="215">
                  <c:v>37107</c:v>
                </c:pt>
                <c:pt idx="216">
                  <c:v>37108</c:v>
                </c:pt>
                <c:pt idx="217">
                  <c:v>37109</c:v>
                </c:pt>
                <c:pt idx="218">
                  <c:v>37110</c:v>
                </c:pt>
                <c:pt idx="219">
                  <c:v>37111</c:v>
                </c:pt>
                <c:pt idx="220">
                  <c:v>37112</c:v>
                </c:pt>
                <c:pt idx="221">
                  <c:v>37113</c:v>
                </c:pt>
                <c:pt idx="222">
                  <c:v>37114</c:v>
                </c:pt>
                <c:pt idx="223">
                  <c:v>37115</c:v>
                </c:pt>
                <c:pt idx="224">
                  <c:v>37116</c:v>
                </c:pt>
                <c:pt idx="225">
                  <c:v>37117</c:v>
                </c:pt>
                <c:pt idx="226">
                  <c:v>37118</c:v>
                </c:pt>
                <c:pt idx="227">
                  <c:v>37119</c:v>
                </c:pt>
                <c:pt idx="228">
                  <c:v>37120</c:v>
                </c:pt>
                <c:pt idx="229">
                  <c:v>37121</c:v>
                </c:pt>
                <c:pt idx="230">
                  <c:v>37122</c:v>
                </c:pt>
                <c:pt idx="231">
                  <c:v>37123</c:v>
                </c:pt>
                <c:pt idx="232">
                  <c:v>37124</c:v>
                </c:pt>
                <c:pt idx="233">
                  <c:v>37125</c:v>
                </c:pt>
                <c:pt idx="234">
                  <c:v>37126</c:v>
                </c:pt>
                <c:pt idx="235">
                  <c:v>37127</c:v>
                </c:pt>
                <c:pt idx="236">
                  <c:v>37128</c:v>
                </c:pt>
                <c:pt idx="237">
                  <c:v>37129</c:v>
                </c:pt>
                <c:pt idx="238">
                  <c:v>37130</c:v>
                </c:pt>
                <c:pt idx="239">
                  <c:v>37131</c:v>
                </c:pt>
                <c:pt idx="240">
                  <c:v>37132</c:v>
                </c:pt>
                <c:pt idx="241">
                  <c:v>37133</c:v>
                </c:pt>
                <c:pt idx="242">
                  <c:v>37134</c:v>
                </c:pt>
                <c:pt idx="243">
                  <c:v>37135</c:v>
                </c:pt>
                <c:pt idx="244">
                  <c:v>37136</c:v>
                </c:pt>
                <c:pt idx="245">
                  <c:v>37137</c:v>
                </c:pt>
                <c:pt idx="246">
                  <c:v>37138</c:v>
                </c:pt>
                <c:pt idx="247">
                  <c:v>37139</c:v>
                </c:pt>
                <c:pt idx="248">
                  <c:v>37140</c:v>
                </c:pt>
                <c:pt idx="249">
                  <c:v>37141</c:v>
                </c:pt>
                <c:pt idx="250">
                  <c:v>37142</c:v>
                </c:pt>
                <c:pt idx="251">
                  <c:v>37143</c:v>
                </c:pt>
                <c:pt idx="252">
                  <c:v>37144</c:v>
                </c:pt>
                <c:pt idx="253">
                  <c:v>37145</c:v>
                </c:pt>
                <c:pt idx="254">
                  <c:v>37146</c:v>
                </c:pt>
                <c:pt idx="255">
                  <c:v>37147</c:v>
                </c:pt>
                <c:pt idx="256">
                  <c:v>37148</c:v>
                </c:pt>
                <c:pt idx="257">
                  <c:v>37149</c:v>
                </c:pt>
                <c:pt idx="258">
                  <c:v>37150</c:v>
                </c:pt>
                <c:pt idx="259">
                  <c:v>37151</c:v>
                </c:pt>
                <c:pt idx="260">
                  <c:v>37152</c:v>
                </c:pt>
                <c:pt idx="261">
                  <c:v>37153</c:v>
                </c:pt>
                <c:pt idx="262">
                  <c:v>37154</c:v>
                </c:pt>
                <c:pt idx="263">
                  <c:v>37155</c:v>
                </c:pt>
                <c:pt idx="264">
                  <c:v>37156</c:v>
                </c:pt>
                <c:pt idx="265">
                  <c:v>37157</c:v>
                </c:pt>
                <c:pt idx="266">
                  <c:v>37158</c:v>
                </c:pt>
                <c:pt idx="267">
                  <c:v>37159</c:v>
                </c:pt>
                <c:pt idx="268">
                  <c:v>37160</c:v>
                </c:pt>
                <c:pt idx="269">
                  <c:v>37161</c:v>
                </c:pt>
                <c:pt idx="270">
                  <c:v>37162</c:v>
                </c:pt>
                <c:pt idx="271">
                  <c:v>37163</c:v>
                </c:pt>
                <c:pt idx="272">
                  <c:v>37164</c:v>
                </c:pt>
                <c:pt idx="273">
                  <c:v>37165</c:v>
                </c:pt>
                <c:pt idx="274">
                  <c:v>37166</c:v>
                </c:pt>
                <c:pt idx="275">
                  <c:v>37167</c:v>
                </c:pt>
                <c:pt idx="276">
                  <c:v>37168</c:v>
                </c:pt>
                <c:pt idx="277">
                  <c:v>37169</c:v>
                </c:pt>
                <c:pt idx="278">
                  <c:v>37170</c:v>
                </c:pt>
                <c:pt idx="279">
                  <c:v>37171</c:v>
                </c:pt>
                <c:pt idx="280">
                  <c:v>37172</c:v>
                </c:pt>
                <c:pt idx="281">
                  <c:v>37173</c:v>
                </c:pt>
                <c:pt idx="282">
                  <c:v>37174</c:v>
                </c:pt>
                <c:pt idx="283">
                  <c:v>37175</c:v>
                </c:pt>
                <c:pt idx="284">
                  <c:v>37176</c:v>
                </c:pt>
                <c:pt idx="285">
                  <c:v>37177</c:v>
                </c:pt>
                <c:pt idx="286">
                  <c:v>37178</c:v>
                </c:pt>
                <c:pt idx="287">
                  <c:v>37179</c:v>
                </c:pt>
                <c:pt idx="288">
                  <c:v>37180</c:v>
                </c:pt>
                <c:pt idx="289">
                  <c:v>37181</c:v>
                </c:pt>
                <c:pt idx="290">
                  <c:v>37182</c:v>
                </c:pt>
                <c:pt idx="291">
                  <c:v>37183</c:v>
                </c:pt>
                <c:pt idx="292">
                  <c:v>37184</c:v>
                </c:pt>
                <c:pt idx="293">
                  <c:v>37185</c:v>
                </c:pt>
                <c:pt idx="294">
                  <c:v>37186</c:v>
                </c:pt>
                <c:pt idx="295">
                  <c:v>37187</c:v>
                </c:pt>
                <c:pt idx="296">
                  <c:v>37188</c:v>
                </c:pt>
                <c:pt idx="297">
                  <c:v>37189</c:v>
                </c:pt>
                <c:pt idx="298">
                  <c:v>37190</c:v>
                </c:pt>
                <c:pt idx="299">
                  <c:v>37191</c:v>
                </c:pt>
                <c:pt idx="300">
                  <c:v>37192</c:v>
                </c:pt>
                <c:pt idx="301">
                  <c:v>37193</c:v>
                </c:pt>
                <c:pt idx="302">
                  <c:v>37194</c:v>
                </c:pt>
                <c:pt idx="303">
                  <c:v>37195</c:v>
                </c:pt>
                <c:pt idx="304">
                  <c:v>37196</c:v>
                </c:pt>
                <c:pt idx="305">
                  <c:v>37197</c:v>
                </c:pt>
                <c:pt idx="306">
                  <c:v>37198</c:v>
                </c:pt>
                <c:pt idx="307">
                  <c:v>37199</c:v>
                </c:pt>
                <c:pt idx="308">
                  <c:v>37200</c:v>
                </c:pt>
                <c:pt idx="309">
                  <c:v>37201</c:v>
                </c:pt>
                <c:pt idx="310">
                  <c:v>37202</c:v>
                </c:pt>
                <c:pt idx="311">
                  <c:v>37203</c:v>
                </c:pt>
                <c:pt idx="312">
                  <c:v>37204</c:v>
                </c:pt>
                <c:pt idx="313">
                  <c:v>37205</c:v>
                </c:pt>
                <c:pt idx="314">
                  <c:v>37206</c:v>
                </c:pt>
                <c:pt idx="315">
                  <c:v>37207</c:v>
                </c:pt>
                <c:pt idx="316">
                  <c:v>37208</c:v>
                </c:pt>
                <c:pt idx="317">
                  <c:v>37209</c:v>
                </c:pt>
                <c:pt idx="318">
                  <c:v>37210</c:v>
                </c:pt>
                <c:pt idx="319">
                  <c:v>37211</c:v>
                </c:pt>
                <c:pt idx="320">
                  <c:v>37212</c:v>
                </c:pt>
                <c:pt idx="321">
                  <c:v>37213</c:v>
                </c:pt>
                <c:pt idx="322">
                  <c:v>37214</c:v>
                </c:pt>
                <c:pt idx="323">
                  <c:v>37215</c:v>
                </c:pt>
                <c:pt idx="324">
                  <c:v>37216</c:v>
                </c:pt>
                <c:pt idx="325">
                  <c:v>37217</c:v>
                </c:pt>
                <c:pt idx="326">
                  <c:v>37218</c:v>
                </c:pt>
                <c:pt idx="327">
                  <c:v>37219</c:v>
                </c:pt>
                <c:pt idx="328">
                  <c:v>37220</c:v>
                </c:pt>
                <c:pt idx="329">
                  <c:v>37221</c:v>
                </c:pt>
                <c:pt idx="330">
                  <c:v>37222</c:v>
                </c:pt>
                <c:pt idx="331">
                  <c:v>37223</c:v>
                </c:pt>
                <c:pt idx="332">
                  <c:v>37224</c:v>
                </c:pt>
                <c:pt idx="333">
                  <c:v>37225</c:v>
                </c:pt>
                <c:pt idx="334">
                  <c:v>37226</c:v>
                </c:pt>
                <c:pt idx="335">
                  <c:v>37227</c:v>
                </c:pt>
                <c:pt idx="336">
                  <c:v>37228</c:v>
                </c:pt>
                <c:pt idx="337">
                  <c:v>37229</c:v>
                </c:pt>
                <c:pt idx="338">
                  <c:v>37230</c:v>
                </c:pt>
                <c:pt idx="339">
                  <c:v>37231</c:v>
                </c:pt>
              </c:numCache>
            </c:numRef>
          </c:cat>
          <c:val>
            <c:numRef>
              <c:f>Charts!$D$19:$D$358</c:f>
              <c:numCache>
                <c:formatCode>General</c:formatCode>
                <c:ptCount val="340"/>
                <c:pt idx="0">
                  <c:v>75</c:v>
                </c:pt>
                <c:pt idx="1">
                  <c:v>78</c:v>
                </c:pt>
                <c:pt idx="2">
                  <c:v>83</c:v>
                </c:pt>
                <c:pt idx="3">
                  <c:v>63</c:v>
                </c:pt>
                <c:pt idx="4">
                  <c:v>71</c:v>
                </c:pt>
                <c:pt idx="5">
                  <c:v>72</c:v>
                </c:pt>
                <c:pt idx="6">
                  <c:v>67</c:v>
                </c:pt>
                <c:pt idx="7">
                  <c:v>79</c:v>
                </c:pt>
                <c:pt idx="8">
                  <c:v>87</c:v>
                </c:pt>
                <c:pt idx="9">
                  <c:v>78</c:v>
                </c:pt>
                <c:pt idx="10">
                  <c:v>64</c:v>
                </c:pt>
                <c:pt idx="11">
                  <c:v>64</c:v>
                </c:pt>
                <c:pt idx="12">
                  <c:v>99</c:v>
                </c:pt>
                <c:pt idx="13">
                  <c:v>67</c:v>
                </c:pt>
                <c:pt idx="14">
                  <c:v>68</c:v>
                </c:pt>
                <c:pt idx="15">
                  <c:v>70</c:v>
                </c:pt>
                <c:pt idx="16">
                  <c:v>85</c:v>
                </c:pt>
                <c:pt idx="17">
                  <c:v>83</c:v>
                </c:pt>
                <c:pt idx="18">
                  <c:v>65</c:v>
                </c:pt>
                <c:pt idx="19">
                  <c:v>70</c:v>
                </c:pt>
                <c:pt idx="20">
                  <c:v>61</c:v>
                </c:pt>
                <c:pt idx="21">
                  <c:v>86</c:v>
                </c:pt>
                <c:pt idx="22">
                  <c:v>73</c:v>
                </c:pt>
                <c:pt idx="23">
                  <c:v>71</c:v>
                </c:pt>
                <c:pt idx="24">
                  <c:v>74</c:v>
                </c:pt>
                <c:pt idx="25">
                  <c:v>73</c:v>
                </c:pt>
                <c:pt idx="26">
                  <c:v>82</c:v>
                </c:pt>
                <c:pt idx="27">
                  <c:v>77</c:v>
                </c:pt>
                <c:pt idx="28">
                  <c:v>70</c:v>
                </c:pt>
                <c:pt idx="29">
                  <c:v>59</c:v>
                </c:pt>
                <c:pt idx="30">
                  <c:v>86</c:v>
                </c:pt>
                <c:pt idx="31">
                  <c:v>63</c:v>
                </c:pt>
                <c:pt idx="32">
                  <c:v>76</c:v>
                </c:pt>
                <c:pt idx="33">
                  <c:v>59</c:v>
                </c:pt>
                <c:pt idx="34">
                  <c:v>61</c:v>
                </c:pt>
                <c:pt idx="35">
                  <c:v>68</c:v>
                </c:pt>
                <c:pt idx="36">
                  <c:v>50</c:v>
                </c:pt>
                <c:pt idx="37">
                  <c:v>86</c:v>
                </c:pt>
                <c:pt idx="38">
                  <c:v>82</c:v>
                </c:pt>
                <c:pt idx="39">
                  <c:v>78</c:v>
                </c:pt>
                <c:pt idx="40">
                  <c:v>74</c:v>
                </c:pt>
                <c:pt idx="41">
                  <c:v>63</c:v>
                </c:pt>
                <c:pt idx="42">
                  <c:v>80</c:v>
                </c:pt>
                <c:pt idx="43">
                  <c:v>80</c:v>
                </c:pt>
                <c:pt idx="44">
                  <c:v>98</c:v>
                </c:pt>
                <c:pt idx="45">
                  <c:v>78</c:v>
                </c:pt>
                <c:pt idx="46">
                  <c:v>65</c:v>
                </c:pt>
                <c:pt idx="47">
                  <c:v>101</c:v>
                </c:pt>
                <c:pt idx="48">
                  <c:v>99</c:v>
                </c:pt>
                <c:pt idx="49">
                  <c:v>88</c:v>
                </c:pt>
                <c:pt idx="50">
                  <c:v>88</c:v>
                </c:pt>
                <c:pt idx="51">
                  <c:v>77</c:v>
                </c:pt>
                <c:pt idx="52">
                  <c:v>73</c:v>
                </c:pt>
                <c:pt idx="53">
                  <c:v>69</c:v>
                </c:pt>
                <c:pt idx="54">
                  <c:v>87</c:v>
                </c:pt>
                <c:pt idx="55">
                  <c:v>47</c:v>
                </c:pt>
                <c:pt idx="56">
                  <c:v>78</c:v>
                </c:pt>
                <c:pt idx="57">
                  <c:v>72</c:v>
                </c:pt>
                <c:pt idx="58">
                  <c:v>87</c:v>
                </c:pt>
                <c:pt idx="59">
                  <c:v>76</c:v>
                </c:pt>
                <c:pt idx="60">
                  <c:v>91</c:v>
                </c:pt>
                <c:pt idx="61">
                  <c:v>68</c:v>
                </c:pt>
                <c:pt idx="62">
                  <c:v>90</c:v>
                </c:pt>
                <c:pt idx="63">
                  <c:v>59</c:v>
                </c:pt>
                <c:pt idx="64">
                  <c:v>70</c:v>
                </c:pt>
                <c:pt idx="65">
                  <c:v>78</c:v>
                </c:pt>
                <c:pt idx="66">
                  <c:v>76</c:v>
                </c:pt>
                <c:pt idx="67">
                  <c:v>64</c:v>
                </c:pt>
                <c:pt idx="68">
                  <c:v>79</c:v>
                </c:pt>
                <c:pt idx="69">
                  <c:v>80</c:v>
                </c:pt>
                <c:pt idx="70">
                  <c:v>79</c:v>
                </c:pt>
                <c:pt idx="71">
                  <c:v>73</c:v>
                </c:pt>
                <c:pt idx="72">
                  <c:v>90</c:v>
                </c:pt>
                <c:pt idx="73">
                  <c:v>57</c:v>
                </c:pt>
                <c:pt idx="74">
                  <c:v>69</c:v>
                </c:pt>
                <c:pt idx="75">
                  <c:v>80</c:v>
                </c:pt>
                <c:pt idx="76">
                  <c:v>79</c:v>
                </c:pt>
                <c:pt idx="77">
                  <c:v>59</c:v>
                </c:pt>
                <c:pt idx="78">
                  <c:v>80</c:v>
                </c:pt>
                <c:pt idx="79">
                  <c:v>68</c:v>
                </c:pt>
                <c:pt idx="80">
                  <c:v>54</c:v>
                </c:pt>
                <c:pt idx="81">
                  <c:v>79</c:v>
                </c:pt>
                <c:pt idx="82">
                  <c:v>87</c:v>
                </c:pt>
                <c:pt idx="83">
                  <c:v>98</c:v>
                </c:pt>
                <c:pt idx="84">
                  <c:v>69</c:v>
                </c:pt>
                <c:pt idx="85">
                  <c:v>68</c:v>
                </c:pt>
                <c:pt idx="86">
                  <c:v>83</c:v>
                </c:pt>
                <c:pt idx="87">
                  <c:v>84</c:v>
                </c:pt>
                <c:pt idx="88">
                  <c:v>83</c:v>
                </c:pt>
                <c:pt idx="89">
                  <c:v>76</c:v>
                </c:pt>
                <c:pt idx="90">
                  <c:v>64</c:v>
                </c:pt>
                <c:pt idx="91">
                  <c:v>79</c:v>
                </c:pt>
                <c:pt idx="92">
                  <c:v>71</c:v>
                </c:pt>
                <c:pt idx="93">
                  <c:v>71</c:v>
                </c:pt>
                <c:pt idx="94">
                  <c:v>77</c:v>
                </c:pt>
                <c:pt idx="95">
                  <c:v>71</c:v>
                </c:pt>
                <c:pt idx="96">
                  <c:v>67</c:v>
                </c:pt>
                <c:pt idx="97">
                  <c:v>85</c:v>
                </c:pt>
                <c:pt idx="98">
                  <c:v>81</c:v>
                </c:pt>
                <c:pt idx="99">
                  <c:v>82</c:v>
                </c:pt>
                <c:pt idx="100">
                  <c:v>77</c:v>
                </c:pt>
                <c:pt idx="101">
                  <c:v>85</c:v>
                </c:pt>
                <c:pt idx="102">
                  <c:v>83</c:v>
                </c:pt>
                <c:pt idx="103">
                  <c:v>66</c:v>
                </c:pt>
                <c:pt idx="104">
                  <c:v>87</c:v>
                </c:pt>
                <c:pt idx="105">
                  <c:v>72</c:v>
                </c:pt>
                <c:pt idx="106">
                  <c:v>60</c:v>
                </c:pt>
                <c:pt idx="107">
                  <c:v>83</c:v>
                </c:pt>
                <c:pt idx="108">
                  <c:v>66</c:v>
                </c:pt>
                <c:pt idx="109">
                  <c:v>85</c:v>
                </c:pt>
                <c:pt idx="110">
                  <c:v>62</c:v>
                </c:pt>
                <c:pt idx="111">
                  <c:v>68</c:v>
                </c:pt>
                <c:pt idx="112">
                  <c:v>85</c:v>
                </c:pt>
                <c:pt idx="113">
                  <c:v>76</c:v>
                </c:pt>
                <c:pt idx="114">
                  <c:v>83</c:v>
                </c:pt>
                <c:pt idx="115">
                  <c:v>96</c:v>
                </c:pt>
                <c:pt idx="116">
                  <c:v>78</c:v>
                </c:pt>
                <c:pt idx="117">
                  <c:v>88</c:v>
                </c:pt>
                <c:pt idx="118">
                  <c:v>68</c:v>
                </c:pt>
                <c:pt idx="119">
                  <c:v>81</c:v>
                </c:pt>
                <c:pt idx="120">
                  <c:v>85</c:v>
                </c:pt>
                <c:pt idx="121">
                  <c:v>55</c:v>
                </c:pt>
                <c:pt idx="122">
                  <c:v>72</c:v>
                </c:pt>
                <c:pt idx="123">
                  <c:v>83</c:v>
                </c:pt>
                <c:pt idx="124">
                  <c:v>63</c:v>
                </c:pt>
                <c:pt idx="125">
                  <c:v>93</c:v>
                </c:pt>
                <c:pt idx="126">
                  <c:v>62</c:v>
                </c:pt>
                <c:pt idx="127">
                  <c:v>85</c:v>
                </c:pt>
                <c:pt idx="128">
                  <c:v>78</c:v>
                </c:pt>
                <c:pt idx="129">
                  <c:v>74</c:v>
                </c:pt>
                <c:pt idx="130">
                  <c:v>89</c:v>
                </c:pt>
                <c:pt idx="131">
                  <c:v>67</c:v>
                </c:pt>
                <c:pt idx="132">
                  <c:v>78</c:v>
                </c:pt>
                <c:pt idx="133">
                  <c:v>77</c:v>
                </c:pt>
                <c:pt idx="134">
                  <c:v>67</c:v>
                </c:pt>
                <c:pt idx="135">
                  <c:v>83</c:v>
                </c:pt>
                <c:pt idx="136">
                  <c:v>63</c:v>
                </c:pt>
                <c:pt idx="137">
                  <c:v>90</c:v>
                </c:pt>
                <c:pt idx="138">
                  <c:v>69</c:v>
                </c:pt>
                <c:pt idx="139">
                  <c:v>89</c:v>
                </c:pt>
                <c:pt idx="140">
                  <c:v>76</c:v>
                </c:pt>
                <c:pt idx="141">
                  <c:v>79</c:v>
                </c:pt>
                <c:pt idx="142">
                  <c:v>72</c:v>
                </c:pt>
                <c:pt idx="143">
                  <c:v>62</c:v>
                </c:pt>
                <c:pt idx="144">
                  <c:v>76</c:v>
                </c:pt>
                <c:pt idx="145">
                  <c:v>79</c:v>
                </c:pt>
                <c:pt idx="146">
                  <c:v>94</c:v>
                </c:pt>
                <c:pt idx="147">
                  <c:v>89</c:v>
                </c:pt>
                <c:pt idx="148">
                  <c:v>74</c:v>
                </c:pt>
                <c:pt idx="149">
                  <c:v>85</c:v>
                </c:pt>
                <c:pt idx="150">
                  <c:v>82</c:v>
                </c:pt>
                <c:pt idx="151">
                  <c:v>63</c:v>
                </c:pt>
                <c:pt idx="152">
                  <c:v>78</c:v>
                </c:pt>
                <c:pt idx="153">
                  <c:v>77</c:v>
                </c:pt>
                <c:pt idx="154">
                  <c:v>79</c:v>
                </c:pt>
                <c:pt idx="155">
                  <c:v>83</c:v>
                </c:pt>
                <c:pt idx="156">
                  <c:v>53</c:v>
                </c:pt>
                <c:pt idx="157">
                  <c:v>78</c:v>
                </c:pt>
                <c:pt idx="158">
                  <c:v>85</c:v>
                </c:pt>
                <c:pt idx="159">
                  <c:v>59</c:v>
                </c:pt>
                <c:pt idx="160">
                  <c:v>82</c:v>
                </c:pt>
                <c:pt idx="161">
                  <c:v>62</c:v>
                </c:pt>
                <c:pt idx="162">
                  <c:v>82</c:v>
                </c:pt>
                <c:pt idx="163">
                  <c:v>77</c:v>
                </c:pt>
                <c:pt idx="164">
                  <c:v>96</c:v>
                </c:pt>
                <c:pt idx="165">
                  <c:v>76</c:v>
                </c:pt>
                <c:pt idx="166">
                  <c:v>84</c:v>
                </c:pt>
                <c:pt idx="167">
                  <c:v>92</c:v>
                </c:pt>
                <c:pt idx="168">
                  <c:v>80</c:v>
                </c:pt>
                <c:pt idx="169">
                  <c:v>95</c:v>
                </c:pt>
                <c:pt idx="170">
                  <c:v>72</c:v>
                </c:pt>
                <c:pt idx="171">
                  <c:v>81</c:v>
                </c:pt>
                <c:pt idx="172">
                  <c:v>70</c:v>
                </c:pt>
                <c:pt idx="173">
                  <c:v>95</c:v>
                </c:pt>
                <c:pt idx="174">
                  <c:v>72</c:v>
                </c:pt>
                <c:pt idx="175">
                  <c:v>82</c:v>
                </c:pt>
                <c:pt idx="176">
                  <c:v>71</c:v>
                </c:pt>
                <c:pt idx="177">
                  <c:v>90</c:v>
                </c:pt>
                <c:pt idx="178">
                  <c:v>79</c:v>
                </c:pt>
                <c:pt idx="179">
                  <c:v>81</c:v>
                </c:pt>
                <c:pt idx="180">
                  <c:v>64</c:v>
                </c:pt>
                <c:pt idx="181">
                  <c:v>61</c:v>
                </c:pt>
                <c:pt idx="182">
                  <c:v>87</c:v>
                </c:pt>
                <c:pt idx="183">
                  <c:v>96</c:v>
                </c:pt>
                <c:pt idx="184">
                  <c:v>76</c:v>
                </c:pt>
                <c:pt idx="185">
                  <c:v>81</c:v>
                </c:pt>
                <c:pt idx="186">
                  <c:v>65</c:v>
                </c:pt>
                <c:pt idx="187">
                  <c:v>87</c:v>
                </c:pt>
                <c:pt idx="188">
                  <c:v>67</c:v>
                </c:pt>
                <c:pt idx="189">
                  <c:v>87</c:v>
                </c:pt>
                <c:pt idx="190">
                  <c:v>85</c:v>
                </c:pt>
                <c:pt idx="191">
                  <c:v>58</c:v>
                </c:pt>
                <c:pt idx="192">
                  <c:v>71</c:v>
                </c:pt>
                <c:pt idx="193">
                  <c:v>85</c:v>
                </c:pt>
                <c:pt idx="194">
                  <c:v>68</c:v>
                </c:pt>
                <c:pt idx="195">
                  <c:v>79</c:v>
                </c:pt>
                <c:pt idx="196">
                  <c:v>70</c:v>
                </c:pt>
                <c:pt idx="197">
                  <c:v>81</c:v>
                </c:pt>
                <c:pt idx="198">
                  <c:v>78</c:v>
                </c:pt>
                <c:pt idx="199">
                  <c:v>101</c:v>
                </c:pt>
                <c:pt idx="200">
                  <c:v>77</c:v>
                </c:pt>
                <c:pt idx="201">
                  <c:v>89</c:v>
                </c:pt>
                <c:pt idx="202">
                  <c:v>81</c:v>
                </c:pt>
                <c:pt idx="203">
                  <c:v>69</c:v>
                </c:pt>
                <c:pt idx="204">
                  <c:v>80</c:v>
                </c:pt>
                <c:pt idx="205">
                  <c:v>66</c:v>
                </c:pt>
                <c:pt idx="206">
                  <c:v>82</c:v>
                </c:pt>
                <c:pt idx="207">
                  <c:v>68</c:v>
                </c:pt>
                <c:pt idx="208">
                  <c:v>79</c:v>
                </c:pt>
                <c:pt idx="209">
                  <c:v>92</c:v>
                </c:pt>
                <c:pt idx="210">
                  <c:v>73</c:v>
                </c:pt>
                <c:pt idx="211">
                  <c:v>90</c:v>
                </c:pt>
                <c:pt idx="212">
                  <c:v>93</c:v>
                </c:pt>
                <c:pt idx="213">
                  <c:v>81</c:v>
                </c:pt>
                <c:pt idx="214">
                  <c:v>85</c:v>
                </c:pt>
                <c:pt idx="215">
                  <c:v>66</c:v>
                </c:pt>
                <c:pt idx="216">
                  <c:v>58</c:v>
                </c:pt>
                <c:pt idx="217">
                  <c:v>74</c:v>
                </c:pt>
                <c:pt idx="218">
                  <c:v>93</c:v>
                </c:pt>
                <c:pt idx="219">
                  <c:v>75</c:v>
                </c:pt>
                <c:pt idx="220">
                  <c:v>94</c:v>
                </c:pt>
                <c:pt idx="221">
                  <c:v>85</c:v>
                </c:pt>
                <c:pt idx="222">
                  <c:v>59</c:v>
                </c:pt>
                <c:pt idx="223">
                  <c:v>81</c:v>
                </c:pt>
                <c:pt idx="224">
                  <c:v>65</c:v>
                </c:pt>
                <c:pt idx="225">
                  <c:v>70</c:v>
                </c:pt>
                <c:pt idx="226">
                  <c:v>67</c:v>
                </c:pt>
                <c:pt idx="227">
                  <c:v>73</c:v>
                </c:pt>
                <c:pt idx="228">
                  <c:v>58</c:v>
                </c:pt>
                <c:pt idx="229">
                  <c:v>58</c:v>
                </c:pt>
                <c:pt idx="230">
                  <c:v>80</c:v>
                </c:pt>
                <c:pt idx="231">
                  <c:v>67</c:v>
                </c:pt>
                <c:pt idx="232">
                  <c:v>64</c:v>
                </c:pt>
                <c:pt idx="233">
                  <c:v>82</c:v>
                </c:pt>
                <c:pt idx="234">
                  <c:v>70</c:v>
                </c:pt>
                <c:pt idx="235">
                  <c:v>68</c:v>
                </c:pt>
                <c:pt idx="236">
                  <c:v>50</c:v>
                </c:pt>
                <c:pt idx="237">
                  <c:v>82</c:v>
                </c:pt>
                <c:pt idx="238">
                  <c:v>79</c:v>
                </c:pt>
                <c:pt idx="239">
                  <c:v>81</c:v>
                </c:pt>
                <c:pt idx="240">
                  <c:v>85</c:v>
                </c:pt>
                <c:pt idx="241">
                  <c:v>84</c:v>
                </c:pt>
                <c:pt idx="242">
                  <c:v>94</c:v>
                </c:pt>
                <c:pt idx="243">
                  <c:v>81</c:v>
                </c:pt>
                <c:pt idx="244">
                  <c:v>80</c:v>
                </c:pt>
                <c:pt idx="245">
                  <c:v>71</c:v>
                </c:pt>
                <c:pt idx="246">
                  <c:v>86</c:v>
                </c:pt>
                <c:pt idx="247">
                  <c:v>95</c:v>
                </c:pt>
                <c:pt idx="248">
                  <c:v>76</c:v>
                </c:pt>
                <c:pt idx="249">
                  <c:v>84</c:v>
                </c:pt>
                <c:pt idx="250">
                  <c:v>68</c:v>
                </c:pt>
                <c:pt idx="251">
                  <c:v>73</c:v>
                </c:pt>
                <c:pt idx="252">
                  <c:v>77</c:v>
                </c:pt>
                <c:pt idx="253">
                  <c:v>68</c:v>
                </c:pt>
                <c:pt idx="254">
                  <c:v>89</c:v>
                </c:pt>
                <c:pt idx="255">
                  <c:v>84</c:v>
                </c:pt>
                <c:pt idx="256">
                  <c:v>98</c:v>
                </c:pt>
                <c:pt idx="257">
                  <c:v>48</c:v>
                </c:pt>
                <c:pt idx="258">
                  <c:v>76</c:v>
                </c:pt>
                <c:pt idx="259">
                  <c:v>64</c:v>
                </c:pt>
                <c:pt idx="260">
                  <c:v>77</c:v>
                </c:pt>
                <c:pt idx="261">
                  <c:v>77</c:v>
                </c:pt>
                <c:pt idx="262">
                  <c:v>67</c:v>
                </c:pt>
                <c:pt idx="263">
                  <c:v>65</c:v>
                </c:pt>
                <c:pt idx="264">
                  <c:v>71</c:v>
                </c:pt>
                <c:pt idx="265">
                  <c:v>79</c:v>
                </c:pt>
                <c:pt idx="266">
                  <c:v>79</c:v>
                </c:pt>
                <c:pt idx="267">
                  <c:v>61</c:v>
                </c:pt>
                <c:pt idx="268">
                  <c:v>81</c:v>
                </c:pt>
                <c:pt idx="269">
                  <c:v>70</c:v>
                </c:pt>
                <c:pt idx="270">
                  <c:v>59</c:v>
                </c:pt>
                <c:pt idx="271">
                  <c:v>90</c:v>
                </c:pt>
                <c:pt idx="272">
                  <c:v>85</c:v>
                </c:pt>
                <c:pt idx="273">
                  <c:v>96</c:v>
                </c:pt>
                <c:pt idx="274">
                  <c:v>67</c:v>
                </c:pt>
                <c:pt idx="275">
                  <c:v>91</c:v>
                </c:pt>
                <c:pt idx="276">
                  <c:v>79</c:v>
                </c:pt>
                <c:pt idx="277">
                  <c:v>67</c:v>
                </c:pt>
                <c:pt idx="278">
                  <c:v>74</c:v>
                </c:pt>
                <c:pt idx="279">
                  <c:v>66</c:v>
                </c:pt>
                <c:pt idx="280">
                  <c:v>99</c:v>
                </c:pt>
                <c:pt idx="281">
                  <c:v>87</c:v>
                </c:pt>
                <c:pt idx="282">
                  <c:v>68</c:v>
                </c:pt>
                <c:pt idx="283">
                  <c:v>68</c:v>
                </c:pt>
                <c:pt idx="284">
                  <c:v>64</c:v>
                </c:pt>
                <c:pt idx="285">
                  <c:v>90</c:v>
                </c:pt>
                <c:pt idx="286">
                  <c:v>81</c:v>
                </c:pt>
                <c:pt idx="287">
                  <c:v>95</c:v>
                </c:pt>
                <c:pt idx="288">
                  <c:v>72</c:v>
                </c:pt>
                <c:pt idx="289">
                  <c:v>82</c:v>
                </c:pt>
                <c:pt idx="290">
                  <c:v>74</c:v>
                </c:pt>
                <c:pt idx="291">
                  <c:v>63</c:v>
                </c:pt>
                <c:pt idx="292">
                  <c:v>64</c:v>
                </c:pt>
                <c:pt idx="293">
                  <c:v>78</c:v>
                </c:pt>
                <c:pt idx="294">
                  <c:v>66</c:v>
                </c:pt>
                <c:pt idx="295">
                  <c:v>76</c:v>
                </c:pt>
                <c:pt idx="296">
                  <c:v>73</c:v>
                </c:pt>
                <c:pt idx="297">
                  <c:v>66</c:v>
                </c:pt>
                <c:pt idx="298">
                  <c:v>86</c:v>
                </c:pt>
                <c:pt idx="299">
                  <c:v>84</c:v>
                </c:pt>
                <c:pt idx="300">
                  <c:v>78</c:v>
                </c:pt>
                <c:pt idx="301">
                  <c:v>95</c:v>
                </c:pt>
                <c:pt idx="302">
                  <c:v>69</c:v>
                </c:pt>
                <c:pt idx="303">
                  <c:v>90</c:v>
                </c:pt>
                <c:pt idx="304">
                  <c:v>86</c:v>
                </c:pt>
                <c:pt idx="305">
                  <c:v>78</c:v>
                </c:pt>
                <c:pt idx="306">
                  <c:v>78</c:v>
                </c:pt>
                <c:pt idx="307">
                  <c:v>90</c:v>
                </c:pt>
                <c:pt idx="308">
                  <c:v>71</c:v>
                </c:pt>
                <c:pt idx="309">
                  <c:v>94</c:v>
                </c:pt>
                <c:pt idx="310">
                  <c:v>82</c:v>
                </c:pt>
                <c:pt idx="311">
                  <c:v>68</c:v>
                </c:pt>
                <c:pt idx="312">
                  <c:v>79</c:v>
                </c:pt>
                <c:pt idx="313">
                  <c:v>70</c:v>
                </c:pt>
                <c:pt idx="314">
                  <c:v>72</c:v>
                </c:pt>
                <c:pt idx="315">
                  <c:v>78</c:v>
                </c:pt>
                <c:pt idx="316">
                  <c:v>93</c:v>
                </c:pt>
                <c:pt idx="317">
                  <c:v>52</c:v>
                </c:pt>
                <c:pt idx="318">
                  <c:v>80</c:v>
                </c:pt>
                <c:pt idx="319">
                  <c:v>61</c:v>
                </c:pt>
                <c:pt idx="320">
                  <c:v>82</c:v>
                </c:pt>
                <c:pt idx="321">
                  <c:v>70</c:v>
                </c:pt>
                <c:pt idx="322">
                  <c:v>66</c:v>
                </c:pt>
                <c:pt idx="323">
                  <c:v>64</c:v>
                </c:pt>
                <c:pt idx="324">
                  <c:v>63</c:v>
                </c:pt>
                <c:pt idx="325">
                  <c:v>57</c:v>
                </c:pt>
                <c:pt idx="326">
                  <c:v>87</c:v>
                </c:pt>
                <c:pt idx="327">
                  <c:v>83</c:v>
                </c:pt>
                <c:pt idx="328">
                  <c:v>93</c:v>
                </c:pt>
                <c:pt idx="329">
                  <c:v>66</c:v>
                </c:pt>
                <c:pt idx="330">
                  <c:v>85</c:v>
                </c:pt>
                <c:pt idx="331">
                  <c:v>78</c:v>
                </c:pt>
                <c:pt idx="332">
                  <c:v>83</c:v>
                </c:pt>
                <c:pt idx="333">
                  <c:v>62</c:v>
                </c:pt>
                <c:pt idx="334">
                  <c:v>78</c:v>
                </c:pt>
                <c:pt idx="335">
                  <c:v>77</c:v>
                </c:pt>
                <c:pt idx="336">
                  <c:v>64</c:v>
                </c:pt>
                <c:pt idx="337">
                  <c:v>81</c:v>
                </c:pt>
                <c:pt idx="338">
                  <c:v>81</c:v>
                </c:pt>
                <c:pt idx="339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C2-4BF9-ADED-0EA0F7B6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731840"/>
        <c:axId val="1"/>
      </c:lineChart>
      <c:dateAx>
        <c:axId val="3657318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months"/>
      </c:date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318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2836009135221739E-2"/>
          <c:y val="0.78959204760038471"/>
          <c:w val="0.27520032723182331"/>
          <c:h val="0.10181066733174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F51-4750-8852-1002B283E0E2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51-4750-8852-1002B283E0E2}"/>
              </c:ext>
            </c:extLst>
          </c:dPt>
          <c:val>
            <c:numRef>
              <c:f>Calcs!$C$51:$D$51</c:f>
              <c:numCache>
                <c:formatCode>0%</c:formatCode>
                <c:ptCount val="2"/>
                <c:pt idx="0">
                  <c:v>0.3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1-4750-8852-1002B283E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F3E-4B4F-8666-17788A4AD271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3E-4B4F-8666-17788A4AD271}"/>
              </c:ext>
            </c:extLst>
          </c:dPt>
          <c:val>
            <c:numRef>
              <c:f>Calcs!$C$52:$D$52</c:f>
              <c:numCache>
                <c:formatCode>0%</c:formatCode>
                <c:ptCount val="2"/>
                <c:pt idx="0">
                  <c:v>0.68249999999999988</c:v>
                </c:pt>
                <c:pt idx="1">
                  <c:v>0.31750000000000012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3E-4B4F-8666-17788A4A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50069877628931"/>
          <c:y val="8.9844105057337614E-2"/>
          <c:w val="0.81378082285168896"/>
          <c:h val="0.80145935494717968"/>
        </c:manualLayout>
      </c:layout>
      <c:scatterChart>
        <c:scatterStyle val="lineMarker"/>
        <c:varyColors val="0"/>
        <c:ser>
          <c:idx val="6"/>
          <c:order val="0"/>
          <c:tx>
            <c:strRef>
              <c:f>Charts!$B$2</c:f>
              <c:strCache>
                <c:ptCount val="1"/>
                <c:pt idx="0">
                  <c:v>Household</c:v>
                </c:pt>
              </c:strCache>
            </c:strRef>
          </c:tx>
          <c:spPr>
            <a:ln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6095303069065826E-2"/>
                  <c:y val="3.477562439365566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Charts!$H$2:$I$2</c:f>
              <c:numCache>
                <c:formatCode>0%</c:formatCode>
                <c:ptCount val="2"/>
                <c:pt idx="0">
                  <c:v>0.22</c:v>
                </c:pt>
                <c:pt idx="1">
                  <c:v>0.22</c:v>
                </c:pt>
              </c:numCache>
            </c:numRef>
          </c:xVal>
          <c:yVal>
            <c:numRef>
              <c:f>Charts!$F$2:$G$2</c:f>
              <c:numCache>
                <c:formatCode>0%</c:formatCode>
                <c:ptCount val="2"/>
                <c:pt idx="0">
                  <c:v>0.06</c:v>
                </c:pt>
                <c:pt idx="1">
                  <c:v>0.33672955974842766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5E-4805-ABFB-DFB2E0DA5E1B}"/>
            </c:ext>
          </c:extLst>
        </c:ser>
        <c:ser>
          <c:idx val="17"/>
          <c:order val="1"/>
          <c:tx>
            <c:strRef>
              <c:f>Charts!$B$6</c:f>
              <c:strCache>
                <c:ptCount val="1"/>
                <c:pt idx="0">
                  <c:v>IT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1289026597307166E-3"/>
                  <c:y val="2.33143063420797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Charts!$H$6:$I$6</c:f>
              <c:numCache>
                <c:formatCode>0%</c:formatCode>
                <c:ptCount val="2"/>
                <c:pt idx="0">
                  <c:v>0.21</c:v>
                </c:pt>
                <c:pt idx="1">
                  <c:v>0.21</c:v>
                </c:pt>
              </c:numCache>
            </c:numRef>
          </c:xVal>
          <c:yVal>
            <c:numRef>
              <c:f>Charts!$F$6:$G$6</c:f>
              <c:numCache>
                <c:formatCode>0%</c:formatCode>
                <c:ptCount val="2"/>
                <c:pt idx="0">
                  <c:v>-0.06</c:v>
                </c:pt>
                <c:pt idx="1">
                  <c:v>4.6918238993710698E-2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5E-4805-ABFB-DFB2E0DA5E1B}"/>
            </c:ext>
          </c:extLst>
        </c:ser>
        <c:ser>
          <c:idx val="18"/>
          <c:order val="2"/>
          <c:tx>
            <c:strRef>
              <c:f>Charts!$B$5</c:f>
              <c:strCache>
                <c:ptCount val="1"/>
                <c:pt idx="0">
                  <c:v>Clothing</c:v>
                </c:pt>
              </c:strCache>
            </c:strRef>
          </c:tx>
          <c:spPr>
            <a:ln>
              <a:solidFill>
                <a:schemeClr val="accent1">
                  <a:lumMod val="20000"/>
                  <a:lumOff val="80000"/>
                </a:schemeClr>
              </a:solidFill>
              <a:headEnd type="oval" w="lg" len="lg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6-AD5E-4805-ABFB-DFB2E0DA5E1B}"/>
              </c:ext>
            </c:extLst>
          </c:dPt>
          <c:dLbls>
            <c:dLbl>
              <c:idx val="0"/>
              <c:layout>
                <c:manualLayout>
                  <c:x val="-0.18387374305484536"/>
                  <c:y val="-1.115364138201586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Charts!$H$5:$I$5</c:f>
              <c:numCache>
                <c:formatCode>0%</c:formatCode>
                <c:ptCount val="2"/>
                <c:pt idx="0">
                  <c:v>0.16</c:v>
                </c:pt>
                <c:pt idx="1">
                  <c:v>0.16</c:v>
                </c:pt>
              </c:numCache>
            </c:numRef>
          </c:xVal>
          <c:yVal>
            <c:numRef>
              <c:f>Charts!$F$5:$G$5</c:f>
              <c:numCache>
                <c:formatCode>0%</c:formatCode>
                <c:ptCount val="2"/>
                <c:pt idx="0">
                  <c:v>0.15</c:v>
                </c:pt>
                <c:pt idx="1">
                  <c:v>0.35440251572327042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5E-4805-ABFB-DFB2E0DA5E1B}"/>
            </c:ext>
          </c:extLst>
        </c:ser>
        <c:ser>
          <c:idx val="12"/>
          <c:order val="3"/>
          <c:tx>
            <c:strRef>
              <c:f>Charts!$B$4</c:f>
              <c:strCache>
                <c:ptCount val="1"/>
                <c:pt idx="0">
                  <c:v>Hardware</c:v>
                </c:pt>
              </c:strCache>
            </c:strRef>
          </c:tx>
          <c:spPr>
            <a:ln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199170416197975"/>
                  <c:y val="4.24165030947062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Charts!$H$4:$I$4</c:f>
              <c:numCache>
                <c:formatCode>0%</c:formatCode>
                <c:ptCount val="2"/>
                <c:pt idx="0">
                  <c:v>9.5000000000000001E-2</c:v>
                </c:pt>
                <c:pt idx="1">
                  <c:v>9.5000000000000001E-2</c:v>
                </c:pt>
              </c:numCache>
            </c:numRef>
          </c:xVal>
          <c:yVal>
            <c:numRef>
              <c:f>Charts!$F$4:$G$4</c:f>
              <c:numCache>
                <c:formatCode>0%</c:formatCode>
                <c:ptCount val="2"/>
                <c:pt idx="0">
                  <c:v>-0.03</c:v>
                </c:pt>
                <c:pt idx="1">
                  <c:v>0.12094339622641509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5E-4805-ABFB-DFB2E0DA5E1B}"/>
            </c:ext>
          </c:extLst>
        </c:ser>
        <c:ser>
          <c:idx val="4"/>
          <c:order val="4"/>
          <c:tx>
            <c:strRef>
              <c:f>Charts!$B$3</c:f>
              <c:strCache>
                <c:ptCount val="1"/>
                <c:pt idx="0">
                  <c:v>Furniture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5884381780797256E-2"/>
                  <c:y val="4.202483285577841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Charts!$H$3:$I$3</c:f>
              <c:numCache>
                <c:formatCode>0%</c:formatCode>
                <c:ptCount val="2"/>
                <c:pt idx="0">
                  <c:v>0.31</c:v>
                </c:pt>
                <c:pt idx="1">
                  <c:v>0.31</c:v>
                </c:pt>
              </c:numCache>
            </c:numRef>
          </c:xVal>
          <c:yVal>
            <c:numRef>
              <c:f>Charts!$F$3:$G$3</c:f>
              <c:numCache>
                <c:formatCode>0%</c:formatCode>
                <c:ptCount val="2"/>
                <c:pt idx="0">
                  <c:v>0</c:v>
                </c:pt>
                <c:pt idx="1">
                  <c:v>0.2610062893081761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D5E-4805-ABFB-DFB2E0DA5E1B}"/>
            </c:ext>
          </c:extLst>
        </c:ser>
        <c:ser>
          <c:idx val="20"/>
          <c:order val="5"/>
          <c:tx>
            <c:v>axis_v</c:v>
          </c:tx>
          <c:spPr>
            <a:ln w="28575">
              <a:noFill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xVal>
          <c:yVal>
            <c:numLit>
              <c:formatCode>General</c:formatCode>
              <c:ptCount val="5"/>
              <c:pt idx="0">
                <c:v>-0.05</c:v>
              </c:pt>
              <c:pt idx="1">
                <c:v>0.05</c:v>
              </c:pt>
              <c:pt idx="2">
                <c:v>0.15</c:v>
              </c:pt>
              <c:pt idx="3">
                <c:v>0.25</c:v>
              </c:pt>
              <c:pt idx="4">
                <c:v>0.35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AD5E-4805-ABFB-DFB2E0DA5E1B}"/>
            </c:ext>
          </c:extLst>
        </c:ser>
        <c:ser>
          <c:idx val="21"/>
          <c:order val="6"/>
          <c:tx>
            <c:v>axis_h</c:v>
          </c:tx>
          <c:spPr>
            <a:ln>
              <a:noFill/>
            </a:ln>
          </c:spPr>
          <c:marker>
            <c:symbol val="none"/>
          </c:marker>
          <c:xVal>
            <c:numLit>
              <c:formatCode>General</c:formatCode>
              <c:ptCount val="6"/>
              <c:pt idx="0">
                <c:v>0.05</c:v>
              </c:pt>
              <c:pt idx="1">
                <c:v>0.15000000000000002</c:v>
              </c:pt>
              <c:pt idx="2">
                <c:v>0.25</c:v>
              </c:pt>
              <c:pt idx="3">
                <c:v>0.35</c:v>
              </c:pt>
              <c:pt idx="4">
                <c:v>0.44999999999999996</c:v>
              </c:pt>
              <c:pt idx="5">
                <c:v>0.54999999999999993</c:v>
              </c:pt>
            </c:numLit>
          </c:xVal>
          <c:yVal>
            <c:numLit>
              <c:formatCode>General</c:formatCode>
              <c:ptCount val="6"/>
              <c:pt idx="0">
                <c:v>0.4</c:v>
              </c:pt>
              <c:pt idx="1">
                <c:v>0.4</c:v>
              </c:pt>
              <c:pt idx="2">
                <c:v>0.4</c:v>
              </c:pt>
              <c:pt idx="3">
                <c:v>0.4</c:v>
              </c:pt>
              <c:pt idx="4">
                <c:v>0.4</c:v>
              </c:pt>
              <c:pt idx="5">
                <c:v>0.4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AD5E-4805-ABFB-DFB2E0DA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87544"/>
        <c:axId val="1"/>
      </c:scatterChart>
      <c:valAx>
        <c:axId val="366787544"/>
        <c:scaling>
          <c:orientation val="minMax"/>
          <c:max val="0.4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5"/>
          <c:min val="-0.1"/>
        </c:scaling>
        <c:delete val="0"/>
        <c:axPos val="l"/>
        <c:majorGridlines>
          <c:spPr>
            <a:ln w="9525"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366787544"/>
        <c:crossesAt val="7.0000000000000021E-2"/>
        <c:crossBetween val="midCat"/>
        <c:majorUnit val="0.1"/>
        <c:minorUnit val="0.05"/>
      </c:valAx>
      <c:spPr>
        <a:solidFill>
          <a:schemeClr val="bg1">
            <a:alpha val="47000"/>
          </a:schemeClr>
        </a:solidFill>
        <a:ln w="12700"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275826476746594E-2"/>
          <c:y val="0.10073642528787947"/>
          <c:w val="0.89564107857304354"/>
          <c:h val="0.722710239254775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Calcs!$B$65</c:f>
              <c:strCache>
                <c:ptCount val="1"/>
                <c:pt idx="0">
                  <c:v>Termination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Calcs!$C$64:$N$64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Calcs!$C$65:$N$65</c:f>
              <c:numCache>
                <c:formatCode>General</c:formatCode>
                <c:ptCount val="12"/>
                <c:pt idx="0">
                  <c:v>-25</c:v>
                </c:pt>
                <c:pt idx="1">
                  <c:v>-14</c:v>
                </c:pt>
                <c:pt idx="2">
                  <c:v>-14</c:v>
                </c:pt>
                <c:pt idx="3">
                  <c:v>-11</c:v>
                </c:pt>
                <c:pt idx="4">
                  <c:v>-11</c:v>
                </c:pt>
                <c:pt idx="5">
                  <c:v>-9</c:v>
                </c:pt>
                <c:pt idx="6">
                  <c:v>-15</c:v>
                </c:pt>
                <c:pt idx="7">
                  <c:v>-4</c:v>
                </c:pt>
                <c:pt idx="8">
                  <c:v>-7</c:v>
                </c:pt>
                <c:pt idx="9">
                  <c:v>-1</c:v>
                </c:pt>
                <c:pt idx="10">
                  <c:v>-3</c:v>
                </c:pt>
                <c:pt idx="11">
                  <c:v>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E-422F-829C-9DA7D400DEC8}"/>
            </c:ext>
          </c:extLst>
        </c:ser>
        <c:ser>
          <c:idx val="1"/>
          <c:order val="1"/>
          <c:tx>
            <c:strRef>
              <c:f>Calcs!$B$66</c:f>
              <c:strCache>
                <c:ptCount val="1"/>
                <c:pt idx="0">
                  <c:v>New Hires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</c:spPr>
          <c:invertIfNegative val="0"/>
          <c:cat>
            <c:strRef>
              <c:f>Calcs!$C$64:$N$64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Calcs!$C$66:$N$66</c:f>
              <c:numCache>
                <c:formatCode>General</c:formatCode>
                <c:ptCount val="12"/>
                <c:pt idx="0">
                  <c:v>19</c:v>
                </c:pt>
                <c:pt idx="1">
                  <c:v>34</c:v>
                </c:pt>
                <c:pt idx="2">
                  <c:v>16</c:v>
                </c:pt>
                <c:pt idx="3">
                  <c:v>13</c:v>
                </c:pt>
                <c:pt idx="4">
                  <c:v>14</c:v>
                </c:pt>
                <c:pt idx="5">
                  <c:v>22</c:v>
                </c:pt>
                <c:pt idx="6">
                  <c:v>33</c:v>
                </c:pt>
                <c:pt idx="7">
                  <c:v>45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E-422F-829C-9DA7D400D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5342976"/>
        <c:axId val="95344512"/>
      </c:barChart>
      <c:catAx>
        <c:axId val="95342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95344512"/>
        <c:crosses val="autoZero"/>
        <c:auto val="1"/>
        <c:lblAlgn val="ctr"/>
        <c:lblOffset val="100"/>
        <c:noMultiLvlLbl val="0"/>
      </c:catAx>
      <c:valAx>
        <c:axId val="95344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9534297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5" fmlaLink="Dashboard!$S$8" horiz="1" max="25" min="12" page="10" val="12"/>
</file>

<file path=xl/ctrlProps/ctrlProp2.xml><?xml version="1.0" encoding="utf-8"?>
<formControlPr xmlns="http://schemas.microsoft.com/office/spreadsheetml/2009/9/main" objectType="Drop" dropLines="5" dropStyle="combo" dx="22" fmlaLink="$B$17" fmlaRange="Lists!$B$2:$B$6" noThreeD="1" sel="1" val="0"/>
</file>

<file path=xl/ctrlProps/ctrlProp3.xml><?xml version="1.0" encoding="utf-8"?>
<formControlPr xmlns="http://schemas.microsoft.com/office/spreadsheetml/2009/9/main" objectType="Drop" dropLines="3" dropStyle="combo" dx="22" fmlaLink="$D$17" fmlaRange="Lists!$E$2:$E$4" noThreeD="1" sel="3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7.png"/><Relationship Id="rId26" Type="http://schemas.openxmlformats.org/officeDocument/2006/relationships/image" Target="../media/image20.png"/><Relationship Id="rId3" Type="http://schemas.openxmlformats.org/officeDocument/2006/relationships/image" Target="../media/image3.png"/><Relationship Id="rId21" Type="http://schemas.openxmlformats.org/officeDocument/2006/relationships/chart" Target="../charts/chart5.xml"/><Relationship Id="rId34" Type="http://schemas.openxmlformats.org/officeDocument/2006/relationships/image" Target="../media/image27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chart" Target="../charts/chart8.xml"/><Relationship Id="rId33" Type="http://schemas.openxmlformats.org/officeDocument/2006/relationships/image" Target="../media/image26.png"/><Relationship Id="rId2" Type="http://schemas.openxmlformats.org/officeDocument/2006/relationships/chart" Target="../charts/chart2.xml"/><Relationship Id="rId16" Type="http://schemas.openxmlformats.org/officeDocument/2006/relationships/chart" Target="../charts/chart3.xml"/><Relationship Id="rId20" Type="http://schemas.openxmlformats.org/officeDocument/2006/relationships/chart" Target="../charts/chart4.xml"/><Relationship Id="rId29" Type="http://schemas.openxmlformats.org/officeDocument/2006/relationships/image" Target="../media/image2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chart" Target="../charts/chart7.xml"/><Relationship Id="rId32" Type="http://schemas.openxmlformats.org/officeDocument/2006/relationships/image" Target="../media/image2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chart" Target="../charts/chart6.xml"/><Relationship Id="rId28" Type="http://schemas.microsoft.com/office/2007/relationships/hdphoto" Target="../media/hdphoto1.wdp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31" Type="http://schemas.openxmlformats.org/officeDocument/2006/relationships/chart" Target="../charts/chart9.xml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19.png"/><Relationship Id="rId27" Type="http://schemas.openxmlformats.org/officeDocument/2006/relationships/image" Target="../media/image21.png"/><Relationship Id="rId30" Type="http://schemas.openxmlformats.org/officeDocument/2006/relationships/image" Target="../media/image23.png"/><Relationship Id="rId35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65</xdr:row>
      <xdr:rowOff>19050</xdr:rowOff>
    </xdr:from>
    <xdr:to>
      <xdr:col>10</xdr:col>
      <xdr:colOff>257175</xdr:colOff>
      <xdr:row>66</xdr:row>
      <xdr:rowOff>150364</xdr:rowOff>
    </xdr:to>
    <xdr:sp macro="" textlink="">
      <xdr:nvSpPr>
        <xdr:cNvPr id="2" name="TextBox 1"/>
        <xdr:cNvSpPr txBox="1"/>
      </xdr:nvSpPr>
      <xdr:spPr>
        <a:xfrm>
          <a:off x="7153275" y="10544175"/>
          <a:ext cx="10096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New Projects</a:t>
          </a:r>
        </a:p>
      </xdr:txBody>
    </xdr:sp>
    <xdr:clientData/>
  </xdr:twoCellAnchor>
  <xdr:twoCellAnchor>
    <xdr:from>
      <xdr:col>12</xdr:col>
      <xdr:colOff>638175</xdr:colOff>
      <xdr:row>65</xdr:row>
      <xdr:rowOff>0</xdr:rowOff>
    </xdr:from>
    <xdr:to>
      <xdr:col>14</xdr:col>
      <xdr:colOff>19050</xdr:colOff>
      <xdr:row>66</xdr:row>
      <xdr:rowOff>131314</xdr:rowOff>
    </xdr:to>
    <xdr:sp macro="" textlink="">
      <xdr:nvSpPr>
        <xdr:cNvPr id="3" name="TextBox 2"/>
        <xdr:cNvSpPr txBox="1"/>
      </xdr:nvSpPr>
      <xdr:spPr>
        <a:xfrm>
          <a:off x="10048875" y="10525125"/>
          <a:ext cx="885825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Alliances</a:t>
          </a:r>
        </a:p>
      </xdr:txBody>
    </xdr:sp>
    <xdr:clientData/>
  </xdr:twoCellAnchor>
  <xdr:twoCellAnchor>
    <xdr:from>
      <xdr:col>10</xdr:col>
      <xdr:colOff>666750</xdr:colOff>
      <xdr:row>65</xdr:row>
      <xdr:rowOff>28575</xdr:rowOff>
    </xdr:from>
    <xdr:to>
      <xdr:col>12</xdr:col>
      <xdr:colOff>400050</xdr:colOff>
      <xdr:row>66</xdr:row>
      <xdr:rowOff>159889</xdr:rowOff>
    </xdr:to>
    <xdr:sp macro="" textlink="">
      <xdr:nvSpPr>
        <xdr:cNvPr id="4" name="TextBox 3"/>
        <xdr:cNvSpPr txBox="1"/>
      </xdr:nvSpPr>
      <xdr:spPr>
        <a:xfrm>
          <a:off x="8572500" y="10553700"/>
          <a:ext cx="12382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Social Campaigns</a:t>
          </a:r>
        </a:p>
      </xdr:txBody>
    </xdr:sp>
    <xdr:clientData/>
  </xdr:twoCellAnchor>
  <xdr:twoCellAnchor>
    <xdr:from>
      <xdr:col>14</xdr:col>
      <xdr:colOff>238125</xdr:colOff>
      <xdr:row>65</xdr:row>
      <xdr:rowOff>9525</xdr:rowOff>
    </xdr:from>
    <xdr:to>
      <xdr:col>16</xdr:col>
      <xdr:colOff>352425</xdr:colOff>
      <xdr:row>66</xdr:row>
      <xdr:rowOff>140839</xdr:rowOff>
    </xdr:to>
    <xdr:sp macro="" textlink="">
      <xdr:nvSpPr>
        <xdr:cNvPr id="5" name="TextBox 4"/>
        <xdr:cNvSpPr txBox="1"/>
      </xdr:nvSpPr>
      <xdr:spPr>
        <a:xfrm>
          <a:off x="11153775" y="10534650"/>
          <a:ext cx="133350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Community Projects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428625</xdr:colOff>
      <xdr:row>2</xdr:row>
      <xdr:rowOff>47625</xdr:rowOff>
    </xdr:from>
    <xdr:to>
      <xdr:col>17</xdr:col>
      <xdr:colOff>66675</xdr:colOff>
      <xdr:row>19</xdr:row>
      <xdr:rowOff>95250</xdr:rowOff>
    </xdr:to>
    <xdr:graphicFrame macro="">
      <xdr:nvGraphicFramePr>
        <xdr:cNvPr id="798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19</xdr:row>
      <xdr:rowOff>104775</xdr:rowOff>
    </xdr:from>
    <xdr:to>
      <xdr:col>15</xdr:col>
      <xdr:colOff>133350</xdr:colOff>
      <xdr:row>21</xdr:row>
      <xdr:rowOff>76200</xdr:rowOff>
    </xdr:to>
    <xdr:sp macro="" textlink="">
      <xdr:nvSpPr>
        <xdr:cNvPr id="3" name="TextBox 2"/>
        <xdr:cNvSpPr txBox="1"/>
      </xdr:nvSpPr>
      <xdr:spPr>
        <a:xfrm>
          <a:off x="8705850" y="3219450"/>
          <a:ext cx="11620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% of Profit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10</xdr:col>
      <xdr:colOff>233364</xdr:colOff>
      <xdr:row>9</xdr:row>
      <xdr:rowOff>66675</xdr:rowOff>
    </xdr:from>
    <xdr:to>
      <xdr:col>10</xdr:col>
      <xdr:colOff>528639</xdr:colOff>
      <xdr:row>13</xdr:row>
      <xdr:rowOff>109538</xdr:rowOff>
    </xdr:to>
    <xdr:sp macro="" textlink="">
      <xdr:nvSpPr>
        <xdr:cNvPr id="4" name="TextBox 3"/>
        <xdr:cNvSpPr txBox="1"/>
      </xdr:nvSpPr>
      <xdr:spPr>
        <a:xfrm rot="16200000">
          <a:off x="6722270" y="1759744"/>
          <a:ext cx="690563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Growth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219075</xdr:colOff>
      <xdr:row>22</xdr:row>
      <xdr:rowOff>19050</xdr:rowOff>
    </xdr:from>
    <xdr:to>
      <xdr:col>20</xdr:col>
      <xdr:colOff>190500</xdr:colOff>
      <xdr:row>24</xdr:row>
      <xdr:rowOff>180975</xdr:rowOff>
    </xdr:to>
    <xdr:pic>
      <xdr:nvPicPr>
        <xdr:cNvPr id="68101" name="Picture 203" descr="wave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9820275" y="441960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6</xdr:row>
      <xdr:rowOff>9525</xdr:rowOff>
    </xdr:from>
    <xdr:to>
      <xdr:col>18</xdr:col>
      <xdr:colOff>114300</xdr:colOff>
      <xdr:row>20</xdr:row>
      <xdr:rowOff>133350</xdr:rowOff>
    </xdr:to>
    <xdr:graphicFrame macro="">
      <xdr:nvGraphicFramePr>
        <xdr:cNvPr id="68102" name="Chart 17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21</xdr:row>
      <xdr:rowOff>28575</xdr:rowOff>
    </xdr:from>
    <xdr:to>
      <xdr:col>23</xdr:col>
      <xdr:colOff>447675</xdr:colOff>
      <xdr:row>21</xdr:row>
      <xdr:rowOff>114616</xdr:rowOff>
    </xdr:to>
    <xdr:pic>
      <xdr:nvPicPr>
        <xdr:cNvPr id="6810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4229100"/>
          <a:ext cx="10382250" cy="86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0</xdr:colOff>
      <xdr:row>5</xdr:row>
      <xdr:rowOff>209550</xdr:rowOff>
    </xdr:from>
    <xdr:to>
      <xdr:col>4</xdr:col>
      <xdr:colOff>57150</xdr:colOff>
      <xdr:row>7</xdr:row>
      <xdr:rowOff>95250</xdr:rowOff>
    </xdr:to>
    <xdr:pic>
      <xdr:nvPicPr>
        <xdr:cNvPr id="68104" name="Picture 12" descr="Nice menu butto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0015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</xdr:row>
      <xdr:rowOff>104775</xdr:rowOff>
    </xdr:from>
    <xdr:to>
      <xdr:col>4</xdr:col>
      <xdr:colOff>57150</xdr:colOff>
      <xdr:row>9</xdr:row>
      <xdr:rowOff>0</xdr:rowOff>
    </xdr:to>
    <xdr:pic>
      <xdr:nvPicPr>
        <xdr:cNvPr id="68105" name="Picture 14" descr="Nice menu butto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50495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</xdr:row>
      <xdr:rowOff>9525</xdr:rowOff>
    </xdr:from>
    <xdr:to>
      <xdr:col>4</xdr:col>
      <xdr:colOff>57150</xdr:colOff>
      <xdr:row>10</xdr:row>
      <xdr:rowOff>104775</xdr:rowOff>
    </xdr:to>
    <xdr:pic>
      <xdr:nvPicPr>
        <xdr:cNvPr id="68106" name="Picture 13" descr="Nice menu butto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80975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</xdr:row>
      <xdr:rowOff>114300</xdr:rowOff>
    </xdr:from>
    <xdr:to>
      <xdr:col>4</xdr:col>
      <xdr:colOff>57150</xdr:colOff>
      <xdr:row>12</xdr:row>
      <xdr:rowOff>9525</xdr:rowOff>
    </xdr:to>
    <xdr:pic>
      <xdr:nvPicPr>
        <xdr:cNvPr id="68107" name="Picture 15" descr="Nice menu butto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11455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</xdr:row>
      <xdr:rowOff>28575</xdr:rowOff>
    </xdr:from>
    <xdr:to>
      <xdr:col>4</xdr:col>
      <xdr:colOff>57150</xdr:colOff>
      <xdr:row>13</xdr:row>
      <xdr:rowOff>123825</xdr:rowOff>
    </xdr:to>
    <xdr:pic>
      <xdr:nvPicPr>
        <xdr:cNvPr id="68108" name="Picture 16" descr="Nice menu butto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428875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7</xdr:row>
      <xdr:rowOff>123825</xdr:rowOff>
    </xdr:from>
    <xdr:to>
      <xdr:col>4</xdr:col>
      <xdr:colOff>123825</xdr:colOff>
      <xdr:row>8</xdr:row>
      <xdr:rowOff>95250</xdr:rowOff>
    </xdr:to>
    <xdr:sp macro="" textlink="Lists!F4">
      <xdr:nvSpPr>
        <xdr:cNvPr id="12" name="Text Box 17"/>
        <xdr:cNvSpPr txBox="1">
          <a:spLocks noChangeArrowheads="1" noTextEdit="1"/>
        </xdr:cNvSpPr>
      </xdr:nvSpPr>
      <xdr:spPr bwMode="auto">
        <a:xfrm>
          <a:off x="838200" y="1581150"/>
          <a:ext cx="17240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557E5D44-23A7-422A-B773-FD68433E64A9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Revenue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228600</xdr:colOff>
      <xdr:row>6</xdr:row>
      <xdr:rowOff>0</xdr:rowOff>
    </xdr:from>
    <xdr:to>
      <xdr:col>4</xdr:col>
      <xdr:colOff>123825</xdr:colOff>
      <xdr:row>7</xdr:row>
      <xdr:rowOff>47625</xdr:rowOff>
    </xdr:to>
    <xdr:sp macro="" textlink="Lists!F3">
      <xdr:nvSpPr>
        <xdr:cNvPr id="13" name="Text Box 18"/>
        <xdr:cNvSpPr txBox="1">
          <a:spLocks noChangeArrowheads="1" noTextEdit="1"/>
        </xdr:cNvSpPr>
      </xdr:nvSpPr>
      <xdr:spPr bwMode="auto">
        <a:xfrm>
          <a:off x="838200" y="1295400"/>
          <a:ext cx="17240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8723E372-9476-443D-9B3F-C9A00731B84A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EBIT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228600</xdr:colOff>
      <xdr:row>9</xdr:row>
      <xdr:rowOff>38100</xdr:rowOff>
    </xdr:from>
    <xdr:to>
      <xdr:col>4</xdr:col>
      <xdr:colOff>123825</xdr:colOff>
      <xdr:row>10</xdr:row>
      <xdr:rowOff>85725</xdr:rowOff>
    </xdr:to>
    <xdr:sp macro="" textlink="Lists!F5">
      <xdr:nvSpPr>
        <xdr:cNvPr id="14" name="Text Box 19"/>
        <xdr:cNvSpPr txBox="1">
          <a:spLocks noChangeArrowheads="1" noTextEdit="1"/>
        </xdr:cNvSpPr>
      </xdr:nvSpPr>
      <xdr:spPr bwMode="auto">
        <a:xfrm>
          <a:off x="838200" y="1819275"/>
          <a:ext cx="17240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4DBA05B6-26BA-45B6-9470-43FBF1C34945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Expenses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228600</xdr:colOff>
      <xdr:row>10</xdr:row>
      <xdr:rowOff>142875</xdr:rowOff>
    </xdr:from>
    <xdr:to>
      <xdr:col>4</xdr:col>
      <xdr:colOff>123825</xdr:colOff>
      <xdr:row>12</xdr:row>
      <xdr:rowOff>0</xdr:rowOff>
    </xdr:to>
    <xdr:sp macro="" textlink="Lists!F6">
      <xdr:nvSpPr>
        <xdr:cNvPr id="15" name="Text Box 38"/>
        <xdr:cNvSpPr txBox="1">
          <a:spLocks noChangeArrowheads="1" noTextEdit="1"/>
        </xdr:cNvSpPr>
      </xdr:nvSpPr>
      <xdr:spPr bwMode="auto">
        <a:xfrm>
          <a:off x="295275" y="1943100"/>
          <a:ext cx="18573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EADB6AD6-88C1-436E-A218-FE96301BC570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FTEs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228600</xdr:colOff>
      <xdr:row>12</xdr:row>
      <xdr:rowOff>66675</xdr:rowOff>
    </xdr:from>
    <xdr:to>
      <xdr:col>3</xdr:col>
      <xdr:colOff>333375</xdr:colOff>
      <xdr:row>13</xdr:row>
      <xdr:rowOff>114300</xdr:rowOff>
    </xdr:to>
    <xdr:sp macro="" textlink="Lists!F7">
      <xdr:nvSpPr>
        <xdr:cNvPr id="16" name="Text Box 39"/>
        <xdr:cNvSpPr txBox="1">
          <a:spLocks noChangeArrowheads="1" noTextEdit="1"/>
        </xdr:cNvSpPr>
      </xdr:nvSpPr>
      <xdr:spPr bwMode="auto">
        <a:xfrm>
          <a:off x="295275" y="2266950"/>
          <a:ext cx="1323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C8C8B96C-C1AD-4931-9BE5-B82DC2278D2F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Leave Balances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504825</xdr:colOff>
      <xdr:row>12</xdr:row>
      <xdr:rowOff>38100</xdr:rowOff>
    </xdr:from>
    <xdr:to>
      <xdr:col>4</xdr:col>
      <xdr:colOff>28575</xdr:colOff>
      <xdr:row>13</xdr:row>
      <xdr:rowOff>85725</xdr:rowOff>
    </xdr:to>
    <xdr:pic>
      <xdr:nvPicPr>
        <xdr:cNvPr id="68114" name="Picture 72" descr="Light BLue Button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38400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6</xdr:row>
      <xdr:rowOff>9525</xdr:rowOff>
    </xdr:from>
    <xdr:to>
      <xdr:col>4</xdr:col>
      <xdr:colOff>161925</xdr:colOff>
      <xdr:row>40</xdr:row>
      <xdr:rowOff>0</xdr:rowOff>
    </xdr:to>
    <xdr:pic>
      <xdr:nvPicPr>
        <xdr:cNvPr id="6811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09675"/>
          <a:ext cx="76200" cy="6791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0</xdr:colOff>
      <xdr:row>29</xdr:row>
      <xdr:rowOff>66675</xdr:rowOff>
    </xdr:from>
    <xdr:to>
      <xdr:col>23</xdr:col>
      <xdr:colOff>438150</xdr:colOff>
      <xdr:row>29</xdr:row>
      <xdr:rowOff>152400</xdr:rowOff>
    </xdr:to>
    <xdr:pic>
      <xdr:nvPicPr>
        <xdr:cNvPr id="6811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867400"/>
          <a:ext cx="1252537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2</xdr:col>
      <xdr:colOff>552903</xdr:colOff>
      <xdr:row>0</xdr:row>
      <xdr:rowOff>78236</xdr:rowOff>
    </xdr:from>
    <xdr:ext cx="3828597" cy="350352"/>
    <xdr:sp macro="" textlink="">
      <xdr:nvSpPr>
        <xdr:cNvPr id="21" name="Text Box 21"/>
        <xdr:cNvSpPr txBox="1">
          <a:spLocks noChangeArrowheads="1"/>
        </xdr:cNvSpPr>
      </xdr:nvSpPr>
      <xdr:spPr bwMode="auto">
        <a:xfrm>
          <a:off x="1229178" y="78236"/>
          <a:ext cx="3828597" cy="350352"/>
        </a:xfrm>
        <a:prstGeom prst="rect">
          <a:avLst/>
        </a:prstGeom>
        <a:solidFill>
          <a:schemeClr val="bg1">
            <a:alpha val="0"/>
          </a:schemeClr>
        </a:solidFill>
        <a:ln>
          <a:noFill/>
        </a:ln>
        <a:extLst/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r>
            <a:rPr lang="en-AU" sz="2000" b="1" i="0" u="none" strike="noStrike" baseline="0">
              <a:solidFill>
                <a:schemeClr val="accent1">
                  <a:lumMod val="75000"/>
                </a:schemeClr>
              </a:solidFill>
              <a:latin typeface="Arial"/>
              <a:cs typeface="Arial"/>
            </a:rPr>
            <a:t>Corporate Dashboard Report</a:t>
          </a:r>
        </a:p>
      </xdr:txBody>
    </xdr:sp>
    <xdr:clientData/>
  </xdr:oneCellAnchor>
  <xdr:twoCellAnchor editAs="oneCell">
    <xdr:from>
      <xdr:col>3</xdr:col>
      <xdr:colOff>504825</xdr:colOff>
      <xdr:row>9</xdr:row>
      <xdr:rowOff>28575</xdr:rowOff>
    </xdr:from>
    <xdr:to>
      <xdr:col>4</xdr:col>
      <xdr:colOff>28575</xdr:colOff>
      <xdr:row>10</xdr:row>
      <xdr:rowOff>76200</xdr:rowOff>
    </xdr:to>
    <xdr:pic>
      <xdr:nvPicPr>
        <xdr:cNvPr id="68118" name="Picture 154" descr="Light BLue Button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8800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5</xdr:row>
      <xdr:rowOff>228600</xdr:rowOff>
    </xdr:from>
    <xdr:to>
      <xdr:col>4</xdr:col>
      <xdr:colOff>28575</xdr:colOff>
      <xdr:row>7</xdr:row>
      <xdr:rowOff>47625</xdr:rowOff>
    </xdr:to>
    <xdr:pic>
      <xdr:nvPicPr>
        <xdr:cNvPr id="68119" name="Picture 155" descr="Light BLue Button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7</xdr:row>
      <xdr:rowOff>114300</xdr:rowOff>
    </xdr:from>
    <xdr:to>
      <xdr:col>4</xdr:col>
      <xdr:colOff>28575</xdr:colOff>
      <xdr:row>8</xdr:row>
      <xdr:rowOff>161925</xdr:rowOff>
    </xdr:to>
    <xdr:pic>
      <xdr:nvPicPr>
        <xdr:cNvPr id="68120" name="Picture 156" descr="Light BLue Button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447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10</xdr:row>
      <xdr:rowOff>123825</xdr:rowOff>
    </xdr:from>
    <xdr:to>
      <xdr:col>4</xdr:col>
      <xdr:colOff>28575</xdr:colOff>
      <xdr:row>11</xdr:row>
      <xdr:rowOff>171450</xdr:rowOff>
    </xdr:to>
    <xdr:pic>
      <xdr:nvPicPr>
        <xdr:cNvPr id="68121" name="Picture 157" descr="Light BLue Button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2407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104774</xdr:colOff>
      <xdr:row>6</xdr:row>
      <xdr:rowOff>114300</xdr:rowOff>
    </xdr:from>
    <xdr:to>
      <xdr:col>7</xdr:col>
      <xdr:colOff>400049</xdr:colOff>
      <xdr:row>7</xdr:row>
      <xdr:rowOff>133350</xdr:rowOff>
    </xdr:to>
    <xdr:sp macro="" textlink="">
      <xdr:nvSpPr>
        <xdr:cNvPr id="27" name="Text Box 163"/>
        <xdr:cNvSpPr txBox="1">
          <a:spLocks noChangeArrowheads="1"/>
        </xdr:cNvSpPr>
      </xdr:nvSpPr>
      <xdr:spPr bwMode="auto">
        <a:xfrm>
          <a:off x="3152774" y="1409700"/>
          <a:ext cx="1514475" cy="180975"/>
        </a:xfrm>
        <a:prstGeom prst="rect">
          <a:avLst/>
        </a:prstGeom>
        <a:solidFill>
          <a:schemeClr val="accent2">
            <a:lumMod val="20000"/>
            <a:lumOff val="80000"/>
            <a:alpha val="80000"/>
          </a:schemeClr>
        </a:solidFill>
        <a:ln>
          <a:noFill/>
        </a:ln>
      </xdr:spPr>
      <xdr:txBody>
        <a:bodyPr vertOverflow="clip" wrap="square" lIns="0" tIns="0" rIns="0" bIns="0" anchor="ctr" upright="1"/>
        <a:lstStyle/>
        <a:p>
          <a:pPr algn="l" rtl="0">
            <a:defRPr sz="1000"/>
          </a:pPr>
          <a:r>
            <a:rPr lang="en-AU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Rolling Chart</a:t>
          </a:r>
        </a:p>
      </xdr:txBody>
    </xdr:sp>
    <xdr:clientData/>
  </xdr:twoCellAnchor>
  <xdr:twoCellAnchor editAs="oneCell">
    <xdr:from>
      <xdr:col>1</xdr:col>
      <xdr:colOff>19050</xdr:colOff>
      <xdr:row>22</xdr:row>
      <xdr:rowOff>19050</xdr:rowOff>
    </xdr:from>
    <xdr:to>
      <xdr:col>4</xdr:col>
      <xdr:colOff>19050</xdr:colOff>
      <xdr:row>29</xdr:row>
      <xdr:rowOff>0</xdr:rowOff>
    </xdr:to>
    <xdr:pic>
      <xdr:nvPicPr>
        <xdr:cNvPr id="68123" name="Picture 181" descr="Glass Pane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4419600"/>
          <a:ext cx="1962150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22</xdr:row>
      <xdr:rowOff>9525</xdr:rowOff>
    </xdr:from>
    <xdr:to>
      <xdr:col>14</xdr:col>
      <xdr:colOff>0</xdr:colOff>
      <xdr:row>28</xdr:row>
      <xdr:rowOff>190500</xdr:rowOff>
    </xdr:to>
    <xdr:pic>
      <xdr:nvPicPr>
        <xdr:cNvPr id="68124" name="Picture 182" descr="Glass Pane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4410075"/>
          <a:ext cx="1447800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22</xdr:row>
      <xdr:rowOff>9525</xdr:rowOff>
    </xdr:from>
    <xdr:to>
      <xdr:col>9</xdr:col>
      <xdr:colOff>9525</xdr:colOff>
      <xdr:row>29</xdr:row>
      <xdr:rowOff>9525</xdr:rowOff>
    </xdr:to>
    <xdr:pic>
      <xdr:nvPicPr>
        <xdr:cNvPr id="68125" name="Picture 183" descr="Glass Pane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10075"/>
          <a:ext cx="144780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19050</xdr:colOff>
      <xdr:row>22</xdr:row>
      <xdr:rowOff>19050</xdr:rowOff>
    </xdr:from>
    <xdr:to>
      <xdr:col>19</xdr:col>
      <xdr:colOff>152400</xdr:colOff>
      <xdr:row>29</xdr:row>
      <xdr:rowOff>9525</xdr:rowOff>
    </xdr:to>
    <xdr:pic>
      <xdr:nvPicPr>
        <xdr:cNvPr id="68126" name="Picture 184" descr="Glass Pane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4419600"/>
          <a:ext cx="19145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</xdr:row>
      <xdr:rowOff>104775</xdr:rowOff>
    </xdr:from>
    <xdr:to>
      <xdr:col>4</xdr:col>
      <xdr:colOff>19050</xdr:colOff>
      <xdr:row>19</xdr:row>
      <xdr:rowOff>104775</xdr:rowOff>
    </xdr:to>
    <xdr:pic>
      <xdr:nvPicPr>
        <xdr:cNvPr id="68127" name="Picture 199" descr="wave"/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104775" y="3505200"/>
          <a:ext cx="1981200" cy="400050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209550</xdr:colOff>
      <xdr:row>17</xdr:row>
      <xdr:rowOff>133350</xdr:rowOff>
    </xdr:from>
    <xdr:to>
      <xdr:col>3</xdr:col>
      <xdr:colOff>552450</xdr:colOff>
      <xdr:row>19</xdr:row>
      <xdr:rowOff>28575</xdr:rowOff>
    </xdr:to>
    <xdr:sp macro="" textlink="">
      <xdr:nvSpPr>
        <xdr:cNvPr id="33" name="Text Box 176"/>
        <xdr:cNvSpPr txBox="1">
          <a:spLocks noChangeArrowheads="1"/>
        </xdr:cNvSpPr>
      </xdr:nvSpPr>
      <xdr:spPr bwMode="auto">
        <a:xfrm>
          <a:off x="276225" y="3333750"/>
          <a:ext cx="1562100" cy="295275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Monthly Highlights</a:t>
          </a:r>
        </a:p>
      </xdr:txBody>
    </xdr:sp>
    <xdr:clientData/>
  </xdr:twoCellAnchor>
  <xdr:twoCellAnchor editAs="oneCell">
    <xdr:from>
      <xdr:col>4</xdr:col>
      <xdr:colOff>257175</xdr:colOff>
      <xdr:row>22</xdr:row>
      <xdr:rowOff>0</xdr:rowOff>
    </xdr:from>
    <xdr:to>
      <xdr:col>5</xdr:col>
      <xdr:colOff>638175</xdr:colOff>
      <xdr:row>24</xdr:row>
      <xdr:rowOff>161925</xdr:rowOff>
    </xdr:to>
    <xdr:pic>
      <xdr:nvPicPr>
        <xdr:cNvPr id="68129" name="Picture 200" descr="wave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2324100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266700</xdr:colOff>
      <xdr:row>22</xdr:row>
      <xdr:rowOff>104775</xdr:rowOff>
    </xdr:from>
    <xdr:to>
      <xdr:col>5</xdr:col>
      <xdr:colOff>638175</xdr:colOff>
      <xdr:row>24</xdr:row>
      <xdr:rowOff>38100</xdr:rowOff>
    </xdr:to>
    <xdr:sp macro="" textlink="">
      <xdr:nvSpPr>
        <xdr:cNvPr id="35" name="Text Box 178"/>
        <xdr:cNvSpPr txBox="1">
          <a:spLocks noChangeArrowheads="1"/>
        </xdr:cNvSpPr>
      </xdr:nvSpPr>
      <xdr:spPr bwMode="auto">
        <a:xfrm>
          <a:off x="2295525" y="4305300"/>
          <a:ext cx="685800" cy="333375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FTEs</a:t>
          </a:r>
        </a:p>
      </xdr:txBody>
    </xdr:sp>
    <xdr:clientData/>
  </xdr:twoCellAnchor>
  <xdr:twoCellAnchor editAs="oneCell">
    <xdr:from>
      <xdr:col>9</xdr:col>
      <xdr:colOff>104775</xdr:colOff>
      <xdr:row>22</xdr:row>
      <xdr:rowOff>0</xdr:rowOff>
    </xdr:from>
    <xdr:to>
      <xdr:col>10</xdr:col>
      <xdr:colOff>314325</xdr:colOff>
      <xdr:row>24</xdr:row>
      <xdr:rowOff>161925</xdr:rowOff>
    </xdr:to>
    <xdr:pic>
      <xdr:nvPicPr>
        <xdr:cNvPr id="68131" name="Picture 201" descr="wave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4657725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114300</xdr:colOff>
      <xdr:row>22</xdr:row>
      <xdr:rowOff>104775</xdr:rowOff>
    </xdr:from>
    <xdr:to>
      <xdr:col>10</xdr:col>
      <xdr:colOff>314325</xdr:colOff>
      <xdr:row>24</xdr:row>
      <xdr:rowOff>38100</xdr:rowOff>
    </xdr:to>
    <xdr:sp macro="" textlink="">
      <xdr:nvSpPr>
        <xdr:cNvPr id="37" name="Text Box 202"/>
        <xdr:cNvSpPr txBox="1">
          <a:spLocks noChangeArrowheads="1"/>
        </xdr:cNvSpPr>
      </xdr:nvSpPr>
      <xdr:spPr bwMode="auto">
        <a:xfrm>
          <a:off x="4629150" y="4305300"/>
          <a:ext cx="685800" cy="333375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Overtime Hours</a:t>
          </a:r>
        </a:p>
      </xdr:txBody>
    </xdr:sp>
    <xdr:clientData/>
  </xdr:twoCellAnchor>
  <xdr:twoCellAnchor editAs="oneCell">
    <xdr:from>
      <xdr:col>14</xdr:col>
      <xdr:colOff>95250</xdr:colOff>
      <xdr:row>22</xdr:row>
      <xdr:rowOff>0</xdr:rowOff>
    </xdr:from>
    <xdr:to>
      <xdr:col>15</xdr:col>
      <xdr:colOff>304800</xdr:colOff>
      <xdr:row>24</xdr:row>
      <xdr:rowOff>161925</xdr:rowOff>
    </xdr:to>
    <xdr:pic>
      <xdr:nvPicPr>
        <xdr:cNvPr id="68133" name="Picture 203" descr="wave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7010400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114300</xdr:colOff>
      <xdr:row>22</xdr:row>
      <xdr:rowOff>85725</xdr:rowOff>
    </xdr:from>
    <xdr:to>
      <xdr:col>15</xdr:col>
      <xdr:colOff>314325</xdr:colOff>
      <xdr:row>24</xdr:row>
      <xdr:rowOff>19050</xdr:rowOff>
    </xdr:to>
    <xdr:sp macro="" textlink="">
      <xdr:nvSpPr>
        <xdr:cNvPr id="39" name="Text Box 204"/>
        <xdr:cNvSpPr txBox="1">
          <a:spLocks noChangeArrowheads="1"/>
        </xdr:cNvSpPr>
      </xdr:nvSpPr>
      <xdr:spPr bwMode="auto">
        <a:xfrm>
          <a:off x="6991350" y="4286250"/>
          <a:ext cx="685800" cy="333375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CAPEX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6</xdr:row>
          <xdr:rowOff>76200</xdr:rowOff>
        </xdr:from>
        <xdr:to>
          <xdr:col>18</xdr:col>
          <xdr:colOff>76200</xdr:colOff>
          <xdr:row>7</xdr:row>
          <xdr:rowOff>47625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13</xdr:row>
      <xdr:rowOff>142875</xdr:rowOff>
    </xdr:from>
    <xdr:to>
      <xdr:col>4</xdr:col>
      <xdr:colOff>57150</xdr:colOff>
      <xdr:row>15</xdr:row>
      <xdr:rowOff>38100</xdr:rowOff>
    </xdr:to>
    <xdr:pic>
      <xdr:nvPicPr>
        <xdr:cNvPr id="68135" name="Picture 16" descr="Nice menu butto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74320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13</xdr:row>
      <xdr:rowOff>152400</xdr:rowOff>
    </xdr:from>
    <xdr:to>
      <xdr:col>4</xdr:col>
      <xdr:colOff>28575</xdr:colOff>
      <xdr:row>15</xdr:row>
      <xdr:rowOff>0</xdr:rowOff>
    </xdr:to>
    <xdr:pic>
      <xdr:nvPicPr>
        <xdr:cNvPr id="68136" name="Picture 72" descr="Light BLue Button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5272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</xdr:row>
      <xdr:rowOff>161925</xdr:rowOff>
    </xdr:from>
    <xdr:to>
      <xdr:col>3</xdr:col>
      <xdr:colOff>333375</xdr:colOff>
      <xdr:row>15</xdr:row>
      <xdr:rowOff>47625</xdr:rowOff>
    </xdr:to>
    <xdr:sp macro="" textlink="Lists!F8">
      <xdr:nvSpPr>
        <xdr:cNvPr id="43" name="Text Box 39"/>
        <xdr:cNvSpPr txBox="1">
          <a:spLocks noChangeArrowheads="1" noTextEdit="1"/>
        </xdr:cNvSpPr>
      </xdr:nvSpPr>
      <xdr:spPr bwMode="auto">
        <a:xfrm>
          <a:off x="295275" y="2562225"/>
          <a:ext cx="13239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42F89076-94F0-4A02-BD4A-456B81C74703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Other Measure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</xdr:row>
          <xdr:rowOff>0</xdr:rowOff>
        </xdr:from>
        <xdr:to>
          <xdr:col>2</xdr:col>
          <xdr:colOff>561975</xdr:colOff>
          <xdr:row>17</xdr:row>
          <xdr:rowOff>28575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4</xdr:col>
          <xdr:colOff>28575</xdr:colOff>
          <xdr:row>17</xdr:row>
          <xdr:rowOff>28575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19049</xdr:colOff>
      <xdr:row>5</xdr:row>
      <xdr:rowOff>38099</xdr:rowOff>
    </xdr:from>
    <xdr:to>
      <xdr:col>23</xdr:col>
      <xdr:colOff>428625</xdr:colOff>
      <xdr:row>5</xdr:row>
      <xdr:rowOff>124482</xdr:rowOff>
    </xdr:to>
    <xdr:pic>
      <xdr:nvPicPr>
        <xdr:cNvPr id="6813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038224"/>
          <a:ext cx="12496801" cy="8638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238125</xdr:colOff>
      <xdr:row>25</xdr:row>
      <xdr:rowOff>76200</xdr:rowOff>
    </xdr:from>
    <xdr:to>
      <xdr:col>5</xdr:col>
      <xdr:colOff>628650</xdr:colOff>
      <xdr:row>29</xdr:row>
      <xdr:rowOff>9525</xdr:rowOff>
    </xdr:to>
    <xdr:pic>
      <xdr:nvPicPr>
        <xdr:cNvPr id="68139" name="Picture 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5076825"/>
          <a:ext cx="704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228601</xdr:colOff>
      <xdr:row>25</xdr:row>
      <xdr:rowOff>152400</xdr:rowOff>
    </xdr:from>
    <xdr:to>
      <xdr:col>10</xdr:col>
      <xdr:colOff>276226</xdr:colOff>
      <xdr:row>28</xdr:row>
      <xdr:rowOff>191523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743451" y="4953000"/>
          <a:ext cx="533400" cy="639198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2</xdr:row>
      <xdr:rowOff>180975</xdr:rowOff>
    </xdr:from>
    <xdr:to>
      <xdr:col>3</xdr:col>
      <xdr:colOff>571245</xdr:colOff>
      <xdr:row>4</xdr:row>
      <xdr:rowOff>190500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2">
          <a:clrChange>
            <a:clrFrom>
              <a:srgbClr val="F1F9FC"/>
            </a:clrFrom>
            <a:clrTo>
              <a:srgbClr val="F1F9FC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3026" y="581025"/>
          <a:ext cx="552194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0</xdr:row>
      <xdr:rowOff>85725</xdr:rowOff>
    </xdr:from>
    <xdr:to>
      <xdr:col>2</xdr:col>
      <xdr:colOff>447675</xdr:colOff>
      <xdr:row>5</xdr:row>
      <xdr:rowOff>0</xdr:rowOff>
    </xdr:to>
    <xdr:pic>
      <xdr:nvPicPr>
        <xdr:cNvPr id="68142" name="Picture 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85725"/>
          <a:ext cx="8953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438150</xdr:colOff>
      <xdr:row>5</xdr:row>
      <xdr:rowOff>38100</xdr:rowOff>
    </xdr:from>
    <xdr:to>
      <xdr:col>23</xdr:col>
      <xdr:colOff>523875</xdr:colOff>
      <xdr:row>40</xdr:row>
      <xdr:rowOff>171450</xdr:rowOff>
    </xdr:to>
    <xdr:pic>
      <xdr:nvPicPr>
        <xdr:cNvPr id="6814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0150" y="1038225"/>
          <a:ext cx="85725" cy="7134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95251</xdr:colOff>
      <xdr:row>25</xdr:row>
      <xdr:rowOff>193328</xdr:rowOff>
    </xdr:from>
    <xdr:to>
      <xdr:col>15</xdr:col>
      <xdr:colOff>360984</xdr:colOff>
      <xdr:row>28</xdr:row>
      <xdr:rowOff>149838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4">
          <a:clrChange>
            <a:clrFrom>
              <a:srgbClr val="F8F8FA"/>
            </a:clrFrom>
            <a:clrTo>
              <a:srgbClr val="F8F8FA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972301" y="4993928"/>
          <a:ext cx="751508" cy="556585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32</xdr:row>
      <xdr:rowOff>0</xdr:rowOff>
    </xdr:from>
    <xdr:to>
      <xdr:col>1</xdr:col>
      <xdr:colOff>607968</xdr:colOff>
      <xdr:row>35</xdr:row>
      <xdr:rowOff>188590</xdr:rowOff>
    </xdr:to>
    <xdr:grpSp>
      <xdr:nvGrpSpPr>
        <xdr:cNvPr id="203" name="Group 56"/>
        <xdr:cNvGrpSpPr/>
      </xdr:nvGrpSpPr>
      <xdr:grpSpPr>
        <a:xfrm>
          <a:off x="266700" y="6400800"/>
          <a:ext cx="550818" cy="788665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58" name="Rectangle 57"/>
          <xdr:cNvSpPr/>
        </xdr:nvSpPr>
        <xdr:spPr>
          <a:xfrm>
            <a:off x="4282440" y="364520"/>
            <a:ext cx="603764" cy="164617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59" name="Flowchart: Delay 58"/>
          <xdr:cNvSpPr/>
        </xdr:nvSpPr>
        <xdr:spPr>
          <a:xfrm rot="5400000">
            <a:off x="4289251" y="2003888"/>
            <a:ext cx="59014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0" name="Flowchart: Delay 59"/>
          <xdr:cNvSpPr/>
        </xdr:nvSpPr>
        <xdr:spPr>
          <a:xfrm rot="16200000">
            <a:off x="4289251" y="16050"/>
            <a:ext cx="59014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2</xdr:col>
      <xdr:colOff>120832</xdr:colOff>
      <xdr:row>32</xdr:row>
      <xdr:rowOff>97596</xdr:rowOff>
    </xdr:from>
    <xdr:to>
      <xdr:col>3</xdr:col>
      <xdr:colOff>62049</xdr:colOff>
      <xdr:row>35</xdr:row>
      <xdr:rowOff>150491</xdr:rowOff>
    </xdr:to>
    <xdr:grpSp>
      <xdr:nvGrpSpPr>
        <xdr:cNvPr id="202" name="Group 60"/>
        <xdr:cNvGrpSpPr/>
      </xdr:nvGrpSpPr>
      <xdr:grpSpPr>
        <a:xfrm>
          <a:off x="939982" y="6498396"/>
          <a:ext cx="550817" cy="652970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62" name="Rectangle 61"/>
          <xdr:cNvSpPr/>
        </xdr:nvSpPr>
        <xdr:spPr>
          <a:xfrm>
            <a:off x="4285711" y="351252"/>
            <a:ext cx="603765" cy="1688158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3" name="Flowchart: Delay 62"/>
          <xdr:cNvSpPr/>
        </xdr:nvSpPr>
        <xdr:spPr>
          <a:xfrm rot="5400000">
            <a:off x="4287476" y="2000129"/>
            <a:ext cx="600234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4" name="Flowchart: Delay 63"/>
          <xdr:cNvSpPr/>
        </xdr:nvSpPr>
        <xdr:spPr>
          <a:xfrm rot="16200000">
            <a:off x="4287476" y="11855"/>
            <a:ext cx="600234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184513</xdr:colOff>
      <xdr:row>32</xdr:row>
      <xdr:rowOff>0</xdr:rowOff>
    </xdr:from>
    <xdr:to>
      <xdr:col>3</xdr:col>
      <xdr:colOff>735330</xdr:colOff>
      <xdr:row>35</xdr:row>
      <xdr:rowOff>188590</xdr:rowOff>
    </xdr:to>
    <xdr:grpSp>
      <xdr:nvGrpSpPr>
        <xdr:cNvPr id="201" name="Group 64"/>
        <xdr:cNvGrpSpPr/>
      </xdr:nvGrpSpPr>
      <xdr:grpSpPr>
        <a:xfrm>
          <a:off x="1613263" y="6400800"/>
          <a:ext cx="550817" cy="788665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66" name="Rectangle 65"/>
          <xdr:cNvSpPr/>
        </xdr:nvSpPr>
        <xdr:spPr>
          <a:xfrm>
            <a:off x="4278573" y="364520"/>
            <a:ext cx="603765" cy="164617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7" name="Flowchart: Delay 66"/>
          <xdr:cNvSpPr/>
        </xdr:nvSpPr>
        <xdr:spPr>
          <a:xfrm rot="5400000">
            <a:off x="4285385" y="2003888"/>
            <a:ext cx="59014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8" name="Flowchart: Delay 67"/>
          <xdr:cNvSpPr/>
        </xdr:nvSpPr>
        <xdr:spPr>
          <a:xfrm rot="16200000">
            <a:off x="4285385" y="16049"/>
            <a:ext cx="59014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1</xdr:col>
      <xdr:colOff>64770</xdr:colOff>
      <xdr:row>36</xdr:row>
      <xdr:rowOff>86843</xdr:rowOff>
    </xdr:from>
    <xdr:to>
      <xdr:col>2</xdr:col>
      <xdr:colOff>5988</xdr:colOff>
      <xdr:row>38</xdr:row>
      <xdr:rowOff>163831</xdr:rowOff>
    </xdr:to>
    <xdr:grpSp>
      <xdr:nvGrpSpPr>
        <xdr:cNvPr id="200" name="Group 68"/>
        <xdr:cNvGrpSpPr/>
      </xdr:nvGrpSpPr>
      <xdr:grpSpPr>
        <a:xfrm>
          <a:off x="274320" y="7287743"/>
          <a:ext cx="550818" cy="477038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0" name="Rectangle 69"/>
          <xdr:cNvSpPr/>
        </xdr:nvSpPr>
        <xdr:spPr>
          <a:xfrm>
            <a:off x="4284522" y="324933"/>
            <a:ext cx="603764" cy="169455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1" name="Flowchart: Delay 70"/>
          <xdr:cNvSpPr/>
        </xdr:nvSpPr>
        <xdr:spPr>
          <a:xfrm rot="5400000">
            <a:off x="4303978" y="2000030"/>
            <a:ext cx="56485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2" name="Flowchart: Delay 71"/>
          <xdr:cNvSpPr/>
        </xdr:nvSpPr>
        <xdr:spPr>
          <a:xfrm rot="16200000">
            <a:off x="4303978" y="-2621"/>
            <a:ext cx="56485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192133</xdr:colOff>
      <xdr:row>36</xdr:row>
      <xdr:rowOff>80584</xdr:rowOff>
    </xdr:from>
    <xdr:to>
      <xdr:col>4</xdr:col>
      <xdr:colOff>0</xdr:colOff>
      <xdr:row>38</xdr:row>
      <xdr:rowOff>157572</xdr:rowOff>
    </xdr:to>
    <xdr:grpSp>
      <xdr:nvGrpSpPr>
        <xdr:cNvPr id="199" name="Group 72"/>
        <xdr:cNvGrpSpPr/>
      </xdr:nvGrpSpPr>
      <xdr:grpSpPr>
        <a:xfrm>
          <a:off x="1620883" y="7281484"/>
          <a:ext cx="550817" cy="477038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4" name="Rectangle 73"/>
          <xdr:cNvSpPr/>
        </xdr:nvSpPr>
        <xdr:spPr>
          <a:xfrm>
            <a:off x="4280655" y="307326"/>
            <a:ext cx="603765" cy="174590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5" name="Flowchart: Delay 74"/>
          <xdr:cNvSpPr/>
        </xdr:nvSpPr>
        <xdr:spPr>
          <a:xfrm rot="5400000">
            <a:off x="4274437" y="2008095"/>
            <a:ext cx="61620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6" name="Flowchart: Delay 75"/>
          <xdr:cNvSpPr/>
        </xdr:nvSpPr>
        <xdr:spPr>
          <a:xfrm rot="16200000">
            <a:off x="4274437" y="5443"/>
            <a:ext cx="61620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2</xdr:col>
      <xdr:colOff>114300</xdr:colOff>
      <xdr:row>36</xdr:row>
      <xdr:rowOff>95250</xdr:rowOff>
    </xdr:from>
    <xdr:to>
      <xdr:col>3</xdr:col>
      <xdr:colOff>55517</xdr:colOff>
      <xdr:row>39</xdr:row>
      <xdr:rowOff>19050</xdr:rowOff>
    </xdr:to>
    <xdr:grpSp>
      <xdr:nvGrpSpPr>
        <xdr:cNvPr id="198" name="Group 77"/>
        <xdr:cNvGrpSpPr/>
      </xdr:nvGrpSpPr>
      <xdr:grpSpPr>
        <a:xfrm>
          <a:off x="933450" y="7296150"/>
          <a:ext cx="550817" cy="523875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9" name="Rectangle 78"/>
          <xdr:cNvSpPr/>
        </xdr:nvSpPr>
        <xdr:spPr>
          <a:xfrm>
            <a:off x="4282440" y="350174"/>
            <a:ext cx="603765" cy="1683327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80" name="Flowchart: Delay 79"/>
          <xdr:cNvSpPr/>
        </xdr:nvSpPr>
        <xdr:spPr>
          <a:xfrm rot="5400000">
            <a:off x="4280388" y="1988796"/>
            <a:ext cx="607868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81" name="Flowchart: Delay 80"/>
          <xdr:cNvSpPr/>
        </xdr:nvSpPr>
        <xdr:spPr>
          <a:xfrm rot="16200000">
            <a:off x="4280388" y="24914"/>
            <a:ext cx="607868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1</xdr:col>
      <xdr:colOff>57150</xdr:colOff>
      <xdr:row>29</xdr:row>
      <xdr:rowOff>123826</xdr:rowOff>
    </xdr:from>
    <xdr:to>
      <xdr:col>4</xdr:col>
      <xdr:colOff>180975</xdr:colOff>
      <xdr:row>31</xdr:row>
      <xdr:rowOff>19050</xdr:rowOff>
    </xdr:to>
    <xdr:sp macro="" textlink="">
      <xdr:nvSpPr>
        <xdr:cNvPr id="82" name="TextBox 81"/>
        <xdr:cNvSpPr txBox="1"/>
      </xdr:nvSpPr>
      <xdr:spPr>
        <a:xfrm>
          <a:off x="123825" y="5724526"/>
          <a:ext cx="2085975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Control</a:t>
          </a:r>
          <a:r>
            <a:rPr lang="en-US" sz="1600" b="0" i="0" u="none" strike="noStrike" baseline="0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 </a:t>
          </a:r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Issues </a:t>
          </a:r>
        </a:p>
      </xdr:txBody>
    </xdr:sp>
    <xdr:clientData/>
  </xdr:twoCellAnchor>
  <xdr:twoCellAnchor>
    <xdr:from>
      <xdr:col>1</xdr:col>
      <xdr:colOff>0</xdr:colOff>
      <xdr:row>40</xdr:row>
      <xdr:rowOff>85725</xdr:rowOff>
    </xdr:from>
    <xdr:to>
      <xdr:col>23</xdr:col>
      <xdr:colOff>438150</xdr:colOff>
      <xdr:row>40</xdr:row>
      <xdr:rowOff>171450</xdr:rowOff>
    </xdr:to>
    <xdr:pic>
      <xdr:nvPicPr>
        <xdr:cNvPr id="68153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086725"/>
          <a:ext cx="1252537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22</xdr:col>
      <xdr:colOff>228600</xdr:colOff>
      <xdr:row>1</xdr:row>
      <xdr:rowOff>95250</xdr:rowOff>
    </xdr:from>
    <xdr:to>
      <xdr:col>23</xdr:col>
      <xdr:colOff>304800</xdr:colOff>
      <xdr:row>4</xdr:row>
      <xdr:rowOff>180975</xdr:rowOff>
    </xdr:to>
    <xdr:pic>
      <xdr:nvPicPr>
        <xdr:cNvPr id="68154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0" y="2952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31</xdr:row>
      <xdr:rowOff>53068</xdr:rowOff>
    </xdr:from>
    <xdr:to>
      <xdr:col>1</xdr:col>
      <xdr:colOff>186419</xdr:colOff>
      <xdr:row>31</xdr:row>
      <xdr:rowOff>148318</xdr:rowOff>
    </xdr:to>
    <xdr:grpSp>
      <xdr:nvGrpSpPr>
        <xdr:cNvPr id="197" name="Group 93"/>
        <xdr:cNvGrpSpPr/>
      </xdr:nvGrpSpPr>
      <xdr:grpSpPr>
        <a:xfrm>
          <a:off x="247650" y="6253843"/>
          <a:ext cx="148319" cy="95250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95" name="Rectangle 94"/>
          <xdr:cNvSpPr/>
        </xdr:nvSpPr>
        <xdr:spPr>
          <a:xfrm>
            <a:off x="4282440" y="390249"/>
            <a:ext cx="618543" cy="180022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96" name="Flowchart: Delay 95"/>
          <xdr:cNvSpPr/>
        </xdr:nvSpPr>
        <xdr:spPr>
          <a:xfrm rot="5400000">
            <a:off x="4334537" y="213837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97" name="Flowchart: Delay 96"/>
          <xdr:cNvSpPr/>
        </xdr:nvSpPr>
        <xdr:spPr>
          <a:xfrm rot="16200000">
            <a:off x="4334537" y="8097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404131</xdr:colOff>
      <xdr:row>31</xdr:row>
      <xdr:rowOff>28575</xdr:rowOff>
    </xdr:from>
    <xdr:to>
      <xdr:col>3</xdr:col>
      <xdr:colOff>552450</xdr:colOff>
      <xdr:row>31</xdr:row>
      <xdr:rowOff>123825</xdr:rowOff>
    </xdr:to>
    <xdr:grpSp>
      <xdr:nvGrpSpPr>
        <xdr:cNvPr id="196" name="Group 97"/>
        <xdr:cNvGrpSpPr/>
      </xdr:nvGrpSpPr>
      <xdr:grpSpPr>
        <a:xfrm>
          <a:off x="1832881" y="6229350"/>
          <a:ext cx="148319" cy="95250"/>
          <a:chOff x="4282440" y="22860"/>
          <a:chExt cx="601980" cy="2571750"/>
        </a:xfrm>
        <a:solidFill>
          <a:schemeClr val="accent1">
            <a:lumMod val="60000"/>
            <a:lumOff val="40000"/>
          </a:schemeClr>
        </a:solidFill>
      </xdr:grpSpPr>
      <xdr:sp macro="" textlink="">
        <xdr:nvSpPr>
          <xdr:cNvPr id="99" name="Rectangle 98"/>
          <xdr:cNvSpPr/>
        </xdr:nvSpPr>
        <xdr:spPr>
          <a:xfrm>
            <a:off x="4265877" y="280035"/>
            <a:ext cx="618543" cy="180022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100" name="Flowchart: Delay 99"/>
          <xdr:cNvSpPr/>
        </xdr:nvSpPr>
        <xdr:spPr>
          <a:xfrm rot="5400000">
            <a:off x="4317973" y="2028163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101" name="Flowchart: Delay 100"/>
          <xdr:cNvSpPr/>
        </xdr:nvSpPr>
        <xdr:spPr>
          <a:xfrm rot="16200000">
            <a:off x="4317973" y="-2923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523876</xdr:colOff>
      <xdr:row>3</xdr:row>
      <xdr:rowOff>180975</xdr:rowOff>
    </xdr:from>
    <xdr:to>
      <xdr:col>5</xdr:col>
      <xdr:colOff>476251</xdr:colOff>
      <xdr:row>5</xdr:row>
      <xdr:rowOff>95250</xdr:rowOff>
    </xdr:to>
    <xdr:sp macro="" textlink="">
      <xdr:nvSpPr>
        <xdr:cNvPr id="10" name="TextBox 9"/>
        <xdr:cNvSpPr txBox="1"/>
      </xdr:nvSpPr>
      <xdr:spPr>
        <a:xfrm>
          <a:off x="1847851" y="781050"/>
          <a:ext cx="10096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Cash Reserves</a:t>
          </a:r>
        </a:p>
      </xdr:txBody>
    </xdr:sp>
    <xdr:clientData/>
  </xdr:twoCellAnchor>
  <xdr:twoCellAnchor>
    <xdr:from>
      <xdr:col>8</xdr:col>
      <xdr:colOff>38100</xdr:colOff>
      <xdr:row>32</xdr:row>
      <xdr:rowOff>57150</xdr:rowOff>
    </xdr:from>
    <xdr:to>
      <xdr:col>10</xdr:col>
      <xdr:colOff>219075</xdr:colOff>
      <xdr:row>38</xdr:row>
      <xdr:rowOff>114300</xdr:rowOff>
    </xdr:to>
    <xdr:graphicFrame macro="">
      <xdr:nvGraphicFramePr>
        <xdr:cNvPr id="68158" name="Chart 1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257175</xdr:colOff>
      <xdr:row>29</xdr:row>
      <xdr:rowOff>152400</xdr:rowOff>
    </xdr:from>
    <xdr:to>
      <xdr:col>9</xdr:col>
      <xdr:colOff>304800</xdr:colOff>
      <xdr:row>31</xdr:row>
      <xdr:rowOff>114300</xdr:rowOff>
    </xdr:to>
    <xdr:sp macro="" textlink="">
      <xdr:nvSpPr>
        <xdr:cNvPr id="106" name="TextBox 105"/>
        <xdr:cNvSpPr txBox="1"/>
      </xdr:nvSpPr>
      <xdr:spPr>
        <a:xfrm>
          <a:off x="2324100" y="5953125"/>
          <a:ext cx="2533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Gender Equality</a:t>
          </a:r>
          <a:r>
            <a:rPr lang="en-US" sz="1600" b="0" i="0" u="none" strike="noStrike" baseline="0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 % Female</a:t>
          </a:r>
          <a:endParaRPr lang="en-US" sz="16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5</xdr:col>
      <xdr:colOff>104775</xdr:colOff>
      <xdr:row>39</xdr:row>
      <xdr:rowOff>28575</xdr:rowOff>
    </xdr:from>
    <xdr:to>
      <xdr:col>6</xdr:col>
      <xdr:colOff>85725</xdr:colOff>
      <xdr:row>40</xdr:row>
      <xdr:rowOff>190500</xdr:rowOff>
    </xdr:to>
    <xdr:sp macro="" textlink="">
      <xdr:nvSpPr>
        <xdr:cNvPr id="107" name="TextBox 106"/>
        <xdr:cNvSpPr txBox="1"/>
      </xdr:nvSpPr>
      <xdr:spPr>
        <a:xfrm>
          <a:off x="2590800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IT</a:t>
          </a:r>
        </a:p>
      </xdr:txBody>
    </xdr:sp>
    <xdr:clientData/>
  </xdr:twoCellAnchor>
  <xdr:twoCellAnchor>
    <xdr:from>
      <xdr:col>6</xdr:col>
      <xdr:colOff>352425</xdr:colOff>
      <xdr:row>39</xdr:row>
      <xdr:rowOff>28575</xdr:rowOff>
    </xdr:from>
    <xdr:to>
      <xdr:col>8</xdr:col>
      <xdr:colOff>76200</xdr:colOff>
      <xdr:row>40</xdr:row>
      <xdr:rowOff>190500</xdr:rowOff>
    </xdr:to>
    <xdr:sp macro="" textlink="">
      <xdr:nvSpPr>
        <xdr:cNvPr id="108" name="TextBox 107"/>
        <xdr:cNvSpPr txBox="1"/>
      </xdr:nvSpPr>
      <xdr:spPr>
        <a:xfrm>
          <a:off x="3552825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HR</a:t>
          </a:r>
        </a:p>
      </xdr:txBody>
    </xdr:sp>
    <xdr:clientData/>
  </xdr:twoCellAnchor>
  <xdr:twoCellAnchor>
    <xdr:from>
      <xdr:col>8</xdr:col>
      <xdr:colOff>371475</xdr:colOff>
      <xdr:row>39</xdr:row>
      <xdr:rowOff>28575</xdr:rowOff>
    </xdr:from>
    <xdr:to>
      <xdr:col>10</xdr:col>
      <xdr:colOff>95250</xdr:colOff>
      <xdr:row>40</xdr:row>
      <xdr:rowOff>190500</xdr:rowOff>
    </xdr:to>
    <xdr:sp macro="" textlink="">
      <xdr:nvSpPr>
        <xdr:cNvPr id="109" name="TextBox 108"/>
        <xdr:cNvSpPr txBox="1"/>
      </xdr:nvSpPr>
      <xdr:spPr>
        <a:xfrm>
          <a:off x="4543425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OPs</a:t>
          </a:r>
        </a:p>
      </xdr:txBody>
    </xdr:sp>
    <xdr:clientData/>
  </xdr:twoCellAnchor>
  <xdr:twoCellAnchor>
    <xdr:from>
      <xdr:col>1</xdr:col>
      <xdr:colOff>85725</xdr:colOff>
      <xdr:row>39</xdr:row>
      <xdr:rowOff>38100</xdr:rowOff>
    </xdr:from>
    <xdr:to>
      <xdr:col>2</xdr:col>
      <xdr:colOff>171450</xdr:colOff>
      <xdr:row>41</xdr:row>
      <xdr:rowOff>0</xdr:rowOff>
    </xdr:to>
    <xdr:sp macro="" textlink="">
      <xdr:nvSpPr>
        <xdr:cNvPr id="110" name="TextBox 109"/>
        <xdr:cNvSpPr txBox="1"/>
      </xdr:nvSpPr>
      <xdr:spPr>
        <a:xfrm>
          <a:off x="295275" y="7839075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IT</a:t>
          </a:r>
        </a:p>
      </xdr:txBody>
    </xdr:sp>
    <xdr:clientData/>
  </xdr:twoCellAnchor>
  <xdr:twoCellAnchor>
    <xdr:from>
      <xdr:col>2</xdr:col>
      <xdr:colOff>104775</xdr:colOff>
      <xdr:row>39</xdr:row>
      <xdr:rowOff>57150</xdr:rowOff>
    </xdr:from>
    <xdr:to>
      <xdr:col>3</xdr:col>
      <xdr:colOff>190500</xdr:colOff>
      <xdr:row>41</xdr:row>
      <xdr:rowOff>19050</xdr:rowOff>
    </xdr:to>
    <xdr:sp macro="" textlink="">
      <xdr:nvSpPr>
        <xdr:cNvPr id="111" name="TextBox 110"/>
        <xdr:cNvSpPr txBox="1"/>
      </xdr:nvSpPr>
      <xdr:spPr>
        <a:xfrm>
          <a:off x="923925" y="7858125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HR</a:t>
          </a:r>
        </a:p>
      </xdr:txBody>
    </xdr:sp>
    <xdr:clientData/>
  </xdr:twoCellAnchor>
  <xdr:twoCellAnchor>
    <xdr:from>
      <xdr:col>3</xdr:col>
      <xdr:colOff>238125</xdr:colOff>
      <xdr:row>39</xdr:row>
      <xdr:rowOff>47625</xdr:rowOff>
    </xdr:from>
    <xdr:to>
      <xdr:col>4</xdr:col>
      <xdr:colOff>190500</xdr:colOff>
      <xdr:row>41</xdr:row>
      <xdr:rowOff>9525</xdr:rowOff>
    </xdr:to>
    <xdr:sp macro="" textlink="">
      <xdr:nvSpPr>
        <xdr:cNvPr id="112" name="TextBox 111"/>
        <xdr:cNvSpPr txBox="1"/>
      </xdr:nvSpPr>
      <xdr:spPr>
        <a:xfrm>
          <a:off x="1666875" y="784860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OPs</a:t>
          </a:r>
        </a:p>
      </xdr:txBody>
    </xdr:sp>
    <xdr:clientData/>
  </xdr:twoCellAnchor>
  <xdr:twoCellAnchor editAs="oneCell">
    <xdr:from>
      <xdr:col>20</xdr:col>
      <xdr:colOff>295275</xdr:colOff>
      <xdr:row>22</xdr:row>
      <xdr:rowOff>0</xdr:rowOff>
    </xdr:from>
    <xdr:to>
      <xdr:col>23</xdr:col>
      <xdr:colOff>342900</xdr:colOff>
      <xdr:row>28</xdr:row>
      <xdr:rowOff>190500</xdr:rowOff>
    </xdr:to>
    <xdr:pic>
      <xdr:nvPicPr>
        <xdr:cNvPr id="68166" name="Picture 184" descr="Glass Pane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0375" y="4400550"/>
          <a:ext cx="19145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209550</xdr:colOff>
      <xdr:row>22</xdr:row>
      <xdr:rowOff>123825</xdr:rowOff>
    </xdr:from>
    <xdr:to>
      <xdr:col>20</xdr:col>
      <xdr:colOff>171450</xdr:colOff>
      <xdr:row>24</xdr:row>
      <xdr:rowOff>123825</xdr:rowOff>
    </xdr:to>
    <xdr:sp macro="" textlink="">
      <xdr:nvSpPr>
        <xdr:cNvPr id="103" name="Text Box 204"/>
        <xdr:cNvSpPr txBox="1">
          <a:spLocks noChangeArrowheads="1"/>
        </xdr:cNvSpPr>
      </xdr:nvSpPr>
      <xdr:spPr bwMode="auto">
        <a:xfrm>
          <a:off x="9772650" y="4324350"/>
          <a:ext cx="685800" cy="400050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Leave Balances</a:t>
          </a:r>
        </a:p>
      </xdr:txBody>
    </xdr:sp>
    <xdr:clientData/>
  </xdr:twoCellAnchor>
  <xdr:twoCellAnchor editAs="oneCell">
    <xdr:from>
      <xdr:col>19</xdr:col>
      <xdr:colOff>228600</xdr:colOff>
      <xdr:row>25</xdr:row>
      <xdr:rowOff>161926</xdr:rowOff>
    </xdr:from>
    <xdr:to>
      <xdr:col>20</xdr:col>
      <xdr:colOff>219075</xdr:colOff>
      <xdr:row>28</xdr:row>
      <xdr:rowOff>177691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7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791700" y="4962526"/>
          <a:ext cx="714375" cy="615840"/>
        </a:xfrm>
        <a:prstGeom prst="rect">
          <a:avLst/>
        </a:prstGeom>
      </xdr:spPr>
    </xdr:pic>
    <xdr:clientData/>
  </xdr:twoCellAnchor>
  <xdr:twoCellAnchor editAs="oneCell">
    <xdr:from>
      <xdr:col>16</xdr:col>
      <xdr:colOff>390525</xdr:colOff>
      <xdr:row>29</xdr:row>
      <xdr:rowOff>133350</xdr:rowOff>
    </xdr:from>
    <xdr:to>
      <xdr:col>18</xdr:col>
      <xdr:colOff>9525</xdr:colOff>
      <xdr:row>33</xdr:row>
      <xdr:rowOff>19050</xdr:rowOff>
    </xdr:to>
    <xdr:pic>
      <xdr:nvPicPr>
        <xdr:cNvPr id="68169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59340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19</xdr:row>
      <xdr:rowOff>190499</xdr:rowOff>
    </xdr:from>
    <xdr:to>
      <xdr:col>1</xdr:col>
      <xdr:colOff>381385</xdr:colOff>
      <xdr:row>21</xdr:row>
      <xdr:rowOff>180298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9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80975" y="3990974"/>
          <a:ext cx="305185" cy="389849"/>
        </a:xfrm>
        <a:prstGeom prst="rect">
          <a:avLst/>
        </a:prstGeom>
      </xdr:spPr>
    </xdr:pic>
    <xdr:clientData/>
  </xdr:twoCellAnchor>
  <xdr:twoCellAnchor>
    <xdr:from>
      <xdr:col>10</xdr:col>
      <xdr:colOff>390525</xdr:colOff>
      <xdr:row>112</xdr:row>
      <xdr:rowOff>171450</xdr:rowOff>
    </xdr:from>
    <xdr:to>
      <xdr:col>19</xdr:col>
      <xdr:colOff>400050</xdr:colOff>
      <xdr:row>126</xdr:row>
      <xdr:rowOff>114300</xdr:rowOff>
    </xdr:to>
    <xdr:graphicFrame macro="">
      <xdr:nvGraphicFramePr>
        <xdr:cNvPr id="68171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76200</xdr:colOff>
      <xdr:row>29</xdr:row>
      <xdr:rowOff>142875</xdr:rowOff>
    </xdr:from>
    <xdr:to>
      <xdr:col>23</xdr:col>
      <xdr:colOff>438150</xdr:colOff>
      <xdr:row>40</xdr:row>
      <xdr:rowOff>47625</xdr:rowOff>
    </xdr:to>
    <xdr:graphicFrame macro="">
      <xdr:nvGraphicFramePr>
        <xdr:cNvPr id="68172" name="Chart 1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133351</xdr:colOff>
      <xdr:row>30</xdr:row>
      <xdr:rowOff>161925</xdr:rowOff>
    </xdr:from>
    <xdr:to>
      <xdr:col>1</xdr:col>
      <xdr:colOff>581025</xdr:colOff>
      <xdr:row>32</xdr:row>
      <xdr:rowOff>38100</xdr:rowOff>
    </xdr:to>
    <xdr:sp macro="" textlink="">
      <xdr:nvSpPr>
        <xdr:cNvPr id="140" name="TextBox 139"/>
        <xdr:cNvSpPr txBox="1"/>
      </xdr:nvSpPr>
      <xdr:spPr>
        <a:xfrm>
          <a:off x="200026" y="5962650"/>
          <a:ext cx="44767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PY</a:t>
          </a:r>
        </a:p>
      </xdr:txBody>
    </xdr:sp>
    <xdr:clientData/>
  </xdr:twoCellAnchor>
  <xdr:twoCellAnchor>
    <xdr:from>
      <xdr:col>3</xdr:col>
      <xdr:colOff>495299</xdr:colOff>
      <xdr:row>30</xdr:row>
      <xdr:rowOff>152400</xdr:rowOff>
    </xdr:from>
    <xdr:to>
      <xdr:col>4</xdr:col>
      <xdr:colOff>142874</xdr:colOff>
      <xdr:row>32</xdr:row>
      <xdr:rowOff>0</xdr:rowOff>
    </xdr:to>
    <xdr:sp macro="" textlink="">
      <xdr:nvSpPr>
        <xdr:cNvPr id="141" name="TextBox 140"/>
        <xdr:cNvSpPr txBox="1"/>
      </xdr:nvSpPr>
      <xdr:spPr>
        <a:xfrm>
          <a:off x="1781174" y="5953125"/>
          <a:ext cx="3905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CY</a:t>
          </a:r>
        </a:p>
      </xdr:txBody>
    </xdr:sp>
    <xdr:clientData/>
  </xdr:twoCellAnchor>
  <xdr:twoCellAnchor>
    <xdr:from>
      <xdr:col>19</xdr:col>
      <xdr:colOff>28575</xdr:colOff>
      <xdr:row>6</xdr:row>
      <xdr:rowOff>0</xdr:rowOff>
    </xdr:from>
    <xdr:to>
      <xdr:col>22</xdr:col>
      <xdr:colOff>304800</xdr:colOff>
      <xdr:row>7</xdr:row>
      <xdr:rowOff>161925</xdr:rowOff>
    </xdr:to>
    <xdr:sp macro="" textlink="">
      <xdr:nvSpPr>
        <xdr:cNvPr id="150" name="TextBox 149"/>
        <xdr:cNvSpPr txBox="1"/>
      </xdr:nvSpPr>
      <xdr:spPr>
        <a:xfrm>
          <a:off x="9591675" y="1000125"/>
          <a:ext cx="22574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Sales Growth v % Profit</a:t>
          </a:r>
        </a:p>
      </xdr:txBody>
    </xdr:sp>
    <xdr:clientData/>
  </xdr:twoCellAnchor>
  <xdr:twoCellAnchor editAs="oneCell">
    <xdr:from>
      <xdr:col>19</xdr:col>
      <xdr:colOff>228601</xdr:colOff>
      <xdr:row>2</xdr:row>
      <xdr:rowOff>152401</xdr:rowOff>
    </xdr:from>
    <xdr:to>
      <xdr:col>19</xdr:col>
      <xdr:colOff>628650</xdr:colOff>
      <xdr:row>4</xdr:row>
      <xdr:rowOff>164747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2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829801" y="552451"/>
          <a:ext cx="400049" cy="412396"/>
        </a:xfrm>
        <a:prstGeom prst="rect">
          <a:avLst/>
        </a:prstGeom>
      </xdr:spPr>
    </xdr:pic>
    <xdr:clientData/>
  </xdr:twoCellAnchor>
  <xdr:twoCellAnchor>
    <xdr:from>
      <xdr:col>19</xdr:col>
      <xdr:colOff>333375</xdr:colOff>
      <xdr:row>29</xdr:row>
      <xdr:rowOff>142875</xdr:rowOff>
    </xdr:from>
    <xdr:to>
      <xdr:col>23</xdr:col>
      <xdr:colOff>0</xdr:colOff>
      <xdr:row>31</xdr:row>
      <xdr:rowOff>104775</xdr:rowOff>
    </xdr:to>
    <xdr:sp macro="" textlink="">
      <xdr:nvSpPr>
        <xdr:cNvPr id="152" name="TextBox 151"/>
        <xdr:cNvSpPr txBox="1"/>
      </xdr:nvSpPr>
      <xdr:spPr>
        <a:xfrm>
          <a:off x="9896475" y="5743575"/>
          <a:ext cx="22574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Sales</a:t>
          </a:r>
          <a:r>
            <a:rPr lang="en-US" sz="1600" b="0" i="0" u="none" strike="noStrike" baseline="0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 Qantity CY v PY</a:t>
          </a:r>
          <a:endParaRPr lang="en-US" sz="16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10</xdr:col>
      <xdr:colOff>342900</xdr:colOff>
      <xdr:row>29</xdr:row>
      <xdr:rowOff>123825</xdr:rowOff>
    </xdr:from>
    <xdr:to>
      <xdr:col>17</xdr:col>
      <xdr:colOff>47625</xdr:colOff>
      <xdr:row>31</xdr:row>
      <xdr:rowOff>85725</xdr:rowOff>
    </xdr:to>
    <xdr:sp macro="" textlink="">
      <xdr:nvSpPr>
        <xdr:cNvPr id="153" name="TextBox 152"/>
        <xdr:cNvSpPr txBox="1"/>
      </xdr:nvSpPr>
      <xdr:spPr>
        <a:xfrm>
          <a:off x="5343525" y="5724525"/>
          <a:ext cx="29718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Hires v Terminations</a:t>
          </a:r>
        </a:p>
      </xdr:txBody>
    </xdr:sp>
    <xdr:clientData/>
  </xdr:twoCellAnchor>
  <xdr:twoCellAnchor>
    <xdr:from>
      <xdr:col>6</xdr:col>
      <xdr:colOff>152853</xdr:colOff>
      <xdr:row>3</xdr:row>
      <xdr:rowOff>183011</xdr:rowOff>
    </xdr:from>
    <xdr:to>
      <xdr:col>8</xdr:col>
      <xdr:colOff>190953</xdr:colOff>
      <xdr:row>5</xdr:row>
      <xdr:rowOff>76200</xdr:rowOff>
    </xdr:to>
    <xdr:sp macro="" textlink="">
      <xdr:nvSpPr>
        <xdr:cNvPr id="154" name="TextBox 153"/>
        <xdr:cNvSpPr txBox="1"/>
      </xdr:nvSpPr>
      <xdr:spPr>
        <a:xfrm>
          <a:off x="3248478" y="783086"/>
          <a:ext cx="10096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Consultants</a:t>
          </a:r>
        </a:p>
      </xdr:txBody>
    </xdr:sp>
    <xdr:clientData/>
  </xdr:twoCellAnchor>
  <xdr:twoCellAnchor>
    <xdr:from>
      <xdr:col>4</xdr:col>
      <xdr:colOff>76200</xdr:colOff>
      <xdr:row>32</xdr:row>
      <xdr:rowOff>85725</xdr:rowOff>
    </xdr:from>
    <xdr:to>
      <xdr:col>6</xdr:col>
      <xdr:colOff>200025</xdr:colOff>
      <xdr:row>38</xdr:row>
      <xdr:rowOff>142875</xdr:rowOff>
    </xdr:to>
    <xdr:graphicFrame macro="">
      <xdr:nvGraphicFramePr>
        <xdr:cNvPr id="68182" name="Chart 1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</xdr:col>
      <xdr:colOff>38100</xdr:colOff>
      <xdr:row>32</xdr:row>
      <xdr:rowOff>85725</xdr:rowOff>
    </xdr:from>
    <xdr:to>
      <xdr:col>8</xdr:col>
      <xdr:colOff>219075</xdr:colOff>
      <xdr:row>38</xdr:row>
      <xdr:rowOff>142875</xdr:rowOff>
    </xdr:to>
    <xdr:graphicFrame macro="">
      <xdr:nvGraphicFramePr>
        <xdr:cNvPr id="68183" name="Chart 1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95251</xdr:colOff>
      <xdr:row>34</xdr:row>
      <xdr:rowOff>123825</xdr:rowOff>
    </xdr:from>
    <xdr:to>
      <xdr:col>5</xdr:col>
      <xdr:colOff>704851</xdr:colOff>
      <xdr:row>36</xdr:row>
      <xdr:rowOff>85725</xdr:rowOff>
    </xdr:to>
    <xdr:sp macro="" textlink="Calcs!C51">
      <xdr:nvSpPr>
        <xdr:cNvPr id="173" name="TextBox 172"/>
        <xdr:cNvSpPr txBox="1"/>
      </xdr:nvSpPr>
      <xdr:spPr>
        <a:xfrm>
          <a:off x="2476501" y="6924675"/>
          <a:ext cx="609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946BB9-E6E3-429A-9F20-6B71BAF8E3F7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30%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6</xdr:col>
      <xdr:colOff>371475</xdr:colOff>
      <xdr:row>34</xdr:row>
      <xdr:rowOff>123825</xdr:rowOff>
    </xdr:from>
    <xdr:to>
      <xdr:col>8</xdr:col>
      <xdr:colOff>9525</xdr:colOff>
      <xdr:row>36</xdr:row>
      <xdr:rowOff>85725</xdr:rowOff>
    </xdr:to>
    <xdr:sp macro="" textlink="Calcs!C52">
      <xdr:nvSpPr>
        <xdr:cNvPr id="174" name="TextBox 173"/>
        <xdr:cNvSpPr txBox="1"/>
      </xdr:nvSpPr>
      <xdr:spPr>
        <a:xfrm>
          <a:off x="3467100" y="6924675"/>
          <a:ext cx="609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9CC7199-0FDE-46EB-8A3B-116B2E8B1135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68%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8</xdr:col>
      <xdr:colOff>390525</xdr:colOff>
      <xdr:row>34</xdr:row>
      <xdr:rowOff>123825</xdr:rowOff>
    </xdr:from>
    <xdr:to>
      <xdr:col>10</xdr:col>
      <xdr:colOff>28575</xdr:colOff>
      <xdr:row>36</xdr:row>
      <xdr:rowOff>85725</xdr:rowOff>
    </xdr:to>
    <xdr:sp macro="" textlink="Calcs!C53">
      <xdr:nvSpPr>
        <xdr:cNvPr id="175" name="TextBox 174"/>
        <xdr:cNvSpPr txBox="1"/>
      </xdr:nvSpPr>
      <xdr:spPr>
        <a:xfrm>
          <a:off x="4457700" y="6924675"/>
          <a:ext cx="609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293571-A587-41AF-A6BC-FFC0F654AA3F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43%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18</xdr:col>
      <xdr:colOff>66675</xdr:colOff>
      <xdr:row>7</xdr:row>
      <xdr:rowOff>38100</xdr:rowOff>
    </xdr:from>
    <xdr:to>
      <xdr:col>23</xdr:col>
      <xdr:colOff>428625</xdr:colOff>
      <xdr:row>20</xdr:row>
      <xdr:rowOff>114300</xdr:rowOff>
    </xdr:to>
    <xdr:graphicFrame macro="">
      <xdr:nvGraphicFramePr>
        <xdr:cNvPr id="1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5</xdr:col>
      <xdr:colOff>447675</xdr:colOff>
      <xdr:row>2</xdr:row>
      <xdr:rowOff>166901</xdr:rowOff>
    </xdr:from>
    <xdr:to>
      <xdr:col>6</xdr:col>
      <xdr:colOff>200025</xdr:colOff>
      <xdr:row>4</xdr:row>
      <xdr:rowOff>177848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828925" y="566951"/>
          <a:ext cx="466725" cy="410997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209551</xdr:colOff>
      <xdr:row>30</xdr:row>
      <xdr:rowOff>9525</xdr:rowOff>
    </xdr:from>
    <xdr:to>
      <xdr:col>10</xdr:col>
      <xdr:colOff>123826</xdr:colOff>
      <xdr:row>32</xdr:row>
      <xdr:rowOff>152876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artisticCrisscrossEtching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62501" y="6010275"/>
          <a:ext cx="400050" cy="543401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19</xdr:row>
      <xdr:rowOff>161926</xdr:rowOff>
    </xdr:from>
    <xdr:to>
      <xdr:col>3</xdr:col>
      <xdr:colOff>47625</xdr:colOff>
      <xdr:row>21</xdr:row>
      <xdr:rowOff>186959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9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57225" y="3962401"/>
          <a:ext cx="714375" cy="425083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19</xdr:row>
      <xdr:rowOff>161925</xdr:rowOff>
    </xdr:from>
    <xdr:to>
      <xdr:col>3</xdr:col>
      <xdr:colOff>676276</xdr:colOff>
      <xdr:row>21</xdr:row>
      <xdr:rowOff>194714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0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562101" y="3962400"/>
          <a:ext cx="438150" cy="432839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0</xdr:rowOff>
    </xdr:from>
    <xdr:to>
      <xdr:col>5</xdr:col>
      <xdr:colOff>400050</xdr:colOff>
      <xdr:row>4</xdr:row>
      <xdr:rowOff>114300</xdr:rowOff>
    </xdr:to>
    <xdr:sp macro="" textlink="Calcs!C57">
      <xdr:nvSpPr>
        <xdr:cNvPr id="119" name="TextBox 118"/>
        <xdr:cNvSpPr txBox="1"/>
      </xdr:nvSpPr>
      <xdr:spPr>
        <a:xfrm>
          <a:off x="2076450" y="600075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E7AEEE0-0325-4374-84FF-C90A5754C7CA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13.4 m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600075</xdr:colOff>
      <xdr:row>3</xdr:row>
      <xdr:rowOff>152400</xdr:rowOff>
    </xdr:from>
    <xdr:to>
      <xdr:col>21</xdr:col>
      <xdr:colOff>600075</xdr:colOff>
      <xdr:row>5</xdr:row>
      <xdr:rowOff>45589</xdr:rowOff>
    </xdr:to>
    <xdr:sp macro="" textlink="">
      <xdr:nvSpPr>
        <xdr:cNvPr id="120" name="TextBox 119"/>
        <xdr:cNvSpPr txBox="1"/>
      </xdr:nvSpPr>
      <xdr:spPr>
        <a:xfrm>
          <a:off x="10201275" y="752475"/>
          <a:ext cx="133350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Stock</a:t>
          </a:r>
          <a:r>
            <a:rPr lang="en-AU" sz="1100" baseline="0">
              <a:solidFill>
                <a:schemeClr val="accent1">
                  <a:lumMod val="75000"/>
                </a:schemeClr>
              </a:solidFill>
            </a:rPr>
            <a:t> Price (close)</a:t>
          </a:r>
          <a:endParaRPr lang="en-AU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361950</xdr:colOff>
      <xdr:row>3</xdr:row>
      <xdr:rowOff>0</xdr:rowOff>
    </xdr:from>
    <xdr:to>
      <xdr:col>7</xdr:col>
      <xdr:colOff>400050</xdr:colOff>
      <xdr:row>4</xdr:row>
      <xdr:rowOff>114300</xdr:rowOff>
    </xdr:to>
    <xdr:sp macro="" textlink="Calcs!C61">
      <xdr:nvSpPr>
        <xdr:cNvPr id="121" name="TextBox 120"/>
        <xdr:cNvSpPr txBox="1"/>
      </xdr:nvSpPr>
      <xdr:spPr>
        <a:xfrm>
          <a:off x="3457575" y="600075"/>
          <a:ext cx="5238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B709AA6-3788-4919-B510-6B52A6068E05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81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571501</xdr:colOff>
      <xdr:row>2</xdr:row>
      <xdr:rowOff>152400</xdr:rowOff>
    </xdr:from>
    <xdr:to>
      <xdr:col>22</xdr:col>
      <xdr:colOff>428625</xdr:colOff>
      <xdr:row>4</xdr:row>
      <xdr:rowOff>66675</xdr:rowOff>
    </xdr:to>
    <xdr:sp macro="" textlink="Calcs!F70">
      <xdr:nvSpPr>
        <xdr:cNvPr id="122" name="TextBox 121"/>
        <xdr:cNvSpPr txBox="1"/>
      </xdr:nvSpPr>
      <xdr:spPr>
        <a:xfrm>
          <a:off x="10172701" y="552450"/>
          <a:ext cx="1838324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D94701-D34E-4C81-8585-CCB61C9DDD9A}" type="TxLink">
            <a:rPr lang="en-US" sz="1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17.43 ▲3.0% on Prior Period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10</xdr:col>
      <xdr:colOff>171450</xdr:colOff>
      <xdr:row>30</xdr:row>
      <xdr:rowOff>123825</xdr:rowOff>
    </xdr:from>
    <xdr:to>
      <xdr:col>18</xdr:col>
      <xdr:colOff>161925</xdr:colOff>
      <xdr:row>40</xdr:row>
      <xdr:rowOff>171450</xdr:rowOff>
    </xdr:to>
    <xdr:graphicFrame macro="">
      <xdr:nvGraphicFramePr>
        <xdr:cNvPr id="124" name="Chart 1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11</xdr:col>
      <xdr:colOff>85725</xdr:colOff>
      <xdr:row>31</xdr:row>
      <xdr:rowOff>76200</xdr:rowOff>
    </xdr:from>
    <xdr:to>
      <xdr:col>11</xdr:col>
      <xdr:colOff>257175</xdr:colOff>
      <xdr:row>32</xdr:row>
      <xdr:rowOff>0</xdr:rowOff>
    </xdr:to>
    <xdr:sp macro="" textlink="">
      <xdr:nvSpPr>
        <xdr:cNvPr id="8" name="Rectangle 7"/>
        <xdr:cNvSpPr/>
      </xdr:nvSpPr>
      <xdr:spPr>
        <a:xfrm>
          <a:off x="5543550" y="6276975"/>
          <a:ext cx="171450" cy="1238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900"/>
        </a:p>
      </xdr:txBody>
    </xdr:sp>
    <xdr:clientData/>
  </xdr:twoCellAnchor>
  <xdr:twoCellAnchor>
    <xdr:from>
      <xdr:col>11</xdr:col>
      <xdr:colOff>209550</xdr:colOff>
      <xdr:row>31</xdr:row>
      <xdr:rowOff>19050</xdr:rowOff>
    </xdr:from>
    <xdr:to>
      <xdr:col>12</xdr:col>
      <xdr:colOff>314325</xdr:colOff>
      <xdr:row>32</xdr:row>
      <xdr:rowOff>85725</xdr:rowOff>
    </xdr:to>
    <xdr:sp macro="" textlink="">
      <xdr:nvSpPr>
        <xdr:cNvPr id="126" name="TextBox 125"/>
        <xdr:cNvSpPr txBox="1"/>
      </xdr:nvSpPr>
      <xdr:spPr>
        <a:xfrm>
          <a:off x="5667375" y="6219825"/>
          <a:ext cx="5905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Hires</a:t>
          </a:r>
        </a:p>
      </xdr:txBody>
    </xdr:sp>
    <xdr:clientData/>
  </xdr:twoCellAnchor>
  <xdr:twoCellAnchor>
    <xdr:from>
      <xdr:col>12</xdr:col>
      <xdr:colOff>266700</xdr:colOff>
      <xdr:row>31</xdr:row>
      <xdr:rowOff>76200</xdr:rowOff>
    </xdr:from>
    <xdr:to>
      <xdr:col>12</xdr:col>
      <xdr:colOff>438150</xdr:colOff>
      <xdr:row>32</xdr:row>
      <xdr:rowOff>0</xdr:rowOff>
    </xdr:to>
    <xdr:sp macro="" textlink="">
      <xdr:nvSpPr>
        <xdr:cNvPr id="127" name="Rectangle 126"/>
        <xdr:cNvSpPr/>
      </xdr:nvSpPr>
      <xdr:spPr>
        <a:xfrm>
          <a:off x="6210300" y="6276975"/>
          <a:ext cx="171450" cy="123825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900"/>
        </a:p>
      </xdr:txBody>
    </xdr:sp>
    <xdr:clientData/>
  </xdr:twoCellAnchor>
  <xdr:twoCellAnchor>
    <xdr:from>
      <xdr:col>12</xdr:col>
      <xdr:colOff>390525</xdr:colOff>
      <xdr:row>31</xdr:row>
      <xdr:rowOff>19050</xdr:rowOff>
    </xdr:from>
    <xdr:to>
      <xdr:col>14</xdr:col>
      <xdr:colOff>466725</xdr:colOff>
      <xdr:row>32</xdr:row>
      <xdr:rowOff>85725</xdr:rowOff>
    </xdr:to>
    <xdr:sp macro="" textlink="">
      <xdr:nvSpPr>
        <xdr:cNvPr id="128" name="TextBox 127"/>
        <xdr:cNvSpPr txBox="1"/>
      </xdr:nvSpPr>
      <xdr:spPr>
        <a:xfrm>
          <a:off x="6334125" y="6219825"/>
          <a:ext cx="10477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Terminations</a:t>
          </a:r>
        </a:p>
      </xdr:txBody>
    </xdr:sp>
    <xdr:clientData/>
  </xdr:twoCellAnchor>
  <xdr:twoCellAnchor>
    <xdr:from>
      <xdr:col>1</xdr:col>
      <xdr:colOff>66675</xdr:colOff>
      <xdr:row>33</xdr:row>
      <xdr:rowOff>97595</xdr:rowOff>
    </xdr:from>
    <xdr:to>
      <xdr:col>2</xdr:col>
      <xdr:colOff>60143</xdr:colOff>
      <xdr:row>35</xdr:row>
      <xdr:rowOff>9524</xdr:rowOff>
    </xdr:to>
    <xdr:sp macro="" textlink="Calcs!F51">
      <xdr:nvSpPr>
        <xdr:cNvPr id="129" name="TextBox 128"/>
        <xdr:cNvSpPr txBox="1"/>
      </xdr:nvSpPr>
      <xdr:spPr>
        <a:xfrm>
          <a:off x="171450" y="669842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00FF08A-4524-4576-9451-EDB51A87F684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77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2</xdr:col>
      <xdr:colOff>120832</xdr:colOff>
      <xdr:row>33</xdr:row>
      <xdr:rowOff>97595</xdr:rowOff>
    </xdr:from>
    <xdr:to>
      <xdr:col>3</xdr:col>
      <xdr:colOff>114300</xdr:colOff>
      <xdr:row>35</xdr:row>
      <xdr:rowOff>9524</xdr:rowOff>
    </xdr:to>
    <xdr:sp macro="" textlink="Calcs!F52">
      <xdr:nvSpPr>
        <xdr:cNvPr id="130" name="TextBox 129"/>
        <xdr:cNvSpPr txBox="1"/>
      </xdr:nvSpPr>
      <xdr:spPr>
        <a:xfrm>
          <a:off x="835207" y="669842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FC9CA61-304A-43AC-941B-9E4A3B5856DB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43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3</xdr:col>
      <xdr:colOff>187507</xdr:colOff>
      <xdr:row>33</xdr:row>
      <xdr:rowOff>97595</xdr:rowOff>
    </xdr:from>
    <xdr:to>
      <xdr:col>4</xdr:col>
      <xdr:colOff>47625</xdr:colOff>
      <xdr:row>35</xdr:row>
      <xdr:rowOff>9524</xdr:rowOff>
    </xdr:to>
    <xdr:sp macro="" textlink="Calcs!F53">
      <xdr:nvSpPr>
        <xdr:cNvPr id="131" name="TextBox 130"/>
        <xdr:cNvSpPr txBox="1"/>
      </xdr:nvSpPr>
      <xdr:spPr>
        <a:xfrm>
          <a:off x="1511482" y="669842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13665A-AA20-41B4-AE65-EF9C6A930D4A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85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</xdr:col>
      <xdr:colOff>47625</xdr:colOff>
      <xdr:row>36</xdr:row>
      <xdr:rowOff>171450</xdr:rowOff>
    </xdr:from>
    <xdr:to>
      <xdr:col>2</xdr:col>
      <xdr:colOff>41093</xdr:colOff>
      <xdr:row>38</xdr:row>
      <xdr:rowOff>83379</xdr:rowOff>
    </xdr:to>
    <xdr:sp macro="" textlink="Calcs!E51">
      <xdr:nvSpPr>
        <xdr:cNvPr id="132" name="TextBox 131"/>
        <xdr:cNvSpPr txBox="1"/>
      </xdr:nvSpPr>
      <xdr:spPr>
        <a:xfrm>
          <a:off x="152400" y="737235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28ACC10-DD8A-4D78-A30D-A596DEBF5C8A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78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2</xdr:col>
      <xdr:colOff>101782</xdr:colOff>
      <xdr:row>36</xdr:row>
      <xdr:rowOff>171450</xdr:rowOff>
    </xdr:from>
    <xdr:to>
      <xdr:col>3</xdr:col>
      <xdr:colOff>95250</xdr:colOff>
      <xdr:row>38</xdr:row>
      <xdr:rowOff>83379</xdr:rowOff>
    </xdr:to>
    <xdr:sp macro="" textlink="Calcs!E52">
      <xdr:nvSpPr>
        <xdr:cNvPr id="133" name="TextBox 132"/>
        <xdr:cNvSpPr txBox="1"/>
      </xdr:nvSpPr>
      <xdr:spPr>
        <a:xfrm>
          <a:off x="816157" y="737235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0418F2-0C21-466A-B7EC-0D300584092B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59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3</xdr:col>
      <xdr:colOff>168457</xdr:colOff>
      <xdr:row>36</xdr:row>
      <xdr:rowOff>171450</xdr:rowOff>
    </xdr:from>
    <xdr:to>
      <xdr:col>4</xdr:col>
      <xdr:colOff>28575</xdr:colOff>
      <xdr:row>38</xdr:row>
      <xdr:rowOff>83379</xdr:rowOff>
    </xdr:to>
    <xdr:sp macro="" textlink="Calcs!E53">
      <xdr:nvSpPr>
        <xdr:cNvPr id="134" name="TextBox 133"/>
        <xdr:cNvSpPr txBox="1"/>
      </xdr:nvSpPr>
      <xdr:spPr>
        <a:xfrm>
          <a:off x="1492432" y="737235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E1587A4-920B-4E1B-9380-3D1F58D67B1B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82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 editAs="oneCell">
    <xdr:from>
      <xdr:col>7</xdr:col>
      <xdr:colOff>457201</xdr:colOff>
      <xdr:row>2</xdr:row>
      <xdr:rowOff>199711</xdr:rowOff>
    </xdr:from>
    <xdr:to>
      <xdr:col>8</xdr:col>
      <xdr:colOff>361950</xdr:colOff>
      <xdr:row>4</xdr:row>
      <xdr:rowOff>187598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038601" y="599761"/>
          <a:ext cx="390524" cy="387937"/>
        </a:xfrm>
        <a:prstGeom prst="rect">
          <a:avLst/>
        </a:prstGeom>
      </xdr:spPr>
    </xdr:pic>
    <xdr:clientData/>
  </xdr:twoCellAnchor>
  <xdr:twoCellAnchor>
    <xdr:from>
      <xdr:col>8</xdr:col>
      <xdr:colOff>323850</xdr:colOff>
      <xdr:row>3</xdr:row>
      <xdr:rowOff>180975</xdr:rowOff>
    </xdr:from>
    <xdr:to>
      <xdr:col>10</xdr:col>
      <xdr:colOff>361950</xdr:colOff>
      <xdr:row>5</xdr:row>
      <xdr:rowOff>74164</xdr:rowOff>
    </xdr:to>
    <xdr:sp macro="" textlink="">
      <xdr:nvSpPr>
        <xdr:cNvPr id="135" name="TextBox 134"/>
        <xdr:cNvSpPr txBox="1"/>
      </xdr:nvSpPr>
      <xdr:spPr>
        <a:xfrm>
          <a:off x="4391025" y="781050"/>
          <a:ext cx="10096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New Projects</a:t>
          </a:r>
        </a:p>
      </xdr:txBody>
    </xdr:sp>
    <xdr:clientData/>
  </xdr:twoCellAnchor>
  <xdr:twoCellAnchor editAs="oneCell">
    <xdr:from>
      <xdr:col>14</xdr:col>
      <xdr:colOff>28576</xdr:colOff>
      <xdr:row>2</xdr:row>
      <xdr:rowOff>127584</xdr:rowOff>
    </xdr:from>
    <xdr:to>
      <xdr:col>14</xdr:col>
      <xdr:colOff>419100</xdr:colOff>
      <xdr:row>4</xdr:row>
      <xdr:rowOff>167856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943726" y="527634"/>
          <a:ext cx="390524" cy="440322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3</xdr:row>
      <xdr:rowOff>161925</xdr:rowOff>
    </xdr:from>
    <xdr:to>
      <xdr:col>16</xdr:col>
      <xdr:colOff>352425</xdr:colOff>
      <xdr:row>5</xdr:row>
      <xdr:rowOff>55114</xdr:rowOff>
    </xdr:to>
    <xdr:sp macro="" textlink="">
      <xdr:nvSpPr>
        <xdr:cNvPr id="136" name="TextBox 135"/>
        <xdr:cNvSpPr txBox="1"/>
      </xdr:nvSpPr>
      <xdr:spPr>
        <a:xfrm>
          <a:off x="7286625" y="762000"/>
          <a:ext cx="885825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Alliances</a:t>
          </a:r>
        </a:p>
      </xdr:txBody>
    </xdr:sp>
    <xdr:clientData/>
  </xdr:twoCellAnchor>
  <xdr:twoCellAnchor editAs="oneCell">
    <xdr:from>
      <xdr:col>16</xdr:col>
      <xdr:colOff>142875</xdr:colOff>
      <xdr:row>2</xdr:row>
      <xdr:rowOff>57150</xdr:rowOff>
    </xdr:from>
    <xdr:to>
      <xdr:col>17</xdr:col>
      <xdr:colOff>76200</xdr:colOff>
      <xdr:row>4</xdr:row>
      <xdr:rowOff>170346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34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962900" y="457200"/>
          <a:ext cx="419100" cy="513246"/>
        </a:xfrm>
        <a:prstGeom prst="rect">
          <a:avLst/>
        </a:prstGeom>
      </xdr:spPr>
    </xdr:pic>
    <xdr:clientData/>
  </xdr:twoCellAnchor>
  <xdr:twoCellAnchor>
    <xdr:from>
      <xdr:col>11</xdr:col>
      <xdr:colOff>352425</xdr:colOff>
      <xdr:row>3</xdr:row>
      <xdr:rowOff>190500</xdr:rowOff>
    </xdr:from>
    <xdr:to>
      <xdr:col>14</xdr:col>
      <xdr:colOff>133350</xdr:colOff>
      <xdr:row>5</xdr:row>
      <xdr:rowOff>83689</xdr:rowOff>
    </xdr:to>
    <xdr:sp macro="" textlink="">
      <xdr:nvSpPr>
        <xdr:cNvPr id="138" name="TextBox 137"/>
        <xdr:cNvSpPr txBox="1"/>
      </xdr:nvSpPr>
      <xdr:spPr>
        <a:xfrm>
          <a:off x="5810250" y="790575"/>
          <a:ext cx="12382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Social Campaigns</a:t>
          </a:r>
        </a:p>
      </xdr:txBody>
    </xdr:sp>
    <xdr:clientData/>
  </xdr:twoCellAnchor>
  <xdr:twoCellAnchor>
    <xdr:from>
      <xdr:col>17</xdr:col>
      <xdr:colOff>85725</xdr:colOff>
      <xdr:row>3</xdr:row>
      <xdr:rowOff>171450</xdr:rowOff>
    </xdr:from>
    <xdr:to>
      <xdr:col>19</xdr:col>
      <xdr:colOff>123825</xdr:colOff>
      <xdr:row>5</xdr:row>
      <xdr:rowOff>64639</xdr:rowOff>
    </xdr:to>
    <xdr:sp macro="" textlink="">
      <xdr:nvSpPr>
        <xdr:cNvPr id="139" name="TextBox 138"/>
        <xdr:cNvSpPr txBox="1"/>
      </xdr:nvSpPr>
      <xdr:spPr>
        <a:xfrm>
          <a:off x="8391525" y="771525"/>
          <a:ext cx="133350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Community Projects</a:t>
          </a:r>
        </a:p>
      </xdr:txBody>
    </xdr:sp>
    <xdr:clientData/>
  </xdr:twoCellAnchor>
  <xdr:twoCellAnchor editAs="oneCell">
    <xdr:from>
      <xdr:col>10</xdr:col>
      <xdr:colOff>257176</xdr:colOff>
      <xdr:row>2</xdr:row>
      <xdr:rowOff>123824</xdr:rowOff>
    </xdr:from>
    <xdr:to>
      <xdr:col>11</xdr:col>
      <xdr:colOff>351683</xdr:colOff>
      <xdr:row>5</xdr:row>
      <xdr:rowOff>34862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295901" y="523874"/>
          <a:ext cx="513607" cy="511113"/>
        </a:xfrm>
        <a:prstGeom prst="rect">
          <a:avLst/>
        </a:prstGeom>
      </xdr:spPr>
    </xdr:pic>
    <xdr:clientData/>
  </xdr:twoCellAnchor>
  <xdr:twoCellAnchor>
    <xdr:from>
      <xdr:col>9</xdr:col>
      <xdr:colOff>66675</xdr:colOff>
      <xdr:row>2</xdr:row>
      <xdr:rowOff>190500</xdr:rowOff>
    </xdr:from>
    <xdr:to>
      <xdr:col>10</xdr:col>
      <xdr:colOff>285750</xdr:colOff>
      <xdr:row>4</xdr:row>
      <xdr:rowOff>104775</xdr:rowOff>
    </xdr:to>
    <xdr:sp macro="" textlink="Calcs!D61">
      <xdr:nvSpPr>
        <xdr:cNvPr id="142" name="TextBox 141"/>
        <xdr:cNvSpPr txBox="1"/>
      </xdr:nvSpPr>
      <xdr:spPr>
        <a:xfrm>
          <a:off x="4619625" y="5905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949A8C-03AC-468A-BBC4-9EE70B804BFF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30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85725</xdr:colOff>
      <xdr:row>2</xdr:row>
      <xdr:rowOff>152400</xdr:rowOff>
    </xdr:from>
    <xdr:to>
      <xdr:col>13</xdr:col>
      <xdr:colOff>304800</xdr:colOff>
      <xdr:row>4</xdr:row>
      <xdr:rowOff>66675</xdr:rowOff>
    </xdr:to>
    <xdr:sp macro="" textlink="Calcs!E61">
      <xdr:nvSpPr>
        <xdr:cNvPr id="143" name="TextBox 142"/>
        <xdr:cNvSpPr txBox="1"/>
      </xdr:nvSpPr>
      <xdr:spPr>
        <a:xfrm>
          <a:off x="6029325" y="5524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0D133B3-CFA1-42A1-88D6-BD3044AB1D98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140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14</xdr:col>
      <xdr:colOff>419100</xdr:colOff>
      <xdr:row>2</xdr:row>
      <xdr:rowOff>142875</xdr:rowOff>
    </xdr:from>
    <xdr:to>
      <xdr:col>16</xdr:col>
      <xdr:colOff>219075</xdr:colOff>
      <xdr:row>4</xdr:row>
      <xdr:rowOff>57150</xdr:rowOff>
    </xdr:to>
    <xdr:sp macro="" textlink="Calcs!F61">
      <xdr:nvSpPr>
        <xdr:cNvPr id="144" name="TextBox 143"/>
        <xdr:cNvSpPr txBox="1"/>
      </xdr:nvSpPr>
      <xdr:spPr>
        <a:xfrm>
          <a:off x="7334250" y="542925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DC33641-BA6F-4604-8FEC-9A38794124C4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31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17</xdr:col>
      <xdr:colOff>438150</xdr:colOff>
      <xdr:row>2</xdr:row>
      <xdr:rowOff>152400</xdr:rowOff>
    </xdr:from>
    <xdr:to>
      <xdr:col>18</xdr:col>
      <xdr:colOff>561975</xdr:colOff>
      <xdr:row>4</xdr:row>
      <xdr:rowOff>66675</xdr:rowOff>
    </xdr:to>
    <xdr:sp macro="" textlink="Calcs!G61">
      <xdr:nvSpPr>
        <xdr:cNvPr id="145" name="TextBox 144"/>
        <xdr:cNvSpPr txBox="1"/>
      </xdr:nvSpPr>
      <xdr:spPr>
        <a:xfrm>
          <a:off x="8743950" y="5524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810A371-3094-4CF2-BB76-E82DEEF8880B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27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0</xdr:col>
      <xdr:colOff>95250</xdr:colOff>
      <xdr:row>5</xdr:row>
      <xdr:rowOff>38100</xdr:rowOff>
    </xdr:from>
    <xdr:to>
      <xdr:col>0</xdr:col>
      <xdr:colOff>180975</xdr:colOff>
      <xdr:row>40</xdr:row>
      <xdr:rowOff>171450</xdr:rowOff>
    </xdr:to>
    <xdr:pic>
      <xdr:nvPicPr>
        <xdr:cNvPr id="1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38225"/>
          <a:ext cx="85725" cy="7134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61911</xdr:colOff>
      <xdr:row>20</xdr:row>
      <xdr:rowOff>47625</xdr:rowOff>
    </xdr:from>
    <xdr:to>
      <xdr:col>21</xdr:col>
      <xdr:colOff>614361</xdr:colOff>
      <xdr:row>21</xdr:row>
      <xdr:rowOff>142875</xdr:rowOff>
    </xdr:to>
    <xdr:sp macro="" textlink="">
      <xdr:nvSpPr>
        <xdr:cNvPr id="147" name="TextBox 146"/>
        <xdr:cNvSpPr txBox="1"/>
      </xdr:nvSpPr>
      <xdr:spPr>
        <a:xfrm>
          <a:off x="10491786" y="4048125"/>
          <a:ext cx="11620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% of Profit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18</xdr:col>
      <xdr:colOff>19050</xdr:colOff>
      <xdr:row>11</xdr:row>
      <xdr:rowOff>171450</xdr:rowOff>
    </xdr:from>
    <xdr:to>
      <xdr:col>18</xdr:col>
      <xdr:colOff>314325</xdr:colOff>
      <xdr:row>15</xdr:row>
      <xdr:rowOff>61913</xdr:rowOff>
    </xdr:to>
    <xdr:sp macro="" textlink="">
      <xdr:nvSpPr>
        <xdr:cNvPr id="148" name="TextBox 147"/>
        <xdr:cNvSpPr txBox="1"/>
      </xdr:nvSpPr>
      <xdr:spPr>
        <a:xfrm rot="16200000">
          <a:off x="8813006" y="2569369"/>
          <a:ext cx="690563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Growth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 tint="0.39997558519241921"/>
  </sheetPr>
  <dimension ref="B1:F12"/>
  <sheetViews>
    <sheetView workbookViewId="0">
      <selection activeCell="F43" sqref="F43"/>
    </sheetView>
  </sheetViews>
  <sheetFormatPr defaultRowHeight="12.75" x14ac:dyDescent="0.2"/>
  <cols>
    <col min="2" max="2" width="20.85546875" bestFit="1" customWidth="1"/>
    <col min="3" max="3" width="10.140625" customWidth="1"/>
    <col min="4" max="4" width="10.7109375" bestFit="1" customWidth="1"/>
    <col min="5" max="5" width="12.7109375" customWidth="1"/>
    <col min="6" max="6" width="14" bestFit="1" customWidth="1"/>
  </cols>
  <sheetData>
    <row r="1" spans="2:6" x14ac:dyDescent="0.2">
      <c r="B1" s="1" t="s">
        <v>26</v>
      </c>
      <c r="C1" t="s">
        <v>25</v>
      </c>
      <c r="D1" t="s">
        <v>24</v>
      </c>
      <c r="E1" s="1" t="s">
        <v>23</v>
      </c>
      <c r="F1" s="9" t="s">
        <v>67</v>
      </c>
    </row>
    <row r="2" spans="2:6" x14ac:dyDescent="0.2">
      <c r="B2" s="1" t="s">
        <v>22</v>
      </c>
      <c r="C2" t="s">
        <v>21</v>
      </c>
      <c r="D2" t="s">
        <v>20</v>
      </c>
      <c r="E2" s="1" t="s">
        <v>19</v>
      </c>
      <c r="F2" s="1"/>
    </row>
    <row r="3" spans="2:6" x14ac:dyDescent="0.2">
      <c r="B3" s="1" t="s">
        <v>18</v>
      </c>
      <c r="C3" t="s">
        <v>17</v>
      </c>
      <c r="D3" t="s">
        <v>16</v>
      </c>
      <c r="E3" s="1" t="s">
        <v>15</v>
      </c>
      <c r="F3" s="1" t="s">
        <v>19</v>
      </c>
    </row>
    <row r="4" spans="2:6" x14ac:dyDescent="0.2">
      <c r="B4" s="1" t="s">
        <v>14</v>
      </c>
      <c r="C4" t="s">
        <v>13</v>
      </c>
      <c r="D4" t="s">
        <v>12</v>
      </c>
      <c r="E4" s="1" t="s">
        <v>11</v>
      </c>
      <c r="F4" s="1" t="s">
        <v>15</v>
      </c>
    </row>
    <row r="5" spans="2:6" x14ac:dyDescent="0.2">
      <c r="B5" s="1" t="s">
        <v>10</v>
      </c>
      <c r="C5" t="s">
        <v>9</v>
      </c>
      <c r="D5" t="s">
        <v>8</v>
      </c>
      <c r="F5" s="1" t="s">
        <v>11</v>
      </c>
    </row>
    <row r="6" spans="2:6" x14ac:dyDescent="0.2">
      <c r="B6" s="1" t="s">
        <v>7</v>
      </c>
      <c r="D6" t="s">
        <v>6</v>
      </c>
      <c r="F6" s="1" t="s">
        <v>60</v>
      </c>
    </row>
    <row r="7" spans="2:6" x14ac:dyDescent="0.2">
      <c r="D7" t="s">
        <v>5</v>
      </c>
      <c r="F7" s="1" t="s">
        <v>66</v>
      </c>
    </row>
    <row r="8" spans="2:6" x14ac:dyDescent="0.2">
      <c r="D8" t="s">
        <v>4</v>
      </c>
      <c r="F8" s="1" t="s">
        <v>65</v>
      </c>
    </row>
    <row r="9" spans="2:6" x14ac:dyDescent="0.2">
      <c r="D9" t="s">
        <v>3</v>
      </c>
      <c r="F9" s="1"/>
    </row>
    <row r="10" spans="2:6" x14ac:dyDescent="0.2">
      <c r="D10" t="s">
        <v>2</v>
      </c>
    </row>
    <row r="11" spans="2:6" x14ac:dyDescent="0.2">
      <c r="D11" t="s">
        <v>1</v>
      </c>
    </row>
    <row r="12" spans="2:6" x14ac:dyDescent="0.2">
      <c r="D12" t="s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-0.249977111117893"/>
  </sheetPr>
  <dimension ref="A1:D35"/>
  <sheetViews>
    <sheetView workbookViewId="0">
      <selection activeCell="D22" sqref="D22"/>
    </sheetView>
  </sheetViews>
  <sheetFormatPr defaultRowHeight="12.75" x14ac:dyDescent="0.2"/>
  <cols>
    <col min="1" max="1" width="14.140625" bestFit="1" customWidth="1"/>
    <col min="2" max="2" width="6.140625" bestFit="1" customWidth="1"/>
    <col min="4" max="4" width="12.5703125" style="4" bestFit="1" customWidth="1"/>
  </cols>
  <sheetData>
    <row r="1" spans="1:4" x14ac:dyDescent="0.2">
      <c r="A1" s="46" t="s">
        <v>27</v>
      </c>
      <c r="B1" s="46" t="s">
        <v>42</v>
      </c>
      <c r="C1" s="46" t="s">
        <v>41</v>
      </c>
      <c r="D1" s="47" t="s">
        <v>40</v>
      </c>
    </row>
    <row r="2" spans="1:4" x14ac:dyDescent="0.2">
      <c r="A2" s="1" t="s">
        <v>18</v>
      </c>
      <c r="B2" s="1">
        <v>2</v>
      </c>
      <c r="C2" s="1" t="s">
        <v>39</v>
      </c>
      <c r="D2" s="43">
        <v>1362.45</v>
      </c>
    </row>
    <row r="3" spans="1:4" x14ac:dyDescent="0.2">
      <c r="A3" s="1" t="s">
        <v>18</v>
      </c>
      <c r="B3" s="1">
        <v>2</v>
      </c>
      <c r="C3" s="1" t="s">
        <v>37</v>
      </c>
      <c r="D3" s="43">
        <v>1116</v>
      </c>
    </row>
    <row r="4" spans="1:4" x14ac:dyDescent="0.2">
      <c r="A4" s="1" t="s">
        <v>18</v>
      </c>
      <c r="B4" s="1">
        <v>2</v>
      </c>
      <c r="C4" s="1" t="s">
        <v>36</v>
      </c>
      <c r="D4" s="43">
        <v>1038.5</v>
      </c>
    </row>
    <row r="5" spans="1:4" x14ac:dyDescent="0.2">
      <c r="A5" s="1" t="s">
        <v>18</v>
      </c>
      <c r="B5" s="1">
        <v>2</v>
      </c>
      <c r="C5" s="1" t="s">
        <v>35</v>
      </c>
      <c r="D5" s="43">
        <v>988</v>
      </c>
    </row>
    <row r="6" spans="1:4" x14ac:dyDescent="0.2">
      <c r="A6" s="1" t="s">
        <v>18</v>
      </c>
      <c r="B6" s="1">
        <v>2</v>
      </c>
      <c r="C6" s="1" t="s">
        <v>38</v>
      </c>
      <c r="D6" s="43">
        <v>809.1</v>
      </c>
    </row>
    <row r="7" spans="1:4" x14ac:dyDescent="0.2">
      <c r="A7" s="1" t="s">
        <v>14</v>
      </c>
      <c r="B7" s="1">
        <v>3</v>
      </c>
      <c r="C7" s="1" t="s">
        <v>36</v>
      </c>
      <c r="D7" s="43">
        <v>247.81050000000002</v>
      </c>
    </row>
    <row r="8" spans="1:4" x14ac:dyDescent="0.2">
      <c r="A8" s="1" t="s">
        <v>14</v>
      </c>
      <c r="B8" s="1">
        <v>3</v>
      </c>
      <c r="C8" s="1" t="s">
        <v>38</v>
      </c>
      <c r="D8" s="43">
        <v>239.68350000000001</v>
      </c>
    </row>
    <row r="9" spans="1:4" x14ac:dyDescent="0.2">
      <c r="A9" s="1" t="s">
        <v>14</v>
      </c>
      <c r="B9" s="1">
        <v>3</v>
      </c>
      <c r="C9" s="1" t="s">
        <v>37</v>
      </c>
      <c r="D9" s="43">
        <v>213.79049999999998</v>
      </c>
    </row>
    <row r="10" spans="1:4" x14ac:dyDescent="0.2">
      <c r="A10" s="1" t="s">
        <v>14</v>
      </c>
      <c r="B10" s="1">
        <v>3</v>
      </c>
      <c r="C10" s="1" t="s">
        <v>35</v>
      </c>
      <c r="D10" s="43">
        <v>213</v>
      </c>
    </row>
    <row r="11" spans="1:4" x14ac:dyDescent="0.2">
      <c r="A11" s="1" t="s">
        <v>14</v>
      </c>
      <c r="B11" s="1">
        <v>3</v>
      </c>
      <c r="C11" s="1" t="s">
        <v>39</v>
      </c>
      <c r="D11" s="43">
        <v>189.22050000000002</v>
      </c>
    </row>
    <row r="12" spans="1:4" x14ac:dyDescent="0.2">
      <c r="A12" s="1" t="s">
        <v>10</v>
      </c>
      <c r="B12" s="1">
        <v>4</v>
      </c>
      <c r="C12" s="1" t="s">
        <v>38</v>
      </c>
      <c r="D12" s="43">
        <v>175.95900000000003</v>
      </c>
    </row>
    <row r="13" spans="1:4" x14ac:dyDescent="0.2">
      <c r="A13" s="1" t="s">
        <v>10</v>
      </c>
      <c r="B13" s="1">
        <v>4</v>
      </c>
      <c r="C13" s="1" t="s">
        <v>37</v>
      </c>
      <c r="D13" s="43">
        <v>151.65990000000002</v>
      </c>
    </row>
    <row r="14" spans="1:4" x14ac:dyDescent="0.2">
      <c r="A14" s="1" t="s">
        <v>10</v>
      </c>
      <c r="B14" s="1">
        <v>4</v>
      </c>
      <c r="C14" s="1" t="s">
        <v>36</v>
      </c>
      <c r="D14" s="43">
        <v>140.34825000000001</v>
      </c>
    </row>
    <row r="15" spans="1:4" x14ac:dyDescent="0.2">
      <c r="A15" s="1" t="s">
        <v>10</v>
      </c>
      <c r="B15" s="1">
        <v>4</v>
      </c>
      <c r="C15" s="1" t="s">
        <v>39</v>
      </c>
      <c r="D15" s="43">
        <v>124.2675</v>
      </c>
    </row>
    <row r="16" spans="1:4" x14ac:dyDescent="0.2">
      <c r="A16" s="1" t="s">
        <v>10</v>
      </c>
      <c r="B16" s="1">
        <v>4</v>
      </c>
      <c r="C16" s="1" t="s">
        <v>35</v>
      </c>
      <c r="D16" s="43">
        <v>122</v>
      </c>
    </row>
    <row r="17" spans="1:4" x14ac:dyDescent="0.2">
      <c r="A17" s="1" t="s">
        <v>7</v>
      </c>
      <c r="B17" s="1">
        <v>5</v>
      </c>
      <c r="C17" s="1" t="s">
        <v>39</v>
      </c>
      <c r="D17" s="43">
        <v>175.95900000000003</v>
      </c>
    </row>
    <row r="18" spans="1:4" x14ac:dyDescent="0.2">
      <c r="A18" s="1" t="s">
        <v>7</v>
      </c>
      <c r="B18" s="1">
        <v>5</v>
      </c>
      <c r="C18" s="1" t="s">
        <v>35</v>
      </c>
      <c r="D18" s="43">
        <v>133</v>
      </c>
    </row>
    <row r="19" spans="1:4" x14ac:dyDescent="0.2">
      <c r="A19" s="1" t="s">
        <v>7</v>
      </c>
      <c r="B19" s="1">
        <v>5</v>
      </c>
      <c r="C19" s="1" t="s">
        <v>38</v>
      </c>
      <c r="D19" s="43">
        <v>114.03</v>
      </c>
    </row>
    <row r="20" spans="1:4" x14ac:dyDescent="0.2">
      <c r="A20" s="1" t="s">
        <v>7</v>
      </c>
      <c r="B20" s="1">
        <v>5</v>
      </c>
      <c r="C20" s="1" t="s">
        <v>37</v>
      </c>
      <c r="D20" s="43">
        <v>105.52500000000001</v>
      </c>
    </row>
    <row r="21" spans="1:4" x14ac:dyDescent="0.2">
      <c r="A21" s="1" t="s">
        <v>7</v>
      </c>
      <c r="B21" s="1">
        <v>5</v>
      </c>
      <c r="C21" s="1" t="s">
        <v>36</v>
      </c>
      <c r="D21" s="43">
        <v>99.697499999999991</v>
      </c>
    </row>
    <row r="22" spans="1:4" x14ac:dyDescent="0.2">
      <c r="A22" s="1" t="s">
        <v>22</v>
      </c>
      <c r="B22" s="1">
        <v>1</v>
      </c>
      <c r="C22" s="1" t="s">
        <v>39</v>
      </c>
      <c r="D22" s="4">
        <f>SUMIF($C$2:$C$21,C22,$D$2:$D$21)</f>
        <v>1851.8970000000002</v>
      </c>
    </row>
    <row r="23" spans="1:4" x14ac:dyDescent="0.2">
      <c r="A23" s="1" t="s">
        <v>22</v>
      </c>
      <c r="B23" s="1">
        <v>1</v>
      </c>
      <c r="C23" s="1" t="s">
        <v>38</v>
      </c>
      <c r="D23" s="4">
        <f>SUMIF($C$2:$C$21,C23,$D$2:$D$21)</f>
        <v>1338.7725</v>
      </c>
    </row>
    <row r="24" spans="1:4" x14ac:dyDescent="0.2">
      <c r="A24" s="1" t="s">
        <v>22</v>
      </c>
      <c r="B24" s="1">
        <v>1</v>
      </c>
      <c r="C24" s="1" t="s">
        <v>37</v>
      </c>
      <c r="D24" s="4">
        <f>SUMIF($C$2:$C$21,C24,$D$2:$D$21)</f>
        <v>1586.9754000000003</v>
      </c>
    </row>
    <row r="25" spans="1:4" x14ac:dyDescent="0.2">
      <c r="A25" s="1" t="s">
        <v>22</v>
      </c>
      <c r="B25" s="1">
        <v>1</v>
      </c>
      <c r="C25" s="1" t="s">
        <v>36</v>
      </c>
      <c r="D25" s="4">
        <f>SUMIF($C$2:$C$21,C25,$D$2:$D$21)</f>
        <v>1526.35625</v>
      </c>
    </row>
    <row r="26" spans="1:4" x14ac:dyDescent="0.2">
      <c r="A26" s="1" t="s">
        <v>22</v>
      </c>
      <c r="B26" s="1">
        <v>1</v>
      </c>
      <c r="C26" s="1" t="s">
        <v>35</v>
      </c>
      <c r="D26" s="4">
        <f>SUMIF($C$2:$C$21,C26,$D$2:$D$21)</f>
        <v>1456</v>
      </c>
    </row>
    <row r="35" spans="1:1" x14ac:dyDescent="0.2">
      <c r="A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-0.249977111117893"/>
  </sheetPr>
  <dimension ref="A1:N88"/>
  <sheetViews>
    <sheetView topLeftCell="A49" workbookViewId="0">
      <selection activeCell="D70" sqref="D70:G70"/>
    </sheetView>
  </sheetViews>
  <sheetFormatPr defaultRowHeight="12.75" x14ac:dyDescent="0.2"/>
  <cols>
    <col min="1" max="2" width="14.140625" bestFit="1" customWidth="1"/>
    <col min="3" max="14" width="11.28515625" customWidth="1"/>
  </cols>
  <sheetData>
    <row r="1" spans="1:8" x14ac:dyDescent="0.2">
      <c r="A1" s="46" t="s">
        <v>27</v>
      </c>
      <c r="B1" s="46" t="s">
        <v>42</v>
      </c>
      <c r="C1" s="46" t="s">
        <v>61</v>
      </c>
      <c r="D1" s="46" t="s">
        <v>60</v>
      </c>
      <c r="E1" s="46" t="s">
        <v>59</v>
      </c>
      <c r="F1" s="46" t="s">
        <v>76</v>
      </c>
      <c r="G1" s="46" t="s">
        <v>77</v>
      </c>
    </row>
    <row r="2" spans="1:8" x14ac:dyDescent="0.2">
      <c r="A2" s="1" t="s">
        <v>18</v>
      </c>
      <c r="B2" s="1">
        <v>2</v>
      </c>
      <c r="C2" s="1" t="s">
        <v>58</v>
      </c>
      <c r="D2" s="44">
        <v>108</v>
      </c>
      <c r="E2">
        <v>976</v>
      </c>
      <c r="F2">
        <v>3.5</v>
      </c>
      <c r="G2">
        <v>100000</v>
      </c>
      <c r="H2" s="4">
        <f>G2*D2</f>
        <v>10800000</v>
      </c>
    </row>
    <row r="3" spans="1:8" x14ac:dyDescent="0.2">
      <c r="A3" s="1" t="s">
        <v>18</v>
      </c>
      <c r="B3" s="1">
        <v>2</v>
      </c>
      <c r="C3" s="1" t="s">
        <v>57</v>
      </c>
      <c r="D3" s="44">
        <v>55</v>
      </c>
      <c r="E3">
        <v>433</v>
      </c>
    </row>
    <row r="4" spans="1:8" x14ac:dyDescent="0.2">
      <c r="A4" s="1" t="s">
        <v>18</v>
      </c>
      <c r="B4" s="1">
        <v>2</v>
      </c>
      <c r="C4" s="1" t="s">
        <v>56</v>
      </c>
      <c r="D4" s="44">
        <v>33</v>
      </c>
      <c r="E4">
        <v>200</v>
      </c>
    </row>
    <row r="5" spans="1:8" x14ac:dyDescent="0.2">
      <c r="A5" s="1" t="s">
        <v>18</v>
      </c>
      <c r="B5" s="1">
        <v>2</v>
      </c>
      <c r="C5" s="1" t="s">
        <v>55</v>
      </c>
      <c r="D5" s="44">
        <v>43</v>
      </c>
      <c r="E5">
        <v>187</v>
      </c>
    </row>
    <row r="6" spans="1:8" x14ac:dyDescent="0.2">
      <c r="A6" s="1" t="s">
        <v>14</v>
      </c>
      <c r="B6" s="1">
        <v>3</v>
      </c>
      <c r="C6" s="1" t="s">
        <v>54</v>
      </c>
      <c r="D6" s="44">
        <v>33</v>
      </c>
      <c r="E6">
        <v>198</v>
      </c>
    </row>
    <row r="7" spans="1:8" x14ac:dyDescent="0.2">
      <c r="A7" s="1" t="s">
        <v>14</v>
      </c>
      <c r="B7" s="1">
        <v>3</v>
      </c>
      <c r="C7" s="1" t="s">
        <v>53</v>
      </c>
      <c r="D7" s="44">
        <v>23</v>
      </c>
      <c r="E7">
        <v>133</v>
      </c>
    </row>
    <row r="8" spans="1:8" x14ac:dyDescent="0.2">
      <c r="A8" s="1" t="s">
        <v>14</v>
      </c>
      <c r="B8" s="1">
        <v>3</v>
      </c>
      <c r="C8" s="1" t="s">
        <v>52</v>
      </c>
      <c r="D8" s="44">
        <v>13</v>
      </c>
      <c r="E8">
        <v>87</v>
      </c>
    </row>
    <row r="9" spans="1:8" x14ac:dyDescent="0.2">
      <c r="A9" s="1" t="s">
        <v>14</v>
      </c>
      <c r="B9" s="1">
        <v>3</v>
      </c>
      <c r="C9" s="1" t="s">
        <v>51</v>
      </c>
      <c r="D9" s="44">
        <v>12</v>
      </c>
      <c r="E9">
        <v>90</v>
      </c>
    </row>
    <row r="10" spans="1:8" x14ac:dyDescent="0.2">
      <c r="A10" s="1" t="s">
        <v>10</v>
      </c>
      <c r="B10" s="1">
        <v>4</v>
      </c>
      <c r="C10" s="1" t="s">
        <v>50</v>
      </c>
      <c r="D10" s="44">
        <v>58</v>
      </c>
      <c r="E10">
        <v>236</v>
      </c>
    </row>
    <row r="11" spans="1:8" x14ac:dyDescent="0.2">
      <c r="A11" s="1" t="s">
        <v>10</v>
      </c>
      <c r="B11" s="1">
        <v>4</v>
      </c>
      <c r="C11" s="1" t="s">
        <v>49</v>
      </c>
      <c r="D11" s="44">
        <v>35</v>
      </c>
      <c r="E11">
        <v>177</v>
      </c>
    </row>
    <row r="12" spans="1:8" x14ac:dyDescent="0.2">
      <c r="A12" s="1" t="s">
        <v>10</v>
      </c>
      <c r="B12" s="1">
        <v>4</v>
      </c>
      <c r="C12" s="1" t="s">
        <v>48</v>
      </c>
      <c r="D12" s="44">
        <v>16</v>
      </c>
      <c r="E12">
        <v>88</v>
      </c>
    </row>
    <row r="13" spans="1:8" x14ac:dyDescent="0.2">
      <c r="A13" s="1" t="s">
        <v>10</v>
      </c>
      <c r="B13" s="1">
        <v>4</v>
      </c>
      <c r="C13" s="1" t="s">
        <v>47</v>
      </c>
      <c r="D13" s="44">
        <v>9</v>
      </c>
      <c r="E13">
        <v>34</v>
      </c>
    </row>
    <row r="14" spans="1:8" x14ac:dyDescent="0.2">
      <c r="A14" s="1" t="s">
        <v>7</v>
      </c>
      <c r="B14" s="1">
        <v>5</v>
      </c>
      <c r="C14" s="1" t="s">
        <v>46</v>
      </c>
      <c r="D14" s="44">
        <v>44</v>
      </c>
      <c r="E14">
        <v>184</v>
      </c>
    </row>
    <row r="15" spans="1:8" x14ac:dyDescent="0.2">
      <c r="A15" s="1" t="s">
        <v>7</v>
      </c>
      <c r="B15" s="1">
        <v>5</v>
      </c>
      <c r="C15" s="1" t="s">
        <v>45</v>
      </c>
      <c r="D15" s="44">
        <v>21</v>
      </c>
      <c r="E15">
        <v>104</v>
      </c>
    </row>
    <row r="16" spans="1:8" x14ac:dyDescent="0.2">
      <c r="A16" s="1" t="s">
        <v>7</v>
      </c>
      <c r="B16" s="1">
        <v>5</v>
      </c>
      <c r="C16" s="1" t="s">
        <v>44</v>
      </c>
      <c r="D16" s="44">
        <v>8</v>
      </c>
      <c r="E16">
        <v>65</v>
      </c>
    </row>
    <row r="17" spans="1:5" x14ac:dyDescent="0.2">
      <c r="A17" s="1" t="s">
        <v>7</v>
      </c>
      <c r="B17" s="1">
        <v>5</v>
      </c>
      <c r="C17" t="s">
        <v>43</v>
      </c>
      <c r="D17" s="44">
        <v>7</v>
      </c>
      <c r="E17">
        <v>54</v>
      </c>
    </row>
    <row r="18" spans="1:5" x14ac:dyDescent="0.2">
      <c r="A18" s="1" t="s">
        <v>22</v>
      </c>
      <c r="B18" s="1">
        <v>1</v>
      </c>
      <c r="C18" s="1" t="str">
        <f>INDEX($C$2:$C$17,MATCH(D18,$D$2:$D$17,0),1)</f>
        <v>London</v>
      </c>
      <c r="D18">
        <f>LARGE($D$2:$D$17,ROW(A1))</f>
        <v>108</v>
      </c>
      <c r="E18">
        <f>VLOOKUP(C18,$C$2:$E$17,3,0)</f>
        <v>976</v>
      </c>
    </row>
    <row r="19" spans="1:5" x14ac:dyDescent="0.2">
      <c r="A19" s="1" t="s">
        <v>22</v>
      </c>
      <c r="B19" s="1">
        <v>1</v>
      </c>
      <c r="C19" s="1" t="str">
        <f>INDEX($C$2:$C$17,MATCH(D19,$D$2:$D$17,0),1)</f>
        <v>Cardiff</v>
      </c>
      <c r="D19">
        <f>LARGE($D$2:$D$17,ROW(A2))</f>
        <v>58</v>
      </c>
      <c r="E19">
        <f>VLOOKUP(C19,$C$2:$E$17,3,0)</f>
        <v>236</v>
      </c>
    </row>
    <row r="20" spans="1:5" x14ac:dyDescent="0.2">
      <c r="A20" s="1" t="s">
        <v>22</v>
      </c>
      <c r="B20" s="1">
        <v>1</v>
      </c>
      <c r="C20" s="1" t="str">
        <f>INDEX($C$2:$C$17,MATCH(D20,$D$2:$D$17,0),1)</f>
        <v>Manchester</v>
      </c>
      <c r="D20">
        <f>LARGE($D$2:$D$17,ROW(A3))</f>
        <v>55</v>
      </c>
      <c r="E20">
        <f>VLOOKUP(C20,$C$2:$E$17,3,0)</f>
        <v>433</v>
      </c>
    </row>
    <row r="21" spans="1:5" x14ac:dyDescent="0.2">
      <c r="A21" s="1" t="s">
        <v>22</v>
      </c>
      <c r="B21" s="1">
        <v>1</v>
      </c>
      <c r="C21" s="1" t="str">
        <f>INDEX($C$2:$C$17,MATCH(D21,$D$2:$D$17,0),1)</f>
        <v>Belfast</v>
      </c>
      <c r="D21">
        <f>LARGE($D$2:$D$17,ROW(A4))</f>
        <v>44</v>
      </c>
      <c r="E21">
        <f>VLOOKUP(C21,$C$2:$E$17,3,0)</f>
        <v>184</v>
      </c>
    </row>
    <row r="24" spans="1:5" x14ac:dyDescent="0.2">
      <c r="A24" s="46" t="s">
        <v>27</v>
      </c>
      <c r="B24" s="46" t="s">
        <v>103</v>
      </c>
      <c r="C24" s="46" t="s">
        <v>79</v>
      </c>
    </row>
    <row r="25" spans="1:5" x14ac:dyDescent="0.2">
      <c r="A25" t="s">
        <v>18</v>
      </c>
      <c r="B25" t="s">
        <v>104</v>
      </c>
      <c r="C25">
        <v>520</v>
      </c>
    </row>
    <row r="26" spans="1:5" x14ac:dyDescent="0.2">
      <c r="A26" t="s">
        <v>18</v>
      </c>
      <c r="B26" t="s">
        <v>105</v>
      </c>
      <c r="C26">
        <v>461.5</v>
      </c>
    </row>
    <row r="27" spans="1:5" x14ac:dyDescent="0.2">
      <c r="A27" t="s">
        <v>18</v>
      </c>
      <c r="B27" t="s">
        <v>106</v>
      </c>
      <c r="C27">
        <v>422.5</v>
      </c>
    </row>
    <row r="28" spans="1:5" x14ac:dyDescent="0.2">
      <c r="A28" t="s">
        <v>18</v>
      </c>
      <c r="B28" t="s">
        <v>107</v>
      </c>
      <c r="C28">
        <v>405.6</v>
      </c>
    </row>
    <row r="29" spans="1:5" x14ac:dyDescent="0.2">
      <c r="A29" t="s">
        <v>18</v>
      </c>
      <c r="B29" t="s">
        <v>108</v>
      </c>
      <c r="C29">
        <v>390</v>
      </c>
    </row>
    <row r="30" spans="1:5" x14ac:dyDescent="0.2">
      <c r="A30" s="1" t="s">
        <v>14</v>
      </c>
      <c r="B30" t="s">
        <v>104</v>
      </c>
      <c r="C30">
        <v>499</v>
      </c>
    </row>
    <row r="31" spans="1:5" x14ac:dyDescent="0.2">
      <c r="A31" s="1" t="s">
        <v>14</v>
      </c>
      <c r="B31" t="s">
        <v>105</v>
      </c>
      <c r="C31">
        <v>490</v>
      </c>
    </row>
    <row r="32" spans="1:5" x14ac:dyDescent="0.2">
      <c r="A32" s="1" t="s">
        <v>14</v>
      </c>
      <c r="B32" t="s">
        <v>106</v>
      </c>
      <c r="C32">
        <v>478</v>
      </c>
    </row>
    <row r="33" spans="1:3" x14ac:dyDescent="0.2">
      <c r="A33" s="1" t="s">
        <v>14</v>
      </c>
      <c r="B33" t="s">
        <v>107</v>
      </c>
      <c r="C33">
        <v>457</v>
      </c>
    </row>
    <row r="34" spans="1:3" x14ac:dyDescent="0.2">
      <c r="A34" s="1" t="s">
        <v>14</v>
      </c>
      <c r="B34" t="s">
        <v>108</v>
      </c>
      <c r="C34">
        <v>387</v>
      </c>
    </row>
    <row r="35" spans="1:3" x14ac:dyDescent="0.2">
      <c r="A35" s="1" t="s">
        <v>10</v>
      </c>
      <c r="B35" t="s">
        <v>104</v>
      </c>
      <c r="C35">
        <v>412</v>
      </c>
    </row>
    <row r="36" spans="1:3" x14ac:dyDescent="0.2">
      <c r="A36" s="1" t="s">
        <v>10</v>
      </c>
      <c r="B36" t="s">
        <v>105</v>
      </c>
      <c r="C36">
        <v>405</v>
      </c>
    </row>
    <row r="37" spans="1:3" x14ac:dyDescent="0.2">
      <c r="A37" s="1" t="s">
        <v>10</v>
      </c>
      <c r="B37" t="s">
        <v>106</v>
      </c>
      <c r="C37">
        <v>395</v>
      </c>
    </row>
    <row r="38" spans="1:3" x14ac:dyDescent="0.2">
      <c r="A38" s="1" t="s">
        <v>10</v>
      </c>
      <c r="B38" t="s">
        <v>107</v>
      </c>
      <c r="C38">
        <v>389</v>
      </c>
    </row>
    <row r="39" spans="1:3" x14ac:dyDescent="0.2">
      <c r="A39" s="1" t="s">
        <v>10</v>
      </c>
      <c r="B39" t="s">
        <v>108</v>
      </c>
      <c r="C39">
        <v>376</v>
      </c>
    </row>
    <row r="40" spans="1:3" x14ac:dyDescent="0.2">
      <c r="A40" s="1" t="s">
        <v>7</v>
      </c>
      <c r="B40" t="s">
        <v>104</v>
      </c>
      <c r="C40">
        <v>477</v>
      </c>
    </row>
    <row r="41" spans="1:3" x14ac:dyDescent="0.2">
      <c r="A41" s="1" t="s">
        <v>7</v>
      </c>
      <c r="B41" t="s">
        <v>105</v>
      </c>
      <c r="C41">
        <v>467</v>
      </c>
    </row>
    <row r="42" spans="1:3" x14ac:dyDescent="0.2">
      <c r="A42" s="1" t="s">
        <v>7</v>
      </c>
      <c r="B42" t="s">
        <v>106</v>
      </c>
      <c r="C42">
        <v>455</v>
      </c>
    </row>
    <row r="43" spans="1:3" x14ac:dyDescent="0.2">
      <c r="A43" s="1" t="s">
        <v>7</v>
      </c>
      <c r="B43" t="s">
        <v>107</v>
      </c>
      <c r="C43">
        <v>432</v>
      </c>
    </row>
    <row r="44" spans="1:3" x14ac:dyDescent="0.2">
      <c r="A44" s="1" t="s">
        <v>7</v>
      </c>
      <c r="B44" t="s">
        <v>108</v>
      </c>
      <c r="C44">
        <v>421</v>
      </c>
    </row>
    <row r="45" spans="1:3" x14ac:dyDescent="0.2">
      <c r="A45" s="44" t="s">
        <v>22</v>
      </c>
      <c r="B45" t="s">
        <v>104</v>
      </c>
      <c r="C45">
        <f>LARGE($C$25:$C$44,1)</f>
        <v>520</v>
      </c>
    </row>
    <row r="46" spans="1:3" x14ac:dyDescent="0.2">
      <c r="A46" s="44" t="s">
        <v>22</v>
      </c>
      <c r="B46" t="s">
        <v>105</v>
      </c>
      <c r="C46">
        <f>LARGE($C$25:$C$44,2)</f>
        <v>499</v>
      </c>
    </row>
    <row r="47" spans="1:3" x14ac:dyDescent="0.2">
      <c r="A47" s="44" t="s">
        <v>22</v>
      </c>
      <c r="B47" t="s">
        <v>106</v>
      </c>
      <c r="C47">
        <f>LARGE($C$25:$C$44,3)</f>
        <v>490</v>
      </c>
    </row>
    <row r="48" spans="1:3" x14ac:dyDescent="0.2">
      <c r="A48" s="44" t="s">
        <v>22</v>
      </c>
      <c r="B48" t="s">
        <v>107</v>
      </c>
      <c r="C48">
        <f>LARGE($C$25:$C$44,4)</f>
        <v>478</v>
      </c>
    </row>
    <row r="49" spans="1:5" x14ac:dyDescent="0.2">
      <c r="A49" s="44" t="s">
        <v>22</v>
      </c>
      <c r="B49" t="s">
        <v>108</v>
      </c>
      <c r="C49">
        <f>LARGE($C$25:$C$44,5)</f>
        <v>477</v>
      </c>
    </row>
    <row r="52" spans="1:5" x14ac:dyDescent="0.2">
      <c r="A52" s="45" t="s">
        <v>27</v>
      </c>
      <c r="B52" s="45" t="s">
        <v>22</v>
      </c>
      <c r="C52" s="45" t="s">
        <v>111</v>
      </c>
      <c r="D52" s="45" t="s">
        <v>134</v>
      </c>
      <c r="E52" s="45" t="s">
        <v>135</v>
      </c>
    </row>
    <row r="53" spans="1:5" x14ac:dyDescent="0.2">
      <c r="A53" t="s">
        <v>18</v>
      </c>
      <c r="B53" t="s">
        <v>94</v>
      </c>
      <c r="C53" s="51">
        <v>0.35</v>
      </c>
      <c r="D53">
        <v>22</v>
      </c>
      <c r="E53">
        <v>20</v>
      </c>
    </row>
    <row r="54" spans="1:5" x14ac:dyDescent="0.2">
      <c r="A54" t="s">
        <v>18</v>
      </c>
      <c r="B54" t="s">
        <v>109</v>
      </c>
      <c r="C54" s="51">
        <v>0.75</v>
      </c>
      <c r="D54">
        <v>13</v>
      </c>
      <c r="E54">
        <v>12</v>
      </c>
    </row>
    <row r="55" spans="1:5" x14ac:dyDescent="0.2">
      <c r="A55" t="s">
        <v>18</v>
      </c>
      <c r="B55" t="s">
        <v>110</v>
      </c>
      <c r="C55" s="51">
        <v>0.4</v>
      </c>
      <c r="D55">
        <v>18</v>
      </c>
      <c r="E55">
        <v>17</v>
      </c>
    </row>
    <row r="56" spans="1:5" x14ac:dyDescent="0.2">
      <c r="A56" s="1" t="s">
        <v>14</v>
      </c>
      <c r="B56" t="s">
        <v>94</v>
      </c>
      <c r="C56" s="51">
        <v>0.33</v>
      </c>
      <c r="D56">
        <v>32</v>
      </c>
      <c r="E56">
        <v>31</v>
      </c>
    </row>
    <row r="57" spans="1:5" x14ac:dyDescent="0.2">
      <c r="A57" s="1" t="s">
        <v>14</v>
      </c>
      <c r="B57" t="s">
        <v>109</v>
      </c>
      <c r="C57" s="51">
        <v>0.67</v>
      </c>
      <c r="D57">
        <v>12</v>
      </c>
      <c r="E57">
        <v>15</v>
      </c>
    </row>
    <row r="58" spans="1:5" x14ac:dyDescent="0.2">
      <c r="A58" s="1" t="s">
        <v>14</v>
      </c>
      <c r="B58" t="s">
        <v>110</v>
      </c>
      <c r="C58" s="51">
        <v>0.45</v>
      </c>
      <c r="D58">
        <v>26</v>
      </c>
      <c r="E58">
        <v>29</v>
      </c>
    </row>
    <row r="59" spans="1:5" x14ac:dyDescent="0.2">
      <c r="A59" s="1" t="s">
        <v>10</v>
      </c>
      <c r="B59" t="s">
        <v>94</v>
      </c>
      <c r="C59" s="51">
        <v>0.23</v>
      </c>
      <c r="D59">
        <v>12</v>
      </c>
      <c r="E59">
        <v>14</v>
      </c>
    </row>
    <row r="60" spans="1:5" x14ac:dyDescent="0.2">
      <c r="A60" s="1" t="s">
        <v>10</v>
      </c>
      <c r="B60" t="s">
        <v>109</v>
      </c>
      <c r="C60" s="51">
        <v>0.72</v>
      </c>
      <c r="D60">
        <v>16</v>
      </c>
      <c r="E60">
        <v>1</v>
      </c>
    </row>
    <row r="61" spans="1:5" x14ac:dyDescent="0.2">
      <c r="A61" s="1" t="s">
        <v>10</v>
      </c>
      <c r="B61" t="s">
        <v>110</v>
      </c>
      <c r="C61" s="51">
        <v>0.41</v>
      </c>
      <c r="D61">
        <v>19</v>
      </c>
      <c r="E61">
        <v>22</v>
      </c>
    </row>
    <row r="62" spans="1:5" x14ac:dyDescent="0.2">
      <c r="A62" s="1" t="s">
        <v>7</v>
      </c>
      <c r="B62" t="s">
        <v>94</v>
      </c>
      <c r="C62" s="51">
        <v>0.28999999999999998</v>
      </c>
      <c r="D62">
        <v>12</v>
      </c>
      <c r="E62">
        <v>12</v>
      </c>
    </row>
    <row r="63" spans="1:5" x14ac:dyDescent="0.2">
      <c r="A63" s="1" t="s">
        <v>7</v>
      </c>
      <c r="B63" t="s">
        <v>109</v>
      </c>
      <c r="C63" s="51">
        <v>0.59</v>
      </c>
      <c r="D63">
        <v>18</v>
      </c>
      <c r="E63">
        <v>15</v>
      </c>
    </row>
    <row r="64" spans="1:5" x14ac:dyDescent="0.2">
      <c r="A64" s="1" t="s">
        <v>7</v>
      </c>
      <c r="B64" t="s">
        <v>110</v>
      </c>
      <c r="C64" s="51">
        <v>0.47</v>
      </c>
      <c r="D64">
        <v>19</v>
      </c>
      <c r="E64">
        <v>17</v>
      </c>
    </row>
    <row r="65" spans="1:14" x14ac:dyDescent="0.2">
      <c r="A65" s="44" t="s">
        <v>22</v>
      </c>
      <c r="B65" t="s">
        <v>94</v>
      </c>
      <c r="C65" s="51">
        <v>0.3</v>
      </c>
      <c r="D65">
        <f>SUMIFS(D$53:D$64,$B$53:$B$64,$B65)</f>
        <v>78</v>
      </c>
      <c r="E65">
        <f>SUMIFS(E$53:E$64,$B$53:$B$64,$B65)</f>
        <v>77</v>
      </c>
    </row>
    <row r="66" spans="1:14" x14ac:dyDescent="0.2">
      <c r="A66" s="44" t="s">
        <v>22</v>
      </c>
      <c r="B66" t="s">
        <v>109</v>
      </c>
      <c r="C66" s="51">
        <v>0.68249999999999988</v>
      </c>
      <c r="D66">
        <f t="shared" ref="D66:E67" si="0">SUMIFS(D$53:D$64,$B$53:$B$64,$B66)</f>
        <v>59</v>
      </c>
      <c r="E66">
        <f t="shared" si="0"/>
        <v>43</v>
      </c>
    </row>
    <row r="67" spans="1:14" x14ac:dyDescent="0.2">
      <c r="A67" s="44" t="s">
        <v>22</v>
      </c>
      <c r="B67" t="s">
        <v>110</v>
      </c>
      <c r="C67" s="51">
        <v>0.4325</v>
      </c>
      <c r="D67">
        <f t="shared" si="0"/>
        <v>82</v>
      </c>
      <c r="E67">
        <f t="shared" si="0"/>
        <v>85</v>
      </c>
    </row>
    <row r="70" spans="1:14" x14ac:dyDescent="0.2">
      <c r="A70" s="45" t="s">
        <v>27</v>
      </c>
      <c r="B70" s="45" t="s">
        <v>116</v>
      </c>
      <c r="C70" s="45" t="s">
        <v>120</v>
      </c>
      <c r="D70" s="45" t="s">
        <v>136</v>
      </c>
      <c r="E70" s="45" t="s">
        <v>137</v>
      </c>
      <c r="F70" s="45" t="s">
        <v>138</v>
      </c>
      <c r="G70" s="45" t="s">
        <v>139</v>
      </c>
    </row>
    <row r="71" spans="1:14" x14ac:dyDescent="0.2">
      <c r="A71" s="1" t="s">
        <v>18</v>
      </c>
      <c r="B71" t="s">
        <v>120</v>
      </c>
      <c r="C71">
        <v>25</v>
      </c>
      <c r="D71">
        <v>11</v>
      </c>
      <c r="E71">
        <v>44</v>
      </c>
      <c r="F71">
        <v>4</v>
      </c>
      <c r="G71">
        <v>10</v>
      </c>
    </row>
    <row r="72" spans="1:14" x14ac:dyDescent="0.2">
      <c r="A72" s="1" t="s">
        <v>14</v>
      </c>
      <c r="B72" t="s">
        <v>120</v>
      </c>
      <c r="C72">
        <v>18</v>
      </c>
      <c r="D72">
        <v>8</v>
      </c>
      <c r="E72">
        <v>32</v>
      </c>
      <c r="F72">
        <v>11</v>
      </c>
      <c r="G72">
        <v>5</v>
      </c>
    </row>
    <row r="73" spans="1:14" x14ac:dyDescent="0.2">
      <c r="A73" s="1" t="s">
        <v>10</v>
      </c>
      <c r="B73" t="s">
        <v>120</v>
      </c>
      <c r="C73">
        <v>16</v>
      </c>
      <c r="D73">
        <v>7</v>
      </c>
      <c r="E73">
        <v>36</v>
      </c>
      <c r="F73">
        <v>6</v>
      </c>
      <c r="G73">
        <v>5</v>
      </c>
    </row>
    <row r="74" spans="1:14" x14ac:dyDescent="0.2">
      <c r="A74" s="1" t="s">
        <v>7</v>
      </c>
      <c r="B74" t="s">
        <v>120</v>
      </c>
      <c r="C74">
        <v>22</v>
      </c>
      <c r="D74">
        <v>4</v>
      </c>
      <c r="E74">
        <v>28</v>
      </c>
      <c r="F74">
        <v>10</v>
      </c>
      <c r="G74">
        <v>7</v>
      </c>
    </row>
    <row r="75" spans="1:14" x14ac:dyDescent="0.2">
      <c r="A75" s="44" t="s">
        <v>22</v>
      </c>
      <c r="B75" t="s">
        <v>120</v>
      </c>
      <c r="C75">
        <f>SUM(C71:C74)</f>
        <v>81</v>
      </c>
      <c r="D75">
        <f t="shared" ref="D75:G75" si="1">SUM(D71:D74)</f>
        <v>30</v>
      </c>
      <c r="E75">
        <f t="shared" si="1"/>
        <v>140</v>
      </c>
      <c r="F75">
        <f t="shared" si="1"/>
        <v>31</v>
      </c>
      <c r="G75">
        <f t="shared" si="1"/>
        <v>27</v>
      </c>
    </row>
    <row r="78" spans="1:14" x14ac:dyDescent="0.2">
      <c r="A78" s="45" t="s">
        <v>117</v>
      </c>
      <c r="B78" s="45" t="s">
        <v>116</v>
      </c>
      <c r="C78" s="53" t="s">
        <v>5</v>
      </c>
      <c r="D78" s="53" t="s">
        <v>4</v>
      </c>
      <c r="E78" s="53" t="s">
        <v>3</v>
      </c>
      <c r="F78" s="53" t="s">
        <v>2</v>
      </c>
      <c r="G78" s="53" t="s">
        <v>1</v>
      </c>
      <c r="H78" s="53" t="s">
        <v>0</v>
      </c>
      <c r="I78" s="53" t="s">
        <v>24</v>
      </c>
      <c r="J78" s="53" t="s">
        <v>20</v>
      </c>
      <c r="K78" s="53" t="s">
        <v>16</v>
      </c>
      <c r="L78" s="53" t="s">
        <v>12</v>
      </c>
      <c r="M78" s="53" t="s">
        <v>8</v>
      </c>
      <c r="N78" s="53" t="s">
        <v>6</v>
      </c>
    </row>
    <row r="79" spans="1:14" x14ac:dyDescent="0.2">
      <c r="A79" t="s">
        <v>18</v>
      </c>
      <c r="B79" t="s">
        <v>118</v>
      </c>
      <c r="C79">
        <v>-6</v>
      </c>
      <c r="D79">
        <v>-5</v>
      </c>
      <c r="E79">
        <v>-4</v>
      </c>
      <c r="F79">
        <v>-3</v>
      </c>
      <c r="G79">
        <v>-3</v>
      </c>
      <c r="H79">
        <v>-1</v>
      </c>
      <c r="I79">
        <v>-4</v>
      </c>
      <c r="J79">
        <v>-1</v>
      </c>
      <c r="K79">
        <v>-3</v>
      </c>
      <c r="L79">
        <v>-2</v>
      </c>
      <c r="M79">
        <v>-1</v>
      </c>
      <c r="N79">
        <v>-4</v>
      </c>
    </row>
    <row r="80" spans="1:14" x14ac:dyDescent="0.2">
      <c r="A80" t="s">
        <v>18</v>
      </c>
      <c r="B80" t="s">
        <v>119</v>
      </c>
      <c r="C80">
        <v>4</v>
      </c>
      <c r="D80">
        <v>5</v>
      </c>
      <c r="E80">
        <v>6</v>
      </c>
      <c r="F80">
        <v>2</v>
      </c>
      <c r="G80">
        <v>3</v>
      </c>
      <c r="H80">
        <v>4</v>
      </c>
      <c r="I80">
        <v>7</v>
      </c>
      <c r="J80">
        <v>5</v>
      </c>
      <c r="K80">
        <v>4</v>
      </c>
      <c r="L80">
        <v>6</v>
      </c>
      <c r="M80">
        <v>6</v>
      </c>
      <c r="N80">
        <v>6</v>
      </c>
    </row>
    <row r="81" spans="1:14" x14ac:dyDescent="0.2">
      <c r="A81" s="1" t="s">
        <v>14</v>
      </c>
      <c r="B81" t="s">
        <v>118</v>
      </c>
      <c r="C81">
        <v>-8</v>
      </c>
      <c r="D81">
        <v>-3</v>
      </c>
      <c r="E81">
        <v>-3</v>
      </c>
      <c r="F81">
        <v>-2</v>
      </c>
      <c r="G81">
        <v>-3</v>
      </c>
      <c r="H81">
        <v>-2</v>
      </c>
      <c r="I81">
        <v>-6</v>
      </c>
      <c r="J81">
        <v>-1</v>
      </c>
      <c r="K81">
        <v>-1</v>
      </c>
      <c r="L81">
        <v>2</v>
      </c>
      <c r="M81">
        <v>-1</v>
      </c>
      <c r="N81">
        <v>-3</v>
      </c>
    </row>
    <row r="82" spans="1:14" x14ac:dyDescent="0.2">
      <c r="A82" s="1" t="s">
        <v>14</v>
      </c>
      <c r="B82" t="s">
        <v>119</v>
      </c>
      <c r="C82">
        <v>6</v>
      </c>
      <c r="D82">
        <v>7</v>
      </c>
      <c r="E82">
        <v>3</v>
      </c>
      <c r="F82">
        <v>3</v>
      </c>
      <c r="G82">
        <v>5</v>
      </c>
      <c r="H82">
        <v>4</v>
      </c>
      <c r="I82">
        <v>10</v>
      </c>
      <c r="J82">
        <v>11</v>
      </c>
      <c r="K82">
        <v>7</v>
      </c>
      <c r="L82">
        <v>6</v>
      </c>
      <c r="M82">
        <v>8</v>
      </c>
      <c r="N82">
        <v>3</v>
      </c>
    </row>
    <row r="83" spans="1:14" x14ac:dyDescent="0.2">
      <c r="A83" s="1" t="s">
        <v>10</v>
      </c>
      <c r="B83" t="s">
        <v>118</v>
      </c>
      <c r="C83">
        <v>-7</v>
      </c>
      <c r="D83">
        <v>-3</v>
      </c>
      <c r="E83">
        <v>-3</v>
      </c>
      <c r="F83">
        <v>-3</v>
      </c>
      <c r="G83">
        <v>-2</v>
      </c>
      <c r="H83">
        <v>-3</v>
      </c>
      <c r="I83">
        <v>-3</v>
      </c>
      <c r="J83">
        <v>-1</v>
      </c>
      <c r="K83">
        <v>-1</v>
      </c>
      <c r="L83">
        <v>0</v>
      </c>
      <c r="M83">
        <v>0</v>
      </c>
      <c r="N83">
        <v>-3</v>
      </c>
    </row>
    <row r="84" spans="1:14" x14ac:dyDescent="0.2">
      <c r="A84" s="1" t="s">
        <v>10</v>
      </c>
      <c r="B84" t="s">
        <v>119</v>
      </c>
      <c r="C84">
        <v>5</v>
      </c>
      <c r="D84">
        <v>11</v>
      </c>
      <c r="E84">
        <v>4</v>
      </c>
      <c r="F84">
        <v>5</v>
      </c>
      <c r="G84">
        <v>3</v>
      </c>
      <c r="H84">
        <v>6</v>
      </c>
      <c r="I84">
        <v>9</v>
      </c>
      <c r="J84">
        <v>14</v>
      </c>
      <c r="K84">
        <v>7</v>
      </c>
      <c r="L84">
        <v>9</v>
      </c>
      <c r="M84">
        <v>5</v>
      </c>
      <c r="N84">
        <v>4</v>
      </c>
    </row>
    <row r="85" spans="1:14" x14ac:dyDescent="0.2">
      <c r="A85" s="1" t="s">
        <v>7</v>
      </c>
      <c r="B85" t="s">
        <v>118</v>
      </c>
      <c r="C85">
        <v>-4</v>
      </c>
      <c r="D85">
        <v>-3</v>
      </c>
      <c r="E85">
        <v>-4</v>
      </c>
      <c r="F85">
        <v>-3</v>
      </c>
      <c r="G85">
        <v>-3</v>
      </c>
      <c r="H85">
        <v>-3</v>
      </c>
      <c r="I85">
        <v>-2</v>
      </c>
      <c r="J85">
        <v>-1</v>
      </c>
      <c r="K85">
        <v>-2</v>
      </c>
      <c r="L85">
        <v>-1</v>
      </c>
      <c r="M85">
        <v>-1</v>
      </c>
      <c r="N85">
        <v>-4</v>
      </c>
    </row>
    <row r="86" spans="1:14" x14ac:dyDescent="0.2">
      <c r="A86" s="1" t="s">
        <v>7</v>
      </c>
      <c r="B86" t="s">
        <v>119</v>
      </c>
      <c r="C86">
        <v>4</v>
      </c>
      <c r="D86">
        <v>11</v>
      </c>
      <c r="E86">
        <v>3</v>
      </c>
      <c r="F86">
        <v>3</v>
      </c>
      <c r="G86">
        <v>3</v>
      </c>
      <c r="H86">
        <v>8</v>
      </c>
      <c r="I86">
        <v>7</v>
      </c>
      <c r="J86">
        <v>15</v>
      </c>
      <c r="K86">
        <v>7</v>
      </c>
      <c r="L86">
        <v>7</v>
      </c>
      <c r="M86">
        <v>7</v>
      </c>
      <c r="N86">
        <v>3</v>
      </c>
    </row>
    <row r="87" spans="1:14" x14ac:dyDescent="0.2">
      <c r="A87" t="s">
        <v>22</v>
      </c>
      <c r="B87" t="s">
        <v>118</v>
      </c>
      <c r="C87">
        <f>C79+C81+C83+C85</f>
        <v>-25</v>
      </c>
      <c r="D87">
        <f t="shared" ref="D87:N87" si="2">D79+D81+D83+D85</f>
        <v>-14</v>
      </c>
      <c r="E87">
        <f t="shared" si="2"/>
        <v>-14</v>
      </c>
      <c r="F87">
        <f t="shared" si="2"/>
        <v>-11</v>
      </c>
      <c r="G87">
        <f t="shared" si="2"/>
        <v>-11</v>
      </c>
      <c r="H87">
        <f t="shared" si="2"/>
        <v>-9</v>
      </c>
      <c r="I87">
        <f t="shared" si="2"/>
        <v>-15</v>
      </c>
      <c r="J87">
        <f t="shared" si="2"/>
        <v>-4</v>
      </c>
      <c r="K87">
        <f t="shared" si="2"/>
        <v>-7</v>
      </c>
      <c r="L87">
        <f t="shared" si="2"/>
        <v>-1</v>
      </c>
      <c r="M87">
        <f t="shared" si="2"/>
        <v>-3</v>
      </c>
      <c r="N87">
        <f t="shared" si="2"/>
        <v>-14</v>
      </c>
    </row>
    <row r="88" spans="1:14" x14ac:dyDescent="0.2">
      <c r="A88" t="s">
        <v>22</v>
      </c>
      <c r="B88" t="s">
        <v>119</v>
      </c>
      <c r="C88">
        <f>C80+C82+C84+C86</f>
        <v>19</v>
      </c>
      <c r="D88">
        <f t="shared" ref="D88:N88" si="3">D80+D82+D84+D86</f>
        <v>34</v>
      </c>
      <c r="E88">
        <f t="shared" si="3"/>
        <v>16</v>
      </c>
      <c r="F88">
        <f t="shared" si="3"/>
        <v>13</v>
      </c>
      <c r="G88">
        <f t="shared" si="3"/>
        <v>14</v>
      </c>
      <c r="H88">
        <f t="shared" si="3"/>
        <v>22</v>
      </c>
      <c r="I88">
        <f t="shared" si="3"/>
        <v>33</v>
      </c>
      <c r="J88">
        <f t="shared" si="3"/>
        <v>45</v>
      </c>
      <c r="K88">
        <f t="shared" si="3"/>
        <v>25</v>
      </c>
      <c r="L88">
        <f t="shared" si="3"/>
        <v>28</v>
      </c>
      <c r="M88">
        <f t="shared" si="3"/>
        <v>26</v>
      </c>
      <c r="N88">
        <f t="shared" si="3"/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4" tint="-0.249977111117893"/>
  </sheetPr>
  <dimension ref="A1:E35"/>
  <sheetViews>
    <sheetView workbookViewId="0">
      <selection activeCell="D26" sqref="D22:E26"/>
    </sheetView>
  </sheetViews>
  <sheetFormatPr defaultRowHeight="12.75" x14ac:dyDescent="0.2"/>
  <cols>
    <col min="1" max="1" width="14.5703125" bestFit="1" customWidth="1"/>
    <col min="2" max="2" width="10.85546875" bestFit="1" customWidth="1"/>
    <col min="4" max="5" width="12.28515625" customWidth="1"/>
  </cols>
  <sheetData>
    <row r="1" spans="1:5" ht="15" x14ac:dyDescent="0.25">
      <c r="A1" s="57" t="s">
        <v>117</v>
      </c>
      <c r="B1" s="46" t="s">
        <v>132</v>
      </c>
      <c r="C1" s="57" t="s">
        <v>133</v>
      </c>
      <c r="D1" s="57">
        <v>2015</v>
      </c>
      <c r="E1" s="57">
        <v>2016</v>
      </c>
    </row>
    <row r="2" spans="1:5" ht="15" x14ac:dyDescent="0.25">
      <c r="A2" s="59" t="s">
        <v>18</v>
      </c>
      <c r="B2" s="7" t="s">
        <v>121</v>
      </c>
      <c r="C2" s="58" t="s">
        <v>133</v>
      </c>
      <c r="D2" s="60">
        <v>1264337.6000000001</v>
      </c>
      <c r="E2" s="60">
        <v>1408528</v>
      </c>
    </row>
    <row r="3" spans="1:5" ht="15" x14ac:dyDescent="0.25">
      <c r="A3" s="59" t="s">
        <v>18</v>
      </c>
      <c r="B3" s="7" t="s">
        <v>122</v>
      </c>
      <c r="C3" s="58" t="s">
        <v>133</v>
      </c>
      <c r="D3" s="60">
        <v>1784947.2</v>
      </c>
      <c r="E3" s="60">
        <v>1549380.8</v>
      </c>
    </row>
    <row r="4" spans="1:5" ht="15" x14ac:dyDescent="0.25">
      <c r="A4" s="59" t="s">
        <v>18</v>
      </c>
      <c r="B4" s="7" t="s">
        <v>123</v>
      </c>
      <c r="C4" s="58" t="s">
        <v>133</v>
      </c>
      <c r="D4" s="60">
        <v>1859320</v>
      </c>
      <c r="E4" s="60">
        <v>1478954.4</v>
      </c>
    </row>
    <row r="5" spans="1:5" ht="15" x14ac:dyDescent="0.25">
      <c r="A5" s="59" t="s">
        <v>18</v>
      </c>
      <c r="B5" s="7" t="s">
        <v>124</v>
      </c>
      <c r="C5" s="58" t="s">
        <v>133</v>
      </c>
      <c r="D5" s="60">
        <v>1859320</v>
      </c>
      <c r="E5" s="60">
        <v>1056396</v>
      </c>
    </row>
    <row r="6" spans="1:5" ht="15" x14ac:dyDescent="0.25">
      <c r="A6" s="59" t="s">
        <v>18</v>
      </c>
      <c r="B6" s="7" t="s">
        <v>109</v>
      </c>
      <c r="C6" s="58" t="s">
        <v>133</v>
      </c>
      <c r="D6" s="60">
        <v>669355.19999999972</v>
      </c>
      <c r="E6" s="60">
        <v>1549380.7999999998</v>
      </c>
    </row>
    <row r="7" spans="1:5" ht="15" x14ac:dyDescent="0.25">
      <c r="A7" s="59" t="s">
        <v>14</v>
      </c>
      <c r="B7" s="7" t="s">
        <v>121</v>
      </c>
      <c r="C7" s="58" t="s">
        <v>133</v>
      </c>
      <c r="D7" s="61">
        <v>922134.4</v>
      </c>
      <c r="E7" s="61">
        <v>1481154.4</v>
      </c>
    </row>
    <row r="8" spans="1:5" ht="15" x14ac:dyDescent="0.25">
      <c r="A8" s="59" t="s">
        <v>14</v>
      </c>
      <c r="B8" s="7" t="s">
        <v>122</v>
      </c>
      <c r="C8" s="58" t="s">
        <v>133</v>
      </c>
      <c r="D8" s="61">
        <v>1193350.3999999999</v>
      </c>
      <c r="E8" s="61">
        <v>1211853.5999999999</v>
      </c>
    </row>
    <row r="9" spans="1:5" ht="15" x14ac:dyDescent="0.25">
      <c r="A9" s="59" t="s">
        <v>14</v>
      </c>
      <c r="B9" s="7" t="s">
        <v>123</v>
      </c>
      <c r="C9" s="58" t="s">
        <v>133</v>
      </c>
      <c r="D9" s="61">
        <v>1084864</v>
      </c>
      <c r="E9" s="61">
        <v>1077203.2</v>
      </c>
    </row>
    <row r="10" spans="1:5" ht="15" x14ac:dyDescent="0.25">
      <c r="A10" s="59" t="s">
        <v>14</v>
      </c>
      <c r="B10" s="7" t="s">
        <v>124</v>
      </c>
      <c r="C10" s="58" t="s">
        <v>133</v>
      </c>
      <c r="D10" s="61">
        <v>922134.4</v>
      </c>
      <c r="E10" s="61">
        <v>1481154.4</v>
      </c>
    </row>
    <row r="11" spans="1:5" ht="15" x14ac:dyDescent="0.25">
      <c r="A11" s="59" t="s">
        <v>14</v>
      </c>
      <c r="B11" s="7" t="s">
        <v>109</v>
      </c>
      <c r="C11" s="58" t="s">
        <v>133</v>
      </c>
      <c r="D11" s="61">
        <v>1301836.7999999993</v>
      </c>
      <c r="E11" s="61">
        <v>1481154.4</v>
      </c>
    </row>
    <row r="12" spans="1:5" ht="15" x14ac:dyDescent="0.25">
      <c r="A12" s="59" t="s">
        <v>10</v>
      </c>
      <c r="B12" s="7" t="s">
        <v>121</v>
      </c>
      <c r="C12" s="58" t="s">
        <v>133</v>
      </c>
      <c r="D12" s="61">
        <v>776291.4</v>
      </c>
      <c r="E12" s="61">
        <v>1038099.48</v>
      </c>
    </row>
    <row r="13" spans="1:5" ht="15" x14ac:dyDescent="0.25">
      <c r="A13" s="59" t="s">
        <v>10</v>
      </c>
      <c r="B13" s="7" t="s">
        <v>122</v>
      </c>
      <c r="C13" s="58" t="s">
        <v>133</v>
      </c>
      <c r="D13" s="61">
        <v>1004612.4</v>
      </c>
      <c r="E13" s="61">
        <v>849354.12</v>
      </c>
    </row>
    <row r="14" spans="1:5" ht="15" x14ac:dyDescent="0.25">
      <c r="A14" s="59" t="s">
        <v>10</v>
      </c>
      <c r="B14" s="7" t="s">
        <v>123</v>
      </c>
      <c r="C14" s="58" t="s">
        <v>133</v>
      </c>
      <c r="D14" s="61">
        <v>913284</v>
      </c>
      <c r="E14" s="61">
        <v>754981.44000000006</v>
      </c>
    </row>
    <row r="15" spans="1:5" ht="15" x14ac:dyDescent="0.25">
      <c r="A15" s="59" t="s">
        <v>10</v>
      </c>
      <c r="B15" s="7" t="s">
        <v>124</v>
      </c>
      <c r="C15" s="58" t="s">
        <v>133</v>
      </c>
      <c r="D15" s="61">
        <v>776291.4</v>
      </c>
      <c r="E15" s="61">
        <v>1038099.48</v>
      </c>
    </row>
    <row r="16" spans="1:5" ht="15" x14ac:dyDescent="0.25">
      <c r="A16" s="59" t="s">
        <v>10</v>
      </c>
      <c r="B16" s="7" t="s">
        <v>109</v>
      </c>
      <c r="C16" s="58" t="s">
        <v>133</v>
      </c>
      <c r="D16" s="61">
        <v>1095940.7999999993</v>
      </c>
      <c r="E16" s="61">
        <v>1038099.4799999999</v>
      </c>
    </row>
    <row r="17" spans="1:5" ht="15" x14ac:dyDescent="0.25">
      <c r="A17" s="59" t="s">
        <v>7</v>
      </c>
      <c r="B17" s="7" t="s">
        <v>121</v>
      </c>
      <c r="C17" s="58" t="s">
        <v>133</v>
      </c>
      <c r="D17" s="61">
        <v>1215155.24</v>
      </c>
      <c r="E17" s="61">
        <v>1808848.8</v>
      </c>
    </row>
    <row r="18" spans="1:5" ht="15" x14ac:dyDescent="0.25">
      <c r="A18" s="59" t="s">
        <v>7</v>
      </c>
      <c r="B18" s="7" t="s">
        <v>122</v>
      </c>
      <c r="C18" s="58" t="s">
        <v>133</v>
      </c>
      <c r="D18" s="61">
        <v>1572553.84</v>
      </c>
      <c r="E18" s="61">
        <v>1479967.2</v>
      </c>
    </row>
    <row r="19" spans="1:5" ht="15" x14ac:dyDescent="0.25">
      <c r="A19" s="59" t="s">
        <v>7</v>
      </c>
      <c r="B19" s="7" t="s">
        <v>123</v>
      </c>
      <c r="C19" s="58" t="s">
        <v>133</v>
      </c>
      <c r="D19" s="61">
        <v>1215155.24</v>
      </c>
      <c r="E19" s="61">
        <v>1808848.8</v>
      </c>
    </row>
    <row r="20" spans="1:5" ht="15" x14ac:dyDescent="0.25">
      <c r="A20" s="59" t="s">
        <v>7</v>
      </c>
      <c r="B20" s="7" t="s">
        <v>124</v>
      </c>
      <c r="C20" s="58" t="s">
        <v>133</v>
      </c>
      <c r="D20" s="61">
        <v>1093639.716</v>
      </c>
      <c r="E20" s="61">
        <v>1627963.9200000002</v>
      </c>
    </row>
    <row r="21" spans="1:5" ht="15" x14ac:dyDescent="0.25">
      <c r="A21" s="59" t="s">
        <v>7</v>
      </c>
      <c r="B21" s="7" t="s">
        <v>109</v>
      </c>
      <c r="C21" s="58" t="s">
        <v>133</v>
      </c>
      <c r="D21" s="61">
        <v>2051467.9639999997</v>
      </c>
      <c r="E21" s="61">
        <v>1496411.2800000003</v>
      </c>
    </row>
    <row r="22" spans="1:5" ht="15" x14ac:dyDescent="0.25">
      <c r="A22" s="59" t="s">
        <v>22</v>
      </c>
      <c r="B22" s="7" t="s">
        <v>121</v>
      </c>
      <c r="C22" s="58" t="s">
        <v>133</v>
      </c>
      <c r="D22" s="61">
        <f>SUMIFS(D$2:D$21,$B$2:$B$21,$B22)</f>
        <v>4177918.6399999997</v>
      </c>
      <c r="E22" s="61">
        <f>SUMIFS(E$2:E$21,$B$2:$B$21,$B22)</f>
        <v>5736630.6799999997</v>
      </c>
    </row>
    <row r="23" spans="1:5" ht="15" x14ac:dyDescent="0.25">
      <c r="A23" s="59" t="s">
        <v>22</v>
      </c>
      <c r="B23" s="7" t="s">
        <v>122</v>
      </c>
      <c r="C23" s="58" t="s">
        <v>133</v>
      </c>
      <c r="D23" s="61">
        <f t="shared" ref="D23:E26" si="0">SUMIFS(D$2:D$21,$B$2:$B$21,$B23)</f>
        <v>5555463.8399999999</v>
      </c>
      <c r="E23" s="61">
        <f t="shared" si="0"/>
        <v>5090555.72</v>
      </c>
    </row>
    <row r="24" spans="1:5" ht="15" x14ac:dyDescent="0.25">
      <c r="A24" s="59" t="s">
        <v>22</v>
      </c>
      <c r="B24" s="7" t="s">
        <v>123</v>
      </c>
      <c r="C24" s="58" t="s">
        <v>133</v>
      </c>
      <c r="D24" s="61">
        <f t="shared" si="0"/>
        <v>5072623.24</v>
      </c>
      <c r="E24" s="61">
        <f t="shared" si="0"/>
        <v>5119987.84</v>
      </c>
    </row>
    <row r="25" spans="1:5" ht="15" x14ac:dyDescent="0.25">
      <c r="A25" s="59" t="s">
        <v>22</v>
      </c>
      <c r="B25" s="7" t="s">
        <v>124</v>
      </c>
      <c r="C25" s="58" t="s">
        <v>133</v>
      </c>
      <c r="D25" s="61">
        <f t="shared" si="0"/>
        <v>4651385.5159999998</v>
      </c>
      <c r="E25" s="61">
        <f t="shared" si="0"/>
        <v>5203613.8</v>
      </c>
    </row>
    <row r="26" spans="1:5" ht="15" x14ac:dyDescent="0.25">
      <c r="A26" s="59" t="s">
        <v>22</v>
      </c>
      <c r="B26" s="7" t="s">
        <v>109</v>
      </c>
      <c r="C26" s="58" t="s">
        <v>133</v>
      </c>
      <c r="D26" s="61">
        <f t="shared" si="0"/>
        <v>5118600.7639999986</v>
      </c>
      <c r="E26" s="61">
        <f t="shared" si="0"/>
        <v>5565045.96</v>
      </c>
    </row>
    <row r="27" spans="1:5" x14ac:dyDescent="0.2">
      <c r="D27" s="60"/>
      <c r="E27" s="60"/>
    </row>
    <row r="28" spans="1:5" x14ac:dyDescent="0.2">
      <c r="D28" s="60"/>
      <c r="E28" s="60"/>
    </row>
    <row r="29" spans="1:5" x14ac:dyDescent="0.2">
      <c r="D29" s="60"/>
      <c r="E29" s="60"/>
    </row>
    <row r="30" spans="1:5" x14ac:dyDescent="0.2">
      <c r="D30" s="60"/>
      <c r="E30" s="60"/>
    </row>
    <row r="31" spans="1:5" x14ac:dyDescent="0.2">
      <c r="D31" s="60"/>
      <c r="E31" s="60"/>
    </row>
    <row r="32" spans="1:5" x14ac:dyDescent="0.2">
      <c r="D32" s="60"/>
      <c r="E32" s="60"/>
    </row>
    <row r="33" spans="4:5" x14ac:dyDescent="0.2">
      <c r="D33" s="60"/>
      <c r="E33" s="60"/>
    </row>
    <row r="34" spans="4:5" x14ac:dyDescent="0.2">
      <c r="D34" s="60"/>
      <c r="E34" s="60"/>
    </row>
    <row r="35" spans="4:5" x14ac:dyDescent="0.2">
      <c r="D35" s="60"/>
      <c r="E35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249977111117893"/>
  </sheetPr>
  <dimension ref="A1:M121"/>
  <sheetViews>
    <sheetView workbookViewId="0">
      <pane ySplit="1" topLeftCell="A2" activePane="bottomLeft" state="frozen"/>
      <selection pane="bottomLeft" activeCell="C2" sqref="C2"/>
    </sheetView>
  </sheetViews>
  <sheetFormatPr defaultRowHeight="12.75" outlineLevelCol="1" x14ac:dyDescent="0.2"/>
  <cols>
    <col min="1" max="1" width="14.140625" bestFit="1" customWidth="1"/>
    <col min="2" max="2" width="8.140625" customWidth="1" outlineLevel="1"/>
    <col min="4" max="4" width="10.42578125" bestFit="1" customWidth="1"/>
    <col min="5" max="5" width="11" bestFit="1" customWidth="1"/>
    <col min="6" max="6" width="10.42578125" bestFit="1" customWidth="1"/>
    <col min="7" max="7" width="12" bestFit="1" customWidth="1"/>
    <col min="8" max="8" width="10.140625" bestFit="1" customWidth="1"/>
    <col min="9" max="9" width="10.7109375" bestFit="1" customWidth="1"/>
  </cols>
  <sheetData>
    <row r="1" spans="1:12" x14ac:dyDescent="0.2">
      <c r="A1" s="45" t="s">
        <v>27</v>
      </c>
      <c r="B1" s="45" t="s">
        <v>34</v>
      </c>
      <c r="C1" s="45" t="s">
        <v>78</v>
      </c>
      <c r="D1" s="45" t="s">
        <v>33</v>
      </c>
      <c r="E1" s="45" t="s">
        <v>32</v>
      </c>
      <c r="F1" s="45" t="s">
        <v>31</v>
      </c>
      <c r="G1" s="45" t="s">
        <v>30</v>
      </c>
      <c r="H1" s="45" t="s">
        <v>29</v>
      </c>
      <c r="I1" s="45" t="s">
        <v>28</v>
      </c>
    </row>
    <row r="2" spans="1:12" x14ac:dyDescent="0.2">
      <c r="A2" s="1" t="s">
        <v>18</v>
      </c>
      <c r="B2" s="1">
        <v>2</v>
      </c>
      <c r="C2" s="10">
        <v>40909</v>
      </c>
      <c r="D2" s="11">
        <v>8679</v>
      </c>
      <c r="E2" s="11">
        <v>7164.4428885847483</v>
      </c>
      <c r="F2" s="12">
        <v>12229.5</v>
      </c>
      <c r="G2" s="12">
        <v>11006.55</v>
      </c>
      <c r="H2" s="12">
        <v>3550.5</v>
      </c>
      <c r="I2" s="12">
        <v>3842.1071114152505</v>
      </c>
      <c r="J2" s="6"/>
    </row>
    <row r="3" spans="1:12" x14ac:dyDescent="0.2">
      <c r="A3" s="1" t="s">
        <v>18</v>
      </c>
      <c r="B3" s="1">
        <v>2</v>
      </c>
      <c r="C3" s="10">
        <v>40940</v>
      </c>
      <c r="D3" s="11">
        <v>9240</v>
      </c>
      <c r="E3" s="11">
        <v>7427.8301529600003</v>
      </c>
      <c r="F3" s="12">
        <v>13020</v>
      </c>
      <c r="G3" s="12">
        <v>11718</v>
      </c>
      <c r="H3" s="12">
        <v>3780</v>
      </c>
      <c r="I3" s="12">
        <v>4290.1698470399997</v>
      </c>
      <c r="J3" s="6"/>
    </row>
    <row r="4" spans="1:12" x14ac:dyDescent="0.2">
      <c r="A4" s="1" t="s">
        <v>18</v>
      </c>
      <c r="B4" s="1">
        <v>2</v>
      </c>
      <c r="C4" s="10">
        <v>40969</v>
      </c>
      <c r="D4" s="11">
        <v>7964</v>
      </c>
      <c r="E4" s="11">
        <v>7381.6184712330014</v>
      </c>
      <c r="F4" s="12">
        <v>11222</v>
      </c>
      <c r="G4" s="12">
        <v>10099.800000000001</v>
      </c>
      <c r="H4" s="12">
        <v>3258</v>
      </c>
      <c r="I4" s="12">
        <v>2718.1815287669997</v>
      </c>
      <c r="J4" s="6"/>
    </row>
    <row r="5" spans="1:12" x14ac:dyDescent="0.2">
      <c r="A5" s="1" t="s">
        <v>18</v>
      </c>
      <c r="B5" s="1">
        <v>2</v>
      </c>
      <c r="C5" s="10">
        <v>41000</v>
      </c>
      <c r="D5" s="11">
        <v>7370</v>
      </c>
      <c r="E5" s="11">
        <v>6610.8485990249992</v>
      </c>
      <c r="F5" s="12">
        <v>10385</v>
      </c>
      <c r="G5" s="12">
        <v>9346.5</v>
      </c>
      <c r="H5" s="12">
        <v>3015</v>
      </c>
      <c r="I5" s="12">
        <v>2735.6514009750003</v>
      </c>
      <c r="J5" s="6"/>
    </row>
    <row r="6" spans="1:12" x14ac:dyDescent="0.2">
      <c r="A6" s="1" t="s">
        <v>18</v>
      </c>
      <c r="B6" s="1">
        <v>2</v>
      </c>
      <c r="C6" s="10">
        <v>41030</v>
      </c>
      <c r="D6" s="11">
        <v>6963</v>
      </c>
      <c r="E6" s="11">
        <v>5804.6646790147497</v>
      </c>
      <c r="F6" s="12">
        <v>9811.5</v>
      </c>
      <c r="G6" s="12">
        <v>8830.35</v>
      </c>
      <c r="H6" s="12">
        <v>2848.5</v>
      </c>
      <c r="I6" s="12">
        <v>3025.6853209852502</v>
      </c>
      <c r="J6" s="6"/>
    </row>
    <row r="7" spans="1:12" x14ac:dyDescent="0.2">
      <c r="A7" s="1" t="s">
        <v>18</v>
      </c>
      <c r="B7" s="1">
        <v>2</v>
      </c>
      <c r="C7" s="10">
        <v>41061</v>
      </c>
      <c r="D7" s="11">
        <v>9988</v>
      </c>
      <c r="E7" s="11">
        <v>9164.4927586920003</v>
      </c>
      <c r="F7" s="12">
        <v>14074</v>
      </c>
      <c r="G7" s="12">
        <v>12666.6</v>
      </c>
      <c r="H7" s="12">
        <v>4086</v>
      </c>
      <c r="I7" s="12">
        <v>3502.1072413080001</v>
      </c>
      <c r="J7" s="6"/>
    </row>
    <row r="8" spans="1:12" x14ac:dyDescent="0.2">
      <c r="A8" s="1" t="s">
        <v>18</v>
      </c>
      <c r="B8" s="1">
        <v>2</v>
      </c>
      <c r="C8" s="10">
        <v>41091</v>
      </c>
      <c r="D8" s="11">
        <v>7865</v>
      </c>
      <c r="E8" s="11">
        <v>6910.1508520687494</v>
      </c>
      <c r="F8" s="12">
        <v>11082.5</v>
      </c>
      <c r="G8" s="12">
        <v>9974.25</v>
      </c>
      <c r="H8" s="12">
        <v>3217.5</v>
      </c>
      <c r="I8" s="12">
        <v>3064.0991479312502</v>
      </c>
      <c r="J8" s="6"/>
      <c r="L8" s="4"/>
    </row>
    <row r="9" spans="1:12" x14ac:dyDescent="0.2">
      <c r="A9" s="1" t="s">
        <v>18</v>
      </c>
      <c r="B9" s="1">
        <v>2</v>
      </c>
      <c r="C9" s="10">
        <v>41122</v>
      </c>
      <c r="D9" s="11">
        <v>9724</v>
      </c>
      <c r="E9" s="11">
        <v>8746.774896834002</v>
      </c>
      <c r="F9" s="12">
        <v>13702</v>
      </c>
      <c r="G9" s="12">
        <v>12331.800000000001</v>
      </c>
      <c r="H9" s="12">
        <v>3978</v>
      </c>
      <c r="I9" s="12">
        <v>3585.0251031659996</v>
      </c>
      <c r="J9" s="6"/>
      <c r="L9" s="4"/>
    </row>
    <row r="10" spans="1:12" x14ac:dyDescent="0.2">
      <c r="A10" s="1" t="s">
        <v>18</v>
      </c>
      <c r="B10" s="1">
        <v>2</v>
      </c>
      <c r="C10" s="10">
        <v>41153</v>
      </c>
      <c r="D10" s="11">
        <v>9757</v>
      </c>
      <c r="E10" s="11">
        <v>7873.65</v>
      </c>
      <c r="F10" s="12">
        <v>13748.5</v>
      </c>
      <c r="G10" s="12">
        <v>12373.65</v>
      </c>
      <c r="H10" s="12">
        <v>3991.5</v>
      </c>
      <c r="I10" s="12">
        <v>4500</v>
      </c>
      <c r="J10" s="6"/>
      <c r="L10" s="4"/>
    </row>
    <row r="11" spans="1:12" x14ac:dyDescent="0.2">
      <c r="A11" s="1" t="s">
        <v>18</v>
      </c>
      <c r="B11" s="1">
        <v>2</v>
      </c>
      <c r="C11" s="10">
        <v>41183</v>
      </c>
      <c r="D11" s="11">
        <v>6336</v>
      </c>
      <c r="E11" s="11">
        <v>5616.2378039039995</v>
      </c>
      <c r="F11" s="12">
        <v>8928</v>
      </c>
      <c r="G11" s="12">
        <v>8035.2</v>
      </c>
      <c r="H11" s="12">
        <v>2592</v>
      </c>
      <c r="I11" s="12">
        <v>2418.9621960959998</v>
      </c>
      <c r="J11" s="6"/>
      <c r="L11" s="4"/>
    </row>
    <row r="12" spans="1:12" x14ac:dyDescent="0.2">
      <c r="A12" s="1" t="s">
        <v>18</v>
      </c>
      <c r="B12" s="1">
        <v>2</v>
      </c>
      <c r="C12" s="10">
        <v>41214</v>
      </c>
      <c r="D12" s="11">
        <v>8107</v>
      </c>
      <c r="E12" s="11">
        <v>6120.8639159332497</v>
      </c>
      <c r="F12" s="12">
        <v>11423.5</v>
      </c>
      <c r="G12" s="12">
        <v>10281.15</v>
      </c>
      <c r="H12" s="12">
        <v>3316.5</v>
      </c>
      <c r="I12" s="12">
        <v>4160.2860840667499</v>
      </c>
      <c r="J12" s="6"/>
    </row>
    <row r="13" spans="1:12" x14ac:dyDescent="0.2">
      <c r="A13" s="1" t="s">
        <v>18</v>
      </c>
      <c r="B13" s="1">
        <v>2</v>
      </c>
      <c r="C13" s="10">
        <v>41244</v>
      </c>
      <c r="D13" s="11">
        <v>9669</v>
      </c>
      <c r="E13" s="11">
        <v>8263.8183972825009</v>
      </c>
      <c r="F13" s="12">
        <v>13624.5</v>
      </c>
      <c r="G13" s="12">
        <v>12262.050000000001</v>
      </c>
      <c r="H13" s="12">
        <v>3955.5</v>
      </c>
      <c r="I13" s="12">
        <v>3998.2316027175007</v>
      </c>
      <c r="J13" s="6"/>
    </row>
    <row r="14" spans="1:12" x14ac:dyDescent="0.2">
      <c r="A14" s="1" t="s">
        <v>18</v>
      </c>
      <c r="B14" s="1">
        <v>2</v>
      </c>
      <c r="C14" s="10">
        <v>41275</v>
      </c>
      <c r="D14" s="11">
        <v>5742</v>
      </c>
      <c r="E14" s="11">
        <v>4601.6898196275006</v>
      </c>
      <c r="F14" s="12">
        <v>8091</v>
      </c>
      <c r="G14" s="12">
        <v>7281.9000000000005</v>
      </c>
      <c r="H14" s="12">
        <v>2349</v>
      </c>
      <c r="I14" s="12">
        <v>2680.2101803725</v>
      </c>
      <c r="J14" s="6"/>
    </row>
    <row r="15" spans="1:12" x14ac:dyDescent="0.2">
      <c r="A15" s="1" t="s">
        <v>18</v>
      </c>
      <c r="B15" s="1">
        <v>2</v>
      </c>
      <c r="C15" s="10">
        <v>41306</v>
      </c>
      <c r="D15" s="11">
        <v>7920</v>
      </c>
      <c r="E15" s="11">
        <v>6664.4341812000002</v>
      </c>
      <c r="F15" s="12">
        <v>11160</v>
      </c>
      <c r="G15" s="12">
        <v>10044</v>
      </c>
      <c r="H15" s="12">
        <v>3240</v>
      </c>
      <c r="I15" s="12">
        <v>3379.5658187999998</v>
      </c>
      <c r="J15" s="6"/>
    </row>
    <row r="16" spans="1:12" x14ac:dyDescent="0.2">
      <c r="A16" s="1" t="s">
        <v>18</v>
      </c>
      <c r="B16" s="1">
        <v>2</v>
      </c>
      <c r="C16" s="10">
        <v>41334</v>
      </c>
      <c r="D16" s="11">
        <v>7370</v>
      </c>
      <c r="E16" s="11">
        <v>6610.8485990249992</v>
      </c>
      <c r="F16" s="12">
        <v>10385</v>
      </c>
      <c r="G16" s="12">
        <v>9346.5</v>
      </c>
      <c r="H16" s="12">
        <v>3015</v>
      </c>
      <c r="I16" s="12">
        <v>2735.6514009750003</v>
      </c>
      <c r="J16" s="6"/>
    </row>
    <row r="17" spans="1:13" x14ac:dyDescent="0.2">
      <c r="A17" s="1" t="s">
        <v>18</v>
      </c>
      <c r="B17" s="1">
        <v>2</v>
      </c>
      <c r="C17" s="10">
        <v>41365</v>
      </c>
      <c r="D17" s="11">
        <v>6963</v>
      </c>
      <c r="E17" s="11">
        <v>5804.6646790147497</v>
      </c>
      <c r="F17" s="12">
        <v>9811.5</v>
      </c>
      <c r="G17" s="12">
        <v>8830.35</v>
      </c>
      <c r="H17" s="12">
        <v>2848.5</v>
      </c>
      <c r="I17" s="12">
        <v>3025.6853209852502</v>
      </c>
      <c r="J17" s="6"/>
    </row>
    <row r="18" spans="1:13" x14ac:dyDescent="0.2">
      <c r="A18" s="1" t="s">
        <v>18</v>
      </c>
      <c r="B18" s="1">
        <v>2</v>
      </c>
      <c r="C18" s="10">
        <v>41395</v>
      </c>
      <c r="D18" s="11">
        <v>8679</v>
      </c>
      <c r="E18" s="11">
        <v>7164.4428885847501</v>
      </c>
      <c r="F18" s="12">
        <v>12229.5</v>
      </c>
      <c r="G18" s="12">
        <v>11006.550000000001</v>
      </c>
      <c r="H18" s="12">
        <v>3550.5</v>
      </c>
      <c r="I18" s="12">
        <v>3842.1071114152505</v>
      </c>
      <c r="J18" s="6"/>
    </row>
    <row r="19" spans="1:13" x14ac:dyDescent="0.2">
      <c r="A19" s="1" t="s">
        <v>18</v>
      </c>
      <c r="B19" s="1">
        <v>2</v>
      </c>
      <c r="C19" s="10">
        <v>41426</v>
      </c>
      <c r="D19" s="11">
        <v>9240</v>
      </c>
      <c r="E19" s="11">
        <v>7427.8301529600003</v>
      </c>
      <c r="F19" s="12">
        <v>13020</v>
      </c>
      <c r="G19" s="12">
        <v>11718</v>
      </c>
      <c r="H19" s="12">
        <v>3780</v>
      </c>
      <c r="I19" s="12">
        <v>4290.1698470399997</v>
      </c>
      <c r="J19" s="6"/>
    </row>
    <row r="20" spans="1:13" x14ac:dyDescent="0.2">
      <c r="A20" s="1" t="s">
        <v>18</v>
      </c>
      <c r="B20" s="1">
        <v>2</v>
      </c>
      <c r="C20" s="10">
        <v>41456</v>
      </c>
      <c r="D20" s="11">
        <v>9988</v>
      </c>
      <c r="E20" s="11">
        <v>9164.4927586920003</v>
      </c>
      <c r="F20" s="12">
        <v>14074</v>
      </c>
      <c r="G20" s="12">
        <v>12666.6</v>
      </c>
      <c r="H20" s="12">
        <v>4086</v>
      </c>
      <c r="I20" s="12">
        <v>3502.1072413080001</v>
      </c>
      <c r="J20" s="6"/>
    </row>
    <row r="21" spans="1:13" x14ac:dyDescent="0.2">
      <c r="A21" s="1" t="s">
        <v>18</v>
      </c>
      <c r="B21" s="1">
        <v>2</v>
      </c>
      <c r="C21" s="10">
        <v>41487</v>
      </c>
      <c r="D21" s="11">
        <v>5742</v>
      </c>
      <c r="E21" s="11">
        <v>4601.6898196275006</v>
      </c>
      <c r="F21" s="12">
        <v>8091</v>
      </c>
      <c r="G21" s="12">
        <v>7281.9000000000005</v>
      </c>
      <c r="H21" s="12">
        <v>2349</v>
      </c>
      <c r="I21" s="12">
        <v>2680.2101803725</v>
      </c>
      <c r="J21" s="6"/>
    </row>
    <row r="22" spans="1:13" x14ac:dyDescent="0.2">
      <c r="A22" s="1" t="s">
        <v>18</v>
      </c>
      <c r="B22" s="1">
        <v>2</v>
      </c>
      <c r="C22" s="10">
        <v>41518</v>
      </c>
      <c r="D22" s="11">
        <v>6607.7000000000007</v>
      </c>
      <c r="E22" s="11">
        <v>5550.1650000000009</v>
      </c>
      <c r="F22" s="12">
        <v>9310.85</v>
      </c>
      <c r="G22" s="12">
        <v>8379.7650000000012</v>
      </c>
      <c r="H22" s="12">
        <v>2703.15</v>
      </c>
      <c r="I22" s="12">
        <v>2829.6</v>
      </c>
      <c r="J22" s="6"/>
    </row>
    <row r="23" spans="1:13" x14ac:dyDescent="0.2">
      <c r="A23" s="1" t="s">
        <v>18</v>
      </c>
      <c r="B23" s="1">
        <v>2</v>
      </c>
      <c r="C23" s="10">
        <v>41548</v>
      </c>
      <c r="D23" s="11">
        <v>8369.9000000000015</v>
      </c>
      <c r="E23" s="11">
        <v>7309.3050000000003</v>
      </c>
      <c r="F23" s="12">
        <v>11793.95</v>
      </c>
      <c r="G23" s="12">
        <v>10614.555</v>
      </c>
      <c r="H23" s="12">
        <v>3424.05</v>
      </c>
      <c r="I23" s="12">
        <v>3305.25</v>
      </c>
      <c r="J23" s="6"/>
    </row>
    <row r="24" spans="1:13" x14ac:dyDescent="0.2">
      <c r="A24" s="1" t="s">
        <v>18</v>
      </c>
      <c r="B24" s="1">
        <v>2</v>
      </c>
      <c r="C24" s="10">
        <v>41579</v>
      </c>
      <c r="D24" s="11">
        <v>7465.7000000000007</v>
      </c>
      <c r="E24" s="11">
        <v>6262.5149999999994</v>
      </c>
      <c r="F24" s="12">
        <v>10519.85</v>
      </c>
      <c r="G24" s="12">
        <v>9467.8649999999998</v>
      </c>
      <c r="H24" s="12">
        <v>3054.15</v>
      </c>
      <c r="I24" s="12">
        <v>3205.35</v>
      </c>
      <c r="J24" s="6"/>
    </row>
    <row r="25" spans="1:13" x14ac:dyDescent="0.2">
      <c r="A25" s="1" t="s">
        <v>18</v>
      </c>
      <c r="B25" s="1">
        <v>2</v>
      </c>
      <c r="C25" s="10">
        <v>41609</v>
      </c>
      <c r="D25" s="11">
        <v>8653.7000000000007</v>
      </c>
      <c r="E25" s="11">
        <v>7530.6149999999998</v>
      </c>
      <c r="F25" s="12">
        <v>12193.85</v>
      </c>
      <c r="G25" s="12">
        <v>10974.465</v>
      </c>
      <c r="H25" s="12">
        <v>3540.15</v>
      </c>
      <c r="I25" s="12">
        <v>3443.85</v>
      </c>
      <c r="J25" s="6"/>
    </row>
    <row r="26" spans="1:13" x14ac:dyDescent="0.2">
      <c r="A26" s="1" t="s">
        <v>14</v>
      </c>
      <c r="B26" s="1">
        <v>3</v>
      </c>
      <c r="C26" s="10">
        <v>40909</v>
      </c>
      <c r="D26" s="11">
        <v>4339.5</v>
      </c>
      <c r="E26" s="11">
        <v>3582.2214442923741</v>
      </c>
      <c r="F26" s="12">
        <v>6114.75</v>
      </c>
      <c r="G26" s="12">
        <v>5503.2749999999996</v>
      </c>
      <c r="H26" s="12">
        <v>1775.25</v>
      </c>
      <c r="I26" s="12">
        <v>1921.0535557076253</v>
      </c>
      <c r="K26" s="5"/>
      <c r="L26" s="5"/>
      <c r="M26" s="5"/>
    </row>
    <row r="27" spans="1:13" x14ac:dyDescent="0.2">
      <c r="A27" s="1" t="s">
        <v>14</v>
      </c>
      <c r="B27" s="1">
        <v>3</v>
      </c>
      <c r="C27" s="10">
        <v>40940</v>
      </c>
      <c r="D27" s="11">
        <v>4620</v>
      </c>
      <c r="E27" s="11">
        <v>3713.9150764800002</v>
      </c>
      <c r="F27" s="12">
        <v>6510</v>
      </c>
      <c r="G27" s="12">
        <v>5859</v>
      </c>
      <c r="H27" s="12">
        <v>1890</v>
      </c>
      <c r="I27" s="12">
        <v>2145.0849235199998</v>
      </c>
      <c r="K27" s="5"/>
      <c r="L27" s="5"/>
      <c r="M27" s="5"/>
    </row>
    <row r="28" spans="1:13" x14ac:dyDescent="0.2">
      <c r="A28" s="1" t="s">
        <v>14</v>
      </c>
      <c r="B28" s="1">
        <v>3</v>
      </c>
      <c r="C28" s="10">
        <v>40969</v>
      </c>
      <c r="D28" s="11">
        <v>3982</v>
      </c>
      <c r="E28" s="11">
        <v>3690.8092356165007</v>
      </c>
      <c r="F28" s="12">
        <v>5611</v>
      </c>
      <c r="G28" s="12">
        <v>5049.9000000000005</v>
      </c>
      <c r="H28" s="12">
        <v>1629</v>
      </c>
      <c r="I28" s="12">
        <v>1359.0907643834998</v>
      </c>
      <c r="K28" s="5"/>
      <c r="L28" s="5"/>
      <c r="M28" s="5"/>
    </row>
    <row r="29" spans="1:13" x14ac:dyDescent="0.2">
      <c r="A29" s="1" t="s">
        <v>14</v>
      </c>
      <c r="B29" s="1">
        <v>3</v>
      </c>
      <c r="C29" s="10">
        <v>41000</v>
      </c>
      <c r="D29" s="11">
        <v>3685</v>
      </c>
      <c r="E29" s="11">
        <v>3305.4242995124996</v>
      </c>
      <c r="F29" s="12">
        <v>5192.5</v>
      </c>
      <c r="G29" s="12">
        <v>4673.25</v>
      </c>
      <c r="H29" s="12">
        <v>1507.5</v>
      </c>
      <c r="I29" s="12">
        <v>1367.8257004875002</v>
      </c>
      <c r="K29" s="5"/>
      <c r="L29" s="5"/>
      <c r="M29" s="5"/>
    </row>
    <row r="30" spans="1:13" x14ac:dyDescent="0.2">
      <c r="A30" s="1" t="s">
        <v>14</v>
      </c>
      <c r="B30" s="1">
        <v>3</v>
      </c>
      <c r="C30" s="10">
        <v>41030</v>
      </c>
      <c r="D30" s="11">
        <v>2690.5</v>
      </c>
      <c r="E30" s="11">
        <v>1990.4323395073745</v>
      </c>
      <c r="F30" s="12">
        <v>4114.75</v>
      </c>
      <c r="G30" s="12">
        <v>3503.2749999999996</v>
      </c>
      <c r="H30" s="12">
        <v>1424.25</v>
      </c>
      <c r="I30" s="12">
        <v>1512.8426604926251</v>
      </c>
      <c r="K30" s="5"/>
      <c r="L30" s="4"/>
      <c r="M30" s="5"/>
    </row>
    <row r="31" spans="1:13" x14ac:dyDescent="0.2">
      <c r="A31" s="1" t="s">
        <v>14</v>
      </c>
      <c r="B31" s="1">
        <v>3</v>
      </c>
      <c r="C31" s="10">
        <v>41061</v>
      </c>
      <c r="D31" s="11">
        <v>2467</v>
      </c>
      <c r="E31" s="11">
        <v>2107.946379346</v>
      </c>
      <c r="F31" s="12">
        <v>4510</v>
      </c>
      <c r="G31" s="12">
        <v>3859</v>
      </c>
      <c r="H31" s="12">
        <v>2043</v>
      </c>
      <c r="I31" s="12">
        <v>1751.053620654</v>
      </c>
      <c r="K31" s="5"/>
      <c r="L31" s="4"/>
      <c r="M31" s="5"/>
    </row>
    <row r="32" spans="1:13" x14ac:dyDescent="0.2">
      <c r="A32" s="1" t="s">
        <v>14</v>
      </c>
      <c r="B32" s="1">
        <v>3</v>
      </c>
      <c r="C32" s="10">
        <v>41091</v>
      </c>
      <c r="D32" s="11">
        <v>2002.25</v>
      </c>
      <c r="E32" s="11">
        <v>1517.8504260343755</v>
      </c>
      <c r="F32" s="12">
        <v>3611</v>
      </c>
      <c r="G32" s="12">
        <v>3049.9000000000005</v>
      </c>
      <c r="H32" s="12">
        <v>1608.75</v>
      </c>
      <c r="I32" s="12">
        <v>1532.0495739656251</v>
      </c>
      <c r="K32" s="5"/>
      <c r="L32" s="4"/>
      <c r="M32" s="5"/>
    </row>
    <row r="33" spans="1:13" x14ac:dyDescent="0.2">
      <c r="A33" s="1" t="s">
        <v>14</v>
      </c>
      <c r="B33" s="1">
        <v>3</v>
      </c>
      <c r="C33" s="10">
        <v>41122</v>
      </c>
      <c r="D33" s="11">
        <v>1203.5</v>
      </c>
      <c r="E33" s="11">
        <v>880.73744841700022</v>
      </c>
      <c r="F33" s="12">
        <v>3192.5</v>
      </c>
      <c r="G33" s="12">
        <v>2673.25</v>
      </c>
      <c r="H33" s="12">
        <v>1989</v>
      </c>
      <c r="I33" s="12">
        <v>1792.5125515829998</v>
      </c>
      <c r="K33" s="5"/>
      <c r="L33" s="4"/>
      <c r="M33" s="5"/>
    </row>
    <row r="34" spans="1:13" x14ac:dyDescent="0.2">
      <c r="A34" s="1" t="s">
        <v>14</v>
      </c>
      <c r="B34" s="1">
        <v>3</v>
      </c>
      <c r="C34" s="10">
        <v>41153</v>
      </c>
      <c r="D34" s="11">
        <v>4019.3999999999996</v>
      </c>
      <c r="E34" s="11">
        <v>3221.1828737392498</v>
      </c>
      <c r="F34" s="12">
        <v>5663.7</v>
      </c>
      <c r="G34" s="12">
        <v>5097.33</v>
      </c>
      <c r="H34" s="12">
        <v>1644.3</v>
      </c>
      <c r="I34" s="12">
        <v>1876.1471262607499</v>
      </c>
      <c r="K34" s="5"/>
      <c r="L34" s="5"/>
      <c r="M34" s="5"/>
    </row>
    <row r="35" spans="1:13" x14ac:dyDescent="0.2">
      <c r="A35" s="1" t="s">
        <v>14</v>
      </c>
      <c r="B35" s="1">
        <v>3</v>
      </c>
      <c r="C35" s="10">
        <v>41183</v>
      </c>
      <c r="D35" s="11">
        <v>4625.3900000000003</v>
      </c>
      <c r="E35" s="11">
        <v>3885.1155000000003</v>
      </c>
      <c r="F35" s="12">
        <v>6517.5950000000003</v>
      </c>
      <c r="G35" s="12">
        <v>5865.8355000000001</v>
      </c>
      <c r="H35" s="12">
        <v>1892.2049999999999</v>
      </c>
      <c r="I35" s="12">
        <v>1980.7199999999998</v>
      </c>
      <c r="K35" s="5"/>
      <c r="L35" s="5"/>
      <c r="M35" s="5"/>
    </row>
    <row r="36" spans="1:13" x14ac:dyDescent="0.2">
      <c r="A36" s="1" t="s">
        <v>14</v>
      </c>
      <c r="B36" s="1">
        <v>3</v>
      </c>
      <c r="C36" s="10">
        <v>41214</v>
      </c>
      <c r="D36" s="11">
        <v>5858.9299999999994</v>
      </c>
      <c r="E36" s="11">
        <v>5116.5134999999991</v>
      </c>
      <c r="F36" s="12">
        <v>8255.7649999999994</v>
      </c>
      <c r="G36" s="12">
        <v>7430.1884999999993</v>
      </c>
      <c r="H36" s="12">
        <v>2396.835</v>
      </c>
      <c r="I36" s="12">
        <v>2313.6749999999997</v>
      </c>
      <c r="K36" s="5"/>
      <c r="L36" s="5"/>
      <c r="M36" s="5"/>
    </row>
    <row r="37" spans="1:13" x14ac:dyDescent="0.2">
      <c r="A37" s="1" t="s">
        <v>14</v>
      </c>
      <c r="B37" s="1">
        <v>3</v>
      </c>
      <c r="C37" s="10">
        <v>41244</v>
      </c>
      <c r="D37" s="11">
        <v>5225.99</v>
      </c>
      <c r="E37" s="11">
        <v>4383.7604999999994</v>
      </c>
      <c r="F37" s="12">
        <v>7363.8949999999995</v>
      </c>
      <c r="G37" s="12">
        <v>6627.5054999999993</v>
      </c>
      <c r="H37" s="12">
        <v>2137.9049999999997</v>
      </c>
      <c r="I37" s="12">
        <v>2243.7449999999999</v>
      </c>
      <c r="K37" s="5"/>
      <c r="L37" s="5"/>
      <c r="M37" s="5"/>
    </row>
    <row r="38" spans="1:13" x14ac:dyDescent="0.2">
      <c r="A38" s="1" t="s">
        <v>14</v>
      </c>
      <c r="B38" s="1">
        <v>3</v>
      </c>
      <c r="C38" s="10">
        <v>41275</v>
      </c>
      <c r="D38" s="11">
        <v>6057.59</v>
      </c>
      <c r="E38" s="11">
        <v>5271.4304999999995</v>
      </c>
      <c r="F38" s="12">
        <v>8535.6949999999997</v>
      </c>
      <c r="G38" s="12">
        <v>7682.1254999999992</v>
      </c>
      <c r="H38" s="12">
        <v>2478.105</v>
      </c>
      <c r="I38" s="12">
        <v>2410.6949999999997</v>
      </c>
      <c r="K38" s="5"/>
      <c r="L38" s="5"/>
      <c r="M38" s="5"/>
    </row>
    <row r="39" spans="1:13" x14ac:dyDescent="0.2">
      <c r="A39" s="1" t="s">
        <v>14</v>
      </c>
      <c r="B39" s="1">
        <v>3</v>
      </c>
      <c r="C39" s="10">
        <v>41306</v>
      </c>
      <c r="D39" s="11">
        <v>6829.9</v>
      </c>
      <c r="E39" s="11">
        <v>5511.5549999999985</v>
      </c>
      <c r="F39" s="12">
        <v>9623.9499999999989</v>
      </c>
      <c r="G39" s="12">
        <v>8661.5549999999985</v>
      </c>
      <c r="H39" s="12">
        <v>2794.0499999999997</v>
      </c>
      <c r="I39" s="12">
        <v>3150</v>
      </c>
      <c r="K39" s="5"/>
      <c r="L39" s="5"/>
      <c r="M39" s="5"/>
    </row>
    <row r="40" spans="1:13" x14ac:dyDescent="0.2">
      <c r="A40" s="1" t="s">
        <v>14</v>
      </c>
      <c r="B40" s="1">
        <v>3</v>
      </c>
      <c r="C40" s="10">
        <v>41334</v>
      </c>
      <c r="D40" s="11">
        <v>4435.2</v>
      </c>
      <c r="E40" s="11">
        <v>3931.3664627327998</v>
      </c>
      <c r="F40" s="12">
        <v>6249.5999999999995</v>
      </c>
      <c r="G40" s="12">
        <v>5624.6399999999994</v>
      </c>
      <c r="H40" s="12">
        <v>1814.3999999999999</v>
      </c>
      <c r="I40" s="12">
        <v>1693.2735372671998</v>
      </c>
      <c r="K40" s="5"/>
      <c r="L40" s="5"/>
      <c r="M40" s="5"/>
    </row>
    <row r="41" spans="1:13" x14ac:dyDescent="0.2">
      <c r="A41" s="1" t="s">
        <v>14</v>
      </c>
      <c r="B41" s="1">
        <v>3</v>
      </c>
      <c r="C41" s="10">
        <v>41365</v>
      </c>
      <c r="D41" s="11">
        <v>5674.9</v>
      </c>
      <c r="E41" s="11">
        <v>4284.6047411532745</v>
      </c>
      <c r="F41" s="12">
        <v>7996.45</v>
      </c>
      <c r="G41" s="12">
        <v>7196.8049999999994</v>
      </c>
      <c r="H41" s="12">
        <v>2321.5499999999997</v>
      </c>
      <c r="I41" s="12">
        <v>2912.2002588467249</v>
      </c>
      <c r="K41" s="5"/>
      <c r="L41" s="5"/>
      <c r="M41" s="5"/>
    </row>
    <row r="42" spans="1:13" x14ac:dyDescent="0.2">
      <c r="A42" s="1" t="s">
        <v>14</v>
      </c>
      <c r="B42" s="1">
        <v>3</v>
      </c>
      <c r="C42" s="10">
        <v>41395</v>
      </c>
      <c r="D42" s="11">
        <v>6768.2999999999993</v>
      </c>
      <c r="E42" s="11">
        <v>5784.6728780977492</v>
      </c>
      <c r="F42" s="12">
        <v>9537.15</v>
      </c>
      <c r="G42" s="12">
        <v>8583.4349999999995</v>
      </c>
      <c r="H42" s="12">
        <v>2768.85</v>
      </c>
      <c r="I42" s="12">
        <v>2798.7621219022503</v>
      </c>
      <c r="K42" s="5"/>
      <c r="L42" s="5"/>
      <c r="M42" s="5"/>
    </row>
    <row r="43" spans="1:13" x14ac:dyDescent="0.2">
      <c r="A43" s="1" t="s">
        <v>14</v>
      </c>
      <c r="B43" s="1">
        <v>3</v>
      </c>
      <c r="C43" s="10">
        <v>41426</v>
      </c>
      <c r="D43" s="11">
        <v>4019.3999999999996</v>
      </c>
      <c r="E43" s="11">
        <v>3221.1828737392498</v>
      </c>
      <c r="F43" s="12">
        <v>5663.7</v>
      </c>
      <c r="G43" s="12">
        <v>5097.33</v>
      </c>
      <c r="H43" s="12">
        <v>1644.3</v>
      </c>
      <c r="I43" s="12">
        <v>1876.1471262607499</v>
      </c>
      <c r="K43" s="5"/>
      <c r="L43" s="5"/>
      <c r="M43" s="5"/>
    </row>
    <row r="44" spans="1:13" x14ac:dyDescent="0.2">
      <c r="A44" s="1" t="s">
        <v>14</v>
      </c>
      <c r="B44" s="1">
        <v>3</v>
      </c>
      <c r="C44" s="10">
        <v>41456</v>
      </c>
      <c r="D44" s="11">
        <v>5543.9999999999991</v>
      </c>
      <c r="E44" s="11">
        <v>4665.10392684</v>
      </c>
      <c r="F44" s="12">
        <v>7811.9999999999991</v>
      </c>
      <c r="G44" s="12">
        <v>7030.7999999999993</v>
      </c>
      <c r="H44" s="12">
        <v>2268</v>
      </c>
      <c r="I44" s="12">
        <v>2365.6960731599997</v>
      </c>
      <c r="K44" s="5"/>
      <c r="L44" s="5"/>
      <c r="M44" s="5"/>
    </row>
    <row r="45" spans="1:13" x14ac:dyDescent="0.2">
      <c r="A45" s="1" t="s">
        <v>14</v>
      </c>
      <c r="B45" s="1">
        <v>3</v>
      </c>
      <c r="C45" s="10">
        <v>41487</v>
      </c>
      <c r="D45" s="11">
        <v>4339.5</v>
      </c>
      <c r="E45" s="11">
        <v>3582.2214442923741</v>
      </c>
      <c r="F45" s="12">
        <v>6114.75</v>
      </c>
      <c r="G45" s="12">
        <v>5503.2749999999996</v>
      </c>
      <c r="H45" s="12">
        <v>1775.25</v>
      </c>
      <c r="I45" s="12">
        <v>1921.0535557076253</v>
      </c>
      <c r="K45" s="5"/>
      <c r="L45" s="5"/>
      <c r="M45" s="5"/>
    </row>
    <row r="46" spans="1:13" x14ac:dyDescent="0.2">
      <c r="A46" s="1" t="s">
        <v>14</v>
      </c>
      <c r="B46" s="1">
        <v>3</v>
      </c>
      <c r="C46" s="10">
        <v>41518</v>
      </c>
      <c r="D46" s="11">
        <v>4620</v>
      </c>
      <c r="E46" s="11">
        <v>3713.9150764800002</v>
      </c>
      <c r="F46" s="12">
        <v>6510</v>
      </c>
      <c r="G46" s="12">
        <v>5859</v>
      </c>
      <c r="H46" s="12">
        <v>1890</v>
      </c>
      <c r="I46" s="12">
        <v>2145.0849235199998</v>
      </c>
      <c r="K46" s="5"/>
      <c r="L46" s="5"/>
      <c r="M46" s="5"/>
    </row>
    <row r="47" spans="1:13" x14ac:dyDescent="0.2">
      <c r="A47" s="1" t="s">
        <v>14</v>
      </c>
      <c r="B47" s="1">
        <v>3</v>
      </c>
      <c r="C47" s="10">
        <v>41548</v>
      </c>
      <c r="D47" s="11">
        <v>3982</v>
      </c>
      <c r="E47" s="11">
        <v>3690.8092356165007</v>
      </c>
      <c r="F47" s="12">
        <v>5611</v>
      </c>
      <c r="G47" s="12">
        <v>5049.9000000000005</v>
      </c>
      <c r="H47" s="12">
        <v>1629</v>
      </c>
      <c r="I47" s="12">
        <v>1359.0907643834998</v>
      </c>
      <c r="K47" s="5"/>
      <c r="L47" s="5"/>
      <c r="M47" s="5"/>
    </row>
    <row r="48" spans="1:13" x14ac:dyDescent="0.2">
      <c r="A48" s="1" t="s">
        <v>14</v>
      </c>
      <c r="B48" s="1">
        <v>3</v>
      </c>
      <c r="C48" s="10">
        <v>41579</v>
      </c>
      <c r="D48" s="11">
        <v>3685</v>
      </c>
      <c r="E48" s="11">
        <v>3305.4242995124996</v>
      </c>
      <c r="F48" s="12">
        <v>5192.5</v>
      </c>
      <c r="G48" s="12">
        <v>4673.25</v>
      </c>
      <c r="H48" s="12">
        <v>1507.5</v>
      </c>
      <c r="I48" s="12">
        <v>1367.8257004875002</v>
      </c>
      <c r="K48" s="5"/>
      <c r="L48" s="5"/>
      <c r="M48" s="5"/>
    </row>
    <row r="49" spans="1:13" x14ac:dyDescent="0.2">
      <c r="A49" s="1" t="s">
        <v>14</v>
      </c>
      <c r="B49" s="1">
        <v>3</v>
      </c>
      <c r="C49" s="10">
        <v>41609</v>
      </c>
      <c r="D49" s="11">
        <v>2690.5</v>
      </c>
      <c r="E49" s="11">
        <v>1990.4323395073745</v>
      </c>
      <c r="F49" s="12">
        <v>4114.75</v>
      </c>
      <c r="G49" s="12">
        <v>3503.2749999999996</v>
      </c>
      <c r="H49" s="12">
        <v>1424.25</v>
      </c>
      <c r="I49" s="12">
        <v>1512.8426604926251</v>
      </c>
      <c r="K49" s="5"/>
      <c r="L49" s="5"/>
      <c r="M49" s="5"/>
    </row>
    <row r="50" spans="1:13" x14ac:dyDescent="0.2">
      <c r="A50" s="1" t="s">
        <v>10</v>
      </c>
      <c r="B50" s="1">
        <v>4</v>
      </c>
      <c r="C50" s="10">
        <v>40909</v>
      </c>
      <c r="D50" s="11">
        <v>2169.75</v>
      </c>
      <c r="E50" s="11">
        <v>1791.1107221461871</v>
      </c>
      <c r="F50" s="12">
        <v>3057.375</v>
      </c>
      <c r="G50" s="12">
        <v>2751.6374999999998</v>
      </c>
      <c r="H50" s="12">
        <v>887.625</v>
      </c>
      <c r="I50" s="12">
        <v>960.52677785381263</v>
      </c>
    </row>
    <row r="51" spans="1:13" x14ac:dyDescent="0.2">
      <c r="A51" s="1" t="s">
        <v>10</v>
      </c>
      <c r="B51" s="1">
        <v>4</v>
      </c>
      <c r="C51" s="10">
        <v>40940</v>
      </c>
      <c r="D51" s="11">
        <v>2310</v>
      </c>
      <c r="E51" s="11">
        <v>1856.9575382400001</v>
      </c>
      <c r="F51" s="12">
        <v>3255</v>
      </c>
      <c r="G51" s="12">
        <v>2929.5</v>
      </c>
      <c r="H51" s="12">
        <v>945</v>
      </c>
      <c r="I51" s="12">
        <v>1072.5424617599999</v>
      </c>
    </row>
    <row r="52" spans="1:13" x14ac:dyDescent="0.2">
      <c r="A52" s="1" t="s">
        <v>10</v>
      </c>
      <c r="B52" s="1">
        <v>4</v>
      </c>
      <c r="C52" s="10">
        <v>40969</v>
      </c>
      <c r="D52" s="11">
        <v>1991</v>
      </c>
      <c r="E52" s="11">
        <v>1845.4046178082504</v>
      </c>
      <c r="F52" s="12">
        <v>2805.5</v>
      </c>
      <c r="G52" s="12">
        <v>2524.9500000000003</v>
      </c>
      <c r="H52" s="12">
        <v>814.5</v>
      </c>
      <c r="I52" s="12">
        <v>679.54538219174992</v>
      </c>
    </row>
    <row r="53" spans="1:13" x14ac:dyDescent="0.2">
      <c r="A53" s="1" t="s">
        <v>10</v>
      </c>
      <c r="B53" s="1">
        <v>4</v>
      </c>
      <c r="C53" s="10">
        <v>41000</v>
      </c>
      <c r="D53" s="11">
        <v>1842.5</v>
      </c>
      <c r="E53" s="11">
        <v>1652.7121497562498</v>
      </c>
      <c r="F53" s="12">
        <v>2596.25</v>
      </c>
      <c r="G53" s="12">
        <v>2336.625</v>
      </c>
      <c r="H53" s="12">
        <v>753.75</v>
      </c>
      <c r="I53" s="12">
        <v>683.91285024375009</v>
      </c>
      <c r="L53" s="4"/>
    </row>
    <row r="54" spans="1:13" x14ac:dyDescent="0.2">
      <c r="A54" s="1" t="s">
        <v>10</v>
      </c>
      <c r="B54" s="1">
        <v>4</v>
      </c>
      <c r="C54" s="10">
        <v>41030</v>
      </c>
      <c r="D54" s="11">
        <v>345.25</v>
      </c>
      <c r="E54" s="11">
        <v>443.57866975368745</v>
      </c>
      <c r="F54" s="12">
        <v>1057.375</v>
      </c>
      <c r="G54" s="12">
        <v>1200</v>
      </c>
      <c r="H54" s="12">
        <v>712.125</v>
      </c>
      <c r="I54" s="12">
        <v>756.42133024631255</v>
      </c>
      <c r="L54" s="4"/>
    </row>
    <row r="55" spans="1:13" x14ac:dyDescent="0.2">
      <c r="A55" s="1" t="s">
        <v>10</v>
      </c>
      <c r="B55" s="1">
        <v>4</v>
      </c>
      <c r="C55" s="10">
        <v>41061</v>
      </c>
      <c r="D55" s="11">
        <v>233.5</v>
      </c>
      <c r="E55" s="11">
        <v>53.973189672999979</v>
      </c>
      <c r="F55" s="12">
        <v>1255</v>
      </c>
      <c r="G55" s="12">
        <v>929.5</v>
      </c>
      <c r="H55" s="12">
        <v>1021.5</v>
      </c>
      <c r="I55" s="12">
        <v>875.52681032700002</v>
      </c>
      <c r="L55" s="4"/>
    </row>
    <row r="56" spans="1:13" x14ac:dyDescent="0.2">
      <c r="A56" s="1" t="s">
        <v>10</v>
      </c>
      <c r="B56" s="1">
        <v>4</v>
      </c>
      <c r="C56" s="10">
        <v>41091</v>
      </c>
      <c r="D56" s="11">
        <v>2195.625</v>
      </c>
      <c r="E56" s="11">
        <v>2033.9752130171873</v>
      </c>
      <c r="F56" s="12">
        <v>3000</v>
      </c>
      <c r="G56" s="12">
        <v>2800</v>
      </c>
      <c r="H56" s="12">
        <v>804.375</v>
      </c>
      <c r="I56" s="12">
        <v>766.02478698281254</v>
      </c>
      <c r="L56" s="4"/>
    </row>
    <row r="57" spans="1:13" x14ac:dyDescent="0.2">
      <c r="A57" s="1" t="s">
        <v>10</v>
      </c>
      <c r="B57" s="1">
        <v>4</v>
      </c>
      <c r="C57" s="10">
        <v>41122</v>
      </c>
      <c r="D57" s="11">
        <v>1765.5</v>
      </c>
      <c r="E57" s="11">
        <v>1443.7437242085002</v>
      </c>
      <c r="F57" s="12">
        <v>2760</v>
      </c>
      <c r="G57" s="12">
        <v>2340</v>
      </c>
      <c r="H57" s="12">
        <v>994.5</v>
      </c>
      <c r="I57" s="12">
        <v>896.25627579149989</v>
      </c>
    </row>
    <row r="58" spans="1:13" x14ac:dyDescent="0.2">
      <c r="A58" s="1" t="s">
        <v>10</v>
      </c>
      <c r="B58" s="1">
        <v>4</v>
      </c>
      <c r="C58" s="10">
        <v>41153</v>
      </c>
      <c r="D58" s="11">
        <v>3037.6499999999996</v>
      </c>
      <c r="E58" s="11">
        <v>2507.555011004662</v>
      </c>
      <c r="F58" s="12">
        <v>4280.3249999999998</v>
      </c>
      <c r="G58" s="12">
        <v>3852.2924999999996</v>
      </c>
      <c r="H58" s="12">
        <v>1242.675</v>
      </c>
      <c r="I58" s="12">
        <v>1344.7374889953376</v>
      </c>
    </row>
    <row r="59" spans="1:13" x14ac:dyDescent="0.2">
      <c r="A59" s="1" t="s">
        <v>10</v>
      </c>
      <c r="B59" s="1">
        <v>4</v>
      </c>
      <c r="C59" s="10">
        <v>41183</v>
      </c>
      <c r="D59" s="11">
        <v>3234</v>
      </c>
      <c r="E59" s="11">
        <v>2599.7405535360003</v>
      </c>
      <c r="F59" s="12">
        <v>4557</v>
      </c>
      <c r="G59" s="12">
        <v>4101.3</v>
      </c>
      <c r="H59" s="12">
        <v>1323</v>
      </c>
      <c r="I59" s="12">
        <v>1501.5594464639998</v>
      </c>
    </row>
    <row r="60" spans="1:13" x14ac:dyDescent="0.2">
      <c r="A60" s="1" t="s">
        <v>10</v>
      </c>
      <c r="B60" s="1">
        <v>4</v>
      </c>
      <c r="C60" s="10">
        <v>41214</v>
      </c>
      <c r="D60" s="11">
        <v>2787.3999999999996</v>
      </c>
      <c r="E60" s="11">
        <v>2583.5664649315504</v>
      </c>
      <c r="F60" s="12">
        <v>3927.7</v>
      </c>
      <c r="G60" s="12">
        <v>3534.9300000000003</v>
      </c>
      <c r="H60" s="12">
        <v>1140.3</v>
      </c>
      <c r="I60" s="12">
        <v>951.36353506844978</v>
      </c>
    </row>
    <row r="61" spans="1:13" x14ac:dyDescent="0.2">
      <c r="A61" s="1" t="s">
        <v>10</v>
      </c>
      <c r="B61" s="1">
        <v>4</v>
      </c>
      <c r="C61" s="10">
        <v>41244</v>
      </c>
      <c r="D61" s="11">
        <v>2579.4999999999995</v>
      </c>
      <c r="E61" s="11">
        <v>2313.7970096587496</v>
      </c>
      <c r="F61" s="12">
        <v>3634.7499999999995</v>
      </c>
      <c r="G61" s="12">
        <v>3271.2749999999996</v>
      </c>
      <c r="H61" s="12">
        <v>1055.25</v>
      </c>
      <c r="I61" s="12">
        <v>957.47799034125001</v>
      </c>
    </row>
    <row r="62" spans="1:13" x14ac:dyDescent="0.2">
      <c r="A62" s="1" t="s">
        <v>10</v>
      </c>
      <c r="B62" s="1">
        <v>4</v>
      </c>
      <c r="C62" s="10">
        <v>41275</v>
      </c>
      <c r="D62" s="11">
        <v>1883.35</v>
      </c>
      <c r="E62" s="11">
        <v>1393.302637655162</v>
      </c>
      <c r="F62" s="12">
        <v>2880.3249999999998</v>
      </c>
      <c r="G62" s="12">
        <v>2452.2924999999996</v>
      </c>
      <c r="H62" s="12">
        <v>996.97499999999991</v>
      </c>
      <c r="I62" s="12">
        <v>1058.9898623448375</v>
      </c>
    </row>
    <row r="63" spans="1:13" x14ac:dyDescent="0.2">
      <c r="A63" s="1" t="s">
        <v>10</v>
      </c>
      <c r="B63" s="1">
        <v>4</v>
      </c>
      <c r="C63" s="10">
        <v>41306</v>
      </c>
      <c r="D63" s="11">
        <v>2813.58</v>
      </c>
      <c r="E63" s="11">
        <v>2254.8280116174747</v>
      </c>
      <c r="F63" s="12">
        <v>3964.5899999999997</v>
      </c>
      <c r="G63" s="12">
        <v>3568.1309999999999</v>
      </c>
      <c r="H63" s="12">
        <v>1151.01</v>
      </c>
      <c r="I63" s="12">
        <v>1313.302988382525</v>
      </c>
    </row>
    <row r="64" spans="1:13" x14ac:dyDescent="0.2">
      <c r="A64" s="1" t="s">
        <v>10</v>
      </c>
      <c r="B64" s="1">
        <v>4</v>
      </c>
      <c r="C64" s="10">
        <v>41334</v>
      </c>
      <c r="D64" s="11">
        <v>3237.7730000000001</v>
      </c>
      <c r="E64" s="11">
        <v>2719.5808500000003</v>
      </c>
      <c r="F64" s="12">
        <v>4562.3164999999999</v>
      </c>
      <c r="G64" s="12">
        <v>4106.0848500000002</v>
      </c>
      <c r="H64" s="12">
        <v>1324.5434999999998</v>
      </c>
      <c r="I64" s="12">
        <v>1386.5039999999997</v>
      </c>
    </row>
    <row r="65" spans="1:13" x14ac:dyDescent="0.2">
      <c r="A65" s="1" t="s">
        <v>10</v>
      </c>
      <c r="B65" s="1">
        <v>4</v>
      </c>
      <c r="C65" s="10">
        <v>41365</v>
      </c>
      <c r="D65" s="11">
        <v>4101.2509999999993</v>
      </c>
      <c r="E65" s="11">
        <v>3581.5594499999993</v>
      </c>
      <c r="F65" s="12">
        <v>5779.035499999999</v>
      </c>
      <c r="G65" s="12">
        <v>5201.1319499999991</v>
      </c>
      <c r="H65" s="12">
        <v>1677.7845</v>
      </c>
      <c r="I65" s="12">
        <v>1619.5724999999998</v>
      </c>
    </row>
    <row r="66" spans="1:13" x14ac:dyDescent="0.2">
      <c r="A66" s="1" t="s">
        <v>10</v>
      </c>
      <c r="B66" s="1">
        <v>4</v>
      </c>
      <c r="C66" s="10">
        <v>41395</v>
      </c>
      <c r="D66" s="11">
        <v>3658.1930000000002</v>
      </c>
      <c r="E66" s="11">
        <v>3068.6323499999994</v>
      </c>
      <c r="F66" s="12">
        <v>5154.7264999999998</v>
      </c>
      <c r="G66" s="12">
        <v>4639.2538499999991</v>
      </c>
      <c r="H66" s="12">
        <v>1496.5334999999998</v>
      </c>
      <c r="I66" s="12">
        <v>1570.6214999999997</v>
      </c>
    </row>
    <row r="67" spans="1:13" x14ac:dyDescent="0.2">
      <c r="A67" s="1" t="s">
        <v>10</v>
      </c>
      <c r="B67" s="1">
        <v>4</v>
      </c>
      <c r="C67" s="10">
        <v>41426</v>
      </c>
      <c r="D67" s="11">
        <v>4240.3129999999992</v>
      </c>
      <c r="E67" s="11">
        <v>3690.0013499999995</v>
      </c>
      <c r="F67" s="12">
        <v>5974.9864999999991</v>
      </c>
      <c r="G67" s="12">
        <v>5377.4878499999995</v>
      </c>
      <c r="H67" s="12">
        <v>1734.6734999999999</v>
      </c>
      <c r="I67" s="12">
        <v>1687.4864999999998</v>
      </c>
    </row>
    <row r="68" spans="1:13" x14ac:dyDescent="0.2">
      <c r="A68" s="1" t="s">
        <v>10</v>
      </c>
      <c r="B68" s="1">
        <v>4</v>
      </c>
      <c r="C68" s="10">
        <v>41456</v>
      </c>
      <c r="D68" s="11">
        <v>4780.9299999999985</v>
      </c>
      <c r="E68" s="11">
        <v>3858.0884999999989</v>
      </c>
      <c r="F68" s="12">
        <v>6736.7649999999985</v>
      </c>
      <c r="G68" s="12">
        <v>6063.0884999999989</v>
      </c>
      <c r="H68" s="12">
        <v>1955.8349999999996</v>
      </c>
      <c r="I68" s="12">
        <v>2205</v>
      </c>
    </row>
    <row r="69" spans="1:13" x14ac:dyDescent="0.2">
      <c r="A69" s="1" t="s">
        <v>10</v>
      </c>
      <c r="B69" s="1">
        <v>4</v>
      </c>
      <c r="C69" s="10">
        <v>41487</v>
      </c>
      <c r="D69" s="11">
        <v>2169.75</v>
      </c>
      <c r="E69" s="11">
        <v>1791.1107221461871</v>
      </c>
      <c r="F69" s="12">
        <v>3057.375</v>
      </c>
      <c r="G69" s="12">
        <v>2751.6374999999998</v>
      </c>
      <c r="H69" s="12">
        <v>887.625</v>
      </c>
      <c r="I69" s="12">
        <v>960.52677785381263</v>
      </c>
    </row>
    <row r="70" spans="1:13" x14ac:dyDescent="0.2">
      <c r="A70" s="1" t="s">
        <v>10</v>
      </c>
      <c r="B70" s="1">
        <v>4</v>
      </c>
      <c r="C70" s="10">
        <v>41518</v>
      </c>
      <c r="D70" s="11">
        <v>2310</v>
      </c>
      <c r="E70" s="11">
        <v>1856.9575382400001</v>
      </c>
      <c r="F70" s="12">
        <v>3255</v>
      </c>
      <c r="G70" s="12">
        <v>2929.5</v>
      </c>
      <c r="H70" s="12">
        <v>945</v>
      </c>
      <c r="I70" s="12">
        <v>1072.5424617599999</v>
      </c>
    </row>
    <row r="71" spans="1:13" x14ac:dyDescent="0.2">
      <c r="A71" s="1" t="s">
        <v>10</v>
      </c>
      <c r="B71" s="1">
        <v>4</v>
      </c>
      <c r="C71" s="10">
        <v>41548</v>
      </c>
      <c r="D71" s="11">
        <v>1991</v>
      </c>
      <c r="E71" s="11">
        <v>1845.4046178082504</v>
      </c>
      <c r="F71" s="12">
        <v>2805.5</v>
      </c>
      <c r="G71" s="12">
        <v>2524.9500000000003</v>
      </c>
      <c r="H71" s="12">
        <v>814.5</v>
      </c>
      <c r="I71" s="12">
        <v>679.54538219174992</v>
      </c>
    </row>
    <row r="72" spans="1:13" x14ac:dyDescent="0.2">
      <c r="A72" s="1" t="s">
        <v>10</v>
      </c>
      <c r="B72" s="1">
        <v>4</v>
      </c>
      <c r="C72" s="10">
        <v>41579</v>
      </c>
      <c r="D72" s="11">
        <v>1842.5</v>
      </c>
      <c r="E72" s="11">
        <v>1652.7121497562498</v>
      </c>
      <c r="F72" s="12">
        <v>2596.25</v>
      </c>
      <c r="G72" s="12">
        <v>2336.625</v>
      </c>
      <c r="H72" s="12">
        <v>753.75</v>
      </c>
      <c r="I72" s="12">
        <v>683.91285024375009</v>
      </c>
    </row>
    <row r="73" spans="1:13" x14ac:dyDescent="0.2">
      <c r="A73" s="1" t="s">
        <v>10</v>
      </c>
      <c r="B73" s="1">
        <v>4</v>
      </c>
      <c r="C73" s="10">
        <v>41609</v>
      </c>
      <c r="D73" s="11">
        <v>345.25</v>
      </c>
      <c r="E73" s="11">
        <v>443.57866975368745</v>
      </c>
      <c r="F73" s="12">
        <v>1057.375</v>
      </c>
      <c r="G73" s="12">
        <v>1200</v>
      </c>
      <c r="H73" s="12">
        <v>712.125</v>
      </c>
      <c r="I73" s="12">
        <v>756.42133024631255</v>
      </c>
    </row>
    <row r="74" spans="1:13" x14ac:dyDescent="0.2">
      <c r="A74" s="1" t="s">
        <v>7</v>
      </c>
      <c r="B74" s="1">
        <v>5</v>
      </c>
      <c r="C74" s="10">
        <v>40909</v>
      </c>
      <c r="D74" s="11">
        <v>1084.875</v>
      </c>
      <c r="E74" s="11">
        <v>895.55536107309354</v>
      </c>
      <c r="F74" s="12">
        <v>1528.6875</v>
      </c>
      <c r="G74" s="12">
        <v>1375.8187499999999</v>
      </c>
      <c r="H74" s="12">
        <v>443.8125</v>
      </c>
      <c r="I74" s="12">
        <v>480.26338892690632</v>
      </c>
    </row>
    <row r="75" spans="1:13" x14ac:dyDescent="0.2">
      <c r="A75" s="1" t="s">
        <v>7</v>
      </c>
      <c r="B75" s="1">
        <v>5</v>
      </c>
      <c r="C75" s="10">
        <v>40940</v>
      </c>
      <c r="D75" s="11">
        <v>1155</v>
      </c>
      <c r="E75" s="11">
        <v>928.47876912000004</v>
      </c>
      <c r="F75" s="12">
        <v>1627.5</v>
      </c>
      <c r="G75" s="12">
        <v>1464.75</v>
      </c>
      <c r="H75" s="12">
        <v>472.5</v>
      </c>
      <c r="I75" s="12">
        <v>536.27123087999996</v>
      </c>
    </row>
    <row r="76" spans="1:13" x14ac:dyDescent="0.2">
      <c r="A76" s="1" t="s">
        <v>7</v>
      </c>
      <c r="B76" s="1">
        <v>5</v>
      </c>
      <c r="C76" s="10">
        <v>40969</v>
      </c>
      <c r="D76" s="11">
        <v>995.5</v>
      </c>
      <c r="E76" s="11">
        <v>922.70230890412518</v>
      </c>
      <c r="F76" s="12">
        <v>1402.75</v>
      </c>
      <c r="G76" s="12">
        <v>1262.4750000000001</v>
      </c>
      <c r="H76" s="12">
        <v>407.25</v>
      </c>
      <c r="I76" s="12">
        <v>339.77269109587496</v>
      </c>
    </row>
    <row r="77" spans="1:13" x14ac:dyDescent="0.2">
      <c r="A77" s="1" t="s">
        <v>7</v>
      </c>
      <c r="B77" s="1">
        <v>5</v>
      </c>
      <c r="C77" s="10">
        <v>41000</v>
      </c>
      <c r="D77" s="11">
        <v>921.25</v>
      </c>
      <c r="E77" s="11">
        <v>826.3560748781249</v>
      </c>
      <c r="F77" s="12">
        <v>1298.125</v>
      </c>
      <c r="G77" s="12">
        <v>1168.3125</v>
      </c>
      <c r="H77" s="12">
        <v>376.875</v>
      </c>
      <c r="I77" s="12">
        <v>341.95642512187504</v>
      </c>
    </row>
    <row r="78" spans="1:13" x14ac:dyDescent="0.2">
      <c r="A78" s="1" t="s">
        <v>7</v>
      </c>
      <c r="B78" s="1">
        <v>5</v>
      </c>
      <c r="C78" s="10">
        <v>41030</v>
      </c>
      <c r="D78" s="11">
        <v>1643.9375</v>
      </c>
      <c r="E78" s="11">
        <v>1821.7893348768437</v>
      </c>
      <c r="F78" s="12">
        <v>2000</v>
      </c>
      <c r="G78" s="12">
        <v>2200</v>
      </c>
      <c r="H78" s="12">
        <v>356.0625</v>
      </c>
      <c r="I78" s="12">
        <v>378.21066512315628</v>
      </c>
      <c r="L78" s="4"/>
      <c r="M78" s="3">
        <f>L78*2</f>
        <v>0</v>
      </c>
    </row>
    <row r="79" spans="1:13" x14ac:dyDescent="0.2">
      <c r="A79" s="1" t="s">
        <v>7</v>
      </c>
      <c r="B79" s="1">
        <v>5</v>
      </c>
      <c r="C79" s="10">
        <v>41061</v>
      </c>
      <c r="D79" s="11">
        <v>812.25</v>
      </c>
      <c r="E79" s="11">
        <v>1106.2365948365</v>
      </c>
      <c r="F79" s="12">
        <v>1323</v>
      </c>
      <c r="G79" s="12">
        <v>1544</v>
      </c>
      <c r="H79" s="12">
        <v>510.75</v>
      </c>
      <c r="I79" s="12">
        <v>437.76340516350001</v>
      </c>
      <c r="L79" s="4"/>
      <c r="M79" s="3">
        <f>L79*2</f>
        <v>0</v>
      </c>
    </row>
    <row r="80" spans="1:13" x14ac:dyDescent="0.2">
      <c r="A80" s="1" t="s">
        <v>7</v>
      </c>
      <c r="B80" s="1">
        <v>5</v>
      </c>
      <c r="C80" s="10">
        <v>41091</v>
      </c>
      <c r="D80" s="11">
        <v>2597.8125</v>
      </c>
      <c r="E80" s="11">
        <v>2416.9876065085937</v>
      </c>
      <c r="F80" s="12">
        <v>3000</v>
      </c>
      <c r="G80" s="12">
        <v>2800</v>
      </c>
      <c r="H80" s="12">
        <v>402.1875</v>
      </c>
      <c r="I80" s="12">
        <v>383.01239349140627</v>
      </c>
      <c r="L80" s="4"/>
      <c r="M80" s="3">
        <f>L80*2</f>
        <v>0</v>
      </c>
    </row>
    <row r="81" spans="1:13" x14ac:dyDescent="0.2">
      <c r="A81" s="1" t="s">
        <v>7</v>
      </c>
      <c r="B81" s="1">
        <v>5</v>
      </c>
      <c r="C81" s="10">
        <v>41122</v>
      </c>
      <c r="D81" s="11">
        <v>2262.75</v>
      </c>
      <c r="E81" s="11">
        <v>1891.8718621042501</v>
      </c>
      <c r="F81" s="12">
        <v>2760</v>
      </c>
      <c r="G81" s="12">
        <v>2340</v>
      </c>
      <c r="H81" s="12">
        <v>497.25</v>
      </c>
      <c r="I81" s="12">
        <v>448.12813789574994</v>
      </c>
      <c r="L81" s="4"/>
      <c r="M81" s="3">
        <f>L81*2</f>
        <v>0</v>
      </c>
    </row>
    <row r="82" spans="1:13" x14ac:dyDescent="0.2">
      <c r="A82" s="1" t="s">
        <v>7</v>
      </c>
      <c r="B82" s="1">
        <v>5</v>
      </c>
      <c r="C82" s="10">
        <v>41153</v>
      </c>
      <c r="D82" s="11">
        <v>1518.8249999999998</v>
      </c>
      <c r="E82" s="11">
        <v>1253.777505502331</v>
      </c>
      <c r="F82" s="12">
        <v>2140.1624999999999</v>
      </c>
      <c r="G82" s="12">
        <v>1926.1462499999998</v>
      </c>
      <c r="H82" s="12">
        <v>621.33749999999998</v>
      </c>
      <c r="I82" s="12">
        <v>672.36874449766879</v>
      </c>
    </row>
    <row r="83" spans="1:13" x14ac:dyDescent="0.2">
      <c r="A83" s="1" t="s">
        <v>7</v>
      </c>
      <c r="B83" s="1">
        <v>5</v>
      </c>
      <c r="C83" s="10">
        <v>41183</v>
      </c>
      <c r="D83" s="11">
        <v>1617</v>
      </c>
      <c r="E83" s="11">
        <v>1299.8702767680002</v>
      </c>
      <c r="F83" s="12">
        <v>2278.5</v>
      </c>
      <c r="G83" s="12">
        <v>2050.65</v>
      </c>
      <c r="H83" s="12">
        <v>661.5</v>
      </c>
      <c r="I83" s="12">
        <v>750.77972323199992</v>
      </c>
    </row>
    <row r="84" spans="1:13" x14ac:dyDescent="0.2">
      <c r="A84" s="1" t="s">
        <v>7</v>
      </c>
      <c r="B84" s="1">
        <v>5</v>
      </c>
      <c r="C84" s="10">
        <v>41214</v>
      </c>
      <c r="D84" s="11">
        <v>1393.6999999999998</v>
      </c>
      <c r="E84" s="11">
        <v>1291.7832324657752</v>
      </c>
      <c r="F84" s="12">
        <v>1963.85</v>
      </c>
      <c r="G84" s="12">
        <v>1767.4650000000001</v>
      </c>
      <c r="H84" s="12">
        <v>570.15</v>
      </c>
      <c r="I84" s="12">
        <v>475.68176753422489</v>
      </c>
    </row>
    <row r="85" spans="1:13" x14ac:dyDescent="0.2">
      <c r="A85" s="1" t="s">
        <v>7</v>
      </c>
      <c r="B85" s="1">
        <v>5</v>
      </c>
      <c r="C85" s="10">
        <v>41244</v>
      </c>
      <c r="D85" s="11">
        <v>1289.7499999999998</v>
      </c>
      <c r="E85" s="11">
        <v>1156.8985048293748</v>
      </c>
      <c r="F85" s="12">
        <v>1817.3749999999998</v>
      </c>
      <c r="G85" s="12">
        <v>1635.6374999999998</v>
      </c>
      <c r="H85" s="12">
        <v>527.625</v>
      </c>
      <c r="I85" s="12">
        <v>478.738995170625</v>
      </c>
    </row>
    <row r="86" spans="1:13" x14ac:dyDescent="0.2">
      <c r="A86" s="1" t="s">
        <v>7</v>
      </c>
      <c r="B86" s="1">
        <v>5</v>
      </c>
      <c r="C86" s="10">
        <v>41275</v>
      </c>
      <c r="D86" s="11">
        <v>1290.5125</v>
      </c>
      <c r="E86" s="11">
        <v>1337.5050688275812</v>
      </c>
      <c r="F86" s="12">
        <v>1789</v>
      </c>
      <c r="G86" s="12">
        <v>1867</v>
      </c>
      <c r="H86" s="12">
        <v>498.48749999999995</v>
      </c>
      <c r="I86" s="12">
        <v>529.49493117241877</v>
      </c>
    </row>
    <row r="87" spans="1:13" x14ac:dyDescent="0.2">
      <c r="A87" s="1" t="s">
        <v>7</v>
      </c>
      <c r="B87" s="1">
        <v>5</v>
      </c>
      <c r="C87" s="10">
        <v>41306</v>
      </c>
      <c r="D87" s="11">
        <v>718.12750000000005</v>
      </c>
      <c r="E87" s="11">
        <v>5121.7722577032628</v>
      </c>
      <c r="F87" s="12">
        <v>1588</v>
      </c>
      <c r="G87" s="12">
        <v>6063.0884999999989</v>
      </c>
      <c r="H87" s="12">
        <v>869.87249999999995</v>
      </c>
      <c r="I87" s="12">
        <v>941.31624229673628</v>
      </c>
    </row>
    <row r="88" spans="1:13" x14ac:dyDescent="0.2">
      <c r="A88" s="1" t="s">
        <v>7</v>
      </c>
      <c r="B88" s="1">
        <v>5</v>
      </c>
      <c r="C88" s="10">
        <v>41334</v>
      </c>
      <c r="D88" s="11">
        <v>1317.9</v>
      </c>
      <c r="E88" s="11">
        <v>1814.9083874752002</v>
      </c>
      <c r="F88" s="12">
        <v>2244</v>
      </c>
      <c r="G88" s="12">
        <v>2866</v>
      </c>
      <c r="H88" s="12">
        <v>926.09999999999991</v>
      </c>
      <c r="I88" s="12">
        <v>1051.0916125247998</v>
      </c>
    </row>
    <row r="89" spans="1:13" x14ac:dyDescent="0.2">
      <c r="A89" s="1" t="s">
        <v>7</v>
      </c>
      <c r="B89" s="1">
        <v>5</v>
      </c>
      <c r="C89" s="10">
        <v>41365</v>
      </c>
      <c r="D89" s="11">
        <v>1335.79</v>
      </c>
      <c r="E89" s="11">
        <v>1467.0455254520853</v>
      </c>
      <c r="F89" s="12">
        <v>2134</v>
      </c>
      <c r="G89" s="12">
        <v>2133</v>
      </c>
      <c r="H89" s="12">
        <v>798.20999999999992</v>
      </c>
      <c r="I89" s="12">
        <v>665.95447454791486</v>
      </c>
    </row>
    <row r="90" spans="1:13" x14ac:dyDescent="0.2">
      <c r="A90" s="1" t="s">
        <v>7</v>
      </c>
      <c r="B90" s="1">
        <v>5</v>
      </c>
      <c r="C90" s="10">
        <v>41395</v>
      </c>
      <c r="D90" s="11">
        <v>1138.325</v>
      </c>
      <c r="E90" s="11">
        <v>1528.7654067611252</v>
      </c>
      <c r="F90" s="12">
        <v>1877</v>
      </c>
      <c r="G90" s="12">
        <v>2199</v>
      </c>
      <c r="H90" s="12">
        <v>738.67499999999995</v>
      </c>
      <c r="I90" s="12">
        <v>670.23459323887494</v>
      </c>
    </row>
    <row r="91" spans="1:13" x14ac:dyDescent="0.2">
      <c r="A91" s="1" t="s">
        <v>7</v>
      </c>
      <c r="B91" s="1">
        <v>5</v>
      </c>
      <c r="C91" s="10">
        <v>41426</v>
      </c>
      <c r="D91" s="11">
        <v>1318.3449999999998</v>
      </c>
      <c r="E91" s="11">
        <v>975.31184635861325</v>
      </c>
      <c r="F91" s="12">
        <v>2016.2274999999997</v>
      </c>
      <c r="G91" s="12">
        <v>1716.6047499999995</v>
      </c>
      <c r="H91" s="12">
        <v>697.88249999999994</v>
      </c>
      <c r="I91" s="12">
        <v>741.29290364138626</v>
      </c>
    </row>
    <row r="92" spans="1:13" x14ac:dyDescent="0.2">
      <c r="A92" s="1" t="s">
        <v>7</v>
      </c>
      <c r="B92" s="1">
        <v>5</v>
      </c>
      <c r="C92" s="10">
        <v>41456</v>
      </c>
      <c r="D92" s="11">
        <v>1969.5059999999999</v>
      </c>
      <c r="E92" s="11">
        <v>1578.3796081322325</v>
      </c>
      <c r="F92" s="12">
        <v>2775.2129999999997</v>
      </c>
      <c r="G92" s="12">
        <v>2497.6916999999999</v>
      </c>
      <c r="H92" s="12">
        <v>805.70699999999999</v>
      </c>
      <c r="I92" s="12">
        <v>919.31209186776744</v>
      </c>
    </row>
    <row r="93" spans="1:13" x14ac:dyDescent="0.2">
      <c r="A93" s="1" t="s">
        <v>7</v>
      </c>
      <c r="B93" s="1">
        <v>5</v>
      </c>
      <c r="C93" s="10">
        <v>41487</v>
      </c>
      <c r="D93" s="11">
        <v>1084.875</v>
      </c>
      <c r="E93" s="11">
        <v>895.55536107309354</v>
      </c>
      <c r="F93" s="12">
        <v>1528.6875</v>
      </c>
      <c r="G93" s="12">
        <v>1375.8187499999999</v>
      </c>
      <c r="H93" s="12">
        <v>443.8125</v>
      </c>
      <c r="I93" s="12">
        <v>480.26338892690632</v>
      </c>
    </row>
    <row r="94" spans="1:13" x14ac:dyDescent="0.2">
      <c r="A94" s="1" t="s">
        <v>7</v>
      </c>
      <c r="B94" s="1">
        <v>5</v>
      </c>
      <c r="C94" s="10">
        <v>41518</v>
      </c>
      <c r="D94" s="11">
        <v>1155</v>
      </c>
      <c r="E94" s="11">
        <v>928.47876912000004</v>
      </c>
      <c r="F94" s="12">
        <v>1627.5</v>
      </c>
      <c r="G94" s="12">
        <v>1464.75</v>
      </c>
      <c r="H94" s="12">
        <v>472.5</v>
      </c>
      <c r="I94" s="12">
        <v>536.27123087999996</v>
      </c>
    </row>
    <row r="95" spans="1:13" x14ac:dyDescent="0.2">
      <c r="A95" s="1" t="s">
        <v>7</v>
      </c>
      <c r="B95" s="1">
        <v>5</v>
      </c>
      <c r="C95" s="10">
        <v>41548</v>
      </c>
      <c r="D95" s="11">
        <v>995.5</v>
      </c>
      <c r="E95" s="11">
        <v>922.70230890412518</v>
      </c>
      <c r="F95" s="12">
        <v>1402.75</v>
      </c>
      <c r="G95" s="12">
        <v>1262.4750000000001</v>
      </c>
      <c r="H95" s="12">
        <v>407.25</v>
      </c>
      <c r="I95" s="12">
        <v>339.77269109587496</v>
      </c>
    </row>
    <row r="96" spans="1:13" x14ac:dyDescent="0.2">
      <c r="A96" s="1" t="s">
        <v>7</v>
      </c>
      <c r="B96" s="1">
        <v>5</v>
      </c>
      <c r="C96" s="10">
        <v>41579</v>
      </c>
      <c r="D96" s="11">
        <v>921.25</v>
      </c>
      <c r="E96" s="11">
        <v>826.3560748781249</v>
      </c>
      <c r="F96" s="12">
        <v>1298.125</v>
      </c>
      <c r="G96" s="12">
        <v>1168.3125</v>
      </c>
      <c r="H96" s="12">
        <v>376.875</v>
      </c>
      <c r="I96" s="12">
        <v>341.95642512187504</v>
      </c>
    </row>
    <row r="97" spans="1:9" x14ac:dyDescent="0.2">
      <c r="A97" s="1" t="s">
        <v>7</v>
      </c>
      <c r="B97" s="1">
        <v>5</v>
      </c>
      <c r="C97" s="10">
        <v>41609</v>
      </c>
      <c r="D97" s="11">
        <v>1643.9375</v>
      </c>
      <c r="E97" s="11">
        <v>1821.7893348768437</v>
      </c>
      <c r="F97" s="12">
        <v>2000</v>
      </c>
      <c r="G97" s="12">
        <v>2200</v>
      </c>
      <c r="H97" s="12">
        <v>356.0625</v>
      </c>
      <c r="I97" s="12">
        <v>378.21066512315628</v>
      </c>
    </row>
    <row r="98" spans="1:9" x14ac:dyDescent="0.2">
      <c r="A98" s="1" t="s">
        <v>22</v>
      </c>
      <c r="B98" s="1">
        <v>1</v>
      </c>
      <c r="C98" s="10">
        <v>40909</v>
      </c>
      <c r="D98" s="13">
        <f t="shared" ref="D98:I99" si="0">SUMIF($C$2:$C$97,$C98,D$2:D$97)</f>
        <v>16273.125</v>
      </c>
      <c r="E98" s="13">
        <f t="shared" si="0"/>
        <v>13433.330416096403</v>
      </c>
      <c r="F98" s="13">
        <f t="shared" si="0"/>
        <v>22930.3125</v>
      </c>
      <c r="G98" s="13">
        <f t="shared" si="0"/>
        <v>20637.281249999996</v>
      </c>
      <c r="H98" s="13">
        <f t="shared" si="0"/>
        <v>6657.1875</v>
      </c>
      <c r="I98" s="13">
        <f t="shared" si="0"/>
        <v>7203.9508339035947</v>
      </c>
    </row>
    <row r="99" spans="1:9" x14ac:dyDescent="0.2">
      <c r="A99" s="1" t="s">
        <v>22</v>
      </c>
      <c r="B99" s="1">
        <v>1</v>
      </c>
      <c r="C99" s="10">
        <v>40940</v>
      </c>
      <c r="D99" s="13">
        <f t="shared" si="0"/>
        <v>17325</v>
      </c>
      <c r="E99" s="13">
        <f t="shared" si="0"/>
        <v>13927.181536800001</v>
      </c>
      <c r="F99" s="13">
        <f t="shared" si="0"/>
        <v>24412.5</v>
      </c>
      <c r="G99" s="13">
        <f t="shared" si="0"/>
        <v>21971.25</v>
      </c>
      <c r="H99" s="13">
        <f t="shared" si="0"/>
        <v>7087.5</v>
      </c>
      <c r="I99" s="13">
        <f t="shared" si="0"/>
        <v>8044.0684631999993</v>
      </c>
    </row>
    <row r="100" spans="1:9" x14ac:dyDescent="0.2">
      <c r="A100" s="1" t="s">
        <v>22</v>
      </c>
      <c r="B100" s="1">
        <v>1</v>
      </c>
      <c r="C100" s="10">
        <v>40969</v>
      </c>
      <c r="D100" s="13">
        <f t="shared" ref="D100:I121" si="1">SUMIF($C$2:$C$97,$C100,D$2:D$97)</f>
        <v>14932.5</v>
      </c>
      <c r="E100" s="13">
        <f t="shared" si="1"/>
        <v>13840.534633561878</v>
      </c>
      <c r="F100" s="13">
        <f t="shared" si="1"/>
        <v>21041.25</v>
      </c>
      <c r="G100" s="13">
        <f t="shared" si="1"/>
        <v>18937.125</v>
      </c>
      <c r="H100" s="13">
        <f t="shared" si="1"/>
        <v>6108.75</v>
      </c>
      <c r="I100" s="13">
        <f t="shared" si="1"/>
        <v>5096.590366438124</v>
      </c>
    </row>
    <row r="101" spans="1:9" x14ac:dyDescent="0.2">
      <c r="A101" s="1" t="s">
        <v>22</v>
      </c>
      <c r="B101" s="1">
        <v>1</v>
      </c>
      <c r="C101" s="10">
        <v>41000</v>
      </c>
      <c r="D101" s="13">
        <f t="shared" si="1"/>
        <v>13818.75</v>
      </c>
      <c r="E101" s="13">
        <f t="shared" si="1"/>
        <v>12395.341123171875</v>
      </c>
      <c r="F101" s="13">
        <f t="shared" si="1"/>
        <v>19471.875</v>
      </c>
      <c r="G101" s="13">
        <f t="shared" si="1"/>
        <v>17524.6875</v>
      </c>
      <c r="H101" s="13">
        <f t="shared" si="1"/>
        <v>5653.125</v>
      </c>
      <c r="I101" s="13">
        <f t="shared" si="1"/>
        <v>5129.3463768281254</v>
      </c>
    </row>
    <row r="102" spans="1:9" x14ac:dyDescent="0.2">
      <c r="A102" s="1" t="s">
        <v>22</v>
      </c>
      <c r="B102" s="1">
        <v>1</v>
      </c>
      <c r="C102" s="10">
        <v>41030</v>
      </c>
      <c r="D102" s="13">
        <f t="shared" si="1"/>
        <v>11642.6875</v>
      </c>
      <c r="E102" s="13">
        <f t="shared" si="1"/>
        <v>10060.465023152654</v>
      </c>
      <c r="F102" s="13">
        <f t="shared" si="1"/>
        <v>16983.625</v>
      </c>
      <c r="G102" s="13">
        <f t="shared" si="1"/>
        <v>15733.625</v>
      </c>
      <c r="H102" s="13">
        <f t="shared" si="1"/>
        <v>5340.9375</v>
      </c>
      <c r="I102" s="13">
        <f t="shared" si="1"/>
        <v>5673.1599768473434</v>
      </c>
    </row>
    <row r="103" spans="1:9" x14ac:dyDescent="0.2">
      <c r="A103" s="1" t="s">
        <v>22</v>
      </c>
      <c r="B103" s="1">
        <v>1</v>
      </c>
      <c r="C103" s="10">
        <v>41061</v>
      </c>
      <c r="D103" s="13">
        <f t="shared" si="1"/>
        <v>13500.75</v>
      </c>
      <c r="E103" s="13">
        <f t="shared" si="1"/>
        <v>12432.648922547502</v>
      </c>
      <c r="F103" s="13">
        <f t="shared" si="1"/>
        <v>21162</v>
      </c>
      <c r="G103" s="13">
        <f t="shared" si="1"/>
        <v>18999.099999999999</v>
      </c>
      <c r="H103" s="13">
        <f t="shared" si="1"/>
        <v>7661.25</v>
      </c>
      <c r="I103" s="13">
        <f t="shared" si="1"/>
        <v>6566.4510774525006</v>
      </c>
    </row>
    <row r="104" spans="1:9" x14ac:dyDescent="0.2">
      <c r="A104" s="1" t="s">
        <v>22</v>
      </c>
      <c r="B104" s="1">
        <v>1</v>
      </c>
      <c r="C104" s="10">
        <v>41091</v>
      </c>
      <c r="D104" s="13">
        <f t="shared" si="1"/>
        <v>14660.6875</v>
      </c>
      <c r="E104" s="13">
        <f t="shared" si="1"/>
        <v>12878.964097628907</v>
      </c>
      <c r="F104" s="13">
        <f t="shared" si="1"/>
        <v>20693.5</v>
      </c>
      <c r="G104" s="13">
        <f t="shared" si="1"/>
        <v>18624.150000000001</v>
      </c>
      <c r="H104" s="13">
        <f t="shared" si="1"/>
        <v>6032.8125</v>
      </c>
      <c r="I104" s="13">
        <f t="shared" si="1"/>
        <v>5745.185902371094</v>
      </c>
    </row>
    <row r="105" spans="1:9" x14ac:dyDescent="0.2">
      <c r="A105" s="1" t="s">
        <v>22</v>
      </c>
      <c r="B105" s="1">
        <v>1</v>
      </c>
      <c r="C105" s="10">
        <v>41122</v>
      </c>
      <c r="D105" s="13">
        <f t="shared" si="1"/>
        <v>14955.75</v>
      </c>
      <c r="E105" s="13">
        <f t="shared" si="1"/>
        <v>12963.127931563751</v>
      </c>
      <c r="F105" s="13">
        <f t="shared" si="1"/>
        <v>22414.5</v>
      </c>
      <c r="G105" s="13">
        <f t="shared" si="1"/>
        <v>19685.050000000003</v>
      </c>
      <c r="H105" s="13">
        <f t="shared" si="1"/>
        <v>7458.75</v>
      </c>
      <c r="I105" s="13">
        <f t="shared" si="1"/>
        <v>6721.9220684362499</v>
      </c>
    </row>
    <row r="106" spans="1:9" x14ac:dyDescent="0.2">
      <c r="A106" s="1" t="s">
        <v>22</v>
      </c>
      <c r="B106" s="1">
        <v>1</v>
      </c>
      <c r="C106" s="10">
        <v>41153</v>
      </c>
      <c r="D106" s="13">
        <f t="shared" si="1"/>
        <v>18332.875</v>
      </c>
      <c r="E106" s="13">
        <f t="shared" si="1"/>
        <v>14856.165390246242</v>
      </c>
      <c r="F106" s="13">
        <f t="shared" si="1"/>
        <v>25832.6875</v>
      </c>
      <c r="G106" s="13">
        <f t="shared" si="1"/>
        <v>23249.418749999997</v>
      </c>
      <c r="H106" s="13">
        <f t="shared" si="1"/>
        <v>7499.8125</v>
      </c>
      <c r="I106" s="13">
        <f t="shared" si="1"/>
        <v>8393.2533597537567</v>
      </c>
    </row>
    <row r="107" spans="1:9" x14ac:dyDescent="0.2">
      <c r="A107" s="1" t="s">
        <v>22</v>
      </c>
      <c r="B107" s="1">
        <v>1</v>
      </c>
      <c r="C107" s="10">
        <v>41183</v>
      </c>
      <c r="D107" s="13">
        <f t="shared" si="1"/>
        <v>15812.39</v>
      </c>
      <c r="E107" s="13">
        <f t="shared" si="1"/>
        <v>13400.964134207999</v>
      </c>
      <c r="F107" s="13">
        <f t="shared" si="1"/>
        <v>22281.095000000001</v>
      </c>
      <c r="G107" s="13">
        <f t="shared" si="1"/>
        <v>20052.985500000003</v>
      </c>
      <c r="H107" s="13">
        <f t="shared" si="1"/>
        <v>6468.7049999999999</v>
      </c>
      <c r="I107" s="13">
        <f t="shared" si="1"/>
        <v>6652.0213657919994</v>
      </c>
    </row>
    <row r="108" spans="1:9" x14ac:dyDescent="0.2">
      <c r="A108" s="1" t="s">
        <v>22</v>
      </c>
      <c r="B108" s="1">
        <v>1</v>
      </c>
      <c r="C108" s="10">
        <v>41214</v>
      </c>
      <c r="D108" s="13">
        <f t="shared" si="1"/>
        <v>18147.030000000002</v>
      </c>
      <c r="E108" s="13">
        <f t="shared" si="1"/>
        <v>15112.727113330577</v>
      </c>
      <c r="F108" s="13">
        <f t="shared" si="1"/>
        <v>25570.814999999999</v>
      </c>
      <c r="G108" s="13">
        <f t="shared" si="1"/>
        <v>23013.733499999998</v>
      </c>
      <c r="H108" s="13">
        <f t="shared" si="1"/>
        <v>7423.7849999999999</v>
      </c>
      <c r="I108" s="13">
        <f t="shared" si="1"/>
        <v>7901.0063866694245</v>
      </c>
    </row>
    <row r="109" spans="1:9" x14ac:dyDescent="0.2">
      <c r="A109" s="1" t="s">
        <v>22</v>
      </c>
      <c r="B109" s="1">
        <v>1</v>
      </c>
      <c r="C109" s="10">
        <v>41244</v>
      </c>
      <c r="D109" s="13">
        <f t="shared" si="1"/>
        <v>18764.239999999998</v>
      </c>
      <c r="E109" s="13">
        <f t="shared" si="1"/>
        <v>16118.274411770622</v>
      </c>
      <c r="F109" s="13">
        <f t="shared" si="1"/>
        <v>26440.52</v>
      </c>
      <c r="G109" s="13">
        <f t="shared" si="1"/>
        <v>23796.468000000004</v>
      </c>
      <c r="H109" s="13">
        <f t="shared" si="1"/>
        <v>7676.28</v>
      </c>
      <c r="I109" s="13">
        <f t="shared" si="1"/>
        <v>7678.1935882293765</v>
      </c>
    </row>
    <row r="110" spans="1:9" x14ac:dyDescent="0.2">
      <c r="A110" s="1" t="s">
        <v>22</v>
      </c>
      <c r="B110" s="1">
        <v>1</v>
      </c>
      <c r="C110" s="10">
        <v>41275</v>
      </c>
      <c r="D110" s="13">
        <f t="shared" si="1"/>
        <v>14973.452500000001</v>
      </c>
      <c r="E110" s="13">
        <f t="shared" si="1"/>
        <v>12603.928026110243</v>
      </c>
      <c r="F110" s="13">
        <f t="shared" si="1"/>
        <v>21296.02</v>
      </c>
      <c r="G110" s="13">
        <f t="shared" si="1"/>
        <v>19283.317999999999</v>
      </c>
      <c r="H110" s="13">
        <f t="shared" si="1"/>
        <v>6322.5675000000001</v>
      </c>
      <c r="I110" s="13">
        <f t="shared" si="1"/>
        <v>6679.3899738897553</v>
      </c>
    </row>
    <row r="111" spans="1:9" x14ac:dyDescent="0.2">
      <c r="A111" s="1" t="s">
        <v>22</v>
      </c>
      <c r="B111" s="1">
        <v>1</v>
      </c>
      <c r="C111" s="10">
        <v>41306</v>
      </c>
      <c r="D111" s="13">
        <f t="shared" si="1"/>
        <v>18281.607499999998</v>
      </c>
      <c r="E111" s="13">
        <f t="shared" si="1"/>
        <v>19552.589450520736</v>
      </c>
      <c r="F111" s="13">
        <f t="shared" si="1"/>
        <v>26336.539999999997</v>
      </c>
      <c r="G111" s="13">
        <f t="shared" si="1"/>
        <v>28336.7745</v>
      </c>
      <c r="H111" s="13">
        <f t="shared" si="1"/>
        <v>8054.932499999999</v>
      </c>
      <c r="I111" s="13">
        <f t="shared" si="1"/>
        <v>8784.1850494792616</v>
      </c>
    </row>
    <row r="112" spans="1:9" x14ac:dyDescent="0.2">
      <c r="A112" s="1" t="s">
        <v>22</v>
      </c>
      <c r="B112" s="1">
        <v>1</v>
      </c>
      <c r="C112" s="10">
        <v>41334</v>
      </c>
      <c r="D112" s="13">
        <f t="shared" si="1"/>
        <v>16360.873000000001</v>
      </c>
      <c r="E112" s="13">
        <f t="shared" si="1"/>
        <v>15076.704299232999</v>
      </c>
      <c r="F112" s="13">
        <f t="shared" si="1"/>
        <v>23440.916499999999</v>
      </c>
      <c r="G112" s="13">
        <f t="shared" si="1"/>
        <v>21943.224849999999</v>
      </c>
      <c r="H112" s="13">
        <f t="shared" si="1"/>
        <v>7080.0434999999998</v>
      </c>
      <c r="I112" s="13">
        <f t="shared" si="1"/>
        <v>6866.5205507669998</v>
      </c>
    </row>
    <row r="113" spans="1:9" x14ac:dyDescent="0.2">
      <c r="A113" s="1" t="s">
        <v>22</v>
      </c>
      <c r="B113" s="1">
        <v>1</v>
      </c>
      <c r="C113" s="10">
        <v>41365</v>
      </c>
      <c r="D113" s="13">
        <f t="shared" si="1"/>
        <v>18074.940999999999</v>
      </c>
      <c r="E113" s="13">
        <f t="shared" si="1"/>
        <v>15137.874395620109</v>
      </c>
      <c r="F113" s="13">
        <f t="shared" si="1"/>
        <v>25720.985499999999</v>
      </c>
      <c r="G113" s="13">
        <f t="shared" si="1"/>
        <v>23361.286949999998</v>
      </c>
      <c r="H113" s="13">
        <f t="shared" si="1"/>
        <v>7646.0444999999991</v>
      </c>
      <c r="I113" s="13">
        <f t="shared" si="1"/>
        <v>8223.4125543798891</v>
      </c>
    </row>
    <row r="114" spans="1:9" x14ac:dyDescent="0.2">
      <c r="A114" s="1" t="s">
        <v>22</v>
      </c>
      <c r="B114" s="1">
        <v>1</v>
      </c>
      <c r="C114" s="10">
        <v>41395</v>
      </c>
      <c r="D114" s="13">
        <f t="shared" si="1"/>
        <v>20243.817999999999</v>
      </c>
      <c r="E114" s="13">
        <f t="shared" si="1"/>
        <v>17546.513523443624</v>
      </c>
      <c r="F114" s="13">
        <f t="shared" si="1"/>
        <v>28798.376500000002</v>
      </c>
      <c r="G114" s="13">
        <f t="shared" si="1"/>
        <v>26428.238850000002</v>
      </c>
      <c r="H114" s="13">
        <f t="shared" si="1"/>
        <v>8554.5584999999992</v>
      </c>
      <c r="I114" s="13">
        <f t="shared" si="1"/>
        <v>8881.7253265563741</v>
      </c>
    </row>
    <row r="115" spans="1:9" x14ac:dyDescent="0.2">
      <c r="A115" s="1" t="s">
        <v>22</v>
      </c>
      <c r="B115" s="1">
        <v>1</v>
      </c>
      <c r="C115" s="10">
        <v>41426</v>
      </c>
      <c r="D115" s="13">
        <f t="shared" si="1"/>
        <v>18818.058000000001</v>
      </c>
      <c r="E115" s="13">
        <f t="shared" si="1"/>
        <v>15314.32622305786</v>
      </c>
      <c r="F115" s="13">
        <f t="shared" si="1"/>
        <v>26674.914000000001</v>
      </c>
      <c r="G115" s="13">
        <f t="shared" si="1"/>
        <v>23909.422599999998</v>
      </c>
      <c r="H115" s="13">
        <f t="shared" si="1"/>
        <v>7856.8559999999998</v>
      </c>
      <c r="I115" s="13">
        <f t="shared" si="1"/>
        <v>8595.096376942136</v>
      </c>
    </row>
    <row r="116" spans="1:9" x14ac:dyDescent="0.2">
      <c r="A116" s="1" t="s">
        <v>22</v>
      </c>
      <c r="B116" s="1">
        <v>1</v>
      </c>
      <c r="C116" s="10">
        <v>41456</v>
      </c>
      <c r="D116" s="13">
        <f t="shared" si="1"/>
        <v>22282.436000000002</v>
      </c>
      <c r="E116" s="13">
        <f t="shared" si="1"/>
        <v>19266.064793664231</v>
      </c>
      <c r="F116" s="13">
        <f t="shared" si="1"/>
        <v>31397.977999999999</v>
      </c>
      <c r="G116" s="13">
        <f t="shared" si="1"/>
        <v>28258.180199999999</v>
      </c>
      <c r="H116" s="13">
        <f t="shared" si="1"/>
        <v>9115.5419999999995</v>
      </c>
      <c r="I116" s="13">
        <f t="shared" si="1"/>
        <v>8992.1154063357662</v>
      </c>
    </row>
    <row r="117" spans="1:9" x14ac:dyDescent="0.2">
      <c r="A117" s="1" t="s">
        <v>22</v>
      </c>
      <c r="B117" s="1">
        <v>1</v>
      </c>
      <c r="C117" s="10">
        <v>41487</v>
      </c>
      <c r="D117" s="13">
        <f t="shared" si="1"/>
        <v>13336.125</v>
      </c>
      <c r="E117" s="13">
        <f t="shared" si="1"/>
        <v>10870.577347139155</v>
      </c>
      <c r="F117" s="13">
        <f t="shared" si="1"/>
        <v>18791.8125</v>
      </c>
      <c r="G117" s="13">
        <f t="shared" si="1"/>
        <v>16912.631249999999</v>
      </c>
      <c r="H117" s="13">
        <f t="shared" si="1"/>
        <v>5455.6875</v>
      </c>
      <c r="I117" s="13">
        <f t="shared" si="1"/>
        <v>6042.0539028608446</v>
      </c>
    </row>
    <row r="118" spans="1:9" x14ac:dyDescent="0.2">
      <c r="A118" s="1" t="s">
        <v>22</v>
      </c>
      <c r="B118" s="1">
        <v>1</v>
      </c>
      <c r="C118" s="10">
        <v>41518</v>
      </c>
      <c r="D118" s="13">
        <f t="shared" si="1"/>
        <v>14692.7</v>
      </c>
      <c r="E118" s="13">
        <f t="shared" si="1"/>
        <v>12049.51638384</v>
      </c>
      <c r="F118" s="13">
        <f t="shared" si="1"/>
        <v>20703.349999999999</v>
      </c>
      <c r="G118" s="13">
        <f t="shared" si="1"/>
        <v>18633.014999999999</v>
      </c>
      <c r="H118" s="13">
        <f t="shared" si="1"/>
        <v>6010.65</v>
      </c>
      <c r="I118" s="13">
        <f t="shared" si="1"/>
        <v>6583.49861616</v>
      </c>
    </row>
    <row r="119" spans="1:9" x14ac:dyDescent="0.2">
      <c r="A119" s="1" t="s">
        <v>22</v>
      </c>
      <c r="B119" s="1">
        <v>1</v>
      </c>
      <c r="C119" s="10">
        <v>41548</v>
      </c>
      <c r="D119" s="13">
        <f t="shared" si="1"/>
        <v>15338.400000000001</v>
      </c>
      <c r="E119" s="13">
        <f t="shared" si="1"/>
        <v>13768.221162328875</v>
      </c>
      <c r="F119" s="13">
        <f t="shared" si="1"/>
        <v>21613.200000000001</v>
      </c>
      <c r="G119" s="13">
        <f t="shared" si="1"/>
        <v>19451.88</v>
      </c>
      <c r="H119" s="13">
        <f t="shared" si="1"/>
        <v>6274.8</v>
      </c>
      <c r="I119" s="13">
        <f t="shared" si="1"/>
        <v>5683.6588376711243</v>
      </c>
    </row>
    <row r="120" spans="1:9" x14ac:dyDescent="0.2">
      <c r="A120" s="1" t="s">
        <v>22</v>
      </c>
      <c r="B120" s="1">
        <v>1</v>
      </c>
      <c r="C120" s="10">
        <v>41579</v>
      </c>
      <c r="D120" s="13">
        <f t="shared" si="1"/>
        <v>13914.45</v>
      </c>
      <c r="E120" s="13">
        <f t="shared" si="1"/>
        <v>12047.007524146873</v>
      </c>
      <c r="F120" s="13">
        <f t="shared" si="1"/>
        <v>19606.724999999999</v>
      </c>
      <c r="G120" s="13">
        <f t="shared" si="1"/>
        <v>17646.052499999998</v>
      </c>
      <c r="H120" s="13">
        <f t="shared" si="1"/>
        <v>5692.2749999999996</v>
      </c>
      <c r="I120" s="13">
        <f t="shared" si="1"/>
        <v>5599.0449758531249</v>
      </c>
    </row>
    <row r="121" spans="1:9" x14ac:dyDescent="0.2">
      <c r="A121" s="1" t="s">
        <v>22</v>
      </c>
      <c r="B121" s="1">
        <v>1</v>
      </c>
      <c r="C121" s="10">
        <v>41609</v>
      </c>
      <c r="D121" s="13">
        <f t="shared" si="1"/>
        <v>13333.387500000001</v>
      </c>
      <c r="E121" s="13">
        <f t="shared" si="1"/>
        <v>11786.415344137906</v>
      </c>
      <c r="F121" s="13">
        <f t="shared" si="1"/>
        <v>19365.974999999999</v>
      </c>
      <c r="G121" s="13">
        <f t="shared" si="1"/>
        <v>17877.739999999998</v>
      </c>
      <c r="H121" s="13">
        <f t="shared" si="1"/>
        <v>6032.5874999999996</v>
      </c>
      <c r="I121" s="13">
        <f t="shared" si="1"/>
        <v>6091.3246558620931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4" tint="-0.249977111117893"/>
  </sheetPr>
  <dimension ref="A1:D1701"/>
  <sheetViews>
    <sheetView topLeftCell="A1309" workbookViewId="0">
      <selection activeCell="D1361" sqref="C2:D1361"/>
    </sheetView>
  </sheetViews>
  <sheetFormatPr defaultRowHeight="12.75" x14ac:dyDescent="0.2"/>
  <cols>
    <col min="1" max="1" width="14.140625" bestFit="1" customWidth="1"/>
  </cols>
  <sheetData>
    <row r="1" spans="1:4" x14ac:dyDescent="0.2">
      <c r="A1" s="45" t="s">
        <v>27</v>
      </c>
      <c r="B1" s="45" t="s">
        <v>99</v>
      </c>
      <c r="C1" s="45" t="s">
        <v>101</v>
      </c>
      <c r="D1" s="45" t="s">
        <v>100</v>
      </c>
    </row>
    <row r="2" spans="1:4" x14ac:dyDescent="0.2">
      <c r="A2" t="s">
        <v>18</v>
      </c>
      <c r="B2" s="37">
        <v>36892</v>
      </c>
      <c r="C2" s="7">
        <v>46</v>
      </c>
      <c r="D2" s="7">
        <v>28</v>
      </c>
    </row>
    <row r="3" spans="1:4" x14ac:dyDescent="0.2">
      <c r="A3" t="s">
        <v>18</v>
      </c>
      <c r="B3" s="37">
        <v>36893</v>
      </c>
      <c r="C3" s="7">
        <v>55</v>
      </c>
      <c r="D3" s="7">
        <v>21</v>
      </c>
    </row>
    <row r="4" spans="1:4" x14ac:dyDescent="0.2">
      <c r="A4" t="s">
        <v>18</v>
      </c>
      <c r="B4" s="37">
        <v>36894</v>
      </c>
      <c r="C4" s="7">
        <v>50</v>
      </c>
      <c r="D4" s="7">
        <v>28</v>
      </c>
    </row>
    <row r="5" spans="1:4" x14ac:dyDescent="0.2">
      <c r="A5" t="s">
        <v>18</v>
      </c>
      <c r="B5" s="37">
        <v>36895</v>
      </c>
      <c r="C5" s="7">
        <v>50</v>
      </c>
      <c r="D5" s="7">
        <v>31</v>
      </c>
    </row>
    <row r="6" spans="1:4" x14ac:dyDescent="0.2">
      <c r="A6" t="s">
        <v>18</v>
      </c>
      <c r="B6" s="37">
        <v>36896</v>
      </c>
      <c r="C6" s="7">
        <v>52</v>
      </c>
      <c r="D6" s="7">
        <v>26</v>
      </c>
    </row>
    <row r="7" spans="1:4" x14ac:dyDescent="0.2">
      <c r="A7" t="s">
        <v>18</v>
      </c>
      <c r="B7" s="37">
        <v>36897</v>
      </c>
      <c r="C7" s="7">
        <v>41</v>
      </c>
      <c r="D7" s="7">
        <v>27</v>
      </c>
    </row>
    <row r="8" spans="1:4" x14ac:dyDescent="0.2">
      <c r="A8" t="s">
        <v>18</v>
      </c>
      <c r="B8" s="37">
        <v>36898</v>
      </c>
      <c r="C8" s="7">
        <v>47</v>
      </c>
      <c r="D8" s="7">
        <v>34</v>
      </c>
    </row>
    <row r="9" spans="1:4" x14ac:dyDescent="0.2">
      <c r="A9" t="s">
        <v>18</v>
      </c>
      <c r="B9" s="37">
        <v>36899</v>
      </c>
      <c r="C9" s="7">
        <v>51</v>
      </c>
      <c r="D9" s="7">
        <v>34</v>
      </c>
    </row>
    <row r="10" spans="1:4" x14ac:dyDescent="0.2">
      <c r="A10" t="s">
        <v>18</v>
      </c>
      <c r="B10" s="37">
        <v>36900</v>
      </c>
      <c r="C10" s="7">
        <v>50</v>
      </c>
      <c r="D10" s="7">
        <v>28</v>
      </c>
    </row>
    <row r="11" spans="1:4" x14ac:dyDescent="0.2">
      <c r="A11" t="s">
        <v>18</v>
      </c>
      <c r="B11" s="37">
        <v>36901</v>
      </c>
      <c r="C11" s="7">
        <v>48</v>
      </c>
      <c r="D11" s="7">
        <v>20</v>
      </c>
    </row>
    <row r="12" spans="1:4" x14ac:dyDescent="0.2">
      <c r="A12" t="s">
        <v>18</v>
      </c>
      <c r="B12" s="37">
        <v>36902</v>
      </c>
      <c r="C12" s="7">
        <v>60</v>
      </c>
      <c r="D12" s="7">
        <v>35</v>
      </c>
    </row>
    <row r="13" spans="1:4" x14ac:dyDescent="0.2">
      <c r="A13" t="s">
        <v>18</v>
      </c>
      <c r="B13" s="37">
        <v>36903</v>
      </c>
      <c r="C13" s="7">
        <v>51</v>
      </c>
      <c r="D13" s="7">
        <v>34</v>
      </c>
    </row>
    <row r="14" spans="1:4" x14ac:dyDescent="0.2">
      <c r="A14" t="s">
        <v>18</v>
      </c>
      <c r="B14" s="37">
        <v>36904</v>
      </c>
      <c r="C14" s="7">
        <v>42</v>
      </c>
      <c r="D14" s="7">
        <v>19</v>
      </c>
    </row>
    <row r="15" spans="1:4" x14ac:dyDescent="0.2">
      <c r="A15" t="s">
        <v>18</v>
      </c>
      <c r="B15" s="37">
        <v>36905</v>
      </c>
      <c r="C15" s="7">
        <v>58</v>
      </c>
      <c r="D15" s="7">
        <v>24</v>
      </c>
    </row>
    <row r="16" spans="1:4" x14ac:dyDescent="0.2">
      <c r="A16" t="s">
        <v>18</v>
      </c>
      <c r="B16" s="37">
        <v>36906</v>
      </c>
      <c r="C16" s="7">
        <v>53</v>
      </c>
      <c r="D16" s="7">
        <v>36</v>
      </c>
    </row>
    <row r="17" spans="1:4" x14ac:dyDescent="0.2">
      <c r="A17" t="s">
        <v>18</v>
      </c>
      <c r="B17" s="37">
        <v>36907</v>
      </c>
      <c r="C17" s="7">
        <v>60</v>
      </c>
      <c r="D17" s="7">
        <v>39</v>
      </c>
    </row>
    <row r="18" spans="1:4" x14ac:dyDescent="0.2">
      <c r="A18" t="s">
        <v>18</v>
      </c>
      <c r="B18" s="37">
        <v>36908</v>
      </c>
      <c r="C18" s="7">
        <v>49</v>
      </c>
      <c r="D18" s="7">
        <v>34</v>
      </c>
    </row>
    <row r="19" spans="1:4" x14ac:dyDescent="0.2">
      <c r="A19" t="s">
        <v>18</v>
      </c>
      <c r="B19" s="37">
        <v>36909</v>
      </c>
      <c r="C19" s="7">
        <v>49</v>
      </c>
      <c r="D19" s="7">
        <v>17</v>
      </c>
    </row>
    <row r="20" spans="1:4" x14ac:dyDescent="0.2">
      <c r="A20" t="s">
        <v>18</v>
      </c>
      <c r="B20" s="37">
        <v>36910</v>
      </c>
      <c r="C20" s="7">
        <v>41</v>
      </c>
      <c r="D20" s="7">
        <v>27</v>
      </c>
    </row>
    <row r="21" spans="1:4" x14ac:dyDescent="0.2">
      <c r="A21" t="s">
        <v>18</v>
      </c>
      <c r="B21" s="37">
        <v>36911</v>
      </c>
      <c r="C21" s="7">
        <v>58</v>
      </c>
      <c r="D21" s="7">
        <v>16</v>
      </c>
    </row>
    <row r="22" spans="1:4" x14ac:dyDescent="0.2">
      <c r="A22" t="s">
        <v>18</v>
      </c>
      <c r="B22" s="37">
        <v>36912</v>
      </c>
      <c r="C22" s="7">
        <v>48</v>
      </c>
      <c r="D22" s="7">
        <v>26</v>
      </c>
    </row>
    <row r="23" spans="1:4" x14ac:dyDescent="0.2">
      <c r="A23" t="s">
        <v>18</v>
      </c>
      <c r="B23" s="37">
        <v>36913</v>
      </c>
      <c r="C23" s="7">
        <v>42</v>
      </c>
      <c r="D23" s="7">
        <v>37</v>
      </c>
    </row>
    <row r="24" spans="1:4" x14ac:dyDescent="0.2">
      <c r="A24" t="s">
        <v>18</v>
      </c>
      <c r="B24" s="37">
        <v>36914</v>
      </c>
      <c r="C24" s="7">
        <v>42</v>
      </c>
      <c r="D24" s="7">
        <v>31</v>
      </c>
    </row>
    <row r="25" spans="1:4" x14ac:dyDescent="0.2">
      <c r="A25" t="s">
        <v>18</v>
      </c>
      <c r="B25" s="37">
        <v>36915</v>
      </c>
      <c r="C25" s="7">
        <v>42</v>
      </c>
      <c r="D25" s="7">
        <v>40</v>
      </c>
    </row>
    <row r="26" spans="1:4" x14ac:dyDescent="0.2">
      <c r="A26" t="s">
        <v>18</v>
      </c>
      <c r="B26" s="37">
        <v>36916</v>
      </c>
      <c r="C26" s="7">
        <v>56</v>
      </c>
      <c r="D26" s="7">
        <v>36</v>
      </c>
    </row>
    <row r="27" spans="1:4" x14ac:dyDescent="0.2">
      <c r="A27" t="s">
        <v>18</v>
      </c>
      <c r="B27" s="37">
        <v>36917</v>
      </c>
      <c r="C27" s="7">
        <v>56</v>
      </c>
      <c r="D27" s="7">
        <v>33</v>
      </c>
    </row>
    <row r="28" spans="1:4" x14ac:dyDescent="0.2">
      <c r="A28" t="s">
        <v>18</v>
      </c>
      <c r="B28" s="37">
        <v>36918</v>
      </c>
      <c r="C28" s="7">
        <v>53</v>
      </c>
      <c r="D28" s="7">
        <v>26</v>
      </c>
    </row>
    <row r="29" spans="1:4" x14ac:dyDescent="0.2">
      <c r="A29" t="s">
        <v>18</v>
      </c>
      <c r="B29" s="37">
        <v>36919</v>
      </c>
      <c r="C29" s="7">
        <v>45</v>
      </c>
      <c r="D29" s="7">
        <v>18</v>
      </c>
    </row>
    <row r="30" spans="1:4" x14ac:dyDescent="0.2">
      <c r="A30" t="s">
        <v>18</v>
      </c>
      <c r="B30" s="37">
        <v>36920</v>
      </c>
      <c r="C30" s="7">
        <v>57</v>
      </c>
      <c r="D30" s="7">
        <v>32</v>
      </c>
    </row>
    <row r="31" spans="1:4" x14ac:dyDescent="0.2">
      <c r="A31" t="s">
        <v>18</v>
      </c>
      <c r="B31" s="37">
        <v>36921</v>
      </c>
      <c r="C31" s="7">
        <v>45</v>
      </c>
      <c r="D31" s="7">
        <v>18</v>
      </c>
    </row>
    <row r="32" spans="1:4" x14ac:dyDescent="0.2">
      <c r="A32" t="s">
        <v>18</v>
      </c>
      <c r="B32" s="37">
        <v>36922</v>
      </c>
      <c r="C32" s="7">
        <v>56</v>
      </c>
      <c r="D32" s="7">
        <v>21</v>
      </c>
    </row>
    <row r="33" spans="1:4" x14ac:dyDescent="0.2">
      <c r="A33" t="s">
        <v>18</v>
      </c>
      <c r="B33" s="37">
        <v>36923</v>
      </c>
      <c r="C33" s="7">
        <v>47</v>
      </c>
      <c r="D33" s="7">
        <v>21</v>
      </c>
    </row>
    <row r="34" spans="1:4" x14ac:dyDescent="0.2">
      <c r="A34" t="s">
        <v>18</v>
      </c>
      <c r="B34" s="37">
        <v>36924</v>
      </c>
      <c r="C34" s="7">
        <v>58</v>
      </c>
      <c r="D34" s="7">
        <v>22</v>
      </c>
    </row>
    <row r="35" spans="1:4" x14ac:dyDescent="0.2">
      <c r="A35" t="s">
        <v>18</v>
      </c>
      <c r="B35" s="37">
        <v>36925</v>
      </c>
      <c r="C35" s="7">
        <v>46</v>
      </c>
      <c r="D35" s="7">
        <v>21</v>
      </c>
    </row>
    <row r="36" spans="1:4" x14ac:dyDescent="0.2">
      <c r="A36" t="s">
        <v>18</v>
      </c>
      <c r="B36" s="37">
        <v>36926</v>
      </c>
      <c r="C36" s="7">
        <v>50</v>
      </c>
      <c r="D36" s="7">
        <v>18</v>
      </c>
    </row>
    <row r="37" spans="1:4" x14ac:dyDescent="0.2">
      <c r="A37" t="s">
        <v>18</v>
      </c>
      <c r="B37" s="37">
        <v>36927</v>
      </c>
      <c r="C37" s="7">
        <v>51</v>
      </c>
      <c r="D37" s="7">
        <v>17</v>
      </c>
    </row>
    <row r="38" spans="1:4" x14ac:dyDescent="0.2">
      <c r="A38" t="s">
        <v>18</v>
      </c>
      <c r="B38" s="37">
        <v>36928</v>
      </c>
      <c r="C38" s="7">
        <v>51</v>
      </c>
      <c r="D38" s="7">
        <v>39</v>
      </c>
    </row>
    <row r="39" spans="1:4" x14ac:dyDescent="0.2">
      <c r="A39" t="s">
        <v>18</v>
      </c>
      <c r="B39" s="37">
        <v>36929</v>
      </c>
      <c r="C39" s="7">
        <v>49</v>
      </c>
      <c r="D39" s="7">
        <v>32</v>
      </c>
    </row>
    <row r="40" spans="1:4" x14ac:dyDescent="0.2">
      <c r="A40" t="s">
        <v>18</v>
      </c>
      <c r="B40" s="37">
        <v>36930</v>
      </c>
      <c r="C40" s="7">
        <v>58</v>
      </c>
      <c r="D40" s="7">
        <v>28</v>
      </c>
    </row>
    <row r="41" spans="1:4" x14ac:dyDescent="0.2">
      <c r="A41" t="s">
        <v>18</v>
      </c>
      <c r="B41" s="37">
        <v>36931</v>
      </c>
      <c r="C41" s="7">
        <v>58</v>
      </c>
      <c r="D41" s="7">
        <v>32</v>
      </c>
    </row>
    <row r="42" spans="1:4" x14ac:dyDescent="0.2">
      <c r="A42" t="s">
        <v>18</v>
      </c>
      <c r="B42" s="37">
        <v>36932</v>
      </c>
      <c r="C42" s="7">
        <v>40</v>
      </c>
      <c r="D42" s="7">
        <v>32</v>
      </c>
    </row>
    <row r="43" spans="1:4" x14ac:dyDescent="0.2">
      <c r="A43" t="s">
        <v>18</v>
      </c>
      <c r="B43" s="37">
        <v>36933</v>
      </c>
      <c r="C43" s="7">
        <v>58</v>
      </c>
      <c r="D43" s="7">
        <v>37</v>
      </c>
    </row>
    <row r="44" spans="1:4" x14ac:dyDescent="0.2">
      <c r="A44" t="s">
        <v>18</v>
      </c>
      <c r="B44" s="37">
        <v>36934</v>
      </c>
      <c r="C44" s="7">
        <v>54</v>
      </c>
      <c r="D44" s="7">
        <v>39</v>
      </c>
    </row>
    <row r="45" spans="1:4" x14ac:dyDescent="0.2">
      <c r="A45" t="s">
        <v>18</v>
      </c>
      <c r="B45" s="37">
        <v>36935</v>
      </c>
      <c r="C45" s="7">
        <v>45</v>
      </c>
      <c r="D45" s="7">
        <v>30</v>
      </c>
    </row>
    <row r="46" spans="1:4" x14ac:dyDescent="0.2">
      <c r="A46" t="s">
        <v>18</v>
      </c>
      <c r="B46" s="37">
        <v>36936</v>
      </c>
      <c r="C46" s="7">
        <v>59</v>
      </c>
      <c r="D46" s="7">
        <v>36</v>
      </c>
    </row>
    <row r="47" spans="1:4" x14ac:dyDescent="0.2">
      <c r="A47" t="s">
        <v>18</v>
      </c>
      <c r="B47" s="37">
        <v>36937</v>
      </c>
      <c r="C47" s="7">
        <v>50</v>
      </c>
      <c r="D47" s="7">
        <v>20</v>
      </c>
    </row>
    <row r="48" spans="1:4" x14ac:dyDescent="0.2">
      <c r="A48" t="s">
        <v>18</v>
      </c>
      <c r="B48" s="37">
        <v>36938</v>
      </c>
      <c r="C48" s="7">
        <v>55</v>
      </c>
      <c r="D48" s="7">
        <v>18</v>
      </c>
    </row>
    <row r="49" spans="1:4" x14ac:dyDescent="0.2">
      <c r="A49" t="s">
        <v>18</v>
      </c>
      <c r="B49" s="37">
        <v>36939</v>
      </c>
      <c r="C49" s="7">
        <v>53</v>
      </c>
      <c r="D49" s="7">
        <v>16</v>
      </c>
    </row>
    <row r="50" spans="1:4" x14ac:dyDescent="0.2">
      <c r="A50" t="s">
        <v>18</v>
      </c>
      <c r="B50" s="37">
        <v>36940</v>
      </c>
      <c r="C50" s="7">
        <v>49</v>
      </c>
      <c r="D50" s="7">
        <v>29</v>
      </c>
    </row>
    <row r="51" spans="1:4" x14ac:dyDescent="0.2">
      <c r="A51" t="s">
        <v>18</v>
      </c>
      <c r="B51" s="37">
        <v>36941</v>
      </c>
      <c r="C51" s="7">
        <v>56</v>
      </c>
      <c r="D51" s="7">
        <v>39</v>
      </c>
    </row>
    <row r="52" spans="1:4" x14ac:dyDescent="0.2">
      <c r="A52" t="s">
        <v>18</v>
      </c>
      <c r="B52" s="37">
        <v>36942</v>
      </c>
      <c r="C52" s="7">
        <v>47</v>
      </c>
      <c r="D52" s="7">
        <v>28</v>
      </c>
    </row>
    <row r="53" spans="1:4" x14ac:dyDescent="0.2">
      <c r="A53" t="s">
        <v>18</v>
      </c>
      <c r="B53" s="37">
        <v>36943</v>
      </c>
      <c r="C53" s="7">
        <v>58</v>
      </c>
      <c r="D53" s="7">
        <v>25</v>
      </c>
    </row>
    <row r="54" spans="1:4" x14ac:dyDescent="0.2">
      <c r="A54" t="s">
        <v>18</v>
      </c>
      <c r="B54" s="37">
        <v>36944</v>
      </c>
      <c r="C54" s="7">
        <v>47</v>
      </c>
      <c r="D54" s="7">
        <v>28</v>
      </c>
    </row>
    <row r="55" spans="1:4" x14ac:dyDescent="0.2">
      <c r="A55" t="s">
        <v>18</v>
      </c>
      <c r="B55" s="37">
        <v>36945</v>
      </c>
      <c r="C55" s="7">
        <v>53</v>
      </c>
      <c r="D55" s="7">
        <v>26</v>
      </c>
    </row>
    <row r="56" spans="1:4" x14ac:dyDescent="0.2">
      <c r="A56" t="s">
        <v>18</v>
      </c>
      <c r="B56" s="37">
        <v>36946</v>
      </c>
      <c r="C56" s="7">
        <v>56</v>
      </c>
      <c r="D56" s="7">
        <v>17</v>
      </c>
    </row>
    <row r="57" spans="1:4" x14ac:dyDescent="0.2">
      <c r="A57" t="s">
        <v>18</v>
      </c>
      <c r="B57" s="37">
        <v>36947</v>
      </c>
      <c r="C57" s="7">
        <v>55</v>
      </c>
      <c r="D57" s="7">
        <v>39</v>
      </c>
    </row>
    <row r="58" spans="1:4" x14ac:dyDescent="0.2">
      <c r="A58" t="s">
        <v>18</v>
      </c>
      <c r="B58" s="37">
        <v>36948</v>
      </c>
      <c r="C58" s="7">
        <v>60</v>
      </c>
      <c r="D58" s="7">
        <v>33</v>
      </c>
    </row>
    <row r="59" spans="1:4" x14ac:dyDescent="0.2">
      <c r="A59" t="s">
        <v>18</v>
      </c>
      <c r="B59" s="37">
        <v>36949</v>
      </c>
      <c r="C59" s="7">
        <v>42</v>
      </c>
      <c r="D59" s="7">
        <v>27</v>
      </c>
    </row>
    <row r="60" spans="1:4" x14ac:dyDescent="0.2">
      <c r="A60" t="s">
        <v>18</v>
      </c>
      <c r="B60" s="37">
        <v>36950</v>
      </c>
      <c r="C60" s="7">
        <v>51</v>
      </c>
      <c r="D60" s="7">
        <v>34</v>
      </c>
    </row>
    <row r="61" spans="1:4" x14ac:dyDescent="0.2">
      <c r="A61" t="s">
        <v>18</v>
      </c>
      <c r="B61" s="37">
        <v>36951</v>
      </c>
      <c r="C61" s="7">
        <v>44</v>
      </c>
      <c r="D61" s="7">
        <v>32</v>
      </c>
    </row>
    <row r="62" spans="1:4" x14ac:dyDescent="0.2">
      <c r="A62" t="s">
        <v>18</v>
      </c>
      <c r="B62" s="37">
        <v>36952</v>
      </c>
      <c r="C62" s="7">
        <v>44</v>
      </c>
      <c r="D62" s="7">
        <v>18</v>
      </c>
    </row>
    <row r="63" spans="1:4" x14ac:dyDescent="0.2">
      <c r="A63" t="s">
        <v>18</v>
      </c>
      <c r="B63" s="37">
        <v>36953</v>
      </c>
      <c r="C63" s="7">
        <v>47</v>
      </c>
      <c r="D63" s="7">
        <v>18</v>
      </c>
    </row>
    <row r="64" spans="1:4" x14ac:dyDescent="0.2">
      <c r="A64" t="s">
        <v>18</v>
      </c>
      <c r="B64" s="37">
        <v>36954</v>
      </c>
      <c r="C64" s="7">
        <v>41</v>
      </c>
      <c r="D64" s="7">
        <v>19</v>
      </c>
    </row>
    <row r="65" spans="1:4" x14ac:dyDescent="0.2">
      <c r="A65" t="s">
        <v>18</v>
      </c>
      <c r="B65" s="37">
        <v>36955</v>
      </c>
      <c r="C65" s="7">
        <v>54</v>
      </c>
      <c r="D65" s="7">
        <v>27</v>
      </c>
    </row>
    <row r="66" spans="1:4" x14ac:dyDescent="0.2">
      <c r="A66" t="s">
        <v>18</v>
      </c>
      <c r="B66" s="37">
        <v>36956</v>
      </c>
      <c r="C66" s="7">
        <v>49</v>
      </c>
      <c r="D66" s="7">
        <v>35</v>
      </c>
    </row>
    <row r="67" spans="1:4" x14ac:dyDescent="0.2">
      <c r="A67" t="s">
        <v>18</v>
      </c>
      <c r="B67" s="37">
        <v>36957</v>
      </c>
      <c r="C67" s="7">
        <v>52</v>
      </c>
      <c r="D67" s="7">
        <v>39</v>
      </c>
    </row>
    <row r="68" spans="1:4" x14ac:dyDescent="0.2">
      <c r="A68" t="s">
        <v>18</v>
      </c>
      <c r="B68" s="37">
        <v>36958</v>
      </c>
      <c r="C68" s="7">
        <v>53</v>
      </c>
      <c r="D68" s="7">
        <v>23</v>
      </c>
    </row>
    <row r="69" spans="1:4" x14ac:dyDescent="0.2">
      <c r="A69" t="s">
        <v>18</v>
      </c>
      <c r="B69" s="37">
        <v>36959</v>
      </c>
      <c r="C69" s="7">
        <v>51</v>
      </c>
      <c r="D69" s="7">
        <v>19</v>
      </c>
    </row>
    <row r="70" spans="1:4" x14ac:dyDescent="0.2">
      <c r="A70" t="s">
        <v>18</v>
      </c>
      <c r="B70" s="37">
        <v>36960</v>
      </c>
      <c r="C70" s="7">
        <v>54</v>
      </c>
      <c r="D70" s="7">
        <v>33</v>
      </c>
    </row>
    <row r="71" spans="1:4" x14ac:dyDescent="0.2">
      <c r="A71" t="s">
        <v>18</v>
      </c>
      <c r="B71" s="37">
        <v>36961</v>
      </c>
      <c r="C71" s="7">
        <v>57</v>
      </c>
      <c r="D71" s="7">
        <v>16</v>
      </c>
    </row>
    <row r="72" spans="1:4" x14ac:dyDescent="0.2">
      <c r="A72" t="s">
        <v>18</v>
      </c>
      <c r="B72" s="37">
        <v>36962</v>
      </c>
      <c r="C72" s="7">
        <v>49</v>
      </c>
      <c r="D72" s="7">
        <v>40</v>
      </c>
    </row>
    <row r="73" spans="1:4" x14ac:dyDescent="0.2">
      <c r="A73" t="s">
        <v>18</v>
      </c>
      <c r="B73" s="37">
        <v>36963</v>
      </c>
      <c r="C73" s="7">
        <v>48</v>
      </c>
      <c r="D73" s="7">
        <v>22</v>
      </c>
    </row>
    <row r="74" spans="1:4" x14ac:dyDescent="0.2">
      <c r="A74" t="s">
        <v>18</v>
      </c>
      <c r="B74" s="37">
        <v>36964</v>
      </c>
      <c r="C74" s="7">
        <v>47</v>
      </c>
      <c r="D74" s="7">
        <v>19</v>
      </c>
    </row>
    <row r="75" spans="1:4" x14ac:dyDescent="0.2">
      <c r="A75" t="s">
        <v>18</v>
      </c>
      <c r="B75" s="37">
        <v>36965</v>
      </c>
      <c r="C75" s="7">
        <v>49</v>
      </c>
      <c r="D75" s="7">
        <v>24</v>
      </c>
    </row>
    <row r="76" spans="1:4" x14ac:dyDescent="0.2">
      <c r="A76" t="s">
        <v>18</v>
      </c>
      <c r="B76" s="37">
        <v>36966</v>
      </c>
      <c r="C76" s="7">
        <v>55</v>
      </c>
      <c r="D76" s="7">
        <v>40</v>
      </c>
    </row>
    <row r="77" spans="1:4" x14ac:dyDescent="0.2">
      <c r="A77" t="s">
        <v>18</v>
      </c>
      <c r="B77" s="37">
        <v>36967</v>
      </c>
      <c r="C77" s="7">
        <v>59</v>
      </c>
      <c r="D77" s="7">
        <v>34</v>
      </c>
    </row>
    <row r="78" spans="1:4" x14ac:dyDescent="0.2">
      <c r="A78" t="s">
        <v>18</v>
      </c>
      <c r="B78" s="37">
        <v>36968</v>
      </c>
      <c r="C78" s="7">
        <v>56</v>
      </c>
      <c r="D78" s="7">
        <v>26</v>
      </c>
    </row>
    <row r="79" spans="1:4" x14ac:dyDescent="0.2">
      <c r="A79" t="s">
        <v>18</v>
      </c>
      <c r="B79" s="37">
        <v>36969</v>
      </c>
      <c r="C79" s="7">
        <v>40</v>
      </c>
      <c r="D79" s="7">
        <v>33</v>
      </c>
    </row>
    <row r="80" spans="1:4" x14ac:dyDescent="0.2">
      <c r="A80" t="s">
        <v>18</v>
      </c>
      <c r="B80" s="37">
        <v>36970</v>
      </c>
      <c r="C80" s="7">
        <v>47</v>
      </c>
      <c r="D80" s="7">
        <v>31</v>
      </c>
    </row>
    <row r="81" spans="1:4" x14ac:dyDescent="0.2">
      <c r="A81" t="s">
        <v>18</v>
      </c>
      <c r="B81" s="37">
        <v>36971</v>
      </c>
      <c r="C81" s="7">
        <v>43</v>
      </c>
      <c r="D81" s="7">
        <v>27</v>
      </c>
    </row>
    <row r="82" spans="1:4" x14ac:dyDescent="0.2">
      <c r="A82" t="s">
        <v>18</v>
      </c>
      <c r="B82" s="37">
        <v>36972</v>
      </c>
      <c r="C82" s="7">
        <v>47</v>
      </c>
      <c r="D82" s="7">
        <v>36</v>
      </c>
    </row>
    <row r="83" spans="1:4" x14ac:dyDescent="0.2">
      <c r="A83" t="s">
        <v>18</v>
      </c>
      <c r="B83" s="37">
        <v>36973</v>
      </c>
      <c r="C83" s="7">
        <v>58</v>
      </c>
      <c r="D83" s="7">
        <v>32</v>
      </c>
    </row>
    <row r="84" spans="1:4" x14ac:dyDescent="0.2">
      <c r="A84" t="s">
        <v>18</v>
      </c>
      <c r="B84" s="37">
        <v>36974</v>
      </c>
      <c r="C84" s="7">
        <v>45</v>
      </c>
      <c r="D84" s="7">
        <v>37</v>
      </c>
    </row>
    <row r="85" spans="1:4" x14ac:dyDescent="0.2">
      <c r="A85" t="s">
        <v>18</v>
      </c>
      <c r="B85" s="37">
        <v>36975</v>
      </c>
      <c r="C85" s="7">
        <v>41</v>
      </c>
      <c r="D85" s="7">
        <v>34</v>
      </c>
    </row>
    <row r="86" spans="1:4" x14ac:dyDescent="0.2">
      <c r="A86" t="s">
        <v>18</v>
      </c>
      <c r="B86" s="37">
        <v>36976</v>
      </c>
      <c r="C86" s="7">
        <v>48</v>
      </c>
      <c r="D86" s="7">
        <v>34</v>
      </c>
    </row>
    <row r="87" spans="1:4" x14ac:dyDescent="0.2">
      <c r="A87" t="s">
        <v>18</v>
      </c>
      <c r="B87" s="37">
        <v>36977</v>
      </c>
      <c r="C87" s="7">
        <v>40</v>
      </c>
      <c r="D87" s="7">
        <v>40</v>
      </c>
    </row>
    <row r="88" spans="1:4" x14ac:dyDescent="0.2">
      <c r="A88" t="s">
        <v>18</v>
      </c>
      <c r="B88" s="37">
        <v>36978</v>
      </c>
      <c r="C88" s="7">
        <v>52</v>
      </c>
      <c r="D88" s="7">
        <v>40</v>
      </c>
    </row>
    <row r="89" spans="1:4" x14ac:dyDescent="0.2">
      <c r="A89" t="s">
        <v>18</v>
      </c>
      <c r="B89" s="37">
        <v>36979</v>
      </c>
      <c r="C89" s="7">
        <v>54</v>
      </c>
      <c r="D89" s="7">
        <v>18</v>
      </c>
    </row>
    <row r="90" spans="1:4" x14ac:dyDescent="0.2">
      <c r="A90" t="s">
        <v>18</v>
      </c>
      <c r="B90" s="37">
        <v>36980</v>
      </c>
      <c r="C90" s="7">
        <v>45</v>
      </c>
      <c r="D90" s="7">
        <v>23</v>
      </c>
    </row>
    <row r="91" spans="1:4" x14ac:dyDescent="0.2">
      <c r="A91" t="s">
        <v>18</v>
      </c>
      <c r="B91" s="37">
        <v>36981</v>
      </c>
      <c r="C91" s="7">
        <v>48</v>
      </c>
      <c r="D91" s="7">
        <v>25</v>
      </c>
    </row>
    <row r="92" spans="1:4" x14ac:dyDescent="0.2">
      <c r="A92" t="s">
        <v>18</v>
      </c>
      <c r="B92" s="37">
        <v>36982</v>
      </c>
      <c r="C92" s="7">
        <v>44</v>
      </c>
      <c r="D92" s="7">
        <v>39</v>
      </c>
    </row>
    <row r="93" spans="1:4" x14ac:dyDescent="0.2">
      <c r="A93" t="s">
        <v>18</v>
      </c>
      <c r="B93" s="37">
        <v>36983</v>
      </c>
      <c r="C93" s="7">
        <v>51</v>
      </c>
      <c r="D93" s="7">
        <v>32</v>
      </c>
    </row>
    <row r="94" spans="1:4" x14ac:dyDescent="0.2">
      <c r="A94" t="s">
        <v>18</v>
      </c>
      <c r="B94" s="37">
        <v>36984</v>
      </c>
      <c r="C94" s="7">
        <v>43</v>
      </c>
      <c r="D94" s="7">
        <v>24</v>
      </c>
    </row>
    <row r="95" spans="1:4" x14ac:dyDescent="0.2">
      <c r="A95" t="s">
        <v>18</v>
      </c>
      <c r="B95" s="37">
        <v>36985</v>
      </c>
      <c r="C95" s="7">
        <v>43</v>
      </c>
      <c r="D95" s="7">
        <v>30</v>
      </c>
    </row>
    <row r="96" spans="1:4" x14ac:dyDescent="0.2">
      <c r="A96" t="s">
        <v>18</v>
      </c>
      <c r="B96" s="37">
        <v>36986</v>
      </c>
      <c r="C96" s="7">
        <v>52</v>
      </c>
      <c r="D96" s="7">
        <v>34</v>
      </c>
    </row>
    <row r="97" spans="1:4" x14ac:dyDescent="0.2">
      <c r="A97" t="s">
        <v>18</v>
      </c>
      <c r="B97" s="37">
        <v>36987</v>
      </c>
      <c r="C97" s="7">
        <v>40</v>
      </c>
      <c r="D97" s="7">
        <v>24</v>
      </c>
    </row>
    <row r="98" spans="1:4" x14ac:dyDescent="0.2">
      <c r="A98" t="s">
        <v>18</v>
      </c>
      <c r="B98" s="37">
        <v>36988</v>
      </c>
      <c r="C98" s="7">
        <v>58</v>
      </c>
      <c r="D98" s="7">
        <v>22</v>
      </c>
    </row>
    <row r="99" spans="1:4" x14ac:dyDescent="0.2">
      <c r="A99" t="s">
        <v>18</v>
      </c>
      <c r="B99" s="37">
        <v>36989</v>
      </c>
      <c r="C99" s="7">
        <v>58</v>
      </c>
      <c r="D99" s="7">
        <v>35</v>
      </c>
    </row>
    <row r="100" spans="1:4" x14ac:dyDescent="0.2">
      <c r="A100" t="s">
        <v>18</v>
      </c>
      <c r="B100" s="37">
        <v>36990</v>
      </c>
      <c r="C100" s="7">
        <v>56</v>
      </c>
      <c r="D100" s="7">
        <v>35</v>
      </c>
    </row>
    <row r="101" spans="1:4" x14ac:dyDescent="0.2">
      <c r="A101" t="s">
        <v>18</v>
      </c>
      <c r="B101" s="37">
        <v>36991</v>
      </c>
      <c r="C101" s="7">
        <v>41</v>
      </c>
      <c r="D101" s="7">
        <v>23</v>
      </c>
    </row>
    <row r="102" spans="1:4" x14ac:dyDescent="0.2">
      <c r="A102" t="s">
        <v>18</v>
      </c>
      <c r="B102" s="37">
        <v>36992</v>
      </c>
      <c r="C102" s="7">
        <v>46</v>
      </c>
      <c r="D102" s="7">
        <v>36</v>
      </c>
    </row>
    <row r="103" spans="1:4" x14ac:dyDescent="0.2">
      <c r="A103" t="s">
        <v>18</v>
      </c>
      <c r="B103" s="37">
        <v>36993</v>
      </c>
      <c r="C103" s="7">
        <v>41</v>
      </c>
      <c r="D103" s="7">
        <v>37</v>
      </c>
    </row>
    <row r="104" spans="1:4" x14ac:dyDescent="0.2">
      <c r="A104" t="s">
        <v>18</v>
      </c>
      <c r="B104" s="37">
        <v>36994</v>
      </c>
      <c r="C104" s="7">
        <v>44</v>
      </c>
      <c r="D104" s="7">
        <v>27</v>
      </c>
    </row>
    <row r="105" spans="1:4" x14ac:dyDescent="0.2">
      <c r="A105" t="s">
        <v>18</v>
      </c>
      <c r="B105" s="37">
        <v>36995</v>
      </c>
      <c r="C105" s="7">
        <v>40</v>
      </c>
      <c r="D105" s="7">
        <v>25</v>
      </c>
    </row>
    <row r="106" spans="1:4" x14ac:dyDescent="0.2">
      <c r="A106" t="s">
        <v>18</v>
      </c>
      <c r="B106" s="37">
        <v>36996</v>
      </c>
      <c r="C106" s="7">
        <v>43</v>
      </c>
      <c r="D106" s="7">
        <v>28</v>
      </c>
    </row>
    <row r="107" spans="1:4" x14ac:dyDescent="0.2">
      <c r="A107" t="s">
        <v>18</v>
      </c>
      <c r="B107" s="37">
        <v>36997</v>
      </c>
      <c r="C107" s="7">
        <v>57</v>
      </c>
      <c r="D107" s="7">
        <v>15</v>
      </c>
    </row>
    <row r="108" spans="1:4" x14ac:dyDescent="0.2">
      <c r="A108" t="s">
        <v>18</v>
      </c>
      <c r="B108" s="37">
        <v>36998</v>
      </c>
      <c r="C108" s="7">
        <v>49</v>
      </c>
      <c r="D108" s="7">
        <v>31</v>
      </c>
    </row>
    <row r="109" spans="1:4" x14ac:dyDescent="0.2">
      <c r="A109" t="s">
        <v>18</v>
      </c>
      <c r="B109" s="37">
        <v>36999</v>
      </c>
      <c r="C109" s="7">
        <v>40</v>
      </c>
      <c r="D109" s="7">
        <v>30</v>
      </c>
    </row>
    <row r="110" spans="1:4" x14ac:dyDescent="0.2">
      <c r="A110" t="s">
        <v>18</v>
      </c>
      <c r="B110" s="37">
        <v>37000</v>
      </c>
      <c r="C110" s="7">
        <v>44</v>
      </c>
      <c r="D110" s="7">
        <v>21</v>
      </c>
    </row>
    <row r="111" spans="1:4" x14ac:dyDescent="0.2">
      <c r="A111" t="s">
        <v>18</v>
      </c>
      <c r="B111" s="37">
        <v>37001</v>
      </c>
      <c r="C111" s="7">
        <v>44</v>
      </c>
      <c r="D111" s="7">
        <v>21</v>
      </c>
    </row>
    <row r="112" spans="1:4" x14ac:dyDescent="0.2">
      <c r="A112" t="s">
        <v>18</v>
      </c>
      <c r="B112" s="37">
        <v>37002</v>
      </c>
      <c r="C112" s="7">
        <v>42</v>
      </c>
      <c r="D112" s="7">
        <v>24</v>
      </c>
    </row>
    <row r="113" spans="1:4" x14ac:dyDescent="0.2">
      <c r="A113" t="s">
        <v>18</v>
      </c>
      <c r="B113" s="37">
        <v>37003</v>
      </c>
      <c r="C113" s="7">
        <v>60</v>
      </c>
      <c r="D113" s="7">
        <v>33</v>
      </c>
    </row>
    <row r="114" spans="1:4" x14ac:dyDescent="0.2">
      <c r="A114" t="s">
        <v>18</v>
      </c>
      <c r="B114" s="37">
        <v>37004</v>
      </c>
      <c r="C114" s="7">
        <v>49</v>
      </c>
      <c r="D114" s="7">
        <v>40</v>
      </c>
    </row>
    <row r="115" spans="1:4" x14ac:dyDescent="0.2">
      <c r="A115" t="s">
        <v>18</v>
      </c>
      <c r="B115" s="37">
        <v>37005</v>
      </c>
      <c r="C115" s="7">
        <v>43</v>
      </c>
      <c r="D115" s="7">
        <v>26</v>
      </c>
    </row>
    <row r="116" spans="1:4" x14ac:dyDescent="0.2">
      <c r="A116" t="s">
        <v>18</v>
      </c>
      <c r="B116" s="37">
        <v>37006</v>
      </c>
      <c r="C116" s="7">
        <v>60</v>
      </c>
      <c r="D116" s="7">
        <v>27</v>
      </c>
    </row>
    <row r="117" spans="1:4" x14ac:dyDescent="0.2">
      <c r="A117" t="s">
        <v>18</v>
      </c>
      <c r="B117" s="37">
        <v>37007</v>
      </c>
      <c r="C117" s="7">
        <v>54</v>
      </c>
      <c r="D117" s="7">
        <v>34</v>
      </c>
    </row>
    <row r="118" spans="1:4" x14ac:dyDescent="0.2">
      <c r="A118" t="s">
        <v>18</v>
      </c>
      <c r="B118" s="37">
        <v>37008</v>
      </c>
      <c r="C118" s="7">
        <v>50</v>
      </c>
      <c r="D118" s="7">
        <v>19</v>
      </c>
    </row>
    <row r="119" spans="1:4" x14ac:dyDescent="0.2">
      <c r="A119" t="s">
        <v>18</v>
      </c>
      <c r="B119" s="37">
        <v>37009</v>
      </c>
      <c r="C119" s="7">
        <v>46</v>
      </c>
      <c r="D119" s="7">
        <v>33</v>
      </c>
    </row>
    <row r="120" spans="1:4" x14ac:dyDescent="0.2">
      <c r="A120" t="s">
        <v>18</v>
      </c>
      <c r="B120" s="37">
        <v>37010</v>
      </c>
      <c r="C120" s="7">
        <v>51</v>
      </c>
      <c r="D120" s="7">
        <v>15</v>
      </c>
    </row>
    <row r="121" spans="1:4" x14ac:dyDescent="0.2">
      <c r="A121" t="s">
        <v>18</v>
      </c>
      <c r="B121" s="37">
        <v>37011</v>
      </c>
      <c r="C121" s="7">
        <v>47</v>
      </c>
      <c r="D121" s="7">
        <v>34</v>
      </c>
    </row>
    <row r="122" spans="1:4" x14ac:dyDescent="0.2">
      <c r="A122" t="s">
        <v>18</v>
      </c>
      <c r="B122" s="37">
        <v>37012</v>
      </c>
      <c r="C122" s="7">
        <v>50</v>
      </c>
      <c r="D122" s="7">
        <v>18</v>
      </c>
    </row>
    <row r="123" spans="1:4" x14ac:dyDescent="0.2">
      <c r="A123" t="s">
        <v>18</v>
      </c>
      <c r="B123" s="37">
        <v>37013</v>
      </c>
      <c r="C123" s="7">
        <v>46</v>
      </c>
      <c r="D123" s="7">
        <v>21</v>
      </c>
    </row>
    <row r="124" spans="1:4" x14ac:dyDescent="0.2">
      <c r="A124" t="s">
        <v>18</v>
      </c>
      <c r="B124" s="37">
        <v>37014</v>
      </c>
      <c r="C124" s="7">
        <v>41</v>
      </c>
      <c r="D124" s="7">
        <v>33</v>
      </c>
    </row>
    <row r="125" spans="1:4" x14ac:dyDescent="0.2">
      <c r="A125" t="s">
        <v>18</v>
      </c>
      <c r="B125" s="37">
        <v>37015</v>
      </c>
      <c r="C125" s="7">
        <v>50</v>
      </c>
      <c r="D125" s="7">
        <v>20</v>
      </c>
    </row>
    <row r="126" spans="1:4" x14ac:dyDescent="0.2">
      <c r="A126" t="s">
        <v>18</v>
      </c>
      <c r="B126" s="37">
        <v>37016</v>
      </c>
      <c r="C126" s="7">
        <v>60</v>
      </c>
      <c r="D126" s="7">
        <v>36</v>
      </c>
    </row>
    <row r="127" spans="1:4" x14ac:dyDescent="0.2">
      <c r="A127" t="s">
        <v>18</v>
      </c>
      <c r="B127" s="37">
        <v>37017</v>
      </c>
      <c r="C127" s="7">
        <v>42</v>
      </c>
      <c r="D127" s="7">
        <v>29</v>
      </c>
    </row>
    <row r="128" spans="1:4" x14ac:dyDescent="0.2">
      <c r="A128" t="s">
        <v>18</v>
      </c>
      <c r="B128" s="37">
        <v>37018</v>
      </c>
      <c r="C128" s="7">
        <v>55</v>
      </c>
      <c r="D128" s="7">
        <v>22</v>
      </c>
    </row>
    <row r="129" spans="1:4" x14ac:dyDescent="0.2">
      <c r="A129" t="s">
        <v>18</v>
      </c>
      <c r="B129" s="37">
        <v>37019</v>
      </c>
      <c r="C129" s="7">
        <v>54</v>
      </c>
      <c r="D129" s="7">
        <v>33</v>
      </c>
    </row>
    <row r="130" spans="1:4" x14ac:dyDescent="0.2">
      <c r="A130" t="s">
        <v>18</v>
      </c>
      <c r="B130" s="37">
        <v>37020</v>
      </c>
      <c r="C130" s="7">
        <v>53</v>
      </c>
      <c r="D130" s="7">
        <v>29</v>
      </c>
    </row>
    <row r="131" spans="1:4" x14ac:dyDescent="0.2">
      <c r="A131" t="s">
        <v>18</v>
      </c>
      <c r="B131" s="37">
        <v>37021</v>
      </c>
      <c r="C131" s="7">
        <v>52</v>
      </c>
      <c r="D131" s="7">
        <v>23</v>
      </c>
    </row>
    <row r="132" spans="1:4" x14ac:dyDescent="0.2">
      <c r="A132" t="s">
        <v>18</v>
      </c>
      <c r="B132" s="37">
        <v>37022</v>
      </c>
      <c r="C132" s="7">
        <v>53</v>
      </c>
      <c r="D132" s="7">
        <v>37</v>
      </c>
    </row>
    <row r="133" spans="1:4" x14ac:dyDescent="0.2">
      <c r="A133" t="s">
        <v>18</v>
      </c>
      <c r="B133" s="37">
        <v>37023</v>
      </c>
      <c r="C133" s="7">
        <v>59</v>
      </c>
      <c r="D133" s="7">
        <v>34</v>
      </c>
    </row>
    <row r="134" spans="1:4" x14ac:dyDescent="0.2">
      <c r="A134" t="s">
        <v>18</v>
      </c>
      <c r="B134" s="37">
        <v>37024</v>
      </c>
      <c r="C134" s="7">
        <v>41</v>
      </c>
      <c r="D134" s="7">
        <v>36</v>
      </c>
    </row>
    <row r="135" spans="1:4" x14ac:dyDescent="0.2">
      <c r="A135" t="s">
        <v>18</v>
      </c>
      <c r="B135" s="37">
        <v>37025</v>
      </c>
      <c r="C135" s="7">
        <v>42</v>
      </c>
      <c r="D135" s="7">
        <v>29</v>
      </c>
    </row>
    <row r="136" spans="1:4" x14ac:dyDescent="0.2">
      <c r="A136" t="s">
        <v>18</v>
      </c>
      <c r="B136" s="37">
        <v>37026</v>
      </c>
      <c r="C136" s="7">
        <v>53</v>
      </c>
      <c r="D136" s="7">
        <v>35</v>
      </c>
    </row>
    <row r="137" spans="1:4" x14ac:dyDescent="0.2">
      <c r="A137" t="s">
        <v>18</v>
      </c>
      <c r="B137" s="37">
        <v>37027</v>
      </c>
      <c r="C137" s="7">
        <v>49</v>
      </c>
      <c r="D137" s="7">
        <v>40</v>
      </c>
    </row>
    <row r="138" spans="1:4" x14ac:dyDescent="0.2">
      <c r="A138" t="s">
        <v>18</v>
      </c>
      <c r="B138" s="37">
        <v>37028</v>
      </c>
      <c r="C138" s="7">
        <v>46</v>
      </c>
      <c r="D138" s="7">
        <v>18</v>
      </c>
    </row>
    <row r="139" spans="1:4" x14ac:dyDescent="0.2">
      <c r="A139" t="s">
        <v>18</v>
      </c>
      <c r="B139" s="37">
        <v>37029</v>
      </c>
      <c r="C139" s="7">
        <v>48</v>
      </c>
      <c r="D139" s="7">
        <v>21</v>
      </c>
    </row>
    <row r="140" spans="1:4" x14ac:dyDescent="0.2">
      <c r="A140" t="s">
        <v>18</v>
      </c>
      <c r="B140" s="37">
        <v>37030</v>
      </c>
      <c r="C140" s="7">
        <v>45</v>
      </c>
      <c r="D140" s="7">
        <v>31</v>
      </c>
    </row>
    <row r="141" spans="1:4" x14ac:dyDescent="0.2">
      <c r="A141" t="s">
        <v>18</v>
      </c>
      <c r="B141" s="37">
        <v>37031</v>
      </c>
      <c r="C141" s="7">
        <v>48</v>
      </c>
      <c r="D141" s="7">
        <v>18</v>
      </c>
    </row>
    <row r="142" spans="1:4" x14ac:dyDescent="0.2">
      <c r="A142" t="s">
        <v>18</v>
      </c>
      <c r="B142" s="37">
        <v>37032</v>
      </c>
      <c r="C142" s="7">
        <v>55</v>
      </c>
      <c r="D142" s="7">
        <v>32</v>
      </c>
    </row>
    <row r="143" spans="1:4" x14ac:dyDescent="0.2">
      <c r="A143" t="s">
        <v>18</v>
      </c>
      <c r="B143" s="37">
        <v>37033</v>
      </c>
      <c r="C143" s="7">
        <v>43</v>
      </c>
      <c r="D143" s="7">
        <v>30</v>
      </c>
    </row>
    <row r="144" spans="1:4" x14ac:dyDescent="0.2">
      <c r="A144" t="s">
        <v>18</v>
      </c>
      <c r="B144" s="37">
        <v>37034</v>
      </c>
      <c r="C144" s="7">
        <v>42</v>
      </c>
      <c r="D144" s="7">
        <v>34</v>
      </c>
    </row>
    <row r="145" spans="1:4" x14ac:dyDescent="0.2">
      <c r="A145" t="s">
        <v>18</v>
      </c>
      <c r="B145" s="37">
        <v>37035</v>
      </c>
      <c r="C145" s="7">
        <v>54</v>
      </c>
      <c r="D145" s="7">
        <v>24</v>
      </c>
    </row>
    <row r="146" spans="1:4" x14ac:dyDescent="0.2">
      <c r="A146" t="s">
        <v>18</v>
      </c>
      <c r="B146" s="37">
        <v>37036</v>
      </c>
      <c r="C146" s="7">
        <v>55</v>
      </c>
      <c r="D146" s="7">
        <v>35</v>
      </c>
    </row>
    <row r="147" spans="1:4" x14ac:dyDescent="0.2">
      <c r="A147" t="s">
        <v>18</v>
      </c>
      <c r="B147" s="37">
        <v>37037</v>
      </c>
      <c r="C147" s="7">
        <v>41</v>
      </c>
      <c r="D147" s="7">
        <v>34</v>
      </c>
    </row>
    <row r="148" spans="1:4" x14ac:dyDescent="0.2">
      <c r="A148" t="s">
        <v>18</v>
      </c>
      <c r="B148" s="37">
        <v>37038</v>
      </c>
      <c r="C148" s="7">
        <v>58</v>
      </c>
      <c r="D148" s="7">
        <v>24</v>
      </c>
    </row>
    <row r="149" spans="1:4" x14ac:dyDescent="0.2">
      <c r="A149" t="s">
        <v>18</v>
      </c>
      <c r="B149" s="37">
        <v>37039</v>
      </c>
      <c r="C149" s="7">
        <v>58</v>
      </c>
      <c r="D149" s="7">
        <v>29</v>
      </c>
    </row>
    <row r="150" spans="1:4" x14ac:dyDescent="0.2">
      <c r="A150" t="s">
        <v>18</v>
      </c>
      <c r="B150" s="37">
        <v>37040</v>
      </c>
      <c r="C150" s="7">
        <v>40</v>
      </c>
      <c r="D150" s="7">
        <v>22</v>
      </c>
    </row>
    <row r="151" spans="1:4" x14ac:dyDescent="0.2">
      <c r="A151" t="s">
        <v>18</v>
      </c>
      <c r="B151" s="37">
        <v>37041</v>
      </c>
      <c r="C151" s="7">
        <v>51</v>
      </c>
      <c r="D151" s="7">
        <v>31</v>
      </c>
    </row>
    <row r="152" spans="1:4" x14ac:dyDescent="0.2">
      <c r="A152" t="s">
        <v>18</v>
      </c>
      <c r="B152" s="37">
        <v>37042</v>
      </c>
      <c r="C152" s="7">
        <v>52</v>
      </c>
      <c r="D152" s="7">
        <v>31</v>
      </c>
    </row>
    <row r="153" spans="1:4" x14ac:dyDescent="0.2">
      <c r="A153" t="s">
        <v>18</v>
      </c>
      <c r="B153" s="37">
        <v>37043</v>
      </c>
      <c r="C153" s="7">
        <v>46</v>
      </c>
      <c r="D153" s="7">
        <v>15</v>
      </c>
    </row>
    <row r="154" spans="1:4" x14ac:dyDescent="0.2">
      <c r="A154" t="s">
        <v>18</v>
      </c>
      <c r="B154" s="37">
        <v>37044</v>
      </c>
      <c r="C154" s="7">
        <v>51</v>
      </c>
      <c r="D154" s="7">
        <v>40</v>
      </c>
    </row>
    <row r="155" spans="1:4" x14ac:dyDescent="0.2">
      <c r="A155" t="s">
        <v>18</v>
      </c>
      <c r="B155" s="37">
        <v>37045</v>
      </c>
      <c r="C155" s="7">
        <v>53</v>
      </c>
      <c r="D155" s="7">
        <v>28</v>
      </c>
    </row>
    <row r="156" spans="1:4" x14ac:dyDescent="0.2">
      <c r="A156" t="s">
        <v>18</v>
      </c>
      <c r="B156" s="37">
        <v>37046</v>
      </c>
      <c r="C156" s="7">
        <v>54</v>
      </c>
      <c r="D156" s="7">
        <v>19</v>
      </c>
    </row>
    <row r="157" spans="1:4" x14ac:dyDescent="0.2">
      <c r="A157" t="s">
        <v>18</v>
      </c>
      <c r="B157" s="37">
        <v>37047</v>
      </c>
      <c r="C157" s="7">
        <v>50</v>
      </c>
      <c r="D157" s="7">
        <v>26</v>
      </c>
    </row>
    <row r="158" spans="1:4" x14ac:dyDescent="0.2">
      <c r="A158" t="s">
        <v>18</v>
      </c>
      <c r="B158" s="37">
        <v>37048</v>
      </c>
      <c r="C158" s="7">
        <v>56</v>
      </c>
      <c r="D158" s="7">
        <v>30</v>
      </c>
    </row>
    <row r="159" spans="1:4" x14ac:dyDescent="0.2">
      <c r="A159" t="s">
        <v>18</v>
      </c>
      <c r="B159" s="37">
        <v>37049</v>
      </c>
      <c r="C159" s="7">
        <v>46</v>
      </c>
      <c r="D159" s="7">
        <v>34</v>
      </c>
    </row>
    <row r="160" spans="1:4" x14ac:dyDescent="0.2">
      <c r="A160" t="s">
        <v>18</v>
      </c>
      <c r="B160" s="37">
        <v>37050</v>
      </c>
      <c r="C160" s="7">
        <v>50</v>
      </c>
      <c r="D160" s="7">
        <v>37</v>
      </c>
    </row>
    <row r="161" spans="1:4" x14ac:dyDescent="0.2">
      <c r="A161" t="s">
        <v>18</v>
      </c>
      <c r="B161" s="37">
        <v>37051</v>
      </c>
      <c r="C161" s="7">
        <v>45</v>
      </c>
      <c r="D161" s="7">
        <v>35</v>
      </c>
    </row>
    <row r="162" spans="1:4" x14ac:dyDescent="0.2">
      <c r="A162" t="s">
        <v>18</v>
      </c>
      <c r="B162" s="37">
        <v>37052</v>
      </c>
      <c r="C162" s="7">
        <v>56</v>
      </c>
      <c r="D162" s="7">
        <v>32</v>
      </c>
    </row>
    <row r="163" spans="1:4" x14ac:dyDescent="0.2">
      <c r="A163" t="s">
        <v>18</v>
      </c>
      <c r="B163" s="37">
        <v>37053</v>
      </c>
      <c r="C163" s="7">
        <v>52</v>
      </c>
      <c r="D163" s="7">
        <v>16</v>
      </c>
    </row>
    <row r="164" spans="1:4" x14ac:dyDescent="0.2">
      <c r="A164" t="s">
        <v>18</v>
      </c>
      <c r="B164" s="37">
        <v>37054</v>
      </c>
      <c r="C164" s="7">
        <v>59</v>
      </c>
      <c r="D164" s="7">
        <v>20</v>
      </c>
    </row>
    <row r="165" spans="1:4" x14ac:dyDescent="0.2">
      <c r="A165" t="s">
        <v>18</v>
      </c>
      <c r="B165" s="37">
        <v>37055</v>
      </c>
      <c r="C165" s="7">
        <v>59</v>
      </c>
      <c r="D165" s="7">
        <v>28</v>
      </c>
    </row>
    <row r="166" spans="1:4" x14ac:dyDescent="0.2">
      <c r="A166" t="s">
        <v>18</v>
      </c>
      <c r="B166" s="37">
        <v>37056</v>
      </c>
      <c r="C166" s="7">
        <v>59</v>
      </c>
      <c r="D166" s="7">
        <v>15</v>
      </c>
    </row>
    <row r="167" spans="1:4" x14ac:dyDescent="0.2">
      <c r="A167" t="s">
        <v>18</v>
      </c>
      <c r="B167" s="37">
        <v>37057</v>
      </c>
      <c r="C167" s="7">
        <v>58</v>
      </c>
      <c r="D167" s="7">
        <v>36</v>
      </c>
    </row>
    <row r="168" spans="1:4" x14ac:dyDescent="0.2">
      <c r="A168" t="s">
        <v>18</v>
      </c>
      <c r="B168" s="37">
        <v>37058</v>
      </c>
      <c r="C168" s="7">
        <v>50</v>
      </c>
      <c r="D168" s="7">
        <v>32</v>
      </c>
    </row>
    <row r="169" spans="1:4" x14ac:dyDescent="0.2">
      <c r="A169" t="s">
        <v>18</v>
      </c>
      <c r="B169" s="37">
        <v>37059</v>
      </c>
      <c r="C169" s="7">
        <v>44</v>
      </c>
      <c r="D169" s="7">
        <v>28</v>
      </c>
    </row>
    <row r="170" spans="1:4" x14ac:dyDescent="0.2">
      <c r="A170" t="s">
        <v>18</v>
      </c>
      <c r="B170" s="37">
        <v>37060</v>
      </c>
      <c r="C170" s="7">
        <v>57</v>
      </c>
      <c r="D170" s="7">
        <v>40</v>
      </c>
    </row>
    <row r="171" spans="1:4" x14ac:dyDescent="0.2">
      <c r="A171" t="s">
        <v>18</v>
      </c>
      <c r="B171" s="37">
        <v>37061</v>
      </c>
      <c r="C171" s="7">
        <v>46</v>
      </c>
      <c r="D171" s="7">
        <v>40</v>
      </c>
    </row>
    <row r="172" spans="1:4" x14ac:dyDescent="0.2">
      <c r="A172" t="s">
        <v>18</v>
      </c>
      <c r="B172" s="37">
        <v>37062</v>
      </c>
      <c r="C172" s="7">
        <v>44</v>
      </c>
      <c r="D172" s="7">
        <v>17</v>
      </c>
    </row>
    <row r="173" spans="1:4" x14ac:dyDescent="0.2">
      <c r="A173" t="s">
        <v>18</v>
      </c>
      <c r="B173" s="37">
        <v>37063</v>
      </c>
      <c r="C173" s="7">
        <v>59</v>
      </c>
      <c r="D173" s="7">
        <v>39</v>
      </c>
    </row>
    <row r="174" spans="1:4" x14ac:dyDescent="0.2">
      <c r="A174" t="s">
        <v>18</v>
      </c>
      <c r="B174" s="37">
        <v>37064</v>
      </c>
      <c r="C174" s="7">
        <v>52</v>
      </c>
      <c r="D174" s="7">
        <v>35</v>
      </c>
    </row>
    <row r="175" spans="1:4" x14ac:dyDescent="0.2">
      <c r="A175" t="s">
        <v>18</v>
      </c>
      <c r="B175" s="37">
        <v>37065</v>
      </c>
      <c r="C175" s="7">
        <v>41</v>
      </c>
      <c r="D175" s="7">
        <v>28</v>
      </c>
    </row>
    <row r="176" spans="1:4" x14ac:dyDescent="0.2">
      <c r="A176" t="s">
        <v>18</v>
      </c>
      <c r="B176" s="37">
        <v>37066</v>
      </c>
      <c r="C176" s="7">
        <v>41</v>
      </c>
      <c r="D176" s="7">
        <v>33</v>
      </c>
    </row>
    <row r="177" spans="1:4" x14ac:dyDescent="0.2">
      <c r="A177" t="s">
        <v>18</v>
      </c>
      <c r="B177" s="37">
        <v>37067</v>
      </c>
      <c r="C177" s="7">
        <v>58</v>
      </c>
      <c r="D177" s="7">
        <v>34</v>
      </c>
    </row>
    <row r="178" spans="1:4" x14ac:dyDescent="0.2">
      <c r="A178" t="s">
        <v>18</v>
      </c>
      <c r="B178" s="37">
        <v>37068</v>
      </c>
      <c r="C178" s="7">
        <v>58</v>
      </c>
      <c r="D178" s="7">
        <v>25</v>
      </c>
    </row>
    <row r="179" spans="1:4" x14ac:dyDescent="0.2">
      <c r="A179" t="s">
        <v>18</v>
      </c>
      <c r="B179" s="37">
        <v>37069</v>
      </c>
      <c r="C179" s="7">
        <v>52</v>
      </c>
      <c r="D179" s="7">
        <v>16</v>
      </c>
    </row>
    <row r="180" spans="1:4" x14ac:dyDescent="0.2">
      <c r="A180" t="s">
        <v>18</v>
      </c>
      <c r="B180" s="37">
        <v>37070</v>
      </c>
      <c r="C180" s="7">
        <v>59</v>
      </c>
      <c r="D180" s="7">
        <v>21</v>
      </c>
    </row>
    <row r="181" spans="1:4" x14ac:dyDescent="0.2">
      <c r="A181" t="s">
        <v>18</v>
      </c>
      <c r="B181" s="37">
        <v>37071</v>
      </c>
      <c r="C181" s="7">
        <v>44</v>
      </c>
      <c r="D181" s="7">
        <v>35</v>
      </c>
    </row>
    <row r="182" spans="1:4" x14ac:dyDescent="0.2">
      <c r="A182" t="s">
        <v>18</v>
      </c>
      <c r="B182" s="37">
        <v>37072</v>
      </c>
      <c r="C182" s="7">
        <v>44</v>
      </c>
      <c r="D182" s="7">
        <v>40</v>
      </c>
    </row>
    <row r="183" spans="1:4" x14ac:dyDescent="0.2">
      <c r="A183" t="s">
        <v>18</v>
      </c>
      <c r="B183" s="37">
        <v>37073</v>
      </c>
      <c r="C183" s="7">
        <v>48</v>
      </c>
      <c r="D183" s="7">
        <v>19</v>
      </c>
    </row>
    <row r="184" spans="1:4" x14ac:dyDescent="0.2">
      <c r="A184" t="s">
        <v>18</v>
      </c>
      <c r="B184" s="37">
        <v>37074</v>
      </c>
      <c r="C184" s="7">
        <v>53</v>
      </c>
      <c r="D184" s="7">
        <v>18</v>
      </c>
    </row>
    <row r="185" spans="1:4" x14ac:dyDescent="0.2">
      <c r="A185" t="s">
        <v>18</v>
      </c>
      <c r="B185" s="37">
        <v>37075</v>
      </c>
      <c r="C185" s="7">
        <v>47</v>
      </c>
      <c r="D185" s="7">
        <v>35</v>
      </c>
    </row>
    <row r="186" spans="1:4" x14ac:dyDescent="0.2">
      <c r="A186" t="s">
        <v>18</v>
      </c>
      <c r="B186" s="37">
        <v>37076</v>
      </c>
      <c r="C186" s="7">
        <v>46</v>
      </c>
      <c r="D186" s="7">
        <v>21</v>
      </c>
    </row>
    <row r="187" spans="1:4" x14ac:dyDescent="0.2">
      <c r="A187" t="s">
        <v>18</v>
      </c>
      <c r="B187" s="37">
        <v>37077</v>
      </c>
      <c r="C187" s="7">
        <v>50</v>
      </c>
      <c r="D187" s="7">
        <v>29</v>
      </c>
    </row>
    <row r="188" spans="1:4" x14ac:dyDescent="0.2">
      <c r="A188" t="s">
        <v>18</v>
      </c>
      <c r="B188" s="37">
        <v>37078</v>
      </c>
      <c r="C188" s="7">
        <v>52</v>
      </c>
      <c r="D188" s="7">
        <v>23</v>
      </c>
    </row>
    <row r="189" spans="1:4" x14ac:dyDescent="0.2">
      <c r="A189" t="s">
        <v>18</v>
      </c>
      <c r="B189" s="37">
        <v>37079</v>
      </c>
      <c r="C189" s="7">
        <v>54</v>
      </c>
      <c r="D189" s="7">
        <v>18</v>
      </c>
    </row>
    <row r="190" spans="1:4" x14ac:dyDescent="0.2">
      <c r="A190" t="s">
        <v>18</v>
      </c>
      <c r="B190" s="37">
        <v>37080</v>
      </c>
      <c r="C190" s="7">
        <v>54</v>
      </c>
      <c r="D190" s="7">
        <v>24</v>
      </c>
    </row>
    <row r="191" spans="1:4" x14ac:dyDescent="0.2">
      <c r="A191" t="s">
        <v>18</v>
      </c>
      <c r="B191" s="37">
        <v>37081</v>
      </c>
      <c r="C191" s="7">
        <v>58</v>
      </c>
      <c r="D191" s="7">
        <v>28</v>
      </c>
    </row>
    <row r="192" spans="1:4" x14ac:dyDescent="0.2">
      <c r="A192" t="s">
        <v>18</v>
      </c>
      <c r="B192" s="37">
        <v>37082</v>
      </c>
      <c r="C192" s="7">
        <v>48</v>
      </c>
      <c r="D192" s="7">
        <v>15</v>
      </c>
    </row>
    <row r="193" spans="1:4" x14ac:dyDescent="0.2">
      <c r="A193" t="s">
        <v>18</v>
      </c>
      <c r="B193" s="37">
        <v>37083</v>
      </c>
      <c r="C193" s="7">
        <v>41</v>
      </c>
      <c r="D193" s="7">
        <v>31</v>
      </c>
    </row>
    <row r="194" spans="1:4" x14ac:dyDescent="0.2">
      <c r="A194" t="s">
        <v>18</v>
      </c>
      <c r="B194" s="37">
        <v>37084</v>
      </c>
      <c r="C194" s="7">
        <v>60</v>
      </c>
      <c r="D194" s="7">
        <v>16</v>
      </c>
    </row>
    <row r="195" spans="1:4" x14ac:dyDescent="0.2">
      <c r="A195" t="s">
        <v>18</v>
      </c>
      <c r="B195" s="37">
        <v>37085</v>
      </c>
      <c r="C195" s="7">
        <v>53</v>
      </c>
      <c r="D195" s="7">
        <v>17</v>
      </c>
    </row>
    <row r="196" spans="1:4" x14ac:dyDescent="0.2">
      <c r="A196" t="s">
        <v>18</v>
      </c>
      <c r="B196" s="37">
        <v>37086</v>
      </c>
      <c r="C196" s="7">
        <v>60</v>
      </c>
      <c r="D196" s="7">
        <v>23</v>
      </c>
    </row>
    <row r="197" spans="1:4" x14ac:dyDescent="0.2">
      <c r="A197" t="s">
        <v>18</v>
      </c>
      <c r="B197" s="37">
        <v>37087</v>
      </c>
      <c r="C197" s="7">
        <v>44</v>
      </c>
      <c r="D197" s="7">
        <v>36</v>
      </c>
    </row>
    <row r="198" spans="1:4" x14ac:dyDescent="0.2">
      <c r="A198" t="s">
        <v>18</v>
      </c>
      <c r="B198" s="37">
        <v>37088</v>
      </c>
      <c r="C198" s="7">
        <v>52</v>
      </c>
      <c r="D198" s="7">
        <v>18</v>
      </c>
    </row>
    <row r="199" spans="1:4" x14ac:dyDescent="0.2">
      <c r="A199" t="s">
        <v>18</v>
      </c>
      <c r="B199" s="37">
        <v>37089</v>
      </c>
      <c r="C199" s="7">
        <v>40</v>
      </c>
      <c r="D199" s="7">
        <v>19</v>
      </c>
    </row>
    <row r="200" spans="1:4" x14ac:dyDescent="0.2">
      <c r="A200" t="s">
        <v>18</v>
      </c>
      <c r="B200" s="37">
        <v>37090</v>
      </c>
      <c r="C200" s="7">
        <v>51</v>
      </c>
      <c r="D200" s="7">
        <v>17</v>
      </c>
    </row>
    <row r="201" spans="1:4" x14ac:dyDescent="0.2">
      <c r="A201" t="s">
        <v>18</v>
      </c>
      <c r="B201" s="37">
        <v>37091</v>
      </c>
      <c r="C201" s="7">
        <v>48</v>
      </c>
      <c r="D201" s="7">
        <v>38</v>
      </c>
    </row>
    <row r="202" spans="1:4" x14ac:dyDescent="0.2">
      <c r="A202" t="s">
        <v>18</v>
      </c>
      <c r="B202" s="37">
        <v>37092</v>
      </c>
      <c r="C202" s="7">
        <v>45</v>
      </c>
      <c r="D202" s="7">
        <v>39</v>
      </c>
    </row>
    <row r="203" spans="1:4" x14ac:dyDescent="0.2">
      <c r="A203" t="s">
        <v>18</v>
      </c>
      <c r="B203" s="37">
        <v>37093</v>
      </c>
      <c r="C203" s="7">
        <v>58</v>
      </c>
      <c r="D203" s="7">
        <v>26</v>
      </c>
    </row>
    <row r="204" spans="1:4" x14ac:dyDescent="0.2">
      <c r="A204" t="s">
        <v>18</v>
      </c>
      <c r="B204" s="37">
        <v>37094</v>
      </c>
      <c r="C204" s="7">
        <v>56</v>
      </c>
      <c r="D204" s="7">
        <v>17</v>
      </c>
    </row>
    <row r="205" spans="1:4" x14ac:dyDescent="0.2">
      <c r="A205" t="s">
        <v>18</v>
      </c>
      <c r="B205" s="37">
        <v>37095</v>
      </c>
      <c r="C205" s="7">
        <v>46</v>
      </c>
      <c r="D205" s="7">
        <v>39</v>
      </c>
    </row>
    <row r="206" spans="1:4" x14ac:dyDescent="0.2">
      <c r="A206" t="s">
        <v>18</v>
      </c>
      <c r="B206" s="37">
        <v>37096</v>
      </c>
      <c r="C206" s="7">
        <v>58</v>
      </c>
      <c r="D206" s="7">
        <v>37</v>
      </c>
    </row>
    <row r="207" spans="1:4" x14ac:dyDescent="0.2">
      <c r="A207" t="s">
        <v>18</v>
      </c>
      <c r="B207" s="37">
        <v>37097</v>
      </c>
      <c r="C207" s="7">
        <v>51</v>
      </c>
      <c r="D207" s="7">
        <v>38</v>
      </c>
    </row>
    <row r="208" spans="1:4" x14ac:dyDescent="0.2">
      <c r="A208" t="s">
        <v>18</v>
      </c>
      <c r="B208" s="37">
        <v>37098</v>
      </c>
      <c r="C208" s="7">
        <v>44</v>
      </c>
      <c r="D208" s="7">
        <v>23</v>
      </c>
    </row>
    <row r="209" spans="1:4" x14ac:dyDescent="0.2">
      <c r="A209" t="s">
        <v>18</v>
      </c>
      <c r="B209" s="37">
        <v>37099</v>
      </c>
      <c r="C209" s="7">
        <v>55</v>
      </c>
      <c r="D209" s="7">
        <v>16</v>
      </c>
    </row>
    <row r="210" spans="1:4" x14ac:dyDescent="0.2">
      <c r="A210" t="s">
        <v>18</v>
      </c>
      <c r="B210" s="37">
        <v>37100</v>
      </c>
      <c r="C210" s="7">
        <v>48</v>
      </c>
      <c r="D210" s="7">
        <v>23</v>
      </c>
    </row>
    <row r="211" spans="1:4" x14ac:dyDescent="0.2">
      <c r="A211" t="s">
        <v>18</v>
      </c>
      <c r="B211" s="37">
        <v>37101</v>
      </c>
      <c r="C211" s="7">
        <v>55</v>
      </c>
      <c r="D211" s="7">
        <v>21</v>
      </c>
    </row>
    <row r="212" spans="1:4" x14ac:dyDescent="0.2">
      <c r="A212" t="s">
        <v>18</v>
      </c>
      <c r="B212" s="37">
        <v>37102</v>
      </c>
      <c r="C212" s="7">
        <v>43</v>
      </c>
      <c r="D212" s="7">
        <v>19</v>
      </c>
    </row>
    <row r="213" spans="1:4" x14ac:dyDescent="0.2">
      <c r="A213" t="s">
        <v>18</v>
      </c>
      <c r="B213" s="37">
        <v>37103</v>
      </c>
      <c r="C213" s="7">
        <v>54</v>
      </c>
      <c r="D213" s="7">
        <v>27</v>
      </c>
    </row>
    <row r="214" spans="1:4" x14ac:dyDescent="0.2">
      <c r="A214" t="s">
        <v>18</v>
      </c>
      <c r="B214" s="37">
        <v>37104</v>
      </c>
      <c r="C214" s="7">
        <v>59</v>
      </c>
      <c r="D214" s="7">
        <v>26</v>
      </c>
    </row>
    <row r="215" spans="1:4" x14ac:dyDescent="0.2">
      <c r="A215" t="s">
        <v>18</v>
      </c>
      <c r="B215" s="37">
        <v>37105</v>
      </c>
      <c r="C215" s="7">
        <v>45</v>
      </c>
      <c r="D215" s="7">
        <v>20</v>
      </c>
    </row>
    <row r="216" spans="1:4" x14ac:dyDescent="0.2">
      <c r="A216" t="s">
        <v>18</v>
      </c>
      <c r="B216" s="37">
        <v>37106</v>
      </c>
      <c r="C216" s="7">
        <v>54</v>
      </c>
      <c r="D216" s="7">
        <v>25</v>
      </c>
    </row>
    <row r="217" spans="1:4" x14ac:dyDescent="0.2">
      <c r="A217" t="s">
        <v>18</v>
      </c>
      <c r="B217" s="37">
        <v>37107</v>
      </c>
      <c r="C217" s="7">
        <v>49</v>
      </c>
      <c r="D217" s="7">
        <v>30</v>
      </c>
    </row>
    <row r="218" spans="1:4" x14ac:dyDescent="0.2">
      <c r="A218" t="s">
        <v>18</v>
      </c>
      <c r="B218" s="37">
        <v>37108</v>
      </c>
      <c r="C218" s="7">
        <v>52</v>
      </c>
      <c r="D218" s="7">
        <v>16</v>
      </c>
    </row>
    <row r="219" spans="1:4" x14ac:dyDescent="0.2">
      <c r="A219" t="s">
        <v>18</v>
      </c>
      <c r="B219" s="37">
        <v>37109</v>
      </c>
      <c r="C219" s="7">
        <v>44</v>
      </c>
      <c r="D219" s="7">
        <v>21</v>
      </c>
    </row>
    <row r="220" spans="1:4" x14ac:dyDescent="0.2">
      <c r="A220" t="s">
        <v>18</v>
      </c>
      <c r="B220" s="37">
        <v>37110</v>
      </c>
      <c r="C220" s="7">
        <v>53</v>
      </c>
      <c r="D220" s="7">
        <v>23</v>
      </c>
    </row>
    <row r="221" spans="1:4" x14ac:dyDescent="0.2">
      <c r="A221" t="s">
        <v>18</v>
      </c>
      <c r="B221" s="37">
        <v>37111</v>
      </c>
      <c r="C221" s="7">
        <v>53</v>
      </c>
      <c r="D221" s="7">
        <v>35</v>
      </c>
    </row>
    <row r="222" spans="1:4" x14ac:dyDescent="0.2">
      <c r="A222" t="s">
        <v>18</v>
      </c>
      <c r="B222" s="37">
        <v>37112</v>
      </c>
      <c r="C222" s="7">
        <v>60</v>
      </c>
      <c r="D222" s="7">
        <v>27</v>
      </c>
    </row>
    <row r="223" spans="1:4" x14ac:dyDescent="0.2">
      <c r="A223" t="s">
        <v>18</v>
      </c>
      <c r="B223" s="37">
        <v>37113</v>
      </c>
      <c r="C223" s="7">
        <v>44</v>
      </c>
      <c r="D223" s="7">
        <v>19</v>
      </c>
    </row>
    <row r="224" spans="1:4" x14ac:dyDescent="0.2">
      <c r="A224" t="s">
        <v>18</v>
      </c>
      <c r="B224" s="37">
        <v>37114</v>
      </c>
      <c r="C224" s="7">
        <v>54</v>
      </c>
      <c r="D224" s="7">
        <v>30</v>
      </c>
    </row>
    <row r="225" spans="1:4" x14ac:dyDescent="0.2">
      <c r="A225" t="s">
        <v>18</v>
      </c>
      <c r="B225" s="37">
        <v>37115</v>
      </c>
      <c r="C225" s="7">
        <v>54</v>
      </c>
      <c r="D225" s="7">
        <v>18</v>
      </c>
    </row>
    <row r="226" spans="1:4" x14ac:dyDescent="0.2">
      <c r="A226" t="s">
        <v>18</v>
      </c>
      <c r="B226" s="37">
        <v>37116</v>
      </c>
      <c r="C226" s="7">
        <v>42</v>
      </c>
      <c r="D226" s="7">
        <v>30</v>
      </c>
    </row>
    <row r="227" spans="1:4" x14ac:dyDescent="0.2">
      <c r="A227" t="s">
        <v>18</v>
      </c>
      <c r="B227" s="37">
        <v>37117</v>
      </c>
      <c r="C227" s="7">
        <v>58</v>
      </c>
      <c r="D227" s="7">
        <v>17</v>
      </c>
    </row>
    <row r="228" spans="1:4" x14ac:dyDescent="0.2">
      <c r="A228" t="s">
        <v>18</v>
      </c>
      <c r="B228" s="37">
        <v>37118</v>
      </c>
      <c r="C228" s="7">
        <v>48</v>
      </c>
      <c r="D228" s="7">
        <v>31</v>
      </c>
    </row>
    <row r="229" spans="1:4" x14ac:dyDescent="0.2">
      <c r="A229" t="s">
        <v>18</v>
      </c>
      <c r="B229" s="37">
        <v>37119</v>
      </c>
      <c r="C229" s="7">
        <v>43</v>
      </c>
      <c r="D229" s="7">
        <v>27</v>
      </c>
    </row>
    <row r="230" spans="1:4" x14ac:dyDescent="0.2">
      <c r="A230" t="s">
        <v>18</v>
      </c>
      <c r="B230" s="37">
        <v>37120</v>
      </c>
      <c r="C230" s="7">
        <v>41</v>
      </c>
      <c r="D230" s="7">
        <v>25</v>
      </c>
    </row>
    <row r="231" spans="1:4" x14ac:dyDescent="0.2">
      <c r="A231" t="s">
        <v>18</v>
      </c>
      <c r="B231" s="37">
        <v>37121</v>
      </c>
      <c r="C231" s="7">
        <v>49</v>
      </c>
      <c r="D231" s="7">
        <v>30</v>
      </c>
    </row>
    <row r="232" spans="1:4" x14ac:dyDescent="0.2">
      <c r="A232" t="s">
        <v>18</v>
      </c>
      <c r="B232" s="37">
        <v>37122</v>
      </c>
      <c r="C232" s="7">
        <v>47</v>
      </c>
      <c r="D232" s="7">
        <v>24</v>
      </c>
    </row>
    <row r="233" spans="1:4" x14ac:dyDescent="0.2">
      <c r="A233" t="s">
        <v>18</v>
      </c>
      <c r="B233" s="37">
        <v>37123</v>
      </c>
      <c r="C233" s="7">
        <v>47</v>
      </c>
      <c r="D233" s="7">
        <v>38</v>
      </c>
    </row>
    <row r="234" spans="1:4" x14ac:dyDescent="0.2">
      <c r="A234" t="s">
        <v>18</v>
      </c>
      <c r="B234" s="37">
        <v>37124</v>
      </c>
      <c r="C234" s="7">
        <v>43</v>
      </c>
      <c r="D234" s="7">
        <v>40</v>
      </c>
    </row>
    <row r="235" spans="1:4" x14ac:dyDescent="0.2">
      <c r="A235" t="s">
        <v>18</v>
      </c>
      <c r="B235" s="37">
        <v>37125</v>
      </c>
      <c r="C235" s="7">
        <v>42</v>
      </c>
      <c r="D235" s="7">
        <v>19</v>
      </c>
    </row>
    <row r="236" spans="1:4" x14ac:dyDescent="0.2">
      <c r="A236" t="s">
        <v>18</v>
      </c>
      <c r="B236" s="37">
        <v>37126</v>
      </c>
      <c r="C236" s="7">
        <v>56</v>
      </c>
      <c r="D236" s="7">
        <v>20</v>
      </c>
    </row>
    <row r="237" spans="1:4" x14ac:dyDescent="0.2">
      <c r="A237" t="s">
        <v>18</v>
      </c>
      <c r="B237" s="37">
        <v>37127</v>
      </c>
      <c r="C237" s="7">
        <v>46</v>
      </c>
      <c r="D237" s="7">
        <v>26</v>
      </c>
    </row>
    <row r="238" spans="1:4" x14ac:dyDescent="0.2">
      <c r="A238" t="s">
        <v>18</v>
      </c>
      <c r="B238" s="37">
        <v>37128</v>
      </c>
      <c r="C238" s="7">
        <v>43</v>
      </c>
      <c r="D238" s="7">
        <v>18</v>
      </c>
    </row>
    <row r="239" spans="1:4" x14ac:dyDescent="0.2">
      <c r="A239" t="s">
        <v>18</v>
      </c>
      <c r="B239" s="37">
        <v>37129</v>
      </c>
      <c r="C239" s="7">
        <v>56</v>
      </c>
      <c r="D239" s="7">
        <v>36</v>
      </c>
    </row>
    <row r="240" spans="1:4" x14ac:dyDescent="0.2">
      <c r="A240" t="s">
        <v>18</v>
      </c>
      <c r="B240" s="37">
        <v>37130</v>
      </c>
      <c r="C240" s="7">
        <v>57</v>
      </c>
      <c r="D240" s="7">
        <v>20</v>
      </c>
    </row>
    <row r="241" spans="1:4" x14ac:dyDescent="0.2">
      <c r="A241" t="s">
        <v>18</v>
      </c>
      <c r="B241" s="37">
        <v>37131</v>
      </c>
      <c r="C241" s="7">
        <v>44</v>
      </c>
      <c r="D241" s="7">
        <v>34</v>
      </c>
    </row>
    <row r="242" spans="1:4" x14ac:dyDescent="0.2">
      <c r="A242" t="s">
        <v>18</v>
      </c>
      <c r="B242" s="37">
        <v>37132</v>
      </c>
      <c r="C242" s="7">
        <v>40</v>
      </c>
      <c r="D242" s="7">
        <v>24</v>
      </c>
    </row>
    <row r="243" spans="1:4" x14ac:dyDescent="0.2">
      <c r="A243" t="s">
        <v>18</v>
      </c>
      <c r="B243" s="37">
        <v>37133</v>
      </c>
      <c r="C243" s="7">
        <v>42</v>
      </c>
      <c r="D243" s="7">
        <v>17</v>
      </c>
    </row>
    <row r="244" spans="1:4" x14ac:dyDescent="0.2">
      <c r="A244" t="s">
        <v>18</v>
      </c>
      <c r="B244" s="37">
        <v>37134</v>
      </c>
      <c r="C244" s="7">
        <v>42</v>
      </c>
      <c r="D244" s="7">
        <v>29</v>
      </c>
    </row>
    <row r="245" spans="1:4" x14ac:dyDescent="0.2">
      <c r="A245" t="s">
        <v>18</v>
      </c>
      <c r="B245" s="37">
        <v>37135</v>
      </c>
      <c r="C245" s="7">
        <v>45</v>
      </c>
      <c r="D245" s="7">
        <v>30</v>
      </c>
    </row>
    <row r="246" spans="1:4" x14ac:dyDescent="0.2">
      <c r="A246" t="s">
        <v>18</v>
      </c>
      <c r="B246" s="37">
        <v>37136</v>
      </c>
      <c r="C246" s="7">
        <v>57</v>
      </c>
      <c r="D246" s="7">
        <v>17</v>
      </c>
    </row>
    <row r="247" spans="1:4" x14ac:dyDescent="0.2">
      <c r="A247" t="s">
        <v>18</v>
      </c>
      <c r="B247" s="37">
        <v>37137</v>
      </c>
      <c r="C247" s="7">
        <v>59</v>
      </c>
      <c r="D247" s="7">
        <v>27</v>
      </c>
    </row>
    <row r="248" spans="1:4" x14ac:dyDescent="0.2">
      <c r="A248" t="s">
        <v>18</v>
      </c>
      <c r="B248" s="37">
        <v>37138</v>
      </c>
      <c r="C248" s="7">
        <v>51</v>
      </c>
      <c r="D248" s="7">
        <v>26</v>
      </c>
    </row>
    <row r="249" spans="1:4" x14ac:dyDescent="0.2">
      <c r="A249" t="s">
        <v>18</v>
      </c>
      <c r="B249" s="37">
        <v>37139</v>
      </c>
      <c r="C249" s="7">
        <v>40</v>
      </c>
      <c r="D249" s="7">
        <v>29</v>
      </c>
    </row>
    <row r="250" spans="1:4" x14ac:dyDescent="0.2">
      <c r="A250" t="s">
        <v>18</v>
      </c>
      <c r="B250" s="37">
        <v>37140</v>
      </c>
      <c r="C250" s="7">
        <v>46</v>
      </c>
      <c r="D250" s="7">
        <v>33</v>
      </c>
    </row>
    <row r="251" spans="1:4" x14ac:dyDescent="0.2">
      <c r="A251" t="s">
        <v>18</v>
      </c>
      <c r="B251" s="37">
        <v>37141</v>
      </c>
      <c r="C251" s="7">
        <v>50</v>
      </c>
      <c r="D251" s="7">
        <v>15</v>
      </c>
    </row>
    <row r="252" spans="1:4" x14ac:dyDescent="0.2">
      <c r="A252" t="s">
        <v>18</v>
      </c>
      <c r="B252" s="37">
        <v>37142</v>
      </c>
      <c r="C252" s="7">
        <v>50</v>
      </c>
      <c r="D252" s="7">
        <v>39</v>
      </c>
    </row>
    <row r="253" spans="1:4" x14ac:dyDescent="0.2">
      <c r="A253" t="s">
        <v>18</v>
      </c>
      <c r="B253" s="37">
        <v>37143</v>
      </c>
      <c r="C253" s="7">
        <v>50</v>
      </c>
      <c r="D253" s="7">
        <v>39</v>
      </c>
    </row>
    <row r="254" spans="1:4" x14ac:dyDescent="0.2">
      <c r="A254" t="s">
        <v>18</v>
      </c>
      <c r="B254" s="37">
        <v>37144</v>
      </c>
      <c r="C254" s="7">
        <v>59</v>
      </c>
      <c r="D254" s="7">
        <v>27</v>
      </c>
    </row>
    <row r="255" spans="1:4" x14ac:dyDescent="0.2">
      <c r="A255" t="s">
        <v>18</v>
      </c>
      <c r="B255" s="37">
        <v>37145</v>
      </c>
      <c r="C255" s="7">
        <v>48</v>
      </c>
      <c r="D255" s="7">
        <v>30</v>
      </c>
    </row>
    <row r="256" spans="1:4" x14ac:dyDescent="0.2">
      <c r="A256" t="s">
        <v>18</v>
      </c>
      <c r="B256" s="37">
        <v>37146</v>
      </c>
      <c r="C256" s="7">
        <v>52</v>
      </c>
      <c r="D256" s="7">
        <v>25</v>
      </c>
    </row>
    <row r="257" spans="1:4" x14ac:dyDescent="0.2">
      <c r="A257" t="s">
        <v>18</v>
      </c>
      <c r="B257" s="37">
        <v>37147</v>
      </c>
      <c r="C257" s="7">
        <v>42</v>
      </c>
      <c r="D257" s="7">
        <v>35</v>
      </c>
    </row>
    <row r="258" spans="1:4" x14ac:dyDescent="0.2">
      <c r="A258" t="s">
        <v>18</v>
      </c>
      <c r="B258" s="37">
        <v>37148</v>
      </c>
      <c r="C258" s="7">
        <v>56</v>
      </c>
      <c r="D258" s="7">
        <v>15</v>
      </c>
    </row>
    <row r="259" spans="1:4" x14ac:dyDescent="0.2">
      <c r="A259" t="s">
        <v>18</v>
      </c>
      <c r="B259" s="37">
        <v>37149</v>
      </c>
      <c r="C259" s="7">
        <v>53</v>
      </c>
      <c r="D259" s="7">
        <v>38</v>
      </c>
    </row>
    <row r="260" spans="1:4" x14ac:dyDescent="0.2">
      <c r="A260" t="s">
        <v>18</v>
      </c>
      <c r="B260" s="37">
        <v>37150</v>
      </c>
      <c r="C260" s="7">
        <v>53</v>
      </c>
      <c r="D260" s="7">
        <v>31</v>
      </c>
    </row>
    <row r="261" spans="1:4" x14ac:dyDescent="0.2">
      <c r="A261" t="s">
        <v>18</v>
      </c>
      <c r="B261" s="37">
        <v>37151</v>
      </c>
      <c r="C261" s="7">
        <v>41</v>
      </c>
      <c r="D261" s="7">
        <v>17</v>
      </c>
    </row>
    <row r="262" spans="1:4" x14ac:dyDescent="0.2">
      <c r="A262" t="s">
        <v>18</v>
      </c>
      <c r="B262" s="37">
        <v>37152</v>
      </c>
      <c r="C262" s="7">
        <v>60</v>
      </c>
      <c r="D262" s="7">
        <v>26</v>
      </c>
    </row>
    <row r="263" spans="1:4" x14ac:dyDescent="0.2">
      <c r="A263" t="s">
        <v>18</v>
      </c>
      <c r="B263" s="37">
        <v>37153</v>
      </c>
      <c r="C263" s="7">
        <v>56</v>
      </c>
      <c r="D263" s="7">
        <v>32</v>
      </c>
    </row>
    <row r="264" spans="1:4" x14ac:dyDescent="0.2">
      <c r="A264" t="s">
        <v>18</v>
      </c>
      <c r="B264" s="37">
        <v>37154</v>
      </c>
      <c r="C264" s="7">
        <v>52</v>
      </c>
      <c r="D264" s="7">
        <v>39</v>
      </c>
    </row>
    <row r="265" spans="1:4" x14ac:dyDescent="0.2">
      <c r="A265" t="s">
        <v>18</v>
      </c>
      <c r="B265" s="37">
        <v>37155</v>
      </c>
      <c r="C265" s="7">
        <v>52</v>
      </c>
      <c r="D265" s="7">
        <v>33</v>
      </c>
    </row>
    <row r="266" spans="1:4" x14ac:dyDescent="0.2">
      <c r="A266" t="s">
        <v>18</v>
      </c>
      <c r="B266" s="37">
        <v>37156</v>
      </c>
      <c r="C266" s="7">
        <v>53</v>
      </c>
      <c r="D266" s="7">
        <v>30</v>
      </c>
    </row>
    <row r="267" spans="1:4" x14ac:dyDescent="0.2">
      <c r="A267" t="s">
        <v>18</v>
      </c>
      <c r="B267" s="37">
        <v>37157</v>
      </c>
      <c r="C267" s="7">
        <v>58</v>
      </c>
      <c r="D267" s="7">
        <v>26</v>
      </c>
    </row>
    <row r="268" spans="1:4" x14ac:dyDescent="0.2">
      <c r="A268" t="s">
        <v>18</v>
      </c>
      <c r="B268" s="37">
        <v>37158</v>
      </c>
      <c r="C268" s="7">
        <v>45</v>
      </c>
      <c r="D268" s="7">
        <v>26</v>
      </c>
    </row>
    <row r="269" spans="1:4" x14ac:dyDescent="0.2">
      <c r="A269" t="s">
        <v>18</v>
      </c>
      <c r="B269" s="37">
        <v>37159</v>
      </c>
      <c r="C269" s="7">
        <v>40</v>
      </c>
      <c r="D269" s="7">
        <v>15</v>
      </c>
    </row>
    <row r="270" spans="1:4" x14ac:dyDescent="0.2">
      <c r="A270" t="s">
        <v>18</v>
      </c>
      <c r="B270" s="37">
        <v>37160</v>
      </c>
      <c r="C270" s="7">
        <v>60</v>
      </c>
      <c r="D270" s="7">
        <v>27</v>
      </c>
    </row>
    <row r="271" spans="1:4" x14ac:dyDescent="0.2">
      <c r="A271" t="s">
        <v>18</v>
      </c>
      <c r="B271" s="37">
        <v>37161</v>
      </c>
      <c r="C271" s="7">
        <v>42</v>
      </c>
      <c r="D271" s="7">
        <v>22</v>
      </c>
    </row>
    <row r="272" spans="1:4" x14ac:dyDescent="0.2">
      <c r="A272" t="s">
        <v>18</v>
      </c>
      <c r="B272" s="37">
        <v>37162</v>
      </c>
      <c r="C272" s="7">
        <v>49</v>
      </c>
      <c r="D272" s="7">
        <v>37</v>
      </c>
    </row>
    <row r="273" spans="1:4" x14ac:dyDescent="0.2">
      <c r="A273" t="s">
        <v>18</v>
      </c>
      <c r="B273" s="37">
        <v>37163</v>
      </c>
      <c r="C273" s="7">
        <v>60</v>
      </c>
      <c r="D273" s="7">
        <v>32</v>
      </c>
    </row>
    <row r="274" spans="1:4" x14ac:dyDescent="0.2">
      <c r="A274" t="s">
        <v>18</v>
      </c>
      <c r="B274" s="37">
        <v>37164</v>
      </c>
      <c r="C274" s="7">
        <v>50</v>
      </c>
      <c r="D274" s="7">
        <v>18</v>
      </c>
    </row>
    <row r="275" spans="1:4" x14ac:dyDescent="0.2">
      <c r="A275" t="s">
        <v>18</v>
      </c>
      <c r="B275" s="37">
        <v>37165</v>
      </c>
      <c r="C275" s="7">
        <v>50</v>
      </c>
      <c r="D275" s="7">
        <v>15</v>
      </c>
    </row>
    <row r="276" spans="1:4" x14ac:dyDescent="0.2">
      <c r="A276" t="s">
        <v>18</v>
      </c>
      <c r="B276" s="37">
        <v>37166</v>
      </c>
      <c r="C276" s="7">
        <v>48</v>
      </c>
      <c r="D276" s="7">
        <v>28</v>
      </c>
    </row>
    <row r="277" spans="1:4" x14ac:dyDescent="0.2">
      <c r="A277" t="s">
        <v>18</v>
      </c>
      <c r="B277" s="37">
        <v>37167</v>
      </c>
      <c r="C277" s="7">
        <v>42</v>
      </c>
      <c r="D277" s="7">
        <v>38</v>
      </c>
    </row>
    <row r="278" spans="1:4" x14ac:dyDescent="0.2">
      <c r="A278" t="s">
        <v>18</v>
      </c>
      <c r="B278" s="37">
        <v>37168</v>
      </c>
      <c r="C278" s="7">
        <v>48</v>
      </c>
      <c r="D278" s="7">
        <v>21</v>
      </c>
    </row>
    <row r="279" spans="1:4" x14ac:dyDescent="0.2">
      <c r="A279" t="s">
        <v>18</v>
      </c>
      <c r="B279" s="37">
        <v>37169</v>
      </c>
      <c r="C279" s="7">
        <v>46</v>
      </c>
      <c r="D279" s="7">
        <v>22</v>
      </c>
    </row>
    <row r="280" spans="1:4" x14ac:dyDescent="0.2">
      <c r="A280" t="s">
        <v>18</v>
      </c>
      <c r="B280" s="37">
        <v>37170</v>
      </c>
      <c r="C280" s="7">
        <v>42</v>
      </c>
      <c r="D280" s="7">
        <v>15</v>
      </c>
    </row>
    <row r="281" spans="1:4" x14ac:dyDescent="0.2">
      <c r="A281" t="s">
        <v>18</v>
      </c>
      <c r="B281" s="37">
        <v>37171</v>
      </c>
      <c r="C281" s="7">
        <v>52</v>
      </c>
      <c r="D281" s="7">
        <v>31</v>
      </c>
    </row>
    <row r="282" spans="1:4" x14ac:dyDescent="0.2">
      <c r="A282" t="s">
        <v>18</v>
      </c>
      <c r="B282" s="37">
        <v>37172</v>
      </c>
      <c r="C282" s="7">
        <v>56</v>
      </c>
      <c r="D282" s="7">
        <v>16</v>
      </c>
    </row>
    <row r="283" spans="1:4" x14ac:dyDescent="0.2">
      <c r="A283" t="s">
        <v>18</v>
      </c>
      <c r="B283" s="37">
        <v>37173</v>
      </c>
      <c r="C283" s="7">
        <v>55</v>
      </c>
      <c r="D283" s="7">
        <v>16</v>
      </c>
    </row>
    <row r="284" spans="1:4" x14ac:dyDescent="0.2">
      <c r="A284" t="s">
        <v>18</v>
      </c>
      <c r="B284" s="37">
        <v>37174</v>
      </c>
      <c r="C284" s="7">
        <v>48</v>
      </c>
      <c r="D284" s="7">
        <v>24</v>
      </c>
    </row>
    <row r="285" spans="1:4" x14ac:dyDescent="0.2">
      <c r="A285" t="s">
        <v>18</v>
      </c>
      <c r="B285" s="37">
        <v>37175</v>
      </c>
      <c r="C285" s="7">
        <v>60</v>
      </c>
      <c r="D285" s="7">
        <v>28</v>
      </c>
    </row>
    <row r="286" spans="1:4" x14ac:dyDescent="0.2">
      <c r="A286" t="s">
        <v>18</v>
      </c>
      <c r="B286" s="37">
        <v>37176</v>
      </c>
      <c r="C286" s="7">
        <v>52</v>
      </c>
      <c r="D286" s="7">
        <v>39</v>
      </c>
    </row>
    <row r="287" spans="1:4" x14ac:dyDescent="0.2">
      <c r="A287" t="s">
        <v>18</v>
      </c>
      <c r="B287" s="37">
        <v>37177</v>
      </c>
      <c r="C287" s="7">
        <v>49</v>
      </c>
      <c r="D287" s="7">
        <v>22</v>
      </c>
    </row>
    <row r="288" spans="1:4" x14ac:dyDescent="0.2">
      <c r="A288" t="s">
        <v>18</v>
      </c>
      <c r="B288" s="37">
        <v>37178</v>
      </c>
      <c r="C288" s="7">
        <v>47</v>
      </c>
      <c r="D288" s="7">
        <v>18</v>
      </c>
    </row>
    <row r="289" spans="1:4" x14ac:dyDescent="0.2">
      <c r="A289" t="s">
        <v>18</v>
      </c>
      <c r="B289" s="37">
        <v>37179</v>
      </c>
      <c r="C289" s="7">
        <v>45</v>
      </c>
      <c r="D289" s="7">
        <v>28</v>
      </c>
    </row>
    <row r="290" spans="1:4" x14ac:dyDescent="0.2">
      <c r="A290" t="s">
        <v>18</v>
      </c>
      <c r="B290" s="37">
        <v>37180</v>
      </c>
      <c r="C290" s="7">
        <v>47</v>
      </c>
      <c r="D290" s="7">
        <v>20</v>
      </c>
    </row>
    <row r="291" spans="1:4" x14ac:dyDescent="0.2">
      <c r="A291" t="s">
        <v>18</v>
      </c>
      <c r="B291" s="37">
        <v>37181</v>
      </c>
      <c r="C291" s="7">
        <v>51</v>
      </c>
      <c r="D291" s="7">
        <v>33</v>
      </c>
    </row>
    <row r="292" spans="1:4" x14ac:dyDescent="0.2">
      <c r="A292" t="s">
        <v>18</v>
      </c>
      <c r="B292" s="37">
        <v>37182</v>
      </c>
      <c r="C292" s="7">
        <v>50</v>
      </c>
      <c r="D292" s="7">
        <v>37</v>
      </c>
    </row>
    <row r="293" spans="1:4" x14ac:dyDescent="0.2">
      <c r="A293" t="s">
        <v>18</v>
      </c>
      <c r="B293" s="37">
        <v>37183</v>
      </c>
      <c r="C293" s="7">
        <v>50</v>
      </c>
      <c r="D293" s="7">
        <v>26</v>
      </c>
    </row>
    <row r="294" spans="1:4" x14ac:dyDescent="0.2">
      <c r="A294" t="s">
        <v>18</v>
      </c>
      <c r="B294" s="37">
        <v>37184</v>
      </c>
      <c r="C294" s="7">
        <v>58</v>
      </c>
      <c r="D294" s="7">
        <v>23</v>
      </c>
    </row>
    <row r="295" spans="1:4" x14ac:dyDescent="0.2">
      <c r="A295" t="s">
        <v>18</v>
      </c>
      <c r="B295" s="37">
        <v>37185</v>
      </c>
      <c r="C295" s="7">
        <v>43</v>
      </c>
      <c r="D295" s="7">
        <v>40</v>
      </c>
    </row>
    <row r="296" spans="1:4" x14ac:dyDescent="0.2">
      <c r="A296" t="s">
        <v>18</v>
      </c>
      <c r="B296" s="37">
        <v>37186</v>
      </c>
      <c r="C296" s="7">
        <v>56</v>
      </c>
      <c r="D296" s="7">
        <v>31</v>
      </c>
    </row>
    <row r="297" spans="1:4" x14ac:dyDescent="0.2">
      <c r="A297" t="s">
        <v>18</v>
      </c>
      <c r="B297" s="37">
        <v>37187</v>
      </c>
      <c r="C297" s="7">
        <v>45</v>
      </c>
      <c r="D297" s="7">
        <v>21</v>
      </c>
    </row>
    <row r="298" spans="1:4" x14ac:dyDescent="0.2">
      <c r="A298" t="s">
        <v>18</v>
      </c>
      <c r="B298" s="37">
        <v>37188</v>
      </c>
      <c r="C298" s="7">
        <v>41</v>
      </c>
      <c r="D298" s="7">
        <v>27</v>
      </c>
    </row>
    <row r="299" spans="1:4" x14ac:dyDescent="0.2">
      <c r="A299" t="s">
        <v>18</v>
      </c>
      <c r="B299" s="37">
        <v>37189</v>
      </c>
      <c r="C299" s="7">
        <v>52</v>
      </c>
      <c r="D299" s="7">
        <v>36</v>
      </c>
    </row>
    <row r="300" spans="1:4" x14ac:dyDescent="0.2">
      <c r="A300" t="s">
        <v>18</v>
      </c>
      <c r="B300" s="37">
        <v>37190</v>
      </c>
      <c r="C300" s="7">
        <v>59</v>
      </c>
      <c r="D300" s="7">
        <v>19</v>
      </c>
    </row>
    <row r="301" spans="1:4" x14ac:dyDescent="0.2">
      <c r="A301" t="s">
        <v>18</v>
      </c>
      <c r="B301" s="37">
        <v>37191</v>
      </c>
      <c r="C301" s="7">
        <v>55</v>
      </c>
      <c r="D301" s="7">
        <v>32</v>
      </c>
    </row>
    <row r="302" spans="1:4" x14ac:dyDescent="0.2">
      <c r="A302" t="s">
        <v>18</v>
      </c>
      <c r="B302" s="37">
        <v>37192</v>
      </c>
      <c r="C302" s="7">
        <v>50</v>
      </c>
      <c r="D302" s="7">
        <v>34</v>
      </c>
    </row>
    <row r="303" spans="1:4" x14ac:dyDescent="0.2">
      <c r="A303" t="s">
        <v>18</v>
      </c>
      <c r="B303" s="37">
        <v>37193</v>
      </c>
      <c r="C303" s="7">
        <v>60</v>
      </c>
      <c r="D303" s="7">
        <v>34</v>
      </c>
    </row>
    <row r="304" spans="1:4" x14ac:dyDescent="0.2">
      <c r="A304" t="s">
        <v>18</v>
      </c>
      <c r="B304" s="37">
        <v>37194</v>
      </c>
      <c r="C304" s="7">
        <v>59</v>
      </c>
      <c r="D304" s="7">
        <v>31</v>
      </c>
    </row>
    <row r="305" spans="1:4" x14ac:dyDescent="0.2">
      <c r="A305" t="s">
        <v>18</v>
      </c>
      <c r="B305" s="37">
        <v>37195</v>
      </c>
      <c r="C305" s="7">
        <v>46</v>
      </c>
      <c r="D305" s="7">
        <v>22</v>
      </c>
    </row>
    <row r="306" spans="1:4" x14ac:dyDescent="0.2">
      <c r="A306" t="s">
        <v>18</v>
      </c>
      <c r="B306" s="37">
        <v>37196</v>
      </c>
      <c r="C306" s="7">
        <v>46</v>
      </c>
      <c r="D306" s="7">
        <v>23</v>
      </c>
    </row>
    <row r="307" spans="1:4" x14ac:dyDescent="0.2">
      <c r="A307" t="s">
        <v>18</v>
      </c>
      <c r="B307" s="37">
        <v>37197</v>
      </c>
      <c r="C307" s="7">
        <v>47</v>
      </c>
      <c r="D307" s="7">
        <v>24</v>
      </c>
    </row>
    <row r="308" spans="1:4" x14ac:dyDescent="0.2">
      <c r="A308" t="s">
        <v>18</v>
      </c>
      <c r="B308" s="37">
        <v>37198</v>
      </c>
      <c r="C308" s="7">
        <v>42</v>
      </c>
      <c r="D308" s="7">
        <v>33</v>
      </c>
    </row>
    <row r="309" spans="1:4" x14ac:dyDescent="0.2">
      <c r="A309" t="s">
        <v>18</v>
      </c>
      <c r="B309" s="37">
        <v>37199</v>
      </c>
      <c r="C309" s="7">
        <v>54</v>
      </c>
      <c r="D309" s="7">
        <v>22</v>
      </c>
    </row>
    <row r="310" spans="1:4" x14ac:dyDescent="0.2">
      <c r="A310" t="s">
        <v>18</v>
      </c>
      <c r="B310" s="37">
        <v>37200</v>
      </c>
      <c r="C310" s="7">
        <v>50</v>
      </c>
      <c r="D310" s="7">
        <v>15</v>
      </c>
    </row>
    <row r="311" spans="1:4" x14ac:dyDescent="0.2">
      <c r="A311" t="s">
        <v>18</v>
      </c>
      <c r="B311" s="37">
        <v>37201</v>
      </c>
      <c r="C311" s="7">
        <v>46</v>
      </c>
      <c r="D311" s="7">
        <v>28</v>
      </c>
    </row>
    <row r="312" spans="1:4" x14ac:dyDescent="0.2">
      <c r="A312" t="s">
        <v>18</v>
      </c>
      <c r="B312" s="37">
        <v>37202</v>
      </c>
      <c r="C312" s="7">
        <v>40</v>
      </c>
      <c r="D312" s="7">
        <v>16</v>
      </c>
    </row>
    <row r="313" spans="1:4" x14ac:dyDescent="0.2">
      <c r="A313" t="s">
        <v>18</v>
      </c>
      <c r="B313" s="37">
        <v>37203</v>
      </c>
      <c r="C313" s="7">
        <v>53</v>
      </c>
      <c r="D313" s="7">
        <v>27</v>
      </c>
    </row>
    <row r="314" spans="1:4" x14ac:dyDescent="0.2">
      <c r="A314" t="s">
        <v>18</v>
      </c>
      <c r="B314" s="37">
        <v>37204</v>
      </c>
      <c r="C314" s="7">
        <v>52</v>
      </c>
      <c r="D314" s="7">
        <v>31</v>
      </c>
    </row>
    <row r="315" spans="1:4" x14ac:dyDescent="0.2">
      <c r="A315" t="s">
        <v>18</v>
      </c>
      <c r="B315" s="37">
        <v>37205</v>
      </c>
      <c r="C315" s="7">
        <v>53</v>
      </c>
      <c r="D315" s="7">
        <v>39</v>
      </c>
    </row>
    <row r="316" spans="1:4" x14ac:dyDescent="0.2">
      <c r="A316" t="s">
        <v>18</v>
      </c>
      <c r="B316" s="37">
        <v>37206</v>
      </c>
      <c r="C316" s="7">
        <v>59</v>
      </c>
      <c r="D316" s="7">
        <v>34</v>
      </c>
    </row>
    <row r="317" spans="1:4" x14ac:dyDescent="0.2">
      <c r="A317" t="s">
        <v>18</v>
      </c>
      <c r="B317" s="37">
        <v>37207</v>
      </c>
      <c r="C317" s="7">
        <v>45</v>
      </c>
      <c r="D317" s="7">
        <v>17</v>
      </c>
    </row>
    <row r="318" spans="1:4" x14ac:dyDescent="0.2">
      <c r="A318" t="s">
        <v>18</v>
      </c>
      <c r="B318" s="37">
        <v>37208</v>
      </c>
      <c r="C318" s="7">
        <v>60</v>
      </c>
      <c r="D318" s="7">
        <v>24</v>
      </c>
    </row>
    <row r="319" spans="1:4" x14ac:dyDescent="0.2">
      <c r="A319" t="s">
        <v>18</v>
      </c>
      <c r="B319" s="37">
        <v>37209</v>
      </c>
      <c r="C319" s="7">
        <v>52</v>
      </c>
      <c r="D319" s="7">
        <v>20</v>
      </c>
    </row>
    <row r="320" spans="1:4" x14ac:dyDescent="0.2">
      <c r="A320" t="s">
        <v>18</v>
      </c>
      <c r="B320" s="37">
        <v>37210</v>
      </c>
      <c r="C320" s="7">
        <v>52</v>
      </c>
      <c r="D320" s="7">
        <v>36</v>
      </c>
    </row>
    <row r="321" spans="1:4" x14ac:dyDescent="0.2">
      <c r="A321" t="s">
        <v>18</v>
      </c>
      <c r="B321" s="37">
        <v>37211</v>
      </c>
      <c r="C321" s="7">
        <v>49</v>
      </c>
      <c r="D321" s="7">
        <v>33</v>
      </c>
    </row>
    <row r="322" spans="1:4" x14ac:dyDescent="0.2">
      <c r="A322" t="s">
        <v>18</v>
      </c>
      <c r="B322" s="37">
        <v>37212</v>
      </c>
      <c r="C322" s="7">
        <v>47</v>
      </c>
      <c r="D322" s="7">
        <v>40</v>
      </c>
    </row>
    <row r="323" spans="1:4" x14ac:dyDescent="0.2">
      <c r="A323" t="s">
        <v>18</v>
      </c>
      <c r="B323" s="37">
        <v>37213</v>
      </c>
      <c r="C323" s="7">
        <v>46</v>
      </c>
      <c r="D323" s="7">
        <v>36</v>
      </c>
    </row>
    <row r="324" spans="1:4" x14ac:dyDescent="0.2">
      <c r="A324" t="s">
        <v>18</v>
      </c>
      <c r="B324" s="37">
        <v>37214</v>
      </c>
      <c r="C324" s="7">
        <v>43</v>
      </c>
      <c r="D324" s="7">
        <v>38</v>
      </c>
    </row>
    <row r="325" spans="1:4" x14ac:dyDescent="0.2">
      <c r="A325" t="s">
        <v>18</v>
      </c>
      <c r="B325" s="37">
        <v>37215</v>
      </c>
      <c r="C325" s="7">
        <v>49</v>
      </c>
      <c r="D325" s="7">
        <v>37</v>
      </c>
    </row>
    <row r="326" spans="1:4" x14ac:dyDescent="0.2">
      <c r="A326" t="s">
        <v>18</v>
      </c>
      <c r="B326" s="37">
        <v>37216</v>
      </c>
      <c r="C326" s="7">
        <v>53</v>
      </c>
      <c r="D326" s="7">
        <v>31</v>
      </c>
    </row>
    <row r="327" spans="1:4" x14ac:dyDescent="0.2">
      <c r="A327" t="s">
        <v>18</v>
      </c>
      <c r="B327" s="37">
        <v>37217</v>
      </c>
      <c r="C327" s="7">
        <v>44</v>
      </c>
      <c r="D327" s="7">
        <v>30</v>
      </c>
    </row>
    <row r="328" spans="1:4" x14ac:dyDescent="0.2">
      <c r="A328" t="s">
        <v>18</v>
      </c>
      <c r="B328" s="37">
        <v>37218</v>
      </c>
      <c r="C328" s="7">
        <v>59</v>
      </c>
      <c r="D328" s="7">
        <v>19</v>
      </c>
    </row>
    <row r="329" spans="1:4" x14ac:dyDescent="0.2">
      <c r="A329" t="s">
        <v>18</v>
      </c>
      <c r="B329" s="37">
        <v>37219</v>
      </c>
      <c r="C329" s="7">
        <v>57</v>
      </c>
      <c r="D329" s="7">
        <v>33</v>
      </c>
    </row>
    <row r="330" spans="1:4" x14ac:dyDescent="0.2">
      <c r="A330" t="s">
        <v>18</v>
      </c>
      <c r="B330" s="37">
        <v>37220</v>
      </c>
      <c r="C330" s="7">
        <v>41</v>
      </c>
      <c r="D330" s="7">
        <v>37</v>
      </c>
    </row>
    <row r="331" spans="1:4" x14ac:dyDescent="0.2">
      <c r="A331" t="s">
        <v>18</v>
      </c>
      <c r="B331" s="37">
        <v>37221</v>
      </c>
      <c r="C331" s="7">
        <v>55</v>
      </c>
      <c r="D331" s="7">
        <v>27</v>
      </c>
    </row>
    <row r="332" spans="1:4" x14ac:dyDescent="0.2">
      <c r="A332" t="s">
        <v>18</v>
      </c>
      <c r="B332" s="37">
        <v>37222</v>
      </c>
      <c r="C332" s="7">
        <v>44</v>
      </c>
      <c r="D332" s="7">
        <v>34</v>
      </c>
    </row>
    <row r="333" spans="1:4" x14ac:dyDescent="0.2">
      <c r="A333" t="s">
        <v>18</v>
      </c>
      <c r="B333" s="37">
        <v>37223</v>
      </c>
      <c r="C333" s="7">
        <v>55</v>
      </c>
      <c r="D333" s="7">
        <v>18</v>
      </c>
    </row>
    <row r="334" spans="1:4" x14ac:dyDescent="0.2">
      <c r="A334" t="s">
        <v>18</v>
      </c>
      <c r="B334" s="37">
        <v>37224</v>
      </c>
      <c r="C334" s="7">
        <v>50</v>
      </c>
      <c r="D334" s="7">
        <v>20</v>
      </c>
    </row>
    <row r="335" spans="1:4" x14ac:dyDescent="0.2">
      <c r="A335" t="s">
        <v>18</v>
      </c>
      <c r="B335" s="37">
        <v>37225</v>
      </c>
      <c r="C335" s="7">
        <v>56</v>
      </c>
      <c r="D335" s="7">
        <v>15</v>
      </c>
    </row>
    <row r="336" spans="1:4" x14ac:dyDescent="0.2">
      <c r="A336" t="s">
        <v>18</v>
      </c>
      <c r="B336" s="37">
        <v>37226</v>
      </c>
      <c r="C336" s="7">
        <v>50</v>
      </c>
      <c r="D336" s="7">
        <v>16</v>
      </c>
    </row>
    <row r="337" spans="1:4" x14ac:dyDescent="0.2">
      <c r="A337" t="s">
        <v>18</v>
      </c>
      <c r="B337" s="37">
        <v>37227</v>
      </c>
      <c r="C337" s="7">
        <v>48</v>
      </c>
      <c r="D337" s="7">
        <v>39</v>
      </c>
    </row>
    <row r="338" spans="1:4" x14ac:dyDescent="0.2">
      <c r="A338" t="s">
        <v>18</v>
      </c>
      <c r="B338" s="37">
        <v>37228</v>
      </c>
      <c r="C338" s="7">
        <v>40</v>
      </c>
      <c r="D338" s="7">
        <v>20</v>
      </c>
    </row>
    <row r="339" spans="1:4" x14ac:dyDescent="0.2">
      <c r="A339" t="s">
        <v>18</v>
      </c>
      <c r="B339" s="37">
        <v>37229</v>
      </c>
      <c r="C339" s="7">
        <v>51</v>
      </c>
      <c r="D339" s="7">
        <v>25</v>
      </c>
    </row>
    <row r="340" spans="1:4" x14ac:dyDescent="0.2">
      <c r="A340" t="s">
        <v>18</v>
      </c>
      <c r="B340" s="37">
        <v>37230</v>
      </c>
      <c r="C340" s="7">
        <v>53</v>
      </c>
      <c r="D340" s="7">
        <v>24</v>
      </c>
    </row>
    <row r="341" spans="1:4" x14ac:dyDescent="0.2">
      <c r="A341" t="s">
        <v>18</v>
      </c>
      <c r="B341" s="37">
        <v>37231</v>
      </c>
      <c r="C341" s="7">
        <v>60</v>
      </c>
      <c r="D341" s="7">
        <v>16</v>
      </c>
    </row>
    <row r="342" spans="1:4" x14ac:dyDescent="0.2">
      <c r="A342" s="1" t="s">
        <v>14</v>
      </c>
      <c r="B342" s="37">
        <v>36892</v>
      </c>
      <c r="C342" s="7">
        <v>42</v>
      </c>
      <c r="D342" s="7">
        <v>19</v>
      </c>
    </row>
    <row r="343" spans="1:4" x14ac:dyDescent="0.2">
      <c r="A343" s="1" t="s">
        <v>14</v>
      </c>
      <c r="B343" s="37">
        <v>36893</v>
      </c>
      <c r="C343" s="7">
        <v>50</v>
      </c>
      <c r="D343" s="7">
        <v>35</v>
      </c>
    </row>
    <row r="344" spans="1:4" x14ac:dyDescent="0.2">
      <c r="A344" s="1" t="s">
        <v>14</v>
      </c>
      <c r="B344" s="37">
        <v>36894</v>
      </c>
      <c r="C344" s="7">
        <v>60</v>
      </c>
      <c r="D344" s="7">
        <v>23</v>
      </c>
    </row>
    <row r="345" spans="1:4" x14ac:dyDescent="0.2">
      <c r="A345" s="1" t="s">
        <v>14</v>
      </c>
      <c r="B345" s="37">
        <v>36895</v>
      </c>
      <c r="C345" s="7">
        <v>44</v>
      </c>
      <c r="D345" s="7">
        <v>17</v>
      </c>
    </row>
    <row r="346" spans="1:4" x14ac:dyDescent="0.2">
      <c r="A346" s="1" t="s">
        <v>14</v>
      </c>
      <c r="B346" s="37">
        <v>36896</v>
      </c>
      <c r="C346" s="7">
        <v>53</v>
      </c>
      <c r="D346" s="7">
        <v>31</v>
      </c>
    </row>
    <row r="347" spans="1:4" x14ac:dyDescent="0.2">
      <c r="A347" s="1" t="s">
        <v>14</v>
      </c>
      <c r="B347" s="37">
        <v>36897</v>
      </c>
      <c r="C347" s="7">
        <v>53</v>
      </c>
      <c r="D347" s="7">
        <v>28</v>
      </c>
    </row>
    <row r="348" spans="1:4" x14ac:dyDescent="0.2">
      <c r="A348" s="1" t="s">
        <v>14</v>
      </c>
      <c r="B348" s="37">
        <v>36898</v>
      </c>
      <c r="C348" s="7">
        <v>51</v>
      </c>
      <c r="D348" s="7">
        <v>29</v>
      </c>
    </row>
    <row r="349" spans="1:4" x14ac:dyDescent="0.2">
      <c r="A349" s="1" t="s">
        <v>14</v>
      </c>
      <c r="B349" s="37">
        <v>36899</v>
      </c>
      <c r="C349" s="7">
        <v>49</v>
      </c>
      <c r="D349" s="7">
        <v>38</v>
      </c>
    </row>
    <row r="350" spans="1:4" x14ac:dyDescent="0.2">
      <c r="A350" s="1" t="s">
        <v>14</v>
      </c>
      <c r="B350" s="37">
        <v>36900</v>
      </c>
      <c r="C350" s="7">
        <v>56</v>
      </c>
      <c r="D350" s="7">
        <v>23</v>
      </c>
    </row>
    <row r="351" spans="1:4" x14ac:dyDescent="0.2">
      <c r="A351" s="1" t="s">
        <v>14</v>
      </c>
      <c r="B351" s="37">
        <v>36901</v>
      </c>
      <c r="C351" s="7">
        <v>51</v>
      </c>
      <c r="D351" s="7">
        <v>31</v>
      </c>
    </row>
    <row r="352" spans="1:4" x14ac:dyDescent="0.2">
      <c r="A352" s="1" t="s">
        <v>14</v>
      </c>
      <c r="B352" s="37">
        <v>36902</v>
      </c>
      <c r="C352" s="7">
        <v>56</v>
      </c>
      <c r="D352" s="7">
        <v>26</v>
      </c>
    </row>
    <row r="353" spans="1:4" x14ac:dyDescent="0.2">
      <c r="A353" s="1" t="s">
        <v>14</v>
      </c>
      <c r="B353" s="37">
        <v>36903</v>
      </c>
      <c r="C353" s="7">
        <v>47</v>
      </c>
      <c r="D353" s="7">
        <v>16</v>
      </c>
    </row>
    <row r="354" spans="1:4" x14ac:dyDescent="0.2">
      <c r="A354" s="1" t="s">
        <v>14</v>
      </c>
      <c r="B354" s="37">
        <v>36904</v>
      </c>
      <c r="C354" s="7">
        <v>43</v>
      </c>
      <c r="D354" s="7">
        <v>35</v>
      </c>
    </row>
    <row r="355" spans="1:4" x14ac:dyDescent="0.2">
      <c r="A355" s="1" t="s">
        <v>14</v>
      </c>
      <c r="B355" s="37">
        <v>36905</v>
      </c>
      <c r="C355" s="7">
        <v>59</v>
      </c>
      <c r="D355" s="7">
        <v>26</v>
      </c>
    </row>
    <row r="356" spans="1:4" x14ac:dyDescent="0.2">
      <c r="A356" s="1" t="s">
        <v>14</v>
      </c>
      <c r="B356" s="37">
        <v>36906</v>
      </c>
      <c r="C356" s="7">
        <v>51</v>
      </c>
      <c r="D356" s="7">
        <v>21</v>
      </c>
    </row>
    <row r="357" spans="1:4" x14ac:dyDescent="0.2">
      <c r="A357" s="1" t="s">
        <v>14</v>
      </c>
      <c r="B357" s="37">
        <v>36907</v>
      </c>
      <c r="C357" s="7">
        <v>58</v>
      </c>
      <c r="D357" s="7">
        <v>22</v>
      </c>
    </row>
    <row r="358" spans="1:4" x14ac:dyDescent="0.2">
      <c r="A358" s="1" t="s">
        <v>14</v>
      </c>
      <c r="B358" s="37">
        <v>36908</v>
      </c>
      <c r="C358" s="7">
        <v>45</v>
      </c>
      <c r="D358" s="7">
        <v>29</v>
      </c>
    </row>
    <row r="359" spans="1:4" x14ac:dyDescent="0.2">
      <c r="A359" s="1" t="s">
        <v>14</v>
      </c>
      <c r="B359" s="37">
        <v>36909</v>
      </c>
      <c r="C359" s="7">
        <v>46</v>
      </c>
      <c r="D359" s="7">
        <v>21</v>
      </c>
    </row>
    <row r="360" spans="1:4" x14ac:dyDescent="0.2">
      <c r="A360" s="1" t="s">
        <v>14</v>
      </c>
      <c r="B360" s="37">
        <v>36910</v>
      </c>
      <c r="C360" s="7">
        <v>56</v>
      </c>
      <c r="D360" s="7">
        <v>18</v>
      </c>
    </row>
    <row r="361" spans="1:4" x14ac:dyDescent="0.2">
      <c r="A361" s="1" t="s">
        <v>14</v>
      </c>
      <c r="B361" s="37">
        <v>36911</v>
      </c>
      <c r="C361" s="7">
        <v>40</v>
      </c>
      <c r="D361" s="7">
        <v>20</v>
      </c>
    </row>
    <row r="362" spans="1:4" x14ac:dyDescent="0.2">
      <c r="A362" s="1" t="s">
        <v>14</v>
      </c>
      <c r="B362" s="37">
        <v>36912</v>
      </c>
      <c r="C362" s="7">
        <v>55</v>
      </c>
      <c r="D362" s="7">
        <v>24</v>
      </c>
    </row>
    <row r="363" spans="1:4" x14ac:dyDescent="0.2">
      <c r="A363" s="1" t="s">
        <v>14</v>
      </c>
      <c r="B363" s="37">
        <v>36913</v>
      </c>
      <c r="C363" s="7">
        <v>47</v>
      </c>
      <c r="D363" s="7">
        <v>36</v>
      </c>
    </row>
    <row r="364" spans="1:4" x14ac:dyDescent="0.2">
      <c r="A364" s="1" t="s">
        <v>14</v>
      </c>
      <c r="B364" s="37">
        <v>36914</v>
      </c>
      <c r="C364" s="7">
        <v>57</v>
      </c>
      <c r="D364" s="7">
        <v>23</v>
      </c>
    </row>
    <row r="365" spans="1:4" x14ac:dyDescent="0.2">
      <c r="A365" s="1" t="s">
        <v>14</v>
      </c>
      <c r="B365" s="37">
        <v>36915</v>
      </c>
      <c r="C365" s="7">
        <v>53</v>
      </c>
      <c r="D365" s="7">
        <v>39</v>
      </c>
    </row>
    <row r="366" spans="1:4" x14ac:dyDescent="0.2">
      <c r="A366" s="1" t="s">
        <v>14</v>
      </c>
      <c r="B366" s="37">
        <v>36916</v>
      </c>
      <c r="C366" s="7">
        <v>53</v>
      </c>
      <c r="D366" s="7">
        <v>34</v>
      </c>
    </row>
    <row r="367" spans="1:4" x14ac:dyDescent="0.2">
      <c r="A367" s="1" t="s">
        <v>14</v>
      </c>
      <c r="B367" s="37">
        <v>36917</v>
      </c>
      <c r="C367" s="7">
        <v>47</v>
      </c>
      <c r="D367" s="7">
        <v>22</v>
      </c>
    </row>
    <row r="368" spans="1:4" x14ac:dyDescent="0.2">
      <c r="A368" s="1" t="s">
        <v>14</v>
      </c>
      <c r="B368" s="37">
        <v>36918</v>
      </c>
      <c r="C368" s="7">
        <v>51</v>
      </c>
      <c r="D368" s="7">
        <v>37</v>
      </c>
    </row>
    <row r="369" spans="1:4" x14ac:dyDescent="0.2">
      <c r="A369" s="1" t="s">
        <v>14</v>
      </c>
      <c r="B369" s="37">
        <v>36919</v>
      </c>
      <c r="C369" s="7">
        <v>60</v>
      </c>
      <c r="D369" s="7">
        <v>30</v>
      </c>
    </row>
    <row r="370" spans="1:4" x14ac:dyDescent="0.2">
      <c r="A370" s="1" t="s">
        <v>14</v>
      </c>
      <c r="B370" s="37">
        <v>36920</v>
      </c>
      <c r="C370" s="7">
        <v>55</v>
      </c>
      <c r="D370" s="7">
        <v>31</v>
      </c>
    </row>
    <row r="371" spans="1:4" x14ac:dyDescent="0.2">
      <c r="A371" s="1" t="s">
        <v>14</v>
      </c>
      <c r="B371" s="37">
        <v>36921</v>
      </c>
      <c r="C371" s="7">
        <v>48</v>
      </c>
      <c r="D371" s="7">
        <v>28</v>
      </c>
    </row>
    <row r="372" spans="1:4" x14ac:dyDescent="0.2">
      <c r="A372" s="1" t="s">
        <v>14</v>
      </c>
      <c r="B372" s="37">
        <v>36922</v>
      </c>
      <c r="C372" s="7">
        <v>45</v>
      </c>
      <c r="D372" s="7">
        <v>27</v>
      </c>
    </row>
    <row r="373" spans="1:4" x14ac:dyDescent="0.2">
      <c r="A373" s="1" t="s">
        <v>14</v>
      </c>
      <c r="B373" s="37">
        <v>36923</v>
      </c>
      <c r="C373" s="7">
        <v>54</v>
      </c>
      <c r="D373" s="7">
        <v>15</v>
      </c>
    </row>
    <row r="374" spans="1:4" x14ac:dyDescent="0.2">
      <c r="A374" s="1" t="s">
        <v>14</v>
      </c>
      <c r="B374" s="37">
        <v>36924</v>
      </c>
      <c r="C374" s="7">
        <v>41</v>
      </c>
      <c r="D374" s="7">
        <v>21</v>
      </c>
    </row>
    <row r="375" spans="1:4" x14ac:dyDescent="0.2">
      <c r="A375" s="1" t="s">
        <v>14</v>
      </c>
      <c r="B375" s="37">
        <v>36925</v>
      </c>
      <c r="C375" s="7">
        <v>59</v>
      </c>
      <c r="D375" s="7">
        <v>20</v>
      </c>
    </row>
    <row r="376" spans="1:4" x14ac:dyDescent="0.2">
      <c r="A376" s="1" t="s">
        <v>14</v>
      </c>
      <c r="B376" s="37">
        <v>36926</v>
      </c>
      <c r="C376" s="7">
        <v>44</v>
      </c>
      <c r="D376" s="7">
        <v>19</v>
      </c>
    </row>
    <row r="377" spans="1:4" x14ac:dyDescent="0.2">
      <c r="A377" s="1" t="s">
        <v>14</v>
      </c>
      <c r="B377" s="37">
        <v>36927</v>
      </c>
      <c r="C377" s="7">
        <v>57</v>
      </c>
      <c r="D377" s="7">
        <v>15</v>
      </c>
    </row>
    <row r="378" spans="1:4" x14ac:dyDescent="0.2">
      <c r="A378" s="1" t="s">
        <v>14</v>
      </c>
      <c r="B378" s="37">
        <v>36928</v>
      </c>
      <c r="C378" s="7">
        <v>41</v>
      </c>
      <c r="D378" s="7">
        <v>18</v>
      </c>
    </row>
    <row r="379" spans="1:4" x14ac:dyDescent="0.2">
      <c r="A379" s="1" t="s">
        <v>14</v>
      </c>
      <c r="B379" s="37">
        <v>36929</v>
      </c>
      <c r="C379" s="7">
        <v>42</v>
      </c>
      <c r="D379" s="7">
        <v>40</v>
      </c>
    </row>
    <row r="380" spans="1:4" x14ac:dyDescent="0.2">
      <c r="A380" s="1" t="s">
        <v>14</v>
      </c>
      <c r="B380" s="37">
        <v>36930</v>
      </c>
      <c r="C380" s="7">
        <v>52</v>
      </c>
      <c r="D380" s="7">
        <v>34</v>
      </c>
    </row>
    <row r="381" spans="1:4" x14ac:dyDescent="0.2">
      <c r="A381" s="1" t="s">
        <v>14</v>
      </c>
      <c r="B381" s="37">
        <v>36931</v>
      </c>
      <c r="C381" s="7">
        <v>60</v>
      </c>
      <c r="D381" s="7">
        <v>26</v>
      </c>
    </row>
    <row r="382" spans="1:4" x14ac:dyDescent="0.2">
      <c r="A382" s="1" t="s">
        <v>14</v>
      </c>
      <c r="B382" s="37">
        <v>36932</v>
      </c>
      <c r="C382" s="7">
        <v>49</v>
      </c>
      <c r="D382" s="7">
        <v>34</v>
      </c>
    </row>
    <row r="383" spans="1:4" x14ac:dyDescent="0.2">
      <c r="A383" s="1" t="s">
        <v>14</v>
      </c>
      <c r="B383" s="37">
        <v>36933</v>
      </c>
      <c r="C383" s="7">
        <v>47</v>
      </c>
      <c r="D383" s="7">
        <v>20</v>
      </c>
    </row>
    <row r="384" spans="1:4" x14ac:dyDescent="0.2">
      <c r="A384" s="1" t="s">
        <v>14</v>
      </c>
      <c r="B384" s="37">
        <v>36934</v>
      </c>
      <c r="C384" s="7">
        <v>52</v>
      </c>
      <c r="D384" s="7">
        <v>22</v>
      </c>
    </row>
    <row r="385" spans="1:4" x14ac:dyDescent="0.2">
      <c r="A385" s="1" t="s">
        <v>14</v>
      </c>
      <c r="B385" s="37">
        <v>36935</v>
      </c>
      <c r="C385" s="7">
        <v>55</v>
      </c>
      <c r="D385" s="7">
        <v>34</v>
      </c>
    </row>
    <row r="386" spans="1:4" x14ac:dyDescent="0.2">
      <c r="A386" s="1" t="s">
        <v>14</v>
      </c>
      <c r="B386" s="37">
        <v>36936</v>
      </c>
      <c r="C386" s="7">
        <v>60</v>
      </c>
      <c r="D386" s="7">
        <v>40</v>
      </c>
    </row>
    <row r="387" spans="1:4" x14ac:dyDescent="0.2">
      <c r="A387" s="1" t="s">
        <v>14</v>
      </c>
      <c r="B387" s="37">
        <v>36937</v>
      </c>
      <c r="C387" s="7">
        <v>46</v>
      </c>
      <c r="D387" s="7">
        <v>23</v>
      </c>
    </row>
    <row r="388" spans="1:4" x14ac:dyDescent="0.2">
      <c r="A388" s="1" t="s">
        <v>14</v>
      </c>
      <c r="B388" s="37">
        <v>36938</v>
      </c>
      <c r="C388" s="7">
        <v>54</v>
      </c>
      <c r="D388" s="7">
        <v>16</v>
      </c>
    </row>
    <row r="389" spans="1:4" x14ac:dyDescent="0.2">
      <c r="A389" s="1" t="s">
        <v>14</v>
      </c>
      <c r="B389" s="37">
        <v>36939</v>
      </c>
      <c r="C389" s="7">
        <v>54</v>
      </c>
      <c r="D389" s="7">
        <v>40</v>
      </c>
    </row>
    <row r="390" spans="1:4" x14ac:dyDescent="0.2">
      <c r="A390" s="1" t="s">
        <v>14</v>
      </c>
      <c r="B390" s="37">
        <v>36940</v>
      </c>
      <c r="C390" s="7">
        <v>50</v>
      </c>
      <c r="D390" s="7">
        <v>40</v>
      </c>
    </row>
    <row r="391" spans="1:4" x14ac:dyDescent="0.2">
      <c r="A391" s="1" t="s">
        <v>14</v>
      </c>
      <c r="B391" s="37">
        <v>36941</v>
      </c>
      <c r="C391" s="7">
        <v>58</v>
      </c>
      <c r="D391" s="7">
        <v>21</v>
      </c>
    </row>
    <row r="392" spans="1:4" x14ac:dyDescent="0.2">
      <c r="A392" s="1" t="s">
        <v>14</v>
      </c>
      <c r="B392" s="37">
        <v>36942</v>
      </c>
      <c r="C392" s="7">
        <v>57</v>
      </c>
      <c r="D392" s="7">
        <v>34</v>
      </c>
    </row>
    <row r="393" spans="1:4" x14ac:dyDescent="0.2">
      <c r="A393" s="1" t="s">
        <v>14</v>
      </c>
      <c r="B393" s="37">
        <v>36943</v>
      </c>
      <c r="C393" s="7">
        <v>48</v>
      </c>
      <c r="D393" s="7">
        <v>27</v>
      </c>
    </row>
    <row r="394" spans="1:4" x14ac:dyDescent="0.2">
      <c r="A394" s="1" t="s">
        <v>14</v>
      </c>
      <c r="B394" s="37">
        <v>36944</v>
      </c>
      <c r="C394" s="7">
        <v>48</v>
      </c>
      <c r="D394" s="7">
        <v>30</v>
      </c>
    </row>
    <row r="395" spans="1:4" x14ac:dyDescent="0.2">
      <c r="A395" s="1" t="s">
        <v>14</v>
      </c>
      <c r="B395" s="37">
        <v>36945</v>
      </c>
      <c r="C395" s="7">
        <v>47</v>
      </c>
      <c r="D395" s="7">
        <v>17</v>
      </c>
    </row>
    <row r="396" spans="1:4" x14ac:dyDescent="0.2">
      <c r="A396" s="1" t="s">
        <v>14</v>
      </c>
      <c r="B396" s="37">
        <v>36946</v>
      </c>
      <c r="C396" s="7">
        <v>45</v>
      </c>
      <c r="D396" s="7">
        <v>40</v>
      </c>
    </row>
    <row r="397" spans="1:4" x14ac:dyDescent="0.2">
      <c r="A397" s="1" t="s">
        <v>14</v>
      </c>
      <c r="B397" s="37">
        <v>36947</v>
      </c>
      <c r="C397" s="7">
        <v>57</v>
      </c>
      <c r="D397" s="7">
        <v>17</v>
      </c>
    </row>
    <row r="398" spans="1:4" x14ac:dyDescent="0.2">
      <c r="A398" s="1" t="s">
        <v>14</v>
      </c>
      <c r="B398" s="37">
        <v>36948</v>
      </c>
      <c r="C398" s="7">
        <v>43</v>
      </c>
      <c r="D398" s="7">
        <v>34</v>
      </c>
    </row>
    <row r="399" spans="1:4" x14ac:dyDescent="0.2">
      <c r="A399" s="1" t="s">
        <v>14</v>
      </c>
      <c r="B399" s="37">
        <v>36949</v>
      </c>
      <c r="C399" s="7">
        <v>58</v>
      </c>
      <c r="D399" s="7">
        <v>18</v>
      </c>
    </row>
    <row r="400" spans="1:4" x14ac:dyDescent="0.2">
      <c r="A400" s="1" t="s">
        <v>14</v>
      </c>
      <c r="B400" s="37">
        <v>36950</v>
      </c>
      <c r="C400" s="7">
        <v>54</v>
      </c>
      <c r="D400" s="7">
        <v>37</v>
      </c>
    </row>
    <row r="401" spans="1:4" x14ac:dyDescent="0.2">
      <c r="A401" s="1" t="s">
        <v>14</v>
      </c>
      <c r="B401" s="37">
        <v>36951</v>
      </c>
      <c r="C401" s="7">
        <v>57</v>
      </c>
      <c r="D401" s="7">
        <v>25</v>
      </c>
    </row>
    <row r="402" spans="1:4" x14ac:dyDescent="0.2">
      <c r="A402" s="1" t="s">
        <v>14</v>
      </c>
      <c r="B402" s="37">
        <v>36952</v>
      </c>
      <c r="C402" s="7">
        <v>54</v>
      </c>
      <c r="D402" s="7">
        <v>39</v>
      </c>
    </row>
    <row r="403" spans="1:4" x14ac:dyDescent="0.2">
      <c r="A403" s="1" t="s">
        <v>14</v>
      </c>
      <c r="B403" s="37">
        <v>36953</v>
      </c>
      <c r="C403" s="7">
        <v>60</v>
      </c>
      <c r="D403" s="7">
        <v>23</v>
      </c>
    </row>
    <row r="404" spans="1:4" x14ac:dyDescent="0.2">
      <c r="A404" s="1" t="s">
        <v>14</v>
      </c>
      <c r="B404" s="37">
        <v>36954</v>
      </c>
      <c r="C404" s="7">
        <v>51</v>
      </c>
      <c r="D404" s="7">
        <v>30</v>
      </c>
    </row>
    <row r="405" spans="1:4" x14ac:dyDescent="0.2">
      <c r="A405" s="1" t="s">
        <v>14</v>
      </c>
      <c r="B405" s="37">
        <v>36955</v>
      </c>
      <c r="C405" s="7">
        <v>45</v>
      </c>
      <c r="D405" s="7">
        <v>19</v>
      </c>
    </row>
    <row r="406" spans="1:4" x14ac:dyDescent="0.2">
      <c r="A406" s="1" t="s">
        <v>14</v>
      </c>
      <c r="B406" s="37">
        <v>36956</v>
      </c>
      <c r="C406" s="7">
        <v>49</v>
      </c>
      <c r="D406" s="7">
        <v>25</v>
      </c>
    </row>
    <row r="407" spans="1:4" x14ac:dyDescent="0.2">
      <c r="A407" s="1" t="s">
        <v>14</v>
      </c>
      <c r="B407" s="37">
        <v>36957</v>
      </c>
      <c r="C407" s="7">
        <v>47</v>
      </c>
      <c r="D407" s="7">
        <v>35</v>
      </c>
    </row>
    <row r="408" spans="1:4" x14ac:dyDescent="0.2">
      <c r="A408" s="1" t="s">
        <v>14</v>
      </c>
      <c r="B408" s="37">
        <v>36958</v>
      </c>
      <c r="C408" s="7">
        <v>55</v>
      </c>
      <c r="D408" s="7">
        <v>24</v>
      </c>
    </row>
    <row r="409" spans="1:4" x14ac:dyDescent="0.2">
      <c r="A409" s="1" t="s">
        <v>14</v>
      </c>
      <c r="B409" s="37">
        <v>36959</v>
      </c>
      <c r="C409" s="7">
        <v>46</v>
      </c>
      <c r="D409" s="7">
        <v>23</v>
      </c>
    </row>
    <row r="410" spans="1:4" x14ac:dyDescent="0.2">
      <c r="A410" s="1" t="s">
        <v>14</v>
      </c>
      <c r="B410" s="37">
        <v>36960</v>
      </c>
      <c r="C410" s="7">
        <v>41</v>
      </c>
      <c r="D410" s="7">
        <v>34</v>
      </c>
    </row>
    <row r="411" spans="1:4" x14ac:dyDescent="0.2">
      <c r="A411" s="1" t="s">
        <v>14</v>
      </c>
      <c r="B411" s="37">
        <v>36961</v>
      </c>
      <c r="C411" s="7">
        <v>55</v>
      </c>
      <c r="D411" s="7">
        <v>35</v>
      </c>
    </row>
    <row r="412" spans="1:4" x14ac:dyDescent="0.2">
      <c r="A412" s="1" t="s">
        <v>14</v>
      </c>
      <c r="B412" s="37">
        <v>36962</v>
      </c>
      <c r="C412" s="7">
        <v>55</v>
      </c>
      <c r="D412" s="7">
        <v>25</v>
      </c>
    </row>
    <row r="413" spans="1:4" x14ac:dyDescent="0.2">
      <c r="A413" s="1" t="s">
        <v>14</v>
      </c>
      <c r="B413" s="37">
        <v>36963</v>
      </c>
      <c r="C413" s="7">
        <v>46</v>
      </c>
      <c r="D413" s="7">
        <v>33</v>
      </c>
    </row>
    <row r="414" spans="1:4" x14ac:dyDescent="0.2">
      <c r="A414" s="1" t="s">
        <v>14</v>
      </c>
      <c r="B414" s="37">
        <v>36964</v>
      </c>
      <c r="C414" s="7">
        <v>40</v>
      </c>
      <c r="D414" s="7">
        <v>26</v>
      </c>
    </row>
    <row r="415" spans="1:4" x14ac:dyDescent="0.2">
      <c r="A415" s="1" t="s">
        <v>14</v>
      </c>
      <c r="B415" s="37">
        <v>36965</v>
      </c>
      <c r="C415" s="7">
        <v>46</v>
      </c>
      <c r="D415" s="7">
        <v>24</v>
      </c>
    </row>
    <row r="416" spans="1:4" x14ac:dyDescent="0.2">
      <c r="A416" s="1" t="s">
        <v>14</v>
      </c>
      <c r="B416" s="37">
        <v>36966</v>
      </c>
      <c r="C416" s="7">
        <v>52</v>
      </c>
      <c r="D416" s="7">
        <v>28</v>
      </c>
    </row>
    <row r="417" spans="1:4" x14ac:dyDescent="0.2">
      <c r="A417" s="1" t="s">
        <v>14</v>
      </c>
      <c r="B417" s="37">
        <v>36967</v>
      </c>
      <c r="C417" s="7">
        <v>54</v>
      </c>
      <c r="D417" s="7">
        <v>40</v>
      </c>
    </row>
    <row r="418" spans="1:4" x14ac:dyDescent="0.2">
      <c r="A418" s="1" t="s">
        <v>14</v>
      </c>
      <c r="B418" s="37">
        <v>36968</v>
      </c>
      <c r="C418" s="7">
        <v>47</v>
      </c>
      <c r="D418" s="7">
        <v>40</v>
      </c>
    </row>
    <row r="419" spans="1:4" x14ac:dyDescent="0.2">
      <c r="A419" s="1" t="s">
        <v>14</v>
      </c>
      <c r="B419" s="37">
        <v>36969</v>
      </c>
      <c r="C419" s="7">
        <v>49</v>
      </c>
      <c r="D419" s="7">
        <v>20</v>
      </c>
    </row>
    <row r="420" spans="1:4" x14ac:dyDescent="0.2">
      <c r="A420" s="1" t="s">
        <v>14</v>
      </c>
      <c r="B420" s="37">
        <v>36970</v>
      </c>
      <c r="C420" s="7">
        <v>45</v>
      </c>
      <c r="D420" s="7">
        <v>28</v>
      </c>
    </row>
    <row r="421" spans="1:4" x14ac:dyDescent="0.2">
      <c r="A421" s="1" t="s">
        <v>14</v>
      </c>
      <c r="B421" s="37">
        <v>36971</v>
      </c>
      <c r="C421" s="7">
        <v>40</v>
      </c>
      <c r="D421" s="7">
        <v>26</v>
      </c>
    </row>
    <row r="422" spans="1:4" x14ac:dyDescent="0.2">
      <c r="A422" s="1" t="s">
        <v>14</v>
      </c>
      <c r="B422" s="37">
        <v>36972</v>
      </c>
      <c r="C422" s="7">
        <v>54</v>
      </c>
      <c r="D422" s="7">
        <v>23</v>
      </c>
    </row>
    <row r="423" spans="1:4" x14ac:dyDescent="0.2">
      <c r="A423" s="1" t="s">
        <v>14</v>
      </c>
      <c r="B423" s="37">
        <v>36973</v>
      </c>
      <c r="C423" s="7">
        <v>47</v>
      </c>
      <c r="D423" s="7">
        <v>24</v>
      </c>
    </row>
    <row r="424" spans="1:4" x14ac:dyDescent="0.2">
      <c r="A424" s="1" t="s">
        <v>14</v>
      </c>
      <c r="B424" s="37">
        <v>36974</v>
      </c>
      <c r="C424" s="7">
        <v>49</v>
      </c>
      <c r="D424" s="7">
        <v>33</v>
      </c>
    </row>
    <row r="425" spans="1:4" x14ac:dyDescent="0.2">
      <c r="A425" s="1" t="s">
        <v>14</v>
      </c>
      <c r="B425" s="37">
        <v>36975</v>
      </c>
      <c r="C425" s="7">
        <v>57</v>
      </c>
      <c r="D425" s="7">
        <v>38</v>
      </c>
    </row>
    <row r="426" spans="1:4" x14ac:dyDescent="0.2">
      <c r="A426" s="1" t="s">
        <v>14</v>
      </c>
      <c r="B426" s="37">
        <v>36976</v>
      </c>
      <c r="C426" s="7">
        <v>59</v>
      </c>
      <c r="D426" s="7">
        <v>36</v>
      </c>
    </row>
    <row r="427" spans="1:4" x14ac:dyDescent="0.2">
      <c r="A427" s="1" t="s">
        <v>14</v>
      </c>
      <c r="B427" s="37">
        <v>36977</v>
      </c>
      <c r="C427" s="7">
        <v>40</v>
      </c>
      <c r="D427" s="7">
        <v>21</v>
      </c>
    </row>
    <row r="428" spans="1:4" x14ac:dyDescent="0.2">
      <c r="A428" s="1" t="s">
        <v>14</v>
      </c>
      <c r="B428" s="37">
        <v>36978</v>
      </c>
      <c r="C428" s="7">
        <v>44</v>
      </c>
      <c r="D428" s="7">
        <v>39</v>
      </c>
    </row>
    <row r="429" spans="1:4" x14ac:dyDescent="0.2">
      <c r="A429" s="1" t="s">
        <v>14</v>
      </c>
      <c r="B429" s="37">
        <v>36979</v>
      </c>
      <c r="C429" s="7">
        <v>51</v>
      </c>
      <c r="D429" s="7">
        <v>36</v>
      </c>
    </row>
    <row r="430" spans="1:4" x14ac:dyDescent="0.2">
      <c r="A430" s="1" t="s">
        <v>14</v>
      </c>
      <c r="B430" s="37">
        <v>36980</v>
      </c>
      <c r="C430" s="7">
        <v>40</v>
      </c>
      <c r="D430" s="7">
        <v>25</v>
      </c>
    </row>
    <row r="431" spans="1:4" x14ac:dyDescent="0.2">
      <c r="A431" s="1" t="s">
        <v>14</v>
      </c>
      <c r="B431" s="37">
        <v>36981</v>
      </c>
      <c r="C431" s="7">
        <v>46</v>
      </c>
      <c r="D431" s="7">
        <v>25</v>
      </c>
    </row>
    <row r="432" spans="1:4" x14ac:dyDescent="0.2">
      <c r="A432" s="1" t="s">
        <v>14</v>
      </c>
      <c r="B432" s="37">
        <v>36982</v>
      </c>
      <c r="C432" s="7">
        <v>55</v>
      </c>
      <c r="D432" s="7">
        <v>29</v>
      </c>
    </row>
    <row r="433" spans="1:4" x14ac:dyDescent="0.2">
      <c r="A433" s="1" t="s">
        <v>14</v>
      </c>
      <c r="B433" s="37">
        <v>36983</v>
      </c>
      <c r="C433" s="7">
        <v>57</v>
      </c>
      <c r="D433" s="7">
        <v>21</v>
      </c>
    </row>
    <row r="434" spans="1:4" x14ac:dyDescent="0.2">
      <c r="A434" s="1" t="s">
        <v>14</v>
      </c>
      <c r="B434" s="37">
        <v>36984</v>
      </c>
      <c r="C434" s="7">
        <v>58</v>
      </c>
      <c r="D434" s="7">
        <v>22</v>
      </c>
    </row>
    <row r="435" spans="1:4" x14ac:dyDescent="0.2">
      <c r="A435" s="1" t="s">
        <v>14</v>
      </c>
      <c r="B435" s="37">
        <v>36985</v>
      </c>
      <c r="C435" s="7">
        <v>47</v>
      </c>
      <c r="D435" s="7">
        <v>18</v>
      </c>
    </row>
    <row r="436" spans="1:4" x14ac:dyDescent="0.2">
      <c r="A436" s="1" t="s">
        <v>14</v>
      </c>
      <c r="B436" s="37">
        <v>36986</v>
      </c>
      <c r="C436" s="7">
        <v>47</v>
      </c>
      <c r="D436" s="7">
        <v>27</v>
      </c>
    </row>
    <row r="437" spans="1:4" x14ac:dyDescent="0.2">
      <c r="A437" s="1" t="s">
        <v>14</v>
      </c>
      <c r="B437" s="37">
        <v>36987</v>
      </c>
      <c r="C437" s="7">
        <v>54</v>
      </c>
      <c r="D437" s="7">
        <v>20</v>
      </c>
    </row>
    <row r="438" spans="1:4" x14ac:dyDescent="0.2">
      <c r="A438" s="1" t="s">
        <v>14</v>
      </c>
      <c r="B438" s="37">
        <v>36988</v>
      </c>
      <c r="C438" s="7">
        <v>44</v>
      </c>
      <c r="D438" s="7">
        <v>17</v>
      </c>
    </row>
    <row r="439" spans="1:4" x14ac:dyDescent="0.2">
      <c r="A439" s="1" t="s">
        <v>14</v>
      </c>
      <c r="B439" s="37">
        <v>36989</v>
      </c>
      <c r="C439" s="7">
        <v>54</v>
      </c>
      <c r="D439" s="7">
        <v>40</v>
      </c>
    </row>
    <row r="440" spans="1:4" x14ac:dyDescent="0.2">
      <c r="A440" s="1" t="s">
        <v>14</v>
      </c>
      <c r="B440" s="37">
        <v>36990</v>
      </c>
      <c r="C440" s="7">
        <v>60</v>
      </c>
      <c r="D440" s="7">
        <v>39</v>
      </c>
    </row>
    <row r="441" spans="1:4" x14ac:dyDescent="0.2">
      <c r="A441" s="1" t="s">
        <v>14</v>
      </c>
      <c r="B441" s="37">
        <v>36991</v>
      </c>
      <c r="C441" s="7">
        <v>44</v>
      </c>
      <c r="D441" s="7">
        <v>29</v>
      </c>
    </row>
    <row r="442" spans="1:4" x14ac:dyDescent="0.2">
      <c r="A442" s="1" t="s">
        <v>14</v>
      </c>
      <c r="B442" s="37">
        <v>36992</v>
      </c>
      <c r="C442" s="7">
        <v>44</v>
      </c>
      <c r="D442" s="7">
        <v>26</v>
      </c>
    </row>
    <row r="443" spans="1:4" x14ac:dyDescent="0.2">
      <c r="A443" s="1" t="s">
        <v>14</v>
      </c>
      <c r="B443" s="37">
        <v>36993</v>
      </c>
      <c r="C443" s="7">
        <v>48</v>
      </c>
      <c r="D443" s="7">
        <v>26</v>
      </c>
    </row>
    <row r="444" spans="1:4" x14ac:dyDescent="0.2">
      <c r="A444" s="1" t="s">
        <v>14</v>
      </c>
      <c r="B444" s="37">
        <v>36994</v>
      </c>
      <c r="C444" s="7">
        <v>56</v>
      </c>
      <c r="D444" s="7">
        <v>38</v>
      </c>
    </row>
    <row r="445" spans="1:4" x14ac:dyDescent="0.2">
      <c r="A445" s="1" t="s">
        <v>14</v>
      </c>
      <c r="B445" s="37">
        <v>36995</v>
      </c>
      <c r="C445" s="7">
        <v>40</v>
      </c>
      <c r="D445" s="7">
        <v>16</v>
      </c>
    </row>
    <row r="446" spans="1:4" x14ac:dyDescent="0.2">
      <c r="A446" s="1" t="s">
        <v>14</v>
      </c>
      <c r="B446" s="37">
        <v>36996</v>
      </c>
      <c r="C446" s="7">
        <v>48</v>
      </c>
      <c r="D446" s="7">
        <v>29</v>
      </c>
    </row>
    <row r="447" spans="1:4" x14ac:dyDescent="0.2">
      <c r="A447" s="1" t="s">
        <v>14</v>
      </c>
      <c r="B447" s="37">
        <v>36997</v>
      </c>
      <c r="C447" s="7">
        <v>46</v>
      </c>
      <c r="D447" s="7">
        <v>26</v>
      </c>
    </row>
    <row r="448" spans="1:4" x14ac:dyDescent="0.2">
      <c r="A448" s="1" t="s">
        <v>14</v>
      </c>
      <c r="B448" s="37">
        <v>36998</v>
      </c>
      <c r="C448" s="7">
        <v>54</v>
      </c>
      <c r="D448" s="7">
        <v>21</v>
      </c>
    </row>
    <row r="449" spans="1:4" x14ac:dyDescent="0.2">
      <c r="A449" s="1" t="s">
        <v>14</v>
      </c>
      <c r="B449" s="37">
        <v>36999</v>
      </c>
      <c r="C449" s="7">
        <v>41</v>
      </c>
      <c r="D449" s="7">
        <v>40</v>
      </c>
    </row>
    <row r="450" spans="1:4" x14ac:dyDescent="0.2">
      <c r="A450" s="1" t="s">
        <v>14</v>
      </c>
      <c r="B450" s="37">
        <v>37000</v>
      </c>
      <c r="C450" s="7">
        <v>51</v>
      </c>
      <c r="D450" s="7">
        <v>26</v>
      </c>
    </row>
    <row r="451" spans="1:4" x14ac:dyDescent="0.2">
      <c r="A451" s="1" t="s">
        <v>14</v>
      </c>
      <c r="B451" s="37">
        <v>37001</v>
      </c>
      <c r="C451" s="7">
        <v>52</v>
      </c>
      <c r="D451" s="7">
        <v>32</v>
      </c>
    </row>
    <row r="452" spans="1:4" x14ac:dyDescent="0.2">
      <c r="A452" s="1" t="s">
        <v>14</v>
      </c>
      <c r="B452" s="37">
        <v>37002</v>
      </c>
      <c r="C452" s="7">
        <v>45</v>
      </c>
      <c r="D452" s="7">
        <v>21</v>
      </c>
    </row>
    <row r="453" spans="1:4" x14ac:dyDescent="0.2">
      <c r="A453" s="1" t="s">
        <v>14</v>
      </c>
      <c r="B453" s="37">
        <v>37003</v>
      </c>
      <c r="C453" s="7">
        <v>41</v>
      </c>
      <c r="D453" s="7">
        <v>20</v>
      </c>
    </row>
    <row r="454" spans="1:4" x14ac:dyDescent="0.2">
      <c r="A454" s="1" t="s">
        <v>14</v>
      </c>
      <c r="B454" s="37">
        <v>37004</v>
      </c>
      <c r="C454" s="7">
        <v>58</v>
      </c>
      <c r="D454" s="7">
        <v>24</v>
      </c>
    </row>
    <row r="455" spans="1:4" x14ac:dyDescent="0.2">
      <c r="A455" s="1" t="s">
        <v>14</v>
      </c>
      <c r="B455" s="37">
        <v>37005</v>
      </c>
      <c r="C455" s="7">
        <v>54</v>
      </c>
      <c r="D455" s="7">
        <v>30</v>
      </c>
    </row>
    <row r="456" spans="1:4" x14ac:dyDescent="0.2">
      <c r="A456" s="1" t="s">
        <v>14</v>
      </c>
      <c r="B456" s="37">
        <v>37006</v>
      </c>
      <c r="C456" s="7">
        <v>41</v>
      </c>
      <c r="D456" s="7">
        <v>28</v>
      </c>
    </row>
    <row r="457" spans="1:4" x14ac:dyDescent="0.2">
      <c r="A457" s="1" t="s">
        <v>14</v>
      </c>
      <c r="B457" s="37">
        <v>37007</v>
      </c>
      <c r="C457" s="7">
        <v>43</v>
      </c>
      <c r="D457" s="7">
        <v>37</v>
      </c>
    </row>
    <row r="458" spans="1:4" x14ac:dyDescent="0.2">
      <c r="A458" s="1" t="s">
        <v>14</v>
      </c>
      <c r="B458" s="37">
        <v>37008</v>
      </c>
      <c r="C458" s="7">
        <v>52</v>
      </c>
      <c r="D458" s="7">
        <v>21</v>
      </c>
    </row>
    <row r="459" spans="1:4" x14ac:dyDescent="0.2">
      <c r="A459" s="1" t="s">
        <v>14</v>
      </c>
      <c r="B459" s="37">
        <v>37009</v>
      </c>
      <c r="C459" s="7">
        <v>41</v>
      </c>
      <c r="D459" s="7">
        <v>29</v>
      </c>
    </row>
    <row r="460" spans="1:4" x14ac:dyDescent="0.2">
      <c r="A460" s="1" t="s">
        <v>14</v>
      </c>
      <c r="B460" s="37">
        <v>37010</v>
      </c>
      <c r="C460" s="7">
        <v>49</v>
      </c>
      <c r="D460" s="7">
        <v>25</v>
      </c>
    </row>
    <row r="461" spans="1:4" x14ac:dyDescent="0.2">
      <c r="A461" s="1" t="s">
        <v>14</v>
      </c>
      <c r="B461" s="37">
        <v>37011</v>
      </c>
      <c r="C461" s="7">
        <v>45</v>
      </c>
      <c r="D461" s="7">
        <v>22</v>
      </c>
    </row>
    <row r="462" spans="1:4" x14ac:dyDescent="0.2">
      <c r="A462" s="1" t="s">
        <v>14</v>
      </c>
      <c r="B462" s="37">
        <v>37012</v>
      </c>
      <c r="C462" s="7">
        <v>57</v>
      </c>
      <c r="D462" s="7">
        <v>34</v>
      </c>
    </row>
    <row r="463" spans="1:4" x14ac:dyDescent="0.2">
      <c r="A463" s="1" t="s">
        <v>14</v>
      </c>
      <c r="B463" s="37">
        <v>37013</v>
      </c>
      <c r="C463" s="7">
        <v>49</v>
      </c>
      <c r="D463" s="7">
        <v>15</v>
      </c>
    </row>
    <row r="464" spans="1:4" x14ac:dyDescent="0.2">
      <c r="A464" s="1" t="s">
        <v>14</v>
      </c>
      <c r="B464" s="37">
        <v>37014</v>
      </c>
      <c r="C464" s="7">
        <v>52</v>
      </c>
      <c r="D464" s="7">
        <v>39</v>
      </c>
    </row>
    <row r="465" spans="1:4" x14ac:dyDescent="0.2">
      <c r="A465" s="1" t="s">
        <v>14</v>
      </c>
      <c r="B465" s="37">
        <v>37015</v>
      </c>
      <c r="C465" s="7">
        <v>51</v>
      </c>
      <c r="D465" s="7">
        <v>32</v>
      </c>
    </row>
    <row r="466" spans="1:4" x14ac:dyDescent="0.2">
      <c r="A466" s="1" t="s">
        <v>14</v>
      </c>
      <c r="B466" s="37">
        <v>37016</v>
      </c>
      <c r="C466" s="7">
        <v>42</v>
      </c>
      <c r="D466" s="7">
        <v>19</v>
      </c>
    </row>
    <row r="467" spans="1:4" x14ac:dyDescent="0.2">
      <c r="A467" s="1" t="s">
        <v>14</v>
      </c>
      <c r="B467" s="37">
        <v>37017</v>
      </c>
      <c r="C467" s="7">
        <v>43</v>
      </c>
      <c r="D467" s="7">
        <v>40</v>
      </c>
    </row>
    <row r="468" spans="1:4" x14ac:dyDescent="0.2">
      <c r="A468" s="1" t="s">
        <v>14</v>
      </c>
      <c r="B468" s="37">
        <v>37018</v>
      </c>
      <c r="C468" s="7">
        <v>42</v>
      </c>
      <c r="D468" s="7">
        <v>29</v>
      </c>
    </row>
    <row r="469" spans="1:4" x14ac:dyDescent="0.2">
      <c r="A469" s="1" t="s">
        <v>14</v>
      </c>
      <c r="B469" s="37">
        <v>37019</v>
      </c>
      <c r="C469" s="7">
        <v>52</v>
      </c>
      <c r="D469" s="7">
        <v>33</v>
      </c>
    </row>
    <row r="470" spans="1:4" x14ac:dyDescent="0.2">
      <c r="A470" s="1" t="s">
        <v>14</v>
      </c>
      <c r="B470" s="37">
        <v>37020</v>
      </c>
      <c r="C470" s="7">
        <v>49</v>
      </c>
      <c r="D470" s="7">
        <v>20</v>
      </c>
    </row>
    <row r="471" spans="1:4" x14ac:dyDescent="0.2">
      <c r="A471" s="1" t="s">
        <v>14</v>
      </c>
      <c r="B471" s="37">
        <v>37021</v>
      </c>
      <c r="C471" s="7">
        <v>40</v>
      </c>
      <c r="D471" s="7">
        <v>36</v>
      </c>
    </row>
    <row r="472" spans="1:4" x14ac:dyDescent="0.2">
      <c r="A472" s="1" t="s">
        <v>14</v>
      </c>
      <c r="B472" s="37">
        <v>37022</v>
      </c>
      <c r="C472" s="7">
        <v>60</v>
      </c>
      <c r="D472" s="7">
        <v>35</v>
      </c>
    </row>
    <row r="473" spans="1:4" x14ac:dyDescent="0.2">
      <c r="A473" s="1" t="s">
        <v>14</v>
      </c>
      <c r="B473" s="37">
        <v>37023</v>
      </c>
      <c r="C473" s="7">
        <v>47</v>
      </c>
      <c r="D473" s="7">
        <v>19</v>
      </c>
    </row>
    <row r="474" spans="1:4" x14ac:dyDescent="0.2">
      <c r="A474" s="1" t="s">
        <v>14</v>
      </c>
      <c r="B474" s="37">
        <v>37024</v>
      </c>
      <c r="C474" s="7">
        <v>51</v>
      </c>
      <c r="D474" s="7">
        <v>34</v>
      </c>
    </row>
    <row r="475" spans="1:4" x14ac:dyDescent="0.2">
      <c r="A475" s="1" t="s">
        <v>14</v>
      </c>
      <c r="B475" s="37">
        <v>37025</v>
      </c>
      <c r="C475" s="7">
        <v>40</v>
      </c>
      <c r="D475" s="7">
        <v>19</v>
      </c>
    </row>
    <row r="476" spans="1:4" x14ac:dyDescent="0.2">
      <c r="A476" s="1" t="s">
        <v>14</v>
      </c>
      <c r="B476" s="37">
        <v>37026</v>
      </c>
      <c r="C476" s="7">
        <v>40</v>
      </c>
      <c r="D476" s="7">
        <v>32</v>
      </c>
    </row>
    <row r="477" spans="1:4" x14ac:dyDescent="0.2">
      <c r="A477" s="1" t="s">
        <v>14</v>
      </c>
      <c r="B477" s="37">
        <v>37027</v>
      </c>
      <c r="C477" s="7">
        <v>52</v>
      </c>
      <c r="D477" s="7">
        <v>29</v>
      </c>
    </row>
    <row r="478" spans="1:4" x14ac:dyDescent="0.2">
      <c r="A478" s="1" t="s">
        <v>14</v>
      </c>
      <c r="B478" s="37">
        <v>37028</v>
      </c>
      <c r="C478" s="7">
        <v>50</v>
      </c>
      <c r="D478" s="7">
        <v>16</v>
      </c>
    </row>
    <row r="479" spans="1:4" x14ac:dyDescent="0.2">
      <c r="A479" s="1" t="s">
        <v>14</v>
      </c>
      <c r="B479" s="37">
        <v>37029</v>
      </c>
      <c r="C479" s="7">
        <v>51</v>
      </c>
      <c r="D479" s="7">
        <v>33</v>
      </c>
    </row>
    <row r="480" spans="1:4" x14ac:dyDescent="0.2">
      <c r="A480" s="1" t="s">
        <v>14</v>
      </c>
      <c r="B480" s="37">
        <v>37030</v>
      </c>
      <c r="C480" s="7">
        <v>50</v>
      </c>
      <c r="D480" s="7">
        <v>21</v>
      </c>
    </row>
    <row r="481" spans="1:4" x14ac:dyDescent="0.2">
      <c r="A481" s="1" t="s">
        <v>14</v>
      </c>
      <c r="B481" s="37">
        <v>37031</v>
      </c>
      <c r="C481" s="7">
        <v>57</v>
      </c>
      <c r="D481" s="7">
        <v>33</v>
      </c>
    </row>
    <row r="482" spans="1:4" x14ac:dyDescent="0.2">
      <c r="A482" s="1" t="s">
        <v>14</v>
      </c>
      <c r="B482" s="37">
        <v>37032</v>
      </c>
      <c r="C482" s="7">
        <v>53</v>
      </c>
      <c r="D482" s="7">
        <v>25</v>
      </c>
    </row>
    <row r="483" spans="1:4" x14ac:dyDescent="0.2">
      <c r="A483" s="1" t="s">
        <v>14</v>
      </c>
      <c r="B483" s="37">
        <v>37033</v>
      </c>
      <c r="C483" s="7">
        <v>54</v>
      </c>
      <c r="D483" s="7">
        <v>21</v>
      </c>
    </row>
    <row r="484" spans="1:4" x14ac:dyDescent="0.2">
      <c r="A484" s="1" t="s">
        <v>14</v>
      </c>
      <c r="B484" s="37">
        <v>37034</v>
      </c>
      <c r="C484" s="7">
        <v>58</v>
      </c>
      <c r="D484" s="7">
        <v>23</v>
      </c>
    </row>
    <row r="485" spans="1:4" x14ac:dyDescent="0.2">
      <c r="A485" s="1" t="s">
        <v>14</v>
      </c>
      <c r="B485" s="37">
        <v>37035</v>
      </c>
      <c r="C485" s="7">
        <v>46</v>
      </c>
      <c r="D485" s="7">
        <v>20</v>
      </c>
    </row>
    <row r="486" spans="1:4" x14ac:dyDescent="0.2">
      <c r="A486" s="1" t="s">
        <v>14</v>
      </c>
      <c r="B486" s="37">
        <v>37036</v>
      </c>
      <c r="C486" s="7">
        <v>40</v>
      </c>
      <c r="D486" s="7">
        <v>27</v>
      </c>
    </row>
    <row r="487" spans="1:4" x14ac:dyDescent="0.2">
      <c r="A487" s="1" t="s">
        <v>14</v>
      </c>
      <c r="B487" s="37">
        <v>37037</v>
      </c>
      <c r="C487" s="7">
        <v>59</v>
      </c>
      <c r="D487" s="7">
        <v>30</v>
      </c>
    </row>
    <row r="488" spans="1:4" x14ac:dyDescent="0.2">
      <c r="A488" s="1" t="s">
        <v>14</v>
      </c>
      <c r="B488" s="37">
        <v>37038</v>
      </c>
      <c r="C488" s="7">
        <v>46</v>
      </c>
      <c r="D488" s="7">
        <v>40</v>
      </c>
    </row>
    <row r="489" spans="1:4" x14ac:dyDescent="0.2">
      <c r="A489" s="1" t="s">
        <v>14</v>
      </c>
      <c r="B489" s="37">
        <v>37039</v>
      </c>
      <c r="C489" s="7">
        <v>47</v>
      </c>
      <c r="D489" s="7">
        <v>28</v>
      </c>
    </row>
    <row r="490" spans="1:4" x14ac:dyDescent="0.2">
      <c r="A490" s="1" t="s">
        <v>14</v>
      </c>
      <c r="B490" s="37">
        <v>37040</v>
      </c>
      <c r="C490" s="7">
        <v>51</v>
      </c>
      <c r="D490" s="7">
        <v>20</v>
      </c>
    </row>
    <row r="491" spans="1:4" x14ac:dyDescent="0.2">
      <c r="A491" s="1" t="s">
        <v>14</v>
      </c>
      <c r="B491" s="37">
        <v>37041</v>
      </c>
      <c r="C491" s="7">
        <v>49</v>
      </c>
      <c r="D491" s="7">
        <v>33</v>
      </c>
    </row>
    <row r="492" spans="1:4" x14ac:dyDescent="0.2">
      <c r="A492" s="1" t="s">
        <v>14</v>
      </c>
      <c r="B492" s="37">
        <v>37042</v>
      </c>
      <c r="C492" s="7">
        <v>60</v>
      </c>
      <c r="D492" s="7">
        <v>28</v>
      </c>
    </row>
    <row r="493" spans="1:4" x14ac:dyDescent="0.2">
      <c r="A493" s="1" t="s">
        <v>14</v>
      </c>
      <c r="B493" s="37">
        <v>37043</v>
      </c>
      <c r="C493" s="7">
        <v>50</v>
      </c>
      <c r="D493" s="7">
        <v>21</v>
      </c>
    </row>
    <row r="494" spans="1:4" x14ac:dyDescent="0.2">
      <c r="A494" s="1" t="s">
        <v>14</v>
      </c>
      <c r="B494" s="37">
        <v>37044</v>
      </c>
      <c r="C494" s="7">
        <v>45</v>
      </c>
      <c r="D494" s="7">
        <v>30</v>
      </c>
    </row>
    <row r="495" spans="1:4" x14ac:dyDescent="0.2">
      <c r="A495" s="1" t="s">
        <v>14</v>
      </c>
      <c r="B495" s="37">
        <v>37045</v>
      </c>
      <c r="C495" s="7">
        <v>51</v>
      </c>
      <c r="D495" s="7">
        <v>23</v>
      </c>
    </row>
    <row r="496" spans="1:4" x14ac:dyDescent="0.2">
      <c r="A496" s="1" t="s">
        <v>14</v>
      </c>
      <c r="B496" s="37">
        <v>37046</v>
      </c>
      <c r="C496" s="7">
        <v>55</v>
      </c>
      <c r="D496" s="7">
        <v>40</v>
      </c>
    </row>
    <row r="497" spans="1:4" x14ac:dyDescent="0.2">
      <c r="A497" s="1" t="s">
        <v>14</v>
      </c>
      <c r="B497" s="37">
        <v>37047</v>
      </c>
      <c r="C497" s="7">
        <v>44</v>
      </c>
      <c r="D497" s="7">
        <v>17</v>
      </c>
    </row>
    <row r="498" spans="1:4" x14ac:dyDescent="0.2">
      <c r="A498" s="1" t="s">
        <v>14</v>
      </c>
      <c r="B498" s="37">
        <v>37048</v>
      </c>
      <c r="C498" s="7">
        <v>40</v>
      </c>
      <c r="D498" s="7">
        <v>20</v>
      </c>
    </row>
    <row r="499" spans="1:4" x14ac:dyDescent="0.2">
      <c r="A499" s="1" t="s">
        <v>14</v>
      </c>
      <c r="B499" s="37">
        <v>37049</v>
      </c>
      <c r="C499" s="7">
        <v>52</v>
      </c>
      <c r="D499" s="7">
        <v>25</v>
      </c>
    </row>
    <row r="500" spans="1:4" x14ac:dyDescent="0.2">
      <c r="A500" s="1" t="s">
        <v>14</v>
      </c>
      <c r="B500" s="37">
        <v>37050</v>
      </c>
      <c r="C500" s="7">
        <v>41</v>
      </c>
      <c r="D500" s="7">
        <v>27</v>
      </c>
    </row>
    <row r="501" spans="1:4" x14ac:dyDescent="0.2">
      <c r="A501" s="1" t="s">
        <v>14</v>
      </c>
      <c r="B501" s="37">
        <v>37051</v>
      </c>
      <c r="C501" s="7">
        <v>49</v>
      </c>
      <c r="D501" s="7">
        <v>20</v>
      </c>
    </row>
    <row r="502" spans="1:4" x14ac:dyDescent="0.2">
      <c r="A502" s="1" t="s">
        <v>14</v>
      </c>
      <c r="B502" s="37">
        <v>37052</v>
      </c>
      <c r="C502" s="7">
        <v>42</v>
      </c>
      <c r="D502" s="7">
        <v>37</v>
      </c>
    </row>
    <row r="503" spans="1:4" x14ac:dyDescent="0.2">
      <c r="A503" s="1" t="s">
        <v>14</v>
      </c>
      <c r="B503" s="37">
        <v>37053</v>
      </c>
      <c r="C503" s="7">
        <v>57</v>
      </c>
      <c r="D503" s="7">
        <v>18</v>
      </c>
    </row>
    <row r="504" spans="1:4" x14ac:dyDescent="0.2">
      <c r="A504" s="1" t="s">
        <v>14</v>
      </c>
      <c r="B504" s="37">
        <v>37054</v>
      </c>
      <c r="C504" s="7">
        <v>48</v>
      </c>
      <c r="D504" s="7">
        <v>28</v>
      </c>
    </row>
    <row r="505" spans="1:4" x14ac:dyDescent="0.2">
      <c r="A505" s="1" t="s">
        <v>14</v>
      </c>
      <c r="B505" s="37">
        <v>37055</v>
      </c>
      <c r="C505" s="7">
        <v>45</v>
      </c>
      <c r="D505" s="7">
        <v>37</v>
      </c>
    </row>
    <row r="506" spans="1:4" x14ac:dyDescent="0.2">
      <c r="A506" s="1" t="s">
        <v>14</v>
      </c>
      <c r="B506" s="37">
        <v>37056</v>
      </c>
      <c r="C506" s="7">
        <v>46</v>
      </c>
      <c r="D506" s="7">
        <v>36</v>
      </c>
    </row>
    <row r="507" spans="1:4" x14ac:dyDescent="0.2">
      <c r="A507" s="1" t="s">
        <v>14</v>
      </c>
      <c r="B507" s="37">
        <v>37057</v>
      </c>
      <c r="C507" s="7">
        <v>53</v>
      </c>
      <c r="D507" s="7">
        <v>30</v>
      </c>
    </row>
    <row r="508" spans="1:4" x14ac:dyDescent="0.2">
      <c r="A508" s="1" t="s">
        <v>14</v>
      </c>
      <c r="B508" s="37">
        <v>37058</v>
      </c>
      <c r="C508" s="7">
        <v>50</v>
      </c>
      <c r="D508" s="7">
        <v>26</v>
      </c>
    </row>
    <row r="509" spans="1:4" x14ac:dyDescent="0.2">
      <c r="A509" s="1" t="s">
        <v>14</v>
      </c>
      <c r="B509" s="37">
        <v>37059</v>
      </c>
      <c r="C509" s="7">
        <v>42</v>
      </c>
      <c r="D509" s="7">
        <v>36</v>
      </c>
    </row>
    <row r="510" spans="1:4" x14ac:dyDescent="0.2">
      <c r="A510" s="1" t="s">
        <v>14</v>
      </c>
      <c r="B510" s="37">
        <v>37060</v>
      </c>
      <c r="C510" s="7">
        <v>59</v>
      </c>
      <c r="D510" s="7">
        <v>17</v>
      </c>
    </row>
    <row r="511" spans="1:4" x14ac:dyDescent="0.2">
      <c r="A511" s="1" t="s">
        <v>14</v>
      </c>
      <c r="B511" s="37">
        <v>37061</v>
      </c>
      <c r="C511" s="7">
        <v>60</v>
      </c>
      <c r="D511" s="7">
        <v>40</v>
      </c>
    </row>
    <row r="512" spans="1:4" x14ac:dyDescent="0.2">
      <c r="A512" s="1" t="s">
        <v>14</v>
      </c>
      <c r="B512" s="37">
        <v>37062</v>
      </c>
      <c r="C512" s="7">
        <v>58</v>
      </c>
      <c r="D512" s="7">
        <v>21</v>
      </c>
    </row>
    <row r="513" spans="1:4" x14ac:dyDescent="0.2">
      <c r="A513" s="1" t="s">
        <v>14</v>
      </c>
      <c r="B513" s="37">
        <v>37063</v>
      </c>
      <c r="C513" s="7">
        <v>42</v>
      </c>
      <c r="D513" s="7">
        <v>38</v>
      </c>
    </row>
    <row r="514" spans="1:4" x14ac:dyDescent="0.2">
      <c r="A514" s="1" t="s">
        <v>14</v>
      </c>
      <c r="B514" s="37">
        <v>37064</v>
      </c>
      <c r="C514" s="7">
        <v>42</v>
      </c>
      <c r="D514" s="7">
        <v>27</v>
      </c>
    </row>
    <row r="515" spans="1:4" x14ac:dyDescent="0.2">
      <c r="A515" s="1" t="s">
        <v>14</v>
      </c>
      <c r="B515" s="37">
        <v>37065</v>
      </c>
      <c r="C515" s="7">
        <v>47</v>
      </c>
      <c r="D515" s="7">
        <v>35</v>
      </c>
    </row>
    <row r="516" spans="1:4" x14ac:dyDescent="0.2">
      <c r="A516" s="1" t="s">
        <v>14</v>
      </c>
      <c r="B516" s="37">
        <v>37066</v>
      </c>
      <c r="C516" s="7">
        <v>53</v>
      </c>
      <c r="D516" s="7">
        <v>35</v>
      </c>
    </row>
    <row r="517" spans="1:4" x14ac:dyDescent="0.2">
      <c r="A517" s="1" t="s">
        <v>14</v>
      </c>
      <c r="B517" s="37">
        <v>37067</v>
      </c>
      <c r="C517" s="7">
        <v>48</v>
      </c>
      <c r="D517" s="7">
        <v>34</v>
      </c>
    </row>
    <row r="518" spans="1:4" x14ac:dyDescent="0.2">
      <c r="A518" s="1" t="s">
        <v>14</v>
      </c>
      <c r="B518" s="37">
        <v>37068</v>
      </c>
      <c r="C518" s="7">
        <v>55</v>
      </c>
      <c r="D518" s="7">
        <v>21</v>
      </c>
    </row>
    <row r="519" spans="1:4" x14ac:dyDescent="0.2">
      <c r="A519" s="1" t="s">
        <v>14</v>
      </c>
      <c r="B519" s="37">
        <v>37069</v>
      </c>
      <c r="C519" s="7">
        <v>54</v>
      </c>
      <c r="D519" s="7">
        <v>35</v>
      </c>
    </row>
    <row r="520" spans="1:4" x14ac:dyDescent="0.2">
      <c r="A520" s="1" t="s">
        <v>14</v>
      </c>
      <c r="B520" s="37">
        <v>37070</v>
      </c>
      <c r="C520" s="7">
        <v>49</v>
      </c>
      <c r="D520" s="7">
        <v>28</v>
      </c>
    </row>
    <row r="521" spans="1:4" x14ac:dyDescent="0.2">
      <c r="A521" s="1" t="s">
        <v>14</v>
      </c>
      <c r="B521" s="37">
        <v>37071</v>
      </c>
      <c r="C521" s="7">
        <v>42</v>
      </c>
      <c r="D521" s="7">
        <v>28</v>
      </c>
    </row>
    <row r="522" spans="1:4" x14ac:dyDescent="0.2">
      <c r="A522" s="1" t="s">
        <v>14</v>
      </c>
      <c r="B522" s="37">
        <v>37072</v>
      </c>
      <c r="C522" s="7">
        <v>48</v>
      </c>
      <c r="D522" s="7">
        <v>19</v>
      </c>
    </row>
    <row r="523" spans="1:4" x14ac:dyDescent="0.2">
      <c r="A523" s="1" t="s">
        <v>14</v>
      </c>
      <c r="B523" s="37">
        <v>37073</v>
      </c>
      <c r="C523" s="7">
        <v>59</v>
      </c>
      <c r="D523" s="7">
        <v>26</v>
      </c>
    </row>
    <row r="524" spans="1:4" x14ac:dyDescent="0.2">
      <c r="A524" s="1" t="s">
        <v>14</v>
      </c>
      <c r="B524" s="37">
        <v>37074</v>
      </c>
      <c r="C524" s="7">
        <v>57</v>
      </c>
      <c r="D524" s="7">
        <v>39</v>
      </c>
    </row>
    <row r="525" spans="1:4" x14ac:dyDescent="0.2">
      <c r="A525" s="1" t="s">
        <v>14</v>
      </c>
      <c r="B525" s="37">
        <v>37075</v>
      </c>
      <c r="C525" s="7">
        <v>60</v>
      </c>
      <c r="D525" s="7">
        <v>35</v>
      </c>
    </row>
    <row r="526" spans="1:4" x14ac:dyDescent="0.2">
      <c r="A526" s="1" t="s">
        <v>14</v>
      </c>
      <c r="B526" s="37">
        <v>37076</v>
      </c>
      <c r="C526" s="7">
        <v>60</v>
      </c>
      <c r="D526" s="7">
        <v>28</v>
      </c>
    </row>
    <row r="527" spans="1:4" x14ac:dyDescent="0.2">
      <c r="A527" s="1" t="s">
        <v>14</v>
      </c>
      <c r="B527" s="37">
        <v>37077</v>
      </c>
      <c r="C527" s="7">
        <v>52</v>
      </c>
      <c r="D527" s="7">
        <v>36</v>
      </c>
    </row>
    <row r="528" spans="1:4" x14ac:dyDescent="0.2">
      <c r="A528" s="1" t="s">
        <v>14</v>
      </c>
      <c r="B528" s="37">
        <v>37078</v>
      </c>
      <c r="C528" s="7">
        <v>56</v>
      </c>
      <c r="D528" s="7">
        <v>19</v>
      </c>
    </row>
    <row r="529" spans="1:4" x14ac:dyDescent="0.2">
      <c r="A529" s="1" t="s">
        <v>14</v>
      </c>
      <c r="B529" s="37">
        <v>37079</v>
      </c>
      <c r="C529" s="7">
        <v>53</v>
      </c>
      <c r="D529" s="7">
        <v>30</v>
      </c>
    </row>
    <row r="530" spans="1:4" x14ac:dyDescent="0.2">
      <c r="A530" s="1" t="s">
        <v>14</v>
      </c>
      <c r="B530" s="37">
        <v>37080</v>
      </c>
      <c r="C530" s="7">
        <v>45</v>
      </c>
      <c r="D530" s="7">
        <v>25</v>
      </c>
    </row>
    <row r="531" spans="1:4" x14ac:dyDescent="0.2">
      <c r="A531" s="1" t="s">
        <v>14</v>
      </c>
      <c r="B531" s="37">
        <v>37081</v>
      </c>
      <c r="C531" s="7">
        <v>46</v>
      </c>
      <c r="D531" s="7">
        <v>39</v>
      </c>
    </row>
    <row r="532" spans="1:4" x14ac:dyDescent="0.2">
      <c r="A532" s="1" t="s">
        <v>14</v>
      </c>
      <c r="B532" s="37">
        <v>37082</v>
      </c>
      <c r="C532" s="7">
        <v>43</v>
      </c>
      <c r="D532" s="7">
        <v>38</v>
      </c>
    </row>
    <row r="533" spans="1:4" x14ac:dyDescent="0.2">
      <c r="A533" s="1" t="s">
        <v>14</v>
      </c>
      <c r="B533" s="37">
        <v>37083</v>
      </c>
      <c r="C533" s="7">
        <v>44</v>
      </c>
      <c r="D533" s="7">
        <v>19</v>
      </c>
    </row>
    <row r="534" spans="1:4" x14ac:dyDescent="0.2">
      <c r="A534" s="1" t="s">
        <v>14</v>
      </c>
      <c r="B534" s="37">
        <v>37084</v>
      </c>
      <c r="C534" s="7">
        <v>48</v>
      </c>
      <c r="D534" s="7">
        <v>21</v>
      </c>
    </row>
    <row r="535" spans="1:4" x14ac:dyDescent="0.2">
      <c r="A535" s="1" t="s">
        <v>14</v>
      </c>
      <c r="B535" s="37">
        <v>37085</v>
      </c>
      <c r="C535" s="7">
        <v>50</v>
      </c>
      <c r="D535" s="7">
        <v>38</v>
      </c>
    </row>
    <row r="536" spans="1:4" x14ac:dyDescent="0.2">
      <c r="A536" s="1" t="s">
        <v>14</v>
      </c>
      <c r="B536" s="37">
        <v>37086</v>
      </c>
      <c r="C536" s="7">
        <v>56</v>
      </c>
      <c r="D536" s="7">
        <v>29</v>
      </c>
    </row>
    <row r="537" spans="1:4" x14ac:dyDescent="0.2">
      <c r="A537" s="1" t="s">
        <v>14</v>
      </c>
      <c r="B537" s="37">
        <v>37087</v>
      </c>
      <c r="C537" s="7">
        <v>55</v>
      </c>
      <c r="D537" s="7">
        <v>27</v>
      </c>
    </row>
    <row r="538" spans="1:4" x14ac:dyDescent="0.2">
      <c r="A538" s="1" t="s">
        <v>14</v>
      </c>
      <c r="B538" s="37">
        <v>37088</v>
      </c>
      <c r="C538" s="7">
        <v>43</v>
      </c>
      <c r="D538" s="7">
        <v>30</v>
      </c>
    </row>
    <row r="539" spans="1:4" x14ac:dyDescent="0.2">
      <c r="A539" s="1" t="s">
        <v>14</v>
      </c>
      <c r="B539" s="37">
        <v>37089</v>
      </c>
      <c r="C539" s="7">
        <v>54</v>
      </c>
      <c r="D539" s="7">
        <v>34</v>
      </c>
    </row>
    <row r="540" spans="1:4" x14ac:dyDescent="0.2">
      <c r="A540" s="1" t="s">
        <v>14</v>
      </c>
      <c r="B540" s="37">
        <v>37090</v>
      </c>
      <c r="C540" s="7">
        <v>51</v>
      </c>
      <c r="D540" s="7">
        <v>27</v>
      </c>
    </row>
    <row r="541" spans="1:4" x14ac:dyDescent="0.2">
      <c r="A541" s="1" t="s">
        <v>14</v>
      </c>
      <c r="B541" s="37">
        <v>37091</v>
      </c>
      <c r="C541" s="7">
        <v>47</v>
      </c>
      <c r="D541" s="7">
        <v>39</v>
      </c>
    </row>
    <row r="542" spans="1:4" x14ac:dyDescent="0.2">
      <c r="A542" s="1" t="s">
        <v>14</v>
      </c>
      <c r="B542" s="37">
        <v>37092</v>
      </c>
      <c r="C542" s="7">
        <v>46</v>
      </c>
      <c r="D542" s="7">
        <v>25</v>
      </c>
    </row>
    <row r="543" spans="1:4" x14ac:dyDescent="0.2">
      <c r="A543" s="1" t="s">
        <v>14</v>
      </c>
      <c r="B543" s="37">
        <v>37093</v>
      </c>
      <c r="C543" s="7">
        <v>47</v>
      </c>
      <c r="D543" s="7">
        <v>30</v>
      </c>
    </row>
    <row r="544" spans="1:4" x14ac:dyDescent="0.2">
      <c r="A544" s="1" t="s">
        <v>14</v>
      </c>
      <c r="B544" s="37">
        <v>37094</v>
      </c>
      <c r="C544" s="7">
        <v>42</v>
      </c>
      <c r="D544" s="7">
        <v>37</v>
      </c>
    </row>
    <row r="545" spans="1:4" x14ac:dyDescent="0.2">
      <c r="A545" s="1" t="s">
        <v>14</v>
      </c>
      <c r="B545" s="37">
        <v>37095</v>
      </c>
      <c r="C545" s="7">
        <v>49</v>
      </c>
      <c r="D545" s="7">
        <v>31</v>
      </c>
    </row>
    <row r="546" spans="1:4" x14ac:dyDescent="0.2">
      <c r="A546" s="1" t="s">
        <v>14</v>
      </c>
      <c r="B546" s="37">
        <v>37096</v>
      </c>
      <c r="C546" s="7">
        <v>44</v>
      </c>
      <c r="D546" s="7">
        <v>33</v>
      </c>
    </row>
    <row r="547" spans="1:4" x14ac:dyDescent="0.2">
      <c r="A547" s="1" t="s">
        <v>14</v>
      </c>
      <c r="B547" s="37">
        <v>37097</v>
      </c>
      <c r="C547" s="7">
        <v>59</v>
      </c>
      <c r="D547" s="7">
        <v>29</v>
      </c>
    </row>
    <row r="548" spans="1:4" x14ac:dyDescent="0.2">
      <c r="A548" s="1" t="s">
        <v>14</v>
      </c>
      <c r="B548" s="37">
        <v>37098</v>
      </c>
      <c r="C548" s="7">
        <v>57</v>
      </c>
      <c r="D548" s="7">
        <v>37</v>
      </c>
    </row>
    <row r="549" spans="1:4" x14ac:dyDescent="0.2">
      <c r="A549" s="1" t="s">
        <v>14</v>
      </c>
      <c r="B549" s="37">
        <v>37099</v>
      </c>
      <c r="C549" s="7">
        <v>43</v>
      </c>
      <c r="D549" s="7">
        <v>28</v>
      </c>
    </row>
    <row r="550" spans="1:4" x14ac:dyDescent="0.2">
      <c r="A550" s="1" t="s">
        <v>14</v>
      </c>
      <c r="B550" s="37">
        <v>37100</v>
      </c>
      <c r="C550" s="7">
        <v>43</v>
      </c>
      <c r="D550" s="7">
        <v>33</v>
      </c>
    </row>
    <row r="551" spans="1:4" x14ac:dyDescent="0.2">
      <c r="A551" s="1" t="s">
        <v>14</v>
      </c>
      <c r="B551" s="37">
        <v>37101</v>
      </c>
      <c r="C551" s="7">
        <v>44</v>
      </c>
      <c r="D551" s="7">
        <v>37</v>
      </c>
    </row>
    <row r="552" spans="1:4" x14ac:dyDescent="0.2">
      <c r="A552" s="1" t="s">
        <v>14</v>
      </c>
      <c r="B552" s="37">
        <v>37102</v>
      </c>
      <c r="C552" s="7">
        <v>47</v>
      </c>
      <c r="D552" s="7">
        <v>17</v>
      </c>
    </row>
    <row r="553" spans="1:4" x14ac:dyDescent="0.2">
      <c r="A553" s="1" t="s">
        <v>14</v>
      </c>
      <c r="B553" s="37">
        <v>37103</v>
      </c>
      <c r="C553" s="7">
        <v>58</v>
      </c>
      <c r="D553" s="7">
        <v>39</v>
      </c>
    </row>
    <row r="554" spans="1:4" x14ac:dyDescent="0.2">
      <c r="A554" s="1" t="s">
        <v>14</v>
      </c>
      <c r="B554" s="37">
        <v>37104</v>
      </c>
      <c r="C554" s="7">
        <v>52</v>
      </c>
      <c r="D554" s="7">
        <v>36</v>
      </c>
    </row>
    <row r="555" spans="1:4" x14ac:dyDescent="0.2">
      <c r="A555" s="1" t="s">
        <v>14</v>
      </c>
      <c r="B555" s="37">
        <v>37105</v>
      </c>
      <c r="C555" s="7">
        <v>52</v>
      </c>
      <c r="D555" s="7">
        <v>30</v>
      </c>
    </row>
    <row r="556" spans="1:4" x14ac:dyDescent="0.2">
      <c r="A556" s="1" t="s">
        <v>14</v>
      </c>
      <c r="B556" s="37">
        <v>37106</v>
      </c>
      <c r="C556" s="7">
        <v>48</v>
      </c>
      <c r="D556" s="7">
        <v>26</v>
      </c>
    </row>
    <row r="557" spans="1:4" x14ac:dyDescent="0.2">
      <c r="A557" s="1" t="s">
        <v>14</v>
      </c>
      <c r="B557" s="37">
        <v>37107</v>
      </c>
      <c r="C557" s="7">
        <v>45</v>
      </c>
      <c r="D557" s="7">
        <v>24</v>
      </c>
    </row>
    <row r="558" spans="1:4" x14ac:dyDescent="0.2">
      <c r="A558" s="1" t="s">
        <v>14</v>
      </c>
      <c r="B558" s="37">
        <v>37108</v>
      </c>
      <c r="C558" s="7">
        <v>53</v>
      </c>
      <c r="D558" s="7">
        <v>19</v>
      </c>
    </row>
    <row r="559" spans="1:4" x14ac:dyDescent="0.2">
      <c r="A559" s="1" t="s">
        <v>14</v>
      </c>
      <c r="B559" s="37">
        <v>37109</v>
      </c>
      <c r="C559" s="7">
        <v>41</v>
      </c>
      <c r="D559" s="7">
        <v>34</v>
      </c>
    </row>
    <row r="560" spans="1:4" x14ac:dyDescent="0.2">
      <c r="A560" s="1" t="s">
        <v>14</v>
      </c>
      <c r="B560" s="37">
        <v>37110</v>
      </c>
      <c r="C560" s="7">
        <v>44</v>
      </c>
      <c r="D560" s="7">
        <v>29</v>
      </c>
    </row>
    <row r="561" spans="1:4" x14ac:dyDescent="0.2">
      <c r="A561" s="1" t="s">
        <v>14</v>
      </c>
      <c r="B561" s="37">
        <v>37111</v>
      </c>
      <c r="C561" s="7">
        <v>52</v>
      </c>
      <c r="D561" s="7">
        <v>21</v>
      </c>
    </row>
    <row r="562" spans="1:4" x14ac:dyDescent="0.2">
      <c r="A562" s="1" t="s">
        <v>14</v>
      </c>
      <c r="B562" s="37">
        <v>37112</v>
      </c>
      <c r="C562" s="7">
        <v>56</v>
      </c>
      <c r="D562" s="7">
        <v>27</v>
      </c>
    </row>
    <row r="563" spans="1:4" x14ac:dyDescent="0.2">
      <c r="A563" s="1" t="s">
        <v>14</v>
      </c>
      <c r="B563" s="37">
        <v>37113</v>
      </c>
      <c r="C563" s="7">
        <v>47</v>
      </c>
      <c r="D563" s="7">
        <v>35</v>
      </c>
    </row>
    <row r="564" spans="1:4" x14ac:dyDescent="0.2">
      <c r="A564" s="1" t="s">
        <v>14</v>
      </c>
      <c r="B564" s="37">
        <v>37114</v>
      </c>
      <c r="C564" s="7">
        <v>49</v>
      </c>
      <c r="D564" s="7">
        <v>17</v>
      </c>
    </row>
    <row r="565" spans="1:4" x14ac:dyDescent="0.2">
      <c r="A565" s="1" t="s">
        <v>14</v>
      </c>
      <c r="B565" s="37">
        <v>37115</v>
      </c>
      <c r="C565" s="7">
        <v>57</v>
      </c>
      <c r="D565" s="7">
        <v>40</v>
      </c>
    </row>
    <row r="566" spans="1:4" x14ac:dyDescent="0.2">
      <c r="A566" s="1" t="s">
        <v>14</v>
      </c>
      <c r="B566" s="37">
        <v>37116</v>
      </c>
      <c r="C566" s="7">
        <v>49</v>
      </c>
      <c r="D566" s="7">
        <v>20</v>
      </c>
    </row>
    <row r="567" spans="1:4" x14ac:dyDescent="0.2">
      <c r="A567" s="1" t="s">
        <v>14</v>
      </c>
      <c r="B567" s="37">
        <v>37117</v>
      </c>
      <c r="C567" s="7">
        <v>54</v>
      </c>
      <c r="D567" s="7">
        <v>18</v>
      </c>
    </row>
    <row r="568" spans="1:4" x14ac:dyDescent="0.2">
      <c r="A568" s="1" t="s">
        <v>14</v>
      </c>
      <c r="B568" s="37">
        <v>37118</v>
      </c>
      <c r="C568" s="7">
        <v>50</v>
      </c>
      <c r="D568" s="7">
        <v>19</v>
      </c>
    </row>
    <row r="569" spans="1:4" x14ac:dyDescent="0.2">
      <c r="A569" s="1" t="s">
        <v>14</v>
      </c>
      <c r="B569" s="37">
        <v>37119</v>
      </c>
      <c r="C569" s="7">
        <v>44</v>
      </c>
      <c r="D569" s="7">
        <v>29</v>
      </c>
    </row>
    <row r="570" spans="1:4" x14ac:dyDescent="0.2">
      <c r="A570" s="1" t="s">
        <v>14</v>
      </c>
      <c r="B570" s="37">
        <v>37120</v>
      </c>
      <c r="C570" s="7">
        <v>60</v>
      </c>
      <c r="D570" s="7">
        <v>19</v>
      </c>
    </row>
    <row r="571" spans="1:4" x14ac:dyDescent="0.2">
      <c r="A571" s="1" t="s">
        <v>14</v>
      </c>
      <c r="B571" s="37">
        <v>37121</v>
      </c>
      <c r="C571" s="7">
        <v>42</v>
      </c>
      <c r="D571" s="7">
        <v>15</v>
      </c>
    </row>
    <row r="572" spans="1:4" x14ac:dyDescent="0.2">
      <c r="A572" s="1" t="s">
        <v>14</v>
      </c>
      <c r="B572" s="37">
        <v>37122</v>
      </c>
      <c r="C572" s="7">
        <v>42</v>
      </c>
      <c r="D572" s="7">
        <v>36</v>
      </c>
    </row>
    <row r="573" spans="1:4" x14ac:dyDescent="0.2">
      <c r="A573" s="1" t="s">
        <v>14</v>
      </c>
      <c r="B573" s="37">
        <v>37123</v>
      </c>
      <c r="C573" s="7">
        <v>42</v>
      </c>
      <c r="D573" s="7">
        <v>25</v>
      </c>
    </row>
    <row r="574" spans="1:4" x14ac:dyDescent="0.2">
      <c r="A574" s="1" t="s">
        <v>14</v>
      </c>
      <c r="B574" s="37">
        <v>37124</v>
      </c>
      <c r="C574" s="7">
        <v>50</v>
      </c>
      <c r="D574" s="7">
        <v>20</v>
      </c>
    </row>
    <row r="575" spans="1:4" x14ac:dyDescent="0.2">
      <c r="A575" s="1" t="s">
        <v>14</v>
      </c>
      <c r="B575" s="37">
        <v>37125</v>
      </c>
      <c r="C575" s="7">
        <v>53</v>
      </c>
      <c r="D575" s="7">
        <v>28</v>
      </c>
    </row>
    <row r="576" spans="1:4" x14ac:dyDescent="0.2">
      <c r="A576" s="1" t="s">
        <v>14</v>
      </c>
      <c r="B576" s="37">
        <v>37126</v>
      </c>
      <c r="C576" s="7">
        <v>51</v>
      </c>
      <c r="D576" s="7">
        <v>18</v>
      </c>
    </row>
    <row r="577" spans="1:4" x14ac:dyDescent="0.2">
      <c r="A577" s="1" t="s">
        <v>14</v>
      </c>
      <c r="B577" s="37">
        <v>37127</v>
      </c>
      <c r="C577" s="7">
        <v>41</v>
      </c>
      <c r="D577" s="7">
        <v>23</v>
      </c>
    </row>
    <row r="578" spans="1:4" x14ac:dyDescent="0.2">
      <c r="A578" s="1" t="s">
        <v>14</v>
      </c>
      <c r="B578" s="37">
        <v>37128</v>
      </c>
      <c r="C578" s="7">
        <v>51</v>
      </c>
      <c r="D578" s="7">
        <v>16</v>
      </c>
    </row>
    <row r="579" spans="1:4" x14ac:dyDescent="0.2">
      <c r="A579" s="1" t="s">
        <v>14</v>
      </c>
      <c r="B579" s="37">
        <v>37129</v>
      </c>
      <c r="C579" s="7">
        <v>40</v>
      </c>
      <c r="D579" s="7">
        <v>38</v>
      </c>
    </row>
    <row r="580" spans="1:4" x14ac:dyDescent="0.2">
      <c r="A580" s="1" t="s">
        <v>14</v>
      </c>
      <c r="B580" s="37">
        <v>37130</v>
      </c>
      <c r="C580" s="7">
        <v>56</v>
      </c>
      <c r="D580" s="7">
        <v>16</v>
      </c>
    </row>
    <row r="581" spans="1:4" x14ac:dyDescent="0.2">
      <c r="A581" s="1" t="s">
        <v>14</v>
      </c>
      <c r="B581" s="37">
        <v>37131</v>
      </c>
      <c r="C581" s="7">
        <v>56</v>
      </c>
      <c r="D581" s="7">
        <v>33</v>
      </c>
    </row>
    <row r="582" spans="1:4" x14ac:dyDescent="0.2">
      <c r="A582" s="1" t="s">
        <v>14</v>
      </c>
      <c r="B582" s="37">
        <v>37132</v>
      </c>
      <c r="C582" s="7">
        <v>45</v>
      </c>
      <c r="D582" s="7">
        <v>32</v>
      </c>
    </row>
    <row r="583" spans="1:4" x14ac:dyDescent="0.2">
      <c r="A583" s="1" t="s">
        <v>14</v>
      </c>
      <c r="B583" s="37">
        <v>37133</v>
      </c>
      <c r="C583" s="7">
        <v>48</v>
      </c>
      <c r="D583" s="7">
        <v>39</v>
      </c>
    </row>
    <row r="584" spans="1:4" x14ac:dyDescent="0.2">
      <c r="A584" s="1" t="s">
        <v>14</v>
      </c>
      <c r="B584" s="37">
        <v>37134</v>
      </c>
      <c r="C584" s="7">
        <v>53</v>
      </c>
      <c r="D584" s="7">
        <v>29</v>
      </c>
    </row>
    <row r="585" spans="1:4" x14ac:dyDescent="0.2">
      <c r="A585" s="1" t="s">
        <v>14</v>
      </c>
      <c r="B585" s="37">
        <v>37135</v>
      </c>
      <c r="C585" s="7">
        <v>59</v>
      </c>
      <c r="D585" s="7">
        <v>24</v>
      </c>
    </row>
    <row r="586" spans="1:4" x14ac:dyDescent="0.2">
      <c r="A586" s="1" t="s">
        <v>14</v>
      </c>
      <c r="B586" s="37">
        <v>37136</v>
      </c>
      <c r="C586" s="7">
        <v>40</v>
      </c>
      <c r="D586" s="7">
        <v>25</v>
      </c>
    </row>
    <row r="587" spans="1:4" x14ac:dyDescent="0.2">
      <c r="A587" s="1" t="s">
        <v>14</v>
      </c>
      <c r="B587" s="37">
        <v>37137</v>
      </c>
      <c r="C587" s="7">
        <v>48</v>
      </c>
      <c r="D587" s="7">
        <v>25</v>
      </c>
    </row>
    <row r="588" spans="1:4" x14ac:dyDescent="0.2">
      <c r="A588" s="1" t="s">
        <v>14</v>
      </c>
      <c r="B588" s="37">
        <v>37138</v>
      </c>
      <c r="C588" s="7">
        <v>50</v>
      </c>
      <c r="D588" s="7">
        <v>37</v>
      </c>
    </row>
    <row r="589" spans="1:4" x14ac:dyDescent="0.2">
      <c r="A589" s="1" t="s">
        <v>14</v>
      </c>
      <c r="B589" s="37">
        <v>37139</v>
      </c>
      <c r="C589" s="7">
        <v>41</v>
      </c>
      <c r="D589" s="7">
        <v>38</v>
      </c>
    </row>
    <row r="590" spans="1:4" x14ac:dyDescent="0.2">
      <c r="A590" s="1" t="s">
        <v>14</v>
      </c>
      <c r="B590" s="37">
        <v>37140</v>
      </c>
      <c r="C590" s="7">
        <v>54</v>
      </c>
      <c r="D590" s="7">
        <v>23</v>
      </c>
    </row>
    <row r="591" spans="1:4" x14ac:dyDescent="0.2">
      <c r="A591" s="1" t="s">
        <v>14</v>
      </c>
      <c r="B591" s="37">
        <v>37141</v>
      </c>
      <c r="C591" s="7">
        <v>46</v>
      </c>
      <c r="D591" s="7">
        <v>27</v>
      </c>
    </row>
    <row r="592" spans="1:4" x14ac:dyDescent="0.2">
      <c r="A592" s="1" t="s">
        <v>14</v>
      </c>
      <c r="B592" s="37">
        <v>37142</v>
      </c>
      <c r="C592" s="7">
        <v>53</v>
      </c>
      <c r="D592" s="7">
        <v>21</v>
      </c>
    </row>
    <row r="593" spans="1:4" x14ac:dyDescent="0.2">
      <c r="A593" s="1" t="s">
        <v>14</v>
      </c>
      <c r="B593" s="37">
        <v>37143</v>
      </c>
      <c r="C593" s="7">
        <v>44</v>
      </c>
      <c r="D593" s="7">
        <v>33</v>
      </c>
    </row>
    <row r="594" spans="1:4" x14ac:dyDescent="0.2">
      <c r="A594" s="1" t="s">
        <v>14</v>
      </c>
      <c r="B594" s="37">
        <v>37144</v>
      </c>
      <c r="C594" s="7">
        <v>54</v>
      </c>
      <c r="D594" s="7">
        <v>24</v>
      </c>
    </row>
    <row r="595" spans="1:4" x14ac:dyDescent="0.2">
      <c r="A595" s="1" t="s">
        <v>14</v>
      </c>
      <c r="B595" s="37">
        <v>37145</v>
      </c>
      <c r="C595" s="7">
        <v>50</v>
      </c>
      <c r="D595" s="7">
        <v>21</v>
      </c>
    </row>
    <row r="596" spans="1:4" x14ac:dyDescent="0.2">
      <c r="A596" s="1" t="s">
        <v>14</v>
      </c>
      <c r="B596" s="37">
        <v>37146</v>
      </c>
      <c r="C596" s="7">
        <v>51</v>
      </c>
      <c r="D596" s="7">
        <v>37</v>
      </c>
    </row>
    <row r="597" spans="1:4" x14ac:dyDescent="0.2">
      <c r="A597" s="1" t="s">
        <v>14</v>
      </c>
      <c r="B597" s="37">
        <v>37147</v>
      </c>
      <c r="C597" s="7">
        <v>57</v>
      </c>
      <c r="D597" s="7">
        <v>33</v>
      </c>
    </row>
    <row r="598" spans="1:4" x14ac:dyDescent="0.2">
      <c r="A598" s="1" t="s">
        <v>14</v>
      </c>
      <c r="B598" s="37">
        <v>37148</v>
      </c>
      <c r="C598" s="7">
        <v>50</v>
      </c>
      <c r="D598" s="7">
        <v>40</v>
      </c>
    </row>
    <row r="599" spans="1:4" x14ac:dyDescent="0.2">
      <c r="A599" s="1" t="s">
        <v>14</v>
      </c>
      <c r="B599" s="37">
        <v>37149</v>
      </c>
      <c r="C599" s="7">
        <v>58</v>
      </c>
      <c r="D599" s="7">
        <v>15</v>
      </c>
    </row>
    <row r="600" spans="1:4" x14ac:dyDescent="0.2">
      <c r="A600" s="1" t="s">
        <v>14</v>
      </c>
      <c r="B600" s="37">
        <v>37150</v>
      </c>
      <c r="C600" s="7">
        <v>55</v>
      </c>
      <c r="D600" s="7">
        <v>32</v>
      </c>
    </row>
    <row r="601" spans="1:4" x14ac:dyDescent="0.2">
      <c r="A601" s="1" t="s">
        <v>14</v>
      </c>
      <c r="B601" s="37">
        <v>37151</v>
      </c>
      <c r="C601" s="7">
        <v>49</v>
      </c>
      <c r="D601" s="7">
        <v>21</v>
      </c>
    </row>
    <row r="602" spans="1:4" x14ac:dyDescent="0.2">
      <c r="A602" s="1" t="s">
        <v>14</v>
      </c>
      <c r="B602" s="37">
        <v>37152</v>
      </c>
      <c r="C602" s="7">
        <v>50</v>
      </c>
      <c r="D602" s="7">
        <v>34</v>
      </c>
    </row>
    <row r="603" spans="1:4" x14ac:dyDescent="0.2">
      <c r="A603" s="1" t="s">
        <v>14</v>
      </c>
      <c r="B603" s="37">
        <v>37153</v>
      </c>
      <c r="C603" s="7">
        <v>42</v>
      </c>
      <c r="D603" s="7">
        <v>30</v>
      </c>
    </row>
    <row r="604" spans="1:4" x14ac:dyDescent="0.2">
      <c r="A604" s="1" t="s">
        <v>14</v>
      </c>
      <c r="B604" s="37">
        <v>37154</v>
      </c>
      <c r="C604" s="7">
        <v>57</v>
      </c>
      <c r="D604" s="7">
        <v>19</v>
      </c>
    </row>
    <row r="605" spans="1:4" x14ac:dyDescent="0.2">
      <c r="A605" s="1" t="s">
        <v>14</v>
      </c>
      <c r="B605" s="37">
        <v>37155</v>
      </c>
      <c r="C605" s="7">
        <v>51</v>
      </c>
      <c r="D605" s="7">
        <v>26</v>
      </c>
    </row>
    <row r="606" spans="1:4" x14ac:dyDescent="0.2">
      <c r="A606" s="1" t="s">
        <v>14</v>
      </c>
      <c r="B606" s="37">
        <v>37156</v>
      </c>
      <c r="C606" s="7">
        <v>42</v>
      </c>
      <c r="D606" s="7">
        <v>39</v>
      </c>
    </row>
    <row r="607" spans="1:4" x14ac:dyDescent="0.2">
      <c r="A607" s="1" t="s">
        <v>14</v>
      </c>
      <c r="B607" s="37">
        <v>37157</v>
      </c>
      <c r="C607" s="7">
        <v>59</v>
      </c>
      <c r="D607" s="7">
        <v>40</v>
      </c>
    </row>
    <row r="608" spans="1:4" x14ac:dyDescent="0.2">
      <c r="A608" s="1" t="s">
        <v>14</v>
      </c>
      <c r="B608" s="37">
        <v>37158</v>
      </c>
      <c r="C608" s="7">
        <v>46</v>
      </c>
      <c r="D608" s="7">
        <v>24</v>
      </c>
    </row>
    <row r="609" spans="1:4" x14ac:dyDescent="0.2">
      <c r="A609" s="1" t="s">
        <v>14</v>
      </c>
      <c r="B609" s="37">
        <v>37159</v>
      </c>
      <c r="C609" s="7">
        <v>44</v>
      </c>
      <c r="D609" s="7">
        <v>21</v>
      </c>
    </row>
    <row r="610" spans="1:4" x14ac:dyDescent="0.2">
      <c r="A610" s="1" t="s">
        <v>14</v>
      </c>
      <c r="B610" s="37">
        <v>37160</v>
      </c>
      <c r="C610" s="7">
        <v>42</v>
      </c>
      <c r="D610" s="7">
        <v>27</v>
      </c>
    </row>
    <row r="611" spans="1:4" x14ac:dyDescent="0.2">
      <c r="A611" s="1" t="s">
        <v>14</v>
      </c>
      <c r="B611" s="37">
        <v>37161</v>
      </c>
      <c r="C611" s="7">
        <v>59</v>
      </c>
      <c r="D611" s="7">
        <v>25</v>
      </c>
    </row>
    <row r="612" spans="1:4" x14ac:dyDescent="0.2">
      <c r="A612" s="1" t="s">
        <v>14</v>
      </c>
      <c r="B612" s="37">
        <v>37162</v>
      </c>
      <c r="C612" s="7">
        <v>42</v>
      </c>
      <c r="D612" s="7">
        <v>19</v>
      </c>
    </row>
    <row r="613" spans="1:4" x14ac:dyDescent="0.2">
      <c r="A613" s="1" t="s">
        <v>14</v>
      </c>
      <c r="B613" s="37">
        <v>37163</v>
      </c>
      <c r="C613" s="7">
        <v>57</v>
      </c>
      <c r="D613" s="7">
        <v>40</v>
      </c>
    </row>
    <row r="614" spans="1:4" x14ac:dyDescent="0.2">
      <c r="A614" s="1" t="s">
        <v>14</v>
      </c>
      <c r="B614" s="37">
        <v>37164</v>
      </c>
      <c r="C614" s="7">
        <v>47</v>
      </c>
      <c r="D614" s="7">
        <v>40</v>
      </c>
    </row>
    <row r="615" spans="1:4" x14ac:dyDescent="0.2">
      <c r="A615" s="1" t="s">
        <v>14</v>
      </c>
      <c r="B615" s="37">
        <v>37165</v>
      </c>
      <c r="C615" s="7">
        <v>55</v>
      </c>
      <c r="D615" s="7">
        <v>35</v>
      </c>
    </row>
    <row r="616" spans="1:4" x14ac:dyDescent="0.2">
      <c r="A616" s="1" t="s">
        <v>14</v>
      </c>
      <c r="B616" s="37">
        <v>37166</v>
      </c>
      <c r="C616" s="7">
        <v>48</v>
      </c>
      <c r="D616" s="7">
        <v>15</v>
      </c>
    </row>
    <row r="617" spans="1:4" x14ac:dyDescent="0.2">
      <c r="A617" s="1" t="s">
        <v>14</v>
      </c>
      <c r="B617" s="37">
        <v>37167</v>
      </c>
      <c r="C617" s="7">
        <v>50</v>
      </c>
      <c r="D617" s="7">
        <v>37</v>
      </c>
    </row>
    <row r="618" spans="1:4" x14ac:dyDescent="0.2">
      <c r="A618" s="1" t="s">
        <v>14</v>
      </c>
      <c r="B618" s="37">
        <v>37168</v>
      </c>
      <c r="C618" s="7">
        <v>53</v>
      </c>
      <c r="D618" s="7">
        <v>33</v>
      </c>
    </row>
    <row r="619" spans="1:4" x14ac:dyDescent="0.2">
      <c r="A619" s="1" t="s">
        <v>14</v>
      </c>
      <c r="B619" s="37">
        <v>37169</v>
      </c>
      <c r="C619" s="7">
        <v>50</v>
      </c>
      <c r="D619" s="7">
        <v>27</v>
      </c>
    </row>
    <row r="620" spans="1:4" x14ac:dyDescent="0.2">
      <c r="A620" s="1" t="s">
        <v>14</v>
      </c>
      <c r="B620" s="37">
        <v>37170</v>
      </c>
      <c r="C620" s="7">
        <v>60</v>
      </c>
      <c r="D620" s="7">
        <v>20</v>
      </c>
    </row>
    <row r="621" spans="1:4" x14ac:dyDescent="0.2">
      <c r="A621" s="1" t="s">
        <v>14</v>
      </c>
      <c r="B621" s="37">
        <v>37171</v>
      </c>
      <c r="C621" s="7">
        <v>47</v>
      </c>
      <c r="D621" s="7">
        <v>31</v>
      </c>
    </row>
    <row r="622" spans="1:4" x14ac:dyDescent="0.2">
      <c r="A622" s="1" t="s">
        <v>14</v>
      </c>
      <c r="B622" s="37">
        <v>37172</v>
      </c>
      <c r="C622" s="7">
        <v>40</v>
      </c>
      <c r="D622" s="7">
        <v>33</v>
      </c>
    </row>
    <row r="623" spans="1:4" x14ac:dyDescent="0.2">
      <c r="A623" s="1" t="s">
        <v>14</v>
      </c>
      <c r="B623" s="37">
        <v>37173</v>
      </c>
      <c r="C623" s="7">
        <v>41</v>
      </c>
      <c r="D623" s="7">
        <v>26</v>
      </c>
    </row>
    <row r="624" spans="1:4" x14ac:dyDescent="0.2">
      <c r="A624" s="1" t="s">
        <v>14</v>
      </c>
      <c r="B624" s="37">
        <v>37174</v>
      </c>
      <c r="C624" s="7">
        <v>60</v>
      </c>
      <c r="D624" s="7">
        <v>32</v>
      </c>
    </row>
    <row r="625" spans="1:4" x14ac:dyDescent="0.2">
      <c r="A625" s="1" t="s">
        <v>14</v>
      </c>
      <c r="B625" s="37">
        <v>37175</v>
      </c>
      <c r="C625" s="7">
        <v>59</v>
      </c>
      <c r="D625" s="7">
        <v>21</v>
      </c>
    </row>
    <row r="626" spans="1:4" x14ac:dyDescent="0.2">
      <c r="A626" s="1" t="s">
        <v>14</v>
      </c>
      <c r="B626" s="37">
        <v>37176</v>
      </c>
      <c r="C626" s="7">
        <v>47</v>
      </c>
      <c r="D626" s="7">
        <v>25</v>
      </c>
    </row>
    <row r="627" spans="1:4" x14ac:dyDescent="0.2">
      <c r="A627" s="1" t="s">
        <v>14</v>
      </c>
      <c r="B627" s="37">
        <v>37177</v>
      </c>
      <c r="C627" s="7">
        <v>45</v>
      </c>
      <c r="D627" s="7">
        <v>40</v>
      </c>
    </row>
    <row r="628" spans="1:4" x14ac:dyDescent="0.2">
      <c r="A628" s="1" t="s">
        <v>14</v>
      </c>
      <c r="B628" s="37">
        <v>37178</v>
      </c>
      <c r="C628" s="7">
        <v>51</v>
      </c>
      <c r="D628" s="7">
        <v>20</v>
      </c>
    </row>
    <row r="629" spans="1:4" x14ac:dyDescent="0.2">
      <c r="A629" s="1" t="s">
        <v>14</v>
      </c>
      <c r="B629" s="37">
        <v>37179</v>
      </c>
      <c r="C629" s="7">
        <v>40</v>
      </c>
      <c r="D629" s="7">
        <v>32</v>
      </c>
    </row>
    <row r="630" spans="1:4" x14ac:dyDescent="0.2">
      <c r="A630" s="1" t="s">
        <v>14</v>
      </c>
      <c r="B630" s="37">
        <v>37180</v>
      </c>
      <c r="C630" s="7">
        <v>55</v>
      </c>
      <c r="D630" s="7">
        <v>18</v>
      </c>
    </row>
    <row r="631" spans="1:4" x14ac:dyDescent="0.2">
      <c r="A631" s="1" t="s">
        <v>14</v>
      </c>
      <c r="B631" s="37">
        <v>37181</v>
      </c>
      <c r="C631" s="7">
        <v>44</v>
      </c>
      <c r="D631" s="7">
        <v>17</v>
      </c>
    </row>
    <row r="632" spans="1:4" x14ac:dyDescent="0.2">
      <c r="A632" s="1" t="s">
        <v>14</v>
      </c>
      <c r="B632" s="37">
        <v>37182</v>
      </c>
      <c r="C632" s="7">
        <v>45</v>
      </c>
      <c r="D632" s="7">
        <v>21</v>
      </c>
    </row>
    <row r="633" spans="1:4" x14ac:dyDescent="0.2">
      <c r="A633" s="1" t="s">
        <v>14</v>
      </c>
      <c r="B633" s="37">
        <v>37183</v>
      </c>
      <c r="C633" s="7">
        <v>43</v>
      </c>
      <c r="D633" s="7">
        <v>28</v>
      </c>
    </row>
    <row r="634" spans="1:4" x14ac:dyDescent="0.2">
      <c r="A634" s="1" t="s">
        <v>14</v>
      </c>
      <c r="B634" s="37">
        <v>37184</v>
      </c>
      <c r="C634" s="7">
        <v>42</v>
      </c>
      <c r="D634" s="7">
        <v>32</v>
      </c>
    </row>
    <row r="635" spans="1:4" x14ac:dyDescent="0.2">
      <c r="A635" s="1" t="s">
        <v>14</v>
      </c>
      <c r="B635" s="37">
        <v>37185</v>
      </c>
      <c r="C635" s="7">
        <v>45</v>
      </c>
      <c r="D635" s="7">
        <v>18</v>
      </c>
    </row>
    <row r="636" spans="1:4" x14ac:dyDescent="0.2">
      <c r="A636" s="1" t="s">
        <v>14</v>
      </c>
      <c r="B636" s="37">
        <v>37186</v>
      </c>
      <c r="C636" s="7">
        <v>42</v>
      </c>
      <c r="D636" s="7">
        <v>23</v>
      </c>
    </row>
    <row r="637" spans="1:4" x14ac:dyDescent="0.2">
      <c r="A637" s="1" t="s">
        <v>14</v>
      </c>
      <c r="B637" s="37">
        <v>37187</v>
      </c>
      <c r="C637" s="7">
        <v>54</v>
      </c>
      <c r="D637" s="7">
        <v>17</v>
      </c>
    </row>
    <row r="638" spans="1:4" x14ac:dyDescent="0.2">
      <c r="A638" s="1" t="s">
        <v>14</v>
      </c>
      <c r="B638" s="37">
        <v>37188</v>
      </c>
      <c r="C638" s="7">
        <v>51</v>
      </c>
      <c r="D638" s="7">
        <v>35</v>
      </c>
    </row>
    <row r="639" spans="1:4" x14ac:dyDescent="0.2">
      <c r="A639" s="1" t="s">
        <v>14</v>
      </c>
      <c r="B639" s="37">
        <v>37189</v>
      </c>
      <c r="C639" s="7">
        <v>41</v>
      </c>
      <c r="D639" s="7">
        <v>24</v>
      </c>
    </row>
    <row r="640" spans="1:4" x14ac:dyDescent="0.2">
      <c r="A640" s="1" t="s">
        <v>14</v>
      </c>
      <c r="B640" s="37">
        <v>37190</v>
      </c>
      <c r="C640" s="7">
        <v>60</v>
      </c>
      <c r="D640" s="7">
        <v>28</v>
      </c>
    </row>
    <row r="641" spans="1:4" x14ac:dyDescent="0.2">
      <c r="A641" s="1" t="s">
        <v>14</v>
      </c>
      <c r="B641" s="37">
        <v>37191</v>
      </c>
      <c r="C641" s="7">
        <v>57</v>
      </c>
      <c r="D641" s="7">
        <v>32</v>
      </c>
    </row>
    <row r="642" spans="1:4" x14ac:dyDescent="0.2">
      <c r="A642" s="1" t="s">
        <v>14</v>
      </c>
      <c r="B642" s="37">
        <v>37192</v>
      </c>
      <c r="C642" s="7">
        <v>51</v>
      </c>
      <c r="D642" s="7">
        <v>31</v>
      </c>
    </row>
    <row r="643" spans="1:4" x14ac:dyDescent="0.2">
      <c r="A643" s="1" t="s">
        <v>14</v>
      </c>
      <c r="B643" s="37">
        <v>37193</v>
      </c>
      <c r="C643" s="7">
        <v>55</v>
      </c>
      <c r="D643" s="7">
        <v>35</v>
      </c>
    </row>
    <row r="644" spans="1:4" x14ac:dyDescent="0.2">
      <c r="A644" s="1" t="s">
        <v>14</v>
      </c>
      <c r="B644" s="37">
        <v>37194</v>
      </c>
      <c r="C644" s="7">
        <v>45</v>
      </c>
      <c r="D644" s="7">
        <v>21</v>
      </c>
    </row>
    <row r="645" spans="1:4" x14ac:dyDescent="0.2">
      <c r="A645" s="1" t="s">
        <v>14</v>
      </c>
      <c r="B645" s="37">
        <v>37195</v>
      </c>
      <c r="C645" s="7">
        <v>54</v>
      </c>
      <c r="D645" s="7">
        <v>33</v>
      </c>
    </row>
    <row r="646" spans="1:4" x14ac:dyDescent="0.2">
      <c r="A646" s="1" t="s">
        <v>14</v>
      </c>
      <c r="B646" s="37">
        <v>37196</v>
      </c>
      <c r="C646" s="7">
        <v>41</v>
      </c>
      <c r="D646" s="7">
        <v>36</v>
      </c>
    </row>
    <row r="647" spans="1:4" x14ac:dyDescent="0.2">
      <c r="A647" s="1" t="s">
        <v>14</v>
      </c>
      <c r="B647" s="37">
        <v>37197</v>
      </c>
      <c r="C647" s="7">
        <v>47</v>
      </c>
      <c r="D647" s="7">
        <v>33</v>
      </c>
    </row>
    <row r="648" spans="1:4" x14ac:dyDescent="0.2">
      <c r="A648" s="1" t="s">
        <v>14</v>
      </c>
      <c r="B648" s="37">
        <v>37198</v>
      </c>
      <c r="C648" s="7">
        <v>46</v>
      </c>
      <c r="D648" s="7">
        <v>23</v>
      </c>
    </row>
    <row r="649" spans="1:4" x14ac:dyDescent="0.2">
      <c r="A649" s="1" t="s">
        <v>14</v>
      </c>
      <c r="B649" s="37">
        <v>37199</v>
      </c>
      <c r="C649" s="7">
        <v>59</v>
      </c>
      <c r="D649" s="7">
        <v>38</v>
      </c>
    </row>
    <row r="650" spans="1:4" x14ac:dyDescent="0.2">
      <c r="A650" s="1" t="s">
        <v>14</v>
      </c>
      <c r="B650" s="37">
        <v>37200</v>
      </c>
      <c r="C650" s="7">
        <v>42</v>
      </c>
      <c r="D650" s="7">
        <v>23</v>
      </c>
    </row>
    <row r="651" spans="1:4" x14ac:dyDescent="0.2">
      <c r="A651" s="1" t="s">
        <v>14</v>
      </c>
      <c r="B651" s="37">
        <v>37201</v>
      </c>
      <c r="C651" s="7">
        <v>52</v>
      </c>
      <c r="D651" s="7">
        <v>34</v>
      </c>
    </row>
    <row r="652" spans="1:4" x14ac:dyDescent="0.2">
      <c r="A652" s="1" t="s">
        <v>14</v>
      </c>
      <c r="B652" s="37">
        <v>37202</v>
      </c>
      <c r="C652" s="7">
        <v>43</v>
      </c>
      <c r="D652" s="7">
        <v>28</v>
      </c>
    </row>
    <row r="653" spans="1:4" x14ac:dyDescent="0.2">
      <c r="A653" s="1" t="s">
        <v>14</v>
      </c>
      <c r="B653" s="37">
        <v>37203</v>
      </c>
      <c r="C653" s="7">
        <v>60</v>
      </c>
      <c r="D653" s="7">
        <v>37</v>
      </c>
    </row>
    <row r="654" spans="1:4" x14ac:dyDescent="0.2">
      <c r="A654" s="1" t="s">
        <v>14</v>
      </c>
      <c r="B654" s="37">
        <v>37204</v>
      </c>
      <c r="C654" s="7">
        <v>55</v>
      </c>
      <c r="D654" s="7">
        <v>30</v>
      </c>
    </row>
    <row r="655" spans="1:4" x14ac:dyDescent="0.2">
      <c r="A655" s="1" t="s">
        <v>14</v>
      </c>
      <c r="B655" s="37">
        <v>37205</v>
      </c>
      <c r="C655" s="7">
        <v>50</v>
      </c>
      <c r="D655" s="7">
        <v>31</v>
      </c>
    </row>
    <row r="656" spans="1:4" x14ac:dyDescent="0.2">
      <c r="A656" s="1" t="s">
        <v>14</v>
      </c>
      <c r="B656" s="37">
        <v>37206</v>
      </c>
      <c r="C656" s="7">
        <v>44</v>
      </c>
      <c r="D656" s="7">
        <v>24</v>
      </c>
    </row>
    <row r="657" spans="1:4" x14ac:dyDescent="0.2">
      <c r="A657" s="1" t="s">
        <v>14</v>
      </c>
      <c r="B657" s="37">
        <v>37207</v>
      </c>
      <c r="C657" s="7">
        <v>42</v>
      </c>
      <c r="D657" s="7">
        <v>25</v>
      </c>
    </row>
    <row r="658" spans="1:4" x14ac:dyDescent="0.2">
      <c r="A658" s="1" t="s">
        <v>14</v>
      </c>
      <c r="B658" s="37">
        <v>37208</v>
      </c>
      <c r="C658" s="7">
        <v>43</v>
      </c>
      <c r="D658" s="7">
        <v>40</v>
      </c>
    </row>
    <row r="659" spans="1:4" x14ac:dyDescent="0.2">
      <c r="A659" s="1" t="s">
        <v>14</v>
      </c>
      <c r="B659" s="37">
        <v>37209</v>
      </c>
      <c r="C659" s="7">
        <v>43</v>
      </c>
      <c r="D659" s="7">
        <v>16</v>
      </c>
    </row>
    <row r="660" spans="1:4" x14ac:dyDescent="0.2">
      <c r="A660" s="1" t="s">
        <v>14</v>
      </c>
      <c r="B660" s="37">
        <v>37210</v>
      </c>
      <c r="C660" s="7">
        <v>60</v>
      </c>
      <c r="D660" s="7">
        <v>21</v>
      </c>
    </row>
    <row r="661" spans="1:4" x14ac:dyDescent="0.2">
      <c r="A661" s="1" t="s">
        <v>14</v>
      </c>
      <c r="B661" s="37">
        <v>37211</v>
      </c>
      <c r="C661" s="7">
        <v>53</v>
      </c>
      <c r="D661" s="7">
        <v>15</v>
      </c>
    </row>
    <row r="662" spans="1:4" x14ac:dyDescent="0.2">
      <c r="A662" s="1" t="s">
        <v>14</v>
      </c>
      <c r="B662" s="37">
        <v>37212</v>
      </c>
      <c r="C662" s="7">
        <v>49</v>
      </c>
      <c r="D662" s="7">
        <v>34</v>
      </c>
    </row>
    <row r="663" spans="1:4" x14ac:dyDescent="0.2">
      <c r="A663" s="1" t="s">
        <v>14</v>
      </c>
      <c r="B663" s="37">
        <v>37213</v>
      </c>
      <c r="C663" s="7">
        <v>41</v>
      </c>
      <c r="D663" s="7">
        <v>27</v>
      </c>
    </row>
    <row r="664" spans="1:4" x14ac:dyDescent="0.2">
      <c r="A664" s="1" t="s">
        <v>14</v>
      </c>
      <c r="B664" s="37">
        <v>37214</v>
      </c>
      <c r="C664" s="7">
        <v>56</v>
      </c>
      <c r="D664" s="7">
        <v>23</v>
      </c>
    </row>
    <row r="665" spans="1:4" x14ac:dyDescent="0.2">
      <c r="A665" s="1" t="s">
        <v>14</v>
      </c>
      <c r="B665" s="37">
        <v>37215</v>
      </c>
      <c r="C665" s="7">
        <v>53</v>
      </c>
      <c r="D665" s="7">
        <v>21</v>
      </c>
    </row>
    <row r="666" spans="1:4" x14ac:dyDescent="0.2">
      <c r="A666" s="1" t="s">
        <v>14</v>
      </c>
      <c r="B666" s="37">
        <v>37216</v>
      </c>
      <c r="C666" s="7">
        <v>54</v>
      </c>
      <c r="D666" s="7">
        <v>15</v>
      </c>
    </row>
    <row r="667" spans="1:4" x14ac:dyDescent="0.2">
      <c r="A667" s="1" t="s">
        <v>14</v>
      </c>
      <c r="B667" s="37">
        <v>37217</v>
      </c>
      <c r="C667" s="7">
        <v>46</v>
      </c>
      <c r="D667" s="7">
        <v>17</v>
      </c>
    </row>
    <row r="668" spans="1:4" x14ac:dyDescent="0.2">
      <c r="A668" s="1" t="s">
        <v>14</v>
      </c>
      <c r="B668" s="37">
        <v>37218</v>
      </c>
      <c r="C668" s="7">
        <v>49</v>
      </c>
      <c r="D668" s="7">
        <v>24</v>
      </c>
    </row>
    <row r="669" spans="1:4" x14ac:dyDescent="0.2">
      <c r="A669" s="1" t="s">
        <v>14</v>
      </c>
      <c r="B669" s="37">
        <v>37219</v>
      </c>
      <c r="C669" s="7">
        <v>46</v>
      </c>
      <c r="D669" s="7">
        <v>22</v>
      </c>
    </row>
    <row r="670" spans="1:4" x14ac:dyDescent="0.2">
      <c r="A670" s="1" t="s">
        <v>14</v>
      </c>
      <c r="B670" s="37">
        <v>37220</v>
      </c>
      <c r="C670" s="7">
        <v>49</v>
      </c>
      <c r="D670" s="7">
        <v>30</v>
      </c>
    </row>
    <row r="671" spans="1:4" x14ac:dyDescent="0.2">
      <c r="A671" s="1" t="s">
        <v>14</v>
      </c>
      <c r="B671" s="37">
        <v>37221</v>
      </c>
      <c r="C671" s="7">
        <v>46</v>
      </c>
      <c r="D671" s="7">
        <v>22</v>
      </c>
    </row>
    <row r="672" spans="1:4" x14ac:dyDescent="0.2">
      <c r="A672" s="1" t="s">
        <v>14</v>
      </c>
      <c r="B672" s="37">
        <v>37222</v>
      </c>
      <c r="C672" s="7">
        <v>57</v>
      </c>
      <c r="D672" s="7">
        <v>33</v>
      </c>
    </row>
    <row r="673" spans="1:4" x14ac:dyDescent="0.2">
      <c r="A673" s="1" t="s">
        <v>14</v>
      </c>
      <c r="B673" s="37">
        <v>37223</v>
      </c>
      <c r="C673" s="7">
        <v>53</v>
      </c>
      <c r="D673" s="7">
        <v>23</v>
      </c>
    </row>
    <row r="674" spans="1:4" x14ac:dyDescent="0.2">
      <c r="A674" s="1" t="s">
        <v>14</v>
      </c>
      <c r="B674" s="37">
        <v>37224</v>
      </c>
      <c r="C674" s="7">
        <v>54</v>
      </c>
      <c r="D674" s="7">
        <v>33</v>
      </c>
    </row>
    <row r="675" spans="1:4" x14ac:dyDescent="0.2">
      <c r="A675" s="1" t="s">
        <v>14</v>
      </c>
      <c r="B675" s="37">
        <v>37225</v>
      </c>
      <c r="C675" s="7">
        <v>48</v>
      </c>
      <c r="D675" s="7">
        <v>27</v>
      </c>
    </row>
    <row r="676" spans="1:4" x14ac:dyDescent="0.2">
      <c r="A676" s="1" t="s">
        <v>14</v>
      </c>
      <c r="B676" s="37">
        <v>37226</v>
      </c>
      <c r="C676" s="7">
        <v>59</v>
      </c>
      <c r="D676" s="7">
        <v>32</v>
      </c>
    </row>
    <row r="677" spans="1:4" x14ac:dyDescent="0.2">
      <c r="A677" s="1" t="s">
        <v>14</v>
      </c>
      <c r="B677" s="37">
        <v>37227</v>
      </c>
      <c r="C677" s="7">
        <v>42</v>
      </c>
      <c r="D677" s="7">
        <v>31</v>
      </c>
    </row>
    <row r="678" spans="1:4" x14ac:dyDescent="0.2">
      <c r="A678" s="1" t="s">
        <v>14</v>
      </c>
      <c r="B678" s="37">
        <v>37228</v>
      </c>
      <c r="C678" s="7">
        <v>59</v>
      </c>
      <c r="D678" s="7">
        <v>16</v>
      </c>
    </row>
    <row r="679" spans="1:4" x14ac:dyDescent="0.2">
      <c r="A679" s="1" t="s">
        <v>14</v>
      </c>
      <c r="B679" s="37">
        <v>37229</v>
      </c>
      <c r="C679" s="7">
        <v>43</v>
      </c>
      <c r="D679" s="7">
        <v>19</v>
      </c>
    </row>
    <row r="680" spans="1:4" x14ac:dyDescent="0.2">
      <c r="A680" s="1" t="s">
        <v>14</v>
      </c>
      <c r="B680" s="37">
        <v>37230</v>
      </c>
      <c r="C680" s="7">
        <v>53</v>
      </c>
      <c r="D680" s="7">
        <v>30</v>
      </c>
    </row>
    <row r="681" spans="1:4" x14ac:dyDescent="0.2">
      <c r="A681" s="1" t="s">
        <v>14</v>
      </c>
      <c r="B681" s="37">
        <v>37231</v>
      </c>
      <c r="C681" s="7">
        <v>49</v>
      </c>
      <c r="D681" s="7">
        <v>31</v>
      </c>
    </row>
    <row r="682" spans="1:4" x14ac:dyDescent="0.2">
      <c r="A682" s="44" t="s">
        <v>10</v>
      </c>
      <c r="B682" s="37">
        <v>36892</v>
      </c>
      <c r="C682" s="7">
        <v>41</v>
      </c>
      <c r="D682" s="7">
        <v>35</v>
      </c>
    </row>
    <row r="683" spans="1:4" x14ac:dyDescent="0.2">
      <c r="A683" s="44" t="s">
        <v>10</v>
      </c>
      <c r="B683" s="37">
        <v>36893</v>
      </c>
      <c r="C683" s="7">
        <v>41</v>
      </c>
      <c r="D683" s="7">
        <v>32</v>
      </c>
    </row>
    <row r="684" spans="1:4" x14ac:dyDescent="0.2">
      <c r="A684" s="44" t="s">
        <v>10</v>
      </c>
      <c r="B684" s="37">
        <v>36894</v>
      </c>
      <c r="C684" s="7">
        <v>47</v>
      </c>
      <c r="D684" s="7">
        <v>29</v>
      </c>
    </row>
    <row r="685" spans="1:4" x14ac:dyDescent="0.2">
      <c r="A685" s="44" t="s">
        <v>10</v>
      </c>
      <c r="B685" s="37">
        <v>36895</v>
      </c>
      <c r="C685" s="7">
        <v>34</v>
      </c>
      <c r="D685" s="7">
        <v>22</v>
      </c>
    </row>
    <row r="686" spans="1:4" x14ac:dyDescent="0.2">
      <c r="A686" s="44" t="s">
        <v>10</v>
      </c>
      <c r="B686" s="37">
        <v>36896</v>
      </c>
      <c r="C686" s="7">
        <v>41</v>
      </c>
      <c r="D686" s="7">
        <v>20</v>
      </c>
    </row>
    <row r="687" spans="1:4" x14ac:dyDescent="0.2">
      <c r="A687" s="44" t="s">
        <v>10</v>
      </c>
      <c r="B687" s="37">
        <v>36897</v>
      </c>
      <c r="C687" s="7">
        <v>36</v>
      </c>
      <c r="D687" s="7">
        <v>28</v>
      </c>
    </row>
    <row r="688" spans="1:4" x14ac:dyDescent="0.2">
      <c r="A688" s="44" t="s">
        <v>10</v>
      </c>
      <c r="B688" s="37">
        <v>36898</v>
      </c>
      <c r="C688" s="7">
        <v>47</v>
      </c>
      <c r="D688" s="7">
        <v>20</v>
      </c>
    </row>
    <row r="689" spans="1:4" x14ac:dyDescent="0.2">
      <c r="A689" s="44" t="s">
        <v>10</v>
      </c>
      <c r="B689" s="37">
        <v>36899</v>
      </c>
      <c r="C689" s="7">
        <v>49</v>
      </c>
      <c r="D689" s="7">
        <v>26</v>
      </c>
    </row>
    <row r="690" spans="1:4" x14ac:dyDescent="0.2">
      <c r="A690" s="44" t="s">
        <v>10</v>
      </c>
      <c r="B690" s="37">
        <v>36900</v>
      </c>
      <c r="C690" s="7">
        <v>42</v>
      </c>
      <c r="D690" s="7">
        <v>34</v>
      </c>
    </row>
    <row r="691" spans="1:4" x14ac:dyDescent="0.2">
      <c r="A691" s="44" t="s">
        <v>10</v>
      </c>
      <c r="B691" s="37">
        <v>36901</v>
      </c>
      <c r="C691" s="7">
        <v>36</v>
      </c>
      <c r="D691" s="7">
        <v>31</v>
      </c>
    </row>
    <row r="692" spans="1:4" x14ac:dyDescent="0.2">
      <c r="A692" s="44" t="s">
        <v>10</v>
      </c>
      <c r="B692" s="37">
        <v>36902</v>
      </c>
      <c r="C692" s="7">
        <v>46</v>
      </c>
      <c r="D692" s="7">
        <v>22</v>
      </c>
    </row>
    <row r="693" spans="1:4" x14ac:dyDescent="0.2">
      <c r="A693" s="44" t="s">
        <v>10</v>
      </c>
      <c r="B693" s="37">
        <v>36903</v>
      </c>
      <c r="C693" s="7">
        <v>31</v>
      </c>
      <c r="D693" s="7">
        <v>23</v>
      </c>
    </row>
    <row r="694" spans="1:4" x14ac:dyDescent="0.2">
      <c r="A694" s="44" t="s">
        <v>10</v>
      </c>
      <c r="B694" s="37">
        <v>36904</v>
      </c>
      <c r="C694" s="7">
        <v>41</v>
      </c>
      <c r="D694" s="7">
        <v>33</v>
      </c>
    </row>
    <row r="695" spans="1:4" x14ac:dyDescent="0.2">
      <c r="A695" s="44" t="s">
        <v>10</v>
      </c>
      <c r="B695" s="37">
        <v>36905</v>
      </c>
      <c r="C695" s="7">
        <v>44</v>
      </c>
      <c r="D695" s="7">
        <v>27</v>
      </c>
    </row>
    <row r="696" spans="1:4" x14ac:dyDescent="0.2">
      <c r="A696" s="44" t="s">
        <v>10</v>
      </c>
      <c r="B696" s="37">
        <v>36906</v>
      </c>
      <c r="C696" s="7">
        <v>40</v>
      </c>
      <c r="D696" s="7">
        <v>31</v>
      </c>
    </row>
    <row r="697" spans="1:4" x14ac:dyDescent="0.2">
      <c r="A697" s="44" t="s">
        <v>10</v>
      </c>
      <c r="B697" s="37">
        <v>36907</v>
      </c>
      <c r="C697" s="7">
        <v>39</v>
      </c>
      <c r="D697" s="7">
        <v>23</v>
      </c>
    </row>
    <row r="698" spans="1:4" x14ac:dyDescent="0.2">
      <c r="A698" s="44" t="s">
        <v>10</v>
      </c>
      <c r="B698" s="37">
        <v>36908</v>
      </c>
      <c r="C698" s="7">
        <v>49</v>
      </c>
      <c r="D698" s="7">
        <v>33</v>
      </c>
    </row>
    <row r="699" spans="1:4" x14ac:dyDescent="0.2">
      <c r="A699" s="44" t="s">
        <v>10</v>
      </c>
      <c r="B699" s="37">
        <v>36909</v>
      </c>
      <c r="C699" s="7">
        <v>45</v>
      </c>
      <c r="D699" s="7">
        <v>31</v>
      </c>
    </row>
    <row r="700" spans="1:4" x14ac:dyDescent="0.2">
      <c r="A700" s="44" t="s">
        <v>10</v>
      </c>
      <c r="B700" s="37">
        <v>36910</v>
      </c>
      <c r="C700" s="7">
        <v>38</v>
      </c>
      <c r="D700" s="7">
        <v>33</v>
      </c>
    </row>
    <row r="701" spans="1:4" x14ac:dyDescent="0.2">
      <c r="A701" s="44" t="s">
        <v>10</v>
      </c>
      <c r="B701" s="37">
        <v>36911</v>
      </c>
      <c r="C701" s="7">
        <v>41</v>
      </c>
      <c r="D701" s="7">
        <v>26</v>
      </c>
    </row>
    <row r="702" spans="1:4" x14ac:dyDescent="0.2">
      <c r="A702" s="44" t="s">
        <v>10</v>
      </c>
      <c r="B702" s="37">
        <v>36912</v>
      </c>
      <c r="C702" s="7">
        <v>46</v>
      </c>
      <c r="D702" s="7">
        <v>20</v>
      </c>
    </row>
    <row r="703" spans="1:4" x14ac:dyDescent="0.2">
      <c r="A703" s="44" t="s">
        <v>10</v>
      </c>
      <c r="B703" s="37">
        <v>36913</v>
      </c>
      <c r="C703" s="7">
        <v>30</v>
      </c>
      <c r="D703" s="7">
        <v>25</v>
      </c>
    </row>
    <row r="704" spans="1:4" x14ac:dyDescent="0.2">
      <c r="A704" s="44" t="s">
        <v>10</v>
      </c>
      <c r="B704" s="37">
        <v>36914</v>
      </c>
      <c r="C704" s="7">
        <v>32</v>
      </c>
      <c r="D704" s="7">
        <v>27</v>
      </c>
    </row>
    <row r="705" spans="1:4" x14ac:dyDescent="0.2">
      <c r="A705" s="44" t="s">
        <v>10</v>
      </c>
      <c r="B705" s="37">
        <v>36915</v>
      </c>
      <c r="C705" s="7">
        <v>33</v>
      </c>
      <c r="D705" s="7">
        <v>20</v>
      </c>
    </row>
    <row r="706" spans="1:4" x14ac:dyDescent="0.2">
      <c r="A706" s="44" t="s">
        <v>10</v>
      </c>
      <c r="B706" s="37">
        <v>36916</v>
      </c>
      <c r="C706" s="7">
        <v>44</v>
      </c>
      <c r="D706" s="7">
        <v>29</v>
      </c>
    </row>
    <row r="707" spans="1:4" x14ac:dyDescent="0.2">
      <c r="A707" s="44" t="s">
        <v>10</v>
      </c>
      <c r="B707" s="37">
        <v>36917</v>
      </c>
      <c r="C707" s="7">
        <v>41</v>
      </c>
      <c r="D707" s="7">
        <v>34</v>
      </c>
    </row>
    <row r="708" spans="1:4" x14ac:dyDescent="0.2">
      <c r="A708" s="44" t="s">
        <v>10</v>
      </c>
      <c r="B708" s="37">
        <v>36918</v>
      </c>
      <c r="C708" s="7">
        <v>35</v>
      </c>
      <c r="D708" s="7">
        <v>30</v>
      </c>
    </row>
    <row r="709" spans="1:4" x14ac:dyDescent="0.2">
      <c r="A709" s="44" t="s">
        <v>10</v>
      </c>
      <c r="B709" s="37">
        <v>36919</v>
      </c>
      <c r="C709" s="7">
        <v>33</v>
      </c>
      <c r="D709" s="7">
        <v>23</v>
      </c>
    </row>
    <row r="710" spans="1:4" x14ac:dyDescent="0.2">
      <c r="A710" s="44" t="s">
        <v>10</v>
      </c>
      <c r="B710" s="37">
        <v>36920</v>
      </c>
      <c r="C710" s="7">
        <v>38</v>
      </c>
      <c r="D710" s="7">
        <v>28</v>
      </c>
    </row>
    <row r="711" spans="1:4" x14ac:dyDescent="0.2">
      <c r="A711" s="44" t="s">
        <v>10</v>
      </c>
      <c r="B711" s="37">
        <v>36921</v>
      </c>
      <c r="C711" s="7">
        <v>43</v>
      </c>
      <c r="D711" s="7">
        <v>20</v>
      </c>
    </row>
    <row r="712" spans="1:4" x14ac:dyDescent="0.2">
      <c r="A712" s="44" t="s">
        <v>10</v>
      </c>
      <c r="B712" s="37">
        <v>36922</v>
      </c>
      <c r="C712" s="7">
        <v>32</v>
      </c>
      <c r="D712" s="7">
        <v>33</v>
      </c>
    </row>
    <row r="713" spans="1:4" x14ac:dyDescent="0.2">
      <c r="A713" s="44" t="s">
        <v>10</v>
      </c>
      <c r="B713" s="37">
        <v>36923</v>
      </c>
      <c r="C713" s="7">
        <v>37</v>
      </c>
      <c r="D713" s="7">
        <v>26</v>
      </c>
    </row>
    <row r="714" spans="1:4" x14ac:dyDescent="0.2">
      <c r="A714" s="44" t="s">
        <v>10</v>
      </c>
      <c r="B714" s="37">
        <v>36924</v>
      </c>
      <c r="C714" s="7">
        <v>44</v>
      </c>
      <c r="D714" s="7">
        <v>29</v>
      </c>
    </row>
    <row r="715" spans="1:4" x14ac:dyDescent="0.2">
      <c r="A715" s="44" t="s">
        <v>10</v>
      </c>
      <c r="B715" s="37">
        <v>36925</v>
      </c>
      <c r="C715" s="7">
        <v>37</v>
      </c>
      <c r="D715" s="7">
        <v>27</v>
      </c>
    </row>
    <row r="716" spans="1:4" x14ac:dyDescent="0.2">
      <c r="A716" s="44" t="s">
        <v>10</v>
      </c>
      <c r="B716" s="37">
        <v>36926</v>
      </c>
      <c r="C716" s="7">
        <v>40</v>
      </c>
      <c r="D716" s="7">
        <v>28</v>
      </c>
    </row>
    <row r="717" spans="1:4" x14ac:dyDescent="0.2">
      <c r="A717" s="44" t="s">
        <v>10</v>
      </c>
      <c r="B717" s="37">
        <v>36927</v>
      </c>
      <c r="C717" s="7">
        <v>41</v>
      </c>
      <c r="D717" s="7">
        <v>29</v>
      </c>
    </row>
    <row r="718" spans="1:4" x14ac:dyDescent="0.2">
      <c r="A718" s="44" t="s">
        <v>10</v>
      </c>
      <c r="B718" s="37">
        <v>36928</v>
      </c>
      <c r="C718" s="7">
        <v>47</v>
      </c>
      <c r="D718" s="7">
        <v>21</v>
      </c>
    </row>
    <row r="719" spans="1:4" x14ac:dyDescent="0.2">
      <c r="A719" s="44" t="s">
        <v>10</v>
      </c>
      <c r="B719" s="37">
        <v>36929</v>
      </c>
      <c r="C719" s="7">
        <v>42</v>
      </c>
      <c r="D719" s="7">
        <v>24</v>
      </c>
    </row>
    <row r="720" spans="1:4" x14ac:dyDescent="0.2">
      <c r="A720" s="44" t="s">
        <v>10</v>
      </c>
      <c r="B720" s="37">
        <v>36930</v>
      </c>
      <c r="C720" s="7">
        <v>49</v>
      </c>
      <c r="D720" s="7">
        <v>33</v>
      </c>
    </row>
    <row r="721" spans="1:4" x14ac:dyDescent="0.2">
      <c r="A721" s="44" t="s">
        <v>10</v>
      </c>
      <c r="B721" s="37">
        <v>36931</v>
      </c>
      <c r="C721" s="7">
        <v>49</v>
      </c>
      <c r="D721" s="7">
        <v>34</v>
      </c>
    </row>
    <row r="722" spans="1:4" x14ac:dyDescent="0.2">
      <c r="A722" s="44" t="s">
        <v>10</v>
      </c>
      <c r="B722" s="37">
        <v>36932</v>
      </c>
      <c r="C722" s="7">
        <v>48</v>
      </c>
      <c r="D722" s="7">
        <v>24</v>
      </c>
    </row>
    <row r="723" spans="1:4" x14ac:dyDescent="0.2">
      <c r="A723" s="44" t="s">
        <v>10</v>
      </c>
      <c r="B723" s="37">
        <v>36933</v>
      </c>
      <c r="C723" s="7">
        <v>41</v>
      </c>
      <c r="D723" s="7">
        <v>31</v>
      </c>
    </row>
    <row r="724" spans="1:4" x14ac:dyDescent="0.2">
      <c r="A724" s="44" t="s">
        <v>10</v>
      </c>
      <c r="B724" s="37">
        <v>36934</v>
      </c>
      <c r="C724" s="7">
        <v>42</v>
      </c>
      <c r="D724" s="7">
        <v>34</v>
      </c>
    </row>
    <row r="725" spans="1:4" x14ac:dyDescent="0.2">
      <c r="A725" s="44" t="s">
        <v>10</v>
      </c>
      <c r="B725" s="37">
        <v>36935</v>
      </c>
      <c r="C725" s="7">
        <v>47</v>
      </c>
      <c r="D725" s="7">
        <v>28</v>
      </c>
    </row>
    <row r="726" spans="1:4" x14ac:dyDescent="0.2">
      <c r="A726" s="44" t="s">
        <v>10</v>
      </c>
      <c r="B726" s="37">
        <v>36936</v>
      </c>
      <c r="C726" s="7">
        <v>32</v>
      </c>
      <c r="D726" s="7">
        <v>33</v>
      </c>
    </row>
    <row r="727" spans="1:4" x14ac:dyDescent="0.2">
      <c r="A727" s="44" t="s">
        <v>10</v>
      </c>
      <c r="B727" s="37">
        <v>36937</v>
      </c>
      <c r="C727" s="7">
        <v>38</v>
      </c>
      <c r="D727" s="7">
        <v>30</v>
      </c>
    </row>
    <row r="728" spans="1:4" x14ac:dyDescent="0.2">
      <c r="A728" s="44" t="s">
        <v>10</v>
      </c>
      <c r="B728" s="37">
        <v>36938</v>
      </c>
      <c r="C728" s="7">
        <v>31</v>
      </c>
      <c r="D728" s="7">
        <v>29</v>
      </c>
    </row>
    <row r="729" spans="1:4" x14ac:dyDescent="0.2">
      <c r="A729" s="44" t="s">
        <v>10</v>
      </c>
      <c r="B729" s="37">
        <v>36939</v>
      </c>
      <c r="C729" s="7">
        <v>47</v>
      </c>
      <c r="D729" s="7">
        <v>32</v>
      </c>
    </row>
    <row r="730" spans="1:4" x14ac:dyDescent="0.2">
      <c r="A730" s="44" t="s">
        <v>10</v>
      </c>
      <c r="B730" s="37">
        <v>36940</v>
      </c>
      <c r="C730" s="7">
        <v>40</v>
      </c>
      <c r="D730" s="7">
        <v>34</v>
      </c>
    </row>
    <row r="731" spans="1:4" x14ac:dyDescent="0.2">
      <c r="A731" s="44" t="s">
        <v>10</v>
      </c>
      <c r="B731" s="37">
        <v>36941</v>
      </c>
      <c r="C731" s="7">
        <v>48</v>
      </c>
      <c r="D731" s="7">
        <v>35</v>
      </c>
    </row>
    <row r="732" spans="1:4" x14ac:dyDescent="0.2">
      <c r="A732" s="44" t="s">
        <v>10</v>
      </c>
      <c r="B732" s="37">
        <v>36942</v>
      </c>
      <c r="C732" s="7">
        <v>30</v>
      </c>
      <c r="D732" s="7">
        <v>25</v>
      </c>
    </row>
    <row r="733" spans="1:4" x14ac:dyDescent="0.2">
      <c r="A733" s="44" t="s">
        <v>10</v>
      </c>
      <c r="B733" s="37">
        <v>36943</v>
      </c>
      <c r="C733" s="7">
        <v>50</v>
      </c>
      <c r="D733" s="7">
        <v>22</v>
      </c>
    </row>
    <row r="734" spans="1:4" x14ac:dyDescent="0.2">
      <c r="A734" s="44" t="s">
        <v>10</v>
      </c>
      <c r="B734" s="37">
        <v>36944</v>
      </c>
      <c r="C734" s="7">
        <v>40</v>
      </c>
      <c r="D734" s="7">
        <v>23</v>
      </c>
    </row>
    <row r="735" spans="1:4" x14ac:dyDescent="0.2">
      <c r="A735" s="44" t="s">
        <v>10</v>
      </c>
      <c r="B735" s="37">
        <v>36945</v>
      </c>
      <c r="C735" s="7">
        <v>36</v>
      </c>
      <c r="D735" s="7">
        <v>32</v>
      </c>
    </row>
    <row r="736" spans="1:4" x14ac:dyDescent="0.2">
      <c r="A736" s="44" t="s">
        <v>10</v>
      </c>
      <c r="B736" s="37">
        <v>36946</v>
      </c>
      <c r="C736" s="7">
        <v>50</v>
      </c>
      <c r="D736" s="7">
        <v>34</v>
      </c>
    </row>
    <row r="737" spans="1:4" x14ac:dyDescent="0.2">
      <c r="A737" s="44" t="s">
        <v>10</v>
      </c>
      <c r="B737" s="37">
        <v>36947</v>
      </c>
      <c r="C737" s="7">
        <v>33</v>
      </c>
      <c r="D737" s="7">
        <v>20</v>
      </c>
    </row>
    <row r="738" spans="1:4" x14ac:dyDescent="0.2">
      <c r="A738" s="44" t="s">
        <v>10</v>
      </c>
      <c r="B738" s="37">
        <v>36948</v>
      </c>
      <c r="C738" s="7">
        <v>35</v>
      </c>
      <c r="D738" s="7">
        <v>22</v>
      </c>
    </row>
    <row r="739" spans="1:4" x14ac:dyDescent="0.2">
      <c r="A739" s="44" t="s">
        <v>10</v>
      </c>
      <c r="B739" s="37">
        <v>36949</v>
      </c>
      <c r="C739" s="7">
        <v>47</v>
      </c>
      <c r="D739" s="7">
        <v>27</v>
      </c>
    </row>
    <row r="740" spans="1:4" x14ac:dyDescent="0.2">
      <c r="A740" s="44" t="s">
        <v>10</v>
      </c>
      <c r="B740" s="37">
        <v>36950</v>
      </c>
      <c r="C740" s="7">
        <v>32</v>
      </c>
      <c r="D740" s="7">
        <v>32</v>
      </c>
    </row>
    <row r="741" spans="1:4" x14ac:dyDescent="0.2">
      <c r="A741" s="44" t="s">
        <v>10</v>
      </c>
      <c r="B741" s="37">
        <v>36951</v>
      </c>
      <c r="C741" s="7">
        <v>49</v>
      </c>
      <c r="D741" s="7">
        <v>33</v>
      </c>
    </row>
    <row r="742" spans="1:4" x14ac:dyDescent="0.2">
      <c r="A742" s="44" t="s">
        <v>10</v>
      </c>
      <c r="B742" s="37">
        <v>36952</v>
      </c>
      <c r="C742" s="7">
        <v>43</v>
      </c>
      <c r="D742" s="7">
        <v>30</v>
      </c>
    </row>
    <row r="743" spans="1:4" x14ac:dyDescent="0.2">
      <c r="A743" s="44" t="s">
        <v>10</v>
      </c>
      <c r="B743" s="37">
        <v>36953</v>
      </c>
      <c r="C743" s="7">
        <v>30</v>
      </c>
      <c r="D743" s="7">
        <v>25</v>
      </c>
    </row>
    <row r="744" spans="1:4" x14ac:dyDescent="0.2">
      <c r="A744" s="44" t="s">
        <v>10</v>
      </c>
      <c r="B744" s="37">
        <v>36954</v>
      </c>
      <c r="C744" s="7">
        <v>45</v>
      </c>
      <c r="D744" s="7">
        <v>33</v>
      </c>
    </row>
    <row r="745" spans="1:4" x14ac:dyDescent="0.2">
      <c r="A745" s="44" t="s">
        <v>10</v>
      </c>
      <c r="B745" s="37">
        <v>36955</v>
      </c>
      <c r="C745" s="7">
        <v>42</v>
      </c>
      <c r="D745" s="7">
        <v>27</v>
      </c>
    </row>
    <row r="746" spans="1:4" x14ac:dyDescent="0.2">
      <c r="A746" s="44" t="s">
        <v>10</v>
      </c>
      <c r="B746" s="37">
        <v>36956</v>
      </c>
      <c r="C746" s="7">
        <v>30</v>
      </c>
      <c r="D746" s="7">
        <v>32</v>
      </c>
    </row>
    <row r="747" spans="1:4" x14ac:dyDescent="0.2">
      <c r="A747" s="44" t="s">
        <v>10</v>
      </c>
      <c r="B747" s="37">
        <v>36957</v>
      </c>
      <c r="C747" s="7">
        <v>49</v>
      </c>
      <c r="D747" s="7">
        <v>28</v>
      </c>
    </row>
    <row r="748" spans="1:4" x14ac:dyDescent="0.2">
      <c r="A748" s="44" t="s">
        <v>10</v>
      </c>
      <c r="B748" s="37">
        <v>36958</v>
      </c>
      <c r="C748" s="7">
        <v>34</v>
      </c>
      <c r="D748" s="7">
        <v>33</v>
      </c>
    </row>
    <row r="749" spans="1:4" x14ac:dyDescent="0.2">
      <c r="A749" s="44" t="s">
        <v>10</v>
      </c>
      <c r="B749" s="37">
        <v>36959</v>
      </c>
      <c r="C749" s="7">
        <v>32</v>
      </c>
      <c r="D749" s="7">
        <v>28</v>
      </c>
    </row>
    <row r="750" spans="1:4" x14ac:dyDescent="0.2">
      <c r="A750" s="44" t="s">
        <v>10</v>
      </c>
      <c r="B750" s="37">
        <v>36960</v>
      </c>
      <c r="C750" s="7">
        <v>35</v>
      </c>
      <c r="D750" s="7">
        <v>32</v>
      </c>
    </row>
    <row r="751" spans="1:4" x14ac:dyDescent="0.2">
      <c r="A751" s="44" t="s">
        <v>10</v>
      </c>
      <c r="B751" s="37">
        <v>36961</v>
      </c>
      <c r="C751" s="7">
        <v>40</v>
      </c>
      <c r="D751" s="7">
        <v>32</v>
      </c>
    </row>
    <row r="752" spans="1:4" x14ac:dyDescent="0.2">
      <c r="A752" s="44" t="s">
        <v>10</v>
      </c>
      <c r="B752" s="37">
        <v>36962</v>
      </c>
      <c r="C752" s="7">
        <v>36</v>
      </c>
      <c r="D752" s="7">
        <v>26</v>
      </c>
    </row>
    <row r="753" spans="1:4" x14ac:dyDescent="0.2">
      <c r="A753" s="44" t="s">
        <v>10</v>
      </c>
      <c r="B753" s="37">
        <v>36963</v>
      </c>
      <c r="C753" s="7">
        <v>44</v>
      </c>
      <c r="D753" s="7">
        <v>20</v>
      </c>
    </row>
    <row r="754" spans="1:4" x14ac:dyDescent="0.2">
      <c r="A754" s="44" t="s">
        <v>10</v>
      </c>
      <c r="B754" s="37">
        <v>36964</v>
      </c>
      <c r="C754" s="7">
        <v>32</v>
      </c>
      <c r="D754" s="7">
        <v>32</v>
      </c>
    </row>
    <row r="755" spans="1:4" x14ac:dyDescent="0.2">
      <c r="A755" s="44" t="s">
        <v>10</v>
      </c>
      <c r="B755" s="37">
        <v>36965</v>
      </c>
      <c r="C755" s="7">
        <v>30</v>
      </c>
      <c r="D755" s="7">
        <v>21</v>
      </c>
    </row>
    <row r="756" spans="1:4" x14ac:dyDescent="0.2">
      <c r="A756" s="44" t="s">
        <v>10</v>
      </c>
      <c r="B756" s="37">
        <v>36966</v>
      </c>
      <c r="C756" s="7">
        <v>44</v>
      </c>
      <c r="D756" s="7">
        <v>30</v>
      </c>
    </row>
    <row r="757" spans="1:4" x14ac:dyDescent="0.2">
      <c r="A757" s="44" t="s">
        <v>10</v>
      </c>
      <c r="B757" s="37">
        <v>36967</v>
      </c>
      <c r="C757" s="7">
        <v>45</v>
      </c>
      <c r="D757" s="7">
        <v>30</v>
      </c>
    </row>
    <row r="758" spans="1:4" x14ac:dyDescent="0.2">
      <c r="A758" s="44" t="s">
        <v>10</v>
      </c>
      <c r="B758" s="37">
        <v>36968</v>
      </c>
      <c r="C758" s="7">
        <v>31</v>
      </c>
      <c r="D758" s="7">
        <v>29</v>
      </c>
    </row>
    <row r="759" spans="1:4" x14ac:dyDescent="0.2">
      <c r="A759" s="44" t="s">
        <v>10</v>
      </c>
      <c r="B759" s="37">
        <v>36969</v>
      </c>
      <c r="C759" s="7">
        <v>36</v>
      </c>
      <c r="D759" s="7">
        <v>27</v>
      </c>
    </row>
    <row r="760" spans="1:4" x14ac:dyDescent="0.2">
      <c r="A760" s="44" t="s">
        <v>10</v>
      </c>
      <c r="B760" s="37">
        <v>36970</v>
      </c>
      <c r="C760" s="7">
        <v>35</v>
      </c>
      <c r="D760" s="7">
        <v>35</v>
      </c>
    </row>
    <row r="761" spans="1:4" x14ac:dyDescent="0.2">
      <c r="A761" s="44" t="s">
        <v>10</v>
      </c>
      <c r="B761" s="37">
        <v>36971</v>
      </c>
      <c r="C761" s="7">
        <v>34</v>
      </c>
      <c r="D761" s="7">
        <v>26</v>
      </c>
    </row>
    <row r="762" spans="1:4" x14ac:dyDescent="0.2">
      <c r="A762" s="44" t="s">
        <v>10</v>
      </c>
      <c r="B762" s="37">
        <v>36972</v>
      </c>
      <c r="C762" s="7">
        <v>41</v>
      </c>
      <c r="D762" s="7">
        <v>20</v>
      </c>
    </row>
    <row r="763" spans="1:4" x14ac:dyDescent="0.2">
      <c r="A763" s="44" t="s">
        <v>10</v>
      </c>
      <c r="B763" s="37">
        <v>36973</v>
      </c>
      <c r="C763" s="7">
        <v>32</v>
      </c>
      <c r="D763" s="7">
        <v>27</v>
      </c>
    </row>
    <row r="764" spans="1:4" x14ac:dyDescent="0.2">
      <c r="A764" s="44" t="s">
        <v>10</v>
      </c>
      <c r="B764" s="37">
        <v>36974</v>
      </c>
      <c r="C764" s="7">
        <v>46</v>
      </c>
      <c r="D764" s="7">
        <v>34</v>
      </c>
    </row>
    <row r="765" spans="1:4" x14ac:dyDescent="0.2">
      <c r="A765" s="44" t="s">
        <v>10</v>
      </c>
      <c r="B765" s="37">
        <v>36975</v>
      </c>
      <c r="C765" s="7">
        <v>38</v>
      </c>
      <c r="D765" s="7">
        <v>32</v>
      </c>
    </row>
    <row r="766" spans="1:4" x14ac:dyDescent="0.2">
      <c r="A766" s="44" t="s">
        <v>10</v>
      </c>
      <c r="B766" s="37">
        <v>36976</v>
      </c>
      <c r="C766" s="7">
        <v>46</v>
      </c>
      <c r="D766" s="7">
        <v>23</v>
      </c>
    </row>
    <row r="767" spans="1:4" x14ac:dyDescent="0.2">
      <c r="A767" s="44" t="s">
        <v>10</v>
      </c>
      <c r="B767" s="37">
        <v>36977</v>
      </c>
      <c r="C767" s="7">
        <v>40</v>
      </c>
      <c r="D767" s="7">
        <v>29</v>
      </c>
    </row>
    <row r="768" spans="1:4" x14ac:dyDescent="0.2">
      <c r="A768" s="44" t="s">
        <v>10</v>
      </c>
      <c r="B768" s="37">
        <v>36978</v>
      </c>
      <c r="C768" s="7">
        <v>34</v>
      </c>
      <c r="D768" s="7">
        <v>24</v>
      </c>
    </row>
    <row r="769" spans="1:4" x14ac:dyDescent="0.2">
      <c r="A769" s="44" t="s">
        <v>10</v>
      </c>
      <c r="B769" s="37">
        <v>36979</v>
      </c>
      <c r="C769" s="7">
        <v>46</v>
      </c>
      <c r="D769" s="7">
        <v>21</v>
      </c>
    </row>
    <row r="770" spans="1:4" x14ac:dyDescent="0.2">
      <c r="A770" s="44" t="s">
        <v>10</v>
      </c>
      <c r="B770" s="37">
        <v>36980</v>
      </c>
      <c r="C770" s="7">
        <v>49</v>
      </c>
      <c r="D770" s="7">
        <v>26</v>
      </c>
    </row>
    <row r="771" spans="1:4" x14ac:dyDescent="0.2">
      <c r="A771" s="44" t="s">
        <v>10</v>
      </c>
      <c r="B771" s="37">
        <v>36981</v>
      </c>
      <c r="C771" s="7">
        <v>31</v>
      </c>
      <c r="D771" s="7">
        <v>27</v>
      </c>
    </row>
    <row r="772" spans="1:4" x14ac:dyDescent="0.2">
      <c r="A772" s="44" t="s">
        <v>10</v>
      </c>
      <c r="B772" s="37">
        <v>36982</v>
      </c>
      <c r="C772" s="7">
        <v>43</v>
      </c>
      <c r="D772" s="7">
        <v>20</v>
      </c>
    </row>
    <row r="773" spans="1:4" x14ac:dyDescent="0.2">
      <c r="A773" s="44" t="s">
        <v>10</v>
      </c>
      <c r="B773" s="37">
        <v>36983</v>
      </c>
      <c r="C773" s="7">
        <v>35</v>
      </c>
      <c r="D773" s="7">
        <v>29</v>
      </c>
    </row>
    <row r="774" spans="1:4" x14ac:dyDescent="0.2">
      <c r="A774" s="44" t="s">
        <v>10</v>
      </c>
      <c r="B774" s="37">
        <v>36984</v>
      </c>
      <c r="C774" s="7">
        <v>34</v>
      </c>
      <c r="D774" s="7">
        <v>31</v>
      </c>
    </row>
    <row r="775" spans="1:4" x14ac:dyDescent="0.2">
      <c r="A775" s="44" t="s">
        <v>10</v>
      </c>
      <c r="B775" s="37">
        <v>36985</v>
      </c>
      <c r="C775" s="7">
        <v>47</v>
      </c>
      <c r="D775" s="7">
        <v>23</v>
      </c>
    </row>
    <row r="776" spans="1:4" x14ac:dyDescent="0.2">
      <c r="A776" s="44" t="s">
        <v>10</v>
      </c>
      <c r="B776" s="37">
        <v>36986</v>
      </c>
      <c r="C776" s="7">
        <v>39</v>
      </c>
      <c r="D776" s="7">
        <v>35</v>
      </c>
    </row>
    <row r="777" spans="1:4" x14ac:dyDescent="0.2">
      <c r="A777" s="44" t="s">
        <v>10</v>
      </c>
      <c r="B777" s="37">
        <v>36987</v>
      </c>
      <c r="C777" s="7">
        <v>46</v>
      </c>
      <c r="D777" s="7">
        <v>26</v>
      </c>
    </row>
    <row r="778" spans="1:4" x14ac:dyDescent="0.2">
      <c r="A778" s="44" t="s">
        <v>10</v>
      </c>
      <c r="B778" s="37">
        <v>36988</v>
      </c>
      <c r="C778" s="7">
        <v>36</v>
      </c>
      <c r="D778" s="7">
        <v>30</v>
      </c>
    </row>
    <row r="779" spans="1:4" x14ac:dyDescent="0.2">
      <c r="A779" s="44" t="s">
        <v>10</v>
      </c>
      <c r="B779" s="37">
        <v>36989</v>
      </c>
      <c r="C779" s="7">
        <v>34</v>
      </c>
      <c r="D779" s="7">
        <v>26</v>
      </c>
    </row>
    <row r="780" spans="1:4" x14ac:dyDescent="0.2">
      <c r="A780" s="44" t="s">
        <v>10</v>
      </c>
      <c r="B780" s="37">
        <v>36990</v>
      </c>
      <c r="C780" s="7">
        <v>33</v>
      </c>
      <c r="D780" s="7">
        <v>32</v>
      </c>
    </row>
    <row r="781" spans="1:4" x14ac:dyDescent="0.2">
      <c r="A781" s="44" t="s">
        <v>10</v>
      </c>
      <c r="B781" s="37">
        <v>36991</v>
      </c>
      <c r="C781" s="7">
        <v>44</v>
      </c>
      <c r="D781" s="7">
        <v>23</v>
      </c>
    </row>
    <row r="782" spans="1:4" x14ac:dyDescent="0.2">
      <c r="A782" s="44" t="s">
        <v>10</v>
      </c>
      <c r="B782" s="37">
        <v>36992</v>
      </c>
      <c r="C782" s="7">
        <v>41</v>
      </c>
      <c r="D782" s="7">
        <v>33</v>
      </c>
    </row>
    <row r="783" spans="1:4" x14ac:dyDescent="0.2">
      <c r="A783" s="44" t="s">
        <v>10</v>
      </c>
      <c r="B783" s="37">
        <v>36993</v>
      </c>
      <c r="C783" s="7">
        <v>40</v>
      </c>
      <c r="D783" s="7">
        <v>34</v>
      </c>
    </row>
    <row r="784" spans="1:4" x14ac:dyDescent="0.2">
      <c r="A784" s="44" t="s">
        <v>10</v>
      </c>
      <c r="B784" s="37">
        <v>36994</v>
      </c>
      <c r="C784" s="7">
        <v>34</v>
      </c>
      <c r="D784" s="7">
        <v>25</v>
      </c>
    </row>
    <row r="785" spans="1:4" x14ac:dyDescent="0.2">
      <c r="A785" s="44" t="s">
        <v>10</v>
      </c>
      <c r="B785" s="37">
        <v>36995</v>
      </c>
      <c r="C785" s="7">
        <v>32</v>
      </c>
      <c r="D785" s="7">
        <v>29</v>
      </c>
    </row>
    <row r="786" spans="1:4" x14ac:dyDescent="0.2">
      <c r="A786" s="44" t="s">
        <v>10</v>
      </c>
      <c r="B786" s="37">
        <v>36996</v>
      </c>
      <c r="C786" s="7">
        <v>48</v>
      </c>
      <c r="D786" s="7">
        <v>29</v>
      </c>
    </row>
    <row r="787" spans="1:4" x14ac:dyDescent="0.2">
      <c r="A787" s="44" t="s">
        <v>10</v>
      </c>
      <c r="B787" s="37">
        <v>36997</v>
      </c>
      <c r="C787" s="7">
        <v>40</v>
      </c>
      <c r="D787" s="7">
        <v>27</v>
      </c>
    </row>
    <row r="788" spans="1:4" x14ac:dyDescent="0.2">
      <c r="A788" s="44" t="s">
        <v>10</v>
      </c>
      <c r="B788" s="37">
        <v>36998</v>
      </c>
      <c r="C788" s="7">
        <v>37</v>
      </c>
      <c r="D788" s="7">
        <v>25</v>
      </c>
    </row>
    <row r="789" spans="1:4" x14ac:dyDescent="0.2">
      <c r="A789" s="44" t="s">
        <v>10</v>
      </c>
      <c r="B789" s="37">
        <v>36999</v>
      </c>
      <c r="C789" s="7">
        <v>48</v>
      </c>
      <c r="D789" s="7">
        <v>22</v>
      </c>
    </row>
    <row r="790" spans="1:4" x14ac:dyDescent="0.2">
      <c r="A790" s="44" t="s">
        <v>10</v>
      </c>
      <c r="B790" s="37">
        <v>37000</v>
      </c>
      <c r="C790" s="7">
        <v>30</v>
      </c>
      <c r="D790" s="7">
        <v>26</v>
      </c>
    </row>
    <row r="791" spans="1:4" x14ac:dyDescent="0.2">
      <c r="A791" s="44" t="s">
        <v>10</v>
      </c>
      <c r="B791" s="37">
        <v>37001</v>
      </c>
      <c r="C791" s="7">
        <v>47</v>
      </c>
      <c r="D791" s="7">
        <v>33</v>
      </c>
    </row>
    <row r="792" spans="1:4" x14ac:dyDescent="0.2">
      <c r="A792" s="44" t="s">
        <v>10</v>
      </c>
      <c r="B792" s="37">
        <v>37002</v>
      </c>
      <c r="C792" s="7">
        <v>49</v>
      </c>
      <c r="D792" s="7">
        <v>21</v>
      </c>
    </row>
    <row r="793" spans="1:4" x14ac:dyDescent="0.2">
      <c r="A793" s="44" t="s">
        <v>10</v>
      </c>
      <c r="B793" s="37">
        <v>37003</v>
      </c>
      <c r="C793" s="7">
        <v>41</v>
      </c>
      <c r="D793" s="7">
        <v>28</v>
      </c>
    </row>
    <row r="794" spans="1:4" x14ac:dyDescent="0.2">
      <c r="A794" s="44" t="s">
        <v>10</v>
      </c>
      <c r="B794" s="37">
        <v>37004</v>
      </c>
      <c r="C794" s="7">
        <v>49</v>
      </c>
      <c r="D794" s="7">
        <v>35</v>
      </c>
    </row>
    <row r="795" spans="1:4" x14ac:dyDescent="0.2">
      <c r="A795" s="44" t="s">
        <v>10</v>
      </c>
      <c r="B795" s="37">
        <v>37005</v>
      </c>
      <c r="C795" s="7">
        <v>48</v>
      </c>
      <c r="D795" s="7">
        <v>26</v>
      </c>
    </row>
    <row r="796" spans="1:4" x14ac:dyDescent="0.2">
      <c r="A796" s="44" t="s">
        <v>10</v>
      </c>
      <c r="B796" s="37">
        <v>37006</v>
      </c>
      <c r="C796" s="7">
        <v>44</v>
      </c>
      <c r="D796" s="7">
        <v>23</v>
      </c>
    </row>
    <row r="797" spans="1:4" x14ac:dyDescent="0.2">
      <c r="A797" s="44" t="s">
        <v>10</v>
      </c>
      <c r="B797" s="37">
        <v>37007</v>
      </c>
      <c r="C797" s="7">
        <v>45</v>
      </c>
      <c r="D797" s="7">
        <v>31</v>
      </c>
    </row>
    <row r="798" spans="1:4" x14ac:dyDescent="0.2">
      <c r="A798" s="44" t="s">
        <v>10</v>
      </c>
      <c r="B798" s="37">
        <v>37008</v>
      </c>
      <c r="C798" s="7">
        <v>35</v>
      </c>
      <c r="D798" s="7">
        <v>27</v>
      </c>
    </row>
    <row r="799" spans="1:4" x14ac:dyDescent="0.2">
      <c r="A799" s="44" t="s">
        <v>10</v>
      </c>
      <c r="B799" s="37">
        <v>37009</v>
      </c>
      <c r="C799" s="7">
        <v>35</v>
      </c>
      <c r="D799" s="7">
        <v>33</v>
      </c>
    </row>
    <row r="800" spans="1:4" x14ac:dyDescent="0.2">
      <c r="A800" s="44" t="s">
        <v>10</v>
      </c>
      <c r="B800" s="37">
        <v>37010</v>
      </c>
      <c r="C800" s="7">
        <v>38</v>
      </c>
      <c r="D800" s="7">
        <v>22</v>
      </c>
    </row>
    <row r="801" spans="1:4" x14ac:dyDescent="0.2">
      <c r="A801" s="44" t="s">
        <v>10</v>
      </c>
      <c r="B801" s="37">
        <v>37011</v>
      </c>
      <c r="C801" s="7">
        <v>32</v>
      </c>
      <c r="D801" s="7">
        <v>31</v>
      </c>
    </row>
    <row r="802" spans="1:4" x14ac:dyDescent="0.2">
      <c r="A802" s="44" t="s">
        <v>10</v>
      </c>
      <c r="B802" s="37">
        <v>37012</v>
      </c>
      <c r="C802" s="7">
        <v>35</v>
      </c>
      <c r="D802" s="7">
        <v>35</v>
      </c>
    </row>
    <row r="803" spans="1:4" x14ac:dyDescent="0.2">
      <c r="A803" s="44" t="s">
        <v>10</v>
      </c>
      <c r="B803" s="37">
        <v>37013</v>
      </c>
      <c r="C803" s="7">
        <v>39</v>
      </c>
      <c r="D803" s="7">
        <v>24</v>
      </c>
    </row>
    <row r="804" spans="1:4" x14ac:dyDescent="0.2">
      <c r="A804" s="44" t="s">
        <v>10</v>
      </c>
      <c r="B804" s="37">
        <v>37014</v>
      </c>
      <c r="C804" s="7">
        <v>37</v>
      </c>
      <c r="D804" s="7">
        <v>21</v>
      </c>
    </row>
    <row r="805" spans="1:4" x14ac:dyDescent="0.2">
      <c r="A805" s="44" t="s">
        <v>10</v>
      </c>
      <c r="B805" s="37">
        <v>37015</v>
      </c>
      <c r="C805" s="7">
        <v>42</v>
      </c>
      <c r="D805" s="7">
        <v>24</v>
      </c>
    </row>
    <row r="806" spans="1:4" x14ac:dyDescent="0.2">
      <c r="A806" s="44" t="s">
        <v>10</v>
      </c>
      <c r="B806" s="37">
        <v>37016</v>
      </c>
      <c r="C806" s="7">
        <v>36</v>
      </c>
      <c r="D806" s="7">
        <v>34</v>
      </c>
    </row>
    <row r="807" spans="1:4" x14ac:dyDescent="0.2">
      <c r="A807" s="44" t="s">
        <v>10</v>
      </c>
      <c r="B807" s="37">
        <v>37017</v>
      </c>
      <c r="C807" s="7">
        <v>32</v>
      </c>
      <c r="D807" s="7">
        <v>25</v>
      </c>
    </row>
    <row r="808" spans="1:4" x14ac:dyDescent="0.2">
      <c r="A808" s="44" t="s">
        <v>10</v>
      </c>
      <c r="B808" s="37">
        <v>37018</v>
      </c>
      <c r="C808" s="7">
        <v>49</v>
      </c>
      <c r="D808" s="7">
        <v>20</v>
      </c>
    </row>
    <row r="809" spans="1:4" x14ac:dyDescent="0.2">
      <c r="A809" s="44" t="s">
        <v>10</v>
      </c>
      <c r="B809" s="37">
        <v>37019</v>
      </c>
      <c r="C809" s="7">
        <v>46</v>
      </c>
      <c r="D809" s="7">
        <v>32</v>
      </c>
    </row>
    <row r="810" spans="1:4" x14ac:dyDescent="0.2">
      <c r="A810" s="44" t="s">
        <v>10</v>
      </c>
      <c r="B810" s="37">
        <v>37020</v>
      </c>
      <c r="C810" s="7">
        <v>33</v>
      </c>
      <c r="D810" s="7">
        <v>26</v>
      </c>
    </row>
    <row r="811" spans="1:4" x14ac:dyDescent="0.2">
      <c r="A811" s="44" t="s">
        <v>10</v>
      </c>
      <c r="B811" s="37">
        <v>37021</v>
      </c>
      <c r="C811" s="7">
        <v>34</v>
      </c>
      <c r="D811" s="7">
        <v>20</v>
      </c>
    </row>
    <row r="812" spans="1:4" x14ac:dyDescent="0.2">
      <c r="A812" s="44" t="s">
        <v>10</v>
      </c>
      <c r="B812" s="37">
        <v>37022</v>
      </c>
      <c r="C812" s="7">
        <v>30</v>
      </c>
      <c r="D812" s="7">
        <v>29</v>
      </c>
    </row>
    <row r="813" spans="1:4" x14ac:dyDescent="0.2">
      <c r="A813" s="44" t="s">
        <v>10</v>
      </c>
      <c r="B813" s="37">
        <v>37023</v>
      </c>
      <c r="C813" s="7">
        <v>37</v>
      </c>
      <c r="D813" s="7">
        <v>32</v>
      </c>
    </row>
    <row r="814" spans="1:4" x14ac:dyDescent="0.2">
      <c r="A814" s="44" t="s">
        <v>10</v>
      </c>
      <c r="B814" s="37">
        <v>37024</v>
      </c>
      <c r="C814" s="7">
        <v>31</v>
      </c>
      <c r="D814" s="7">
        <v>20</v>
      </c>
    </row>
    <row r="815" spans="1:4" x14ac:dyDescent="0.2">
      <c r="A815" s="44" t="s">
        <v>10</v>
      </c>
      <c r="B815" s="37">
        <v>37025</v>
      </c>
      <c r="C815" s="7">
        <v>30</v>
      </c>
      <c r="D815" s="7">
        <v>26</v>
      </c>
    </row>
    <row r="816" spans="1:4" x14ac:dyDescent="0.2">
      <c r="A816" s="44" t="s">
        <v>10</v>
      </c>
      <c r="B816" s="37">
        <v>37026</v>
      </c>
      <c r="C816" s="7">
        <v>33</v>
      </c>
      <c r="D816" s="7">
        <v>23</v>
      </c>
    </row>
    <row r="817" spans="1:4" x14ac:dyDescent="0.2">
      <c r="A817" s="44" t="s">
        <v>10</v>
      </c>
      <c r="B817" s="37">
        <v>37027</v>
      </c>
      <c r="C817" s="7">
        <v>36</v>
      </c>
      <c r="D817" s="7">
        <v>32</v>
      </c>
    </row>
    <row r="818" spans="1:4" x14ac:dyDescent="0.2">
      <c r="A818" s="44" t="s">
        <v>10</v>
      </c>
      <c r="B818" s="37">
        <v>37028</v>
      </c>
      <c r="C818" s="7">
        <v>44</v>
      </c>
      <c r="D818" s="7">
        <v>32</v>
      </c>
    </row>
    <row r="819" spans="1:4" x14ac:dyDescent="0.2">
      <c r="A819" s="44" t="s">
        <v>10</v>
      </c>
      <c r="B819" s="37">
        <v>37029</v>
      </c>
      <c r="C819" s="7">
        <v>40</v>
      </c>
      <c r="D819" s="7">
        <v>25</v>
      </c>
    </row>
    <row r="820" spans="1:4" x14ac:dyDescent="0.2">
      <c r="A820" s="44" t="s">
        <v>10</v>
      </c>
      <c r="B820" s="37">
        <v>37030</v>
      </c>
      <c r="C820" s="7">
        <v>50</v>
      </c>
      <c r="D820" s="7">
        <v>20</v>
      </c>
    </row>
    <row r="821" spans="1:4" x14ac:dyDescent="0.2">
      <c r="A821" s="44" t="s">
        <v>10</v>
      </c>
      <c r="B821" s="37">
        <v>37031</v>
      </c>
      <c r="C821" s="7">
        <v>40</v>
      </c>
      <c r="D821" s="7">
        <v>32</v>
      </c>
    </row>
    <row r="822" spans="1:4" x14ac:dyDescent="0.2">
      <c r="A822" s="44" t="s">
        <v>10</v>
      </c>
      <c r="B822" s="37">
        <v>37032</v>
      </c>
      <c r="C822" s="7">
        <v>33</v>
      </c>
      <c r="D822" s="7">
        <v>21</v>
      </c>
    </row>
    <row r="823" spans="1:4" x14ac:dyDescent="0.2">
      <c r="A823" s="44" t="s">
        <v>10</v>
      </c>
      <c r="B823" s="37">
        <v>37033</v>
      </c>
      <c r="C823" s="7">
        <v>39</v>
      </c>
      <c r="D823" s="7">
        <v>30</v>
      </c>
    </row>
    <row r="824" spans="1:4" x14ac:dyDescent="0.2">
      <c r="A824" s="44" t="s">
        <v>10</v>
      </c>
      <c r="B824" s="37">
        <v>37034</v>
      </c>
      <c r="C824" s="7">
        <v>48</v>
      </c>
      <c r="D824" s="7">
        <v>27</v>
      </c>
    </row>
    <row r="825" spans="1:4" x14ac:dyDescent="0.2">
      <c r="A825" s="44" t="s">
        <v>10</v>
      </c>
      <c r="B825" s="37">
        <v>37035</v>
      </c>
      <c r="C825" s="7">
        <v>47</v>
      </c>
      <c r="D825" s="7">
        <v>28</v>
      </c>
    </row>
    <row r="826" spans="1:4" x14ac:dyDescent="0.2">
      <c r="A826" s="44" t="s">
        <v>10</v>
      </c>
      <c r="B826" s="37">
        <v>37036</v>
      </c>
      <c r="C826" s="7">
        <v>48</v>
      </c>
      <c r="D826" s="7">
        <v>23</v>
      </c>
    </row>
    <row r="827" spans="1:4" x14ac:dyDescent="0.2">
      <c r="A827" s="44" t="s">
        <v>10</v>
      </c>
      <c r="B827" s="37">
        <v>37037</v>
      </c>
      <c r="C827" s="7">
        <v>43</v>
      </c>
      <c r="D827" s="7">
        <v>32</v>
      </c>
    </row>
    <row r="828" spans="1:4" x14ac:dyDescent="0.2">
      <c r="A828" s="44" t="s">
        <v>10</v>
      </c>
      <c r="B828" s="37">
        <v>37038</v>
      </c>
      <c r="C828" s="7">
        <v>50</v>
      </c>
      <c r="D828" s="7">
        <v>30</v>
      </c>
    </row>
    <row r="829" spans="1:4" x14ac:dyDescent="0.2">
      <c r="A829" s="44" t="s">
        <v>10</v>
      </c>
      <c r="B829" s="37">
        <v>37039</v>
      </c>
      <c r="C829" s="7">
        <v>50</v>
      </c>
      <c r="D829" s="7">
        <v>31</v>
      </c>
    </row>
    <row r="830" spans="1:4" x14ac:dyDescent="0.2">
      <c r="A830" s="44" t="s">
        <v>10</v>
      </c>
      <c r="B830" s="37">
        <v>37040</v>
      </c>
      <c r="C830" s="7">
        <v>47</v>
      </c>
      <c r="D830" s="7">
        <v>30</v>
      </c>
    </row>
    <row r="831" spans="1:4" x14ac:dyDescent="0.2">
      <c r="A831" s="44" t="s">
        <v>10</v>
      </c>
      <c r="B831" s="37">
        <v>37041</v>
      </c>
      <c r="C831" s="7">
        <v>30</v>
      </c>
      <c r="D831" s="7">
        <v>21</v>
      </c>
    </row>
    <row r="832" spans="1:4" x14ac:dyDescent="0.2">
      <c r="A832" s="44" t="s">
        <v>10</v>
      </c>
      <c r="B832" s="37">
        <v>37042</v>
      </c>
      <c r="C832" s="7">
        <v>42</v>
      </c>
      <c r="D832" s="7">
        <v>31</v>
      </c>
    </row>
    <row r="833" spans="1:4" x14ac:dyDescent="0.2">
      <c r="A833" s="44" t="s">
        <v>10</v>
      </c>
      <c r="B833" s="37">
        <v>37043</v>
      </c>
      <c r="C833" s="7">
        <v>32</v>
      </c>
      <c r="D833" s="7">
        <v>25</v>
      </c>
    </row>
    <row r="834" spans="1:4" x14ac:dyDescent="0.2">
      <c r="A834" s="44" t="s">
        <v>10</v>
      </c>
      <c r="B834" s="37">
        <v>37044</v>
      </c>
      <c r="C834" s="7">
        <v>30</v>
      </c>
      <c r="D834" s="7">
        <v>26</v>
      </c>
    </row>
    <row r="835" spans="1:4" x14ac:dyDescent="0.2">
      <c r="A835" s="44" t="s">
        <v>10</v>
      </c>
      <c r="B835" s="37">
        <v>37045</v>
      </c>
      <c r="C835" s="7">
        <v>34</v>
      </c>
      <c r="D835" s="7">
        <v>23</v>
      </c>
    </row>
    <row r="836" spans="1:4" x14ac:dyDescent="0.2">
      <c r="A836" s="44" t="s">
        <v>10</v>
      </c>
      <c r="B836" s="37">
        <v>37046</v>
      </c>
      <c r="C836" s="7">
        <v>41</v>
      </c>
      <c r="D836" s="7">
        <v>27</v>
      </c>
    </row>
    <row r="837" spans="1:4" x14ac:dyDescent="0.2">
      <c r="A837" s="44" t="s">
        <v>10</v>
      </c>
      <c r="B837" s="37">
        <v>37047</v>
      </c>
      <c r="C837" s="7">
        <v>32</v>
      </c>
      <c r="D837" s="7">
        <v>34</v>
      </c>
    </row>
    <row r="838" spans="1:4" x14ac:dyDescent="0.2">
      <c r="A838" s="44" t="s">
        <v>10</v>
      </c>
      <c r="B838" s="37">
        <v>37048</v>
      </c>
      <c r="C838" s="7">
        <v>39</v>
      </c>
      <c r="D838" s="7">
        <v>21</v>
      </c>
    </row>
    <row r="839" spans="1:4" x14ac:dyDescent="0.2">
      <c r="A839" s="44" t="s">
        <v>10</v>
      </c>
      <c r="B839" s="37">
        <v>37049</v>
      </c>
      <c r="C839" s="7">
        <v>33</v>
      </c>
      <c r="D839" s="7">
        <v>35</v>
      </c>
    </row>
    <row r="840" spans="1:4" x14ac:dyDescent="0.2">
      <c r="A840" s="44" t="s">
        <v>10</v>
      </c>
      <c r="B840" s="37">
        <v>37050</v>
      </c>
      <c r="C840" s="7">
        <v>33</v>
      </c>
      <c r="D840" s="7">
        <v>30</v>
      </c>
    </row>
    <row r="841" spans="1:4" x14ac:dyDescent="0.2">
      <c r="A841" s="44" t="s">
        <v>10</v>
      </c>
      <c r="B841" s="37">
        <v>37051</v>
      </c>
      <c r="C841" s="7">
        <v>38</v>
      </c>
      <c r="D841" s="7">
        <v>26</v>
      </c>
    </row>
    <row r="842" spans="1:4" x14ac:dyDescent="0.2">
      <c r="A842" s="44" t="s">
        <v>10</v>
      </c>
      <c r="B842" s="37">
        <v>37052</v>
      </c>
      <c r="C842" s="7">
        <v>45</v>
      </c>
      <c r="D842" s="7">
        <v>23</v>
      </c>
    </row>
    <row r="843" spans="1:4" x14ac:dyDescent="0.2">
      <c r="A843" s="44" t="s">
        <v>10</v>
      </c>
      <c r="B843" s="37">
        <v>37053</v>
      </c>
      <c r="C843" s="7">
        <v>41</v>
      </c>
      <c r="D843" s="7">
        <v>24</v>
      </c>
    </row>
    <row r="844" spans="1:4" x14ac:dyDescent="0.2">
      <c r="A844" s="44" t="s">
        <v>10</v>
      </c>
      <c r="B844" s="37">
        <v>37054</v>
      </c>
      <c r="C844" s="7">
        <v>40</v>
      </c>
      <c r="D844" s="7">
        <v>22</v>
      </c>
    </row>
    <row r="845" spans="1:4" x14ac:dyDescent="0.2">
      <c r="A845" s="44" t="s">
        <v>10</v>
      </c>
      <c r="B845" s="37">
        <v>37055</v>
      </c>
      <c r="C845" s="7">
        <v>45</v>
      </c>
      <c r="D845" s="7">
        <v>24</v>
      </c>
    </row>
    <row r="846" spans="1:4" x14ac:dyDescent="0.2">
      <c r="A846" s="44" t="s">
        <v>10</v>
      </c>
      <c r="B846" s="37">
        <v>37056</v>
      </c>
      <c r="C846" s="7">
        <v>33</v>
      </c>
      <c r="D846" s="7">
        <v>34</v>
      </c>
    </row>
    <row r="847" spans="1:4" x14ac:dyDescent="0.2">
      <c r="A847" s="44" t="s">
        <v>10</v>
      </c>
      <c r="B847" s="37">
        <v>37057</v>
      </c>
      <c r="C847" s="7">
        <v>36</v>
      </c>
      <c r="D847" s="7">
        <v>21</v>
      </c>
    </row>
    <row r="848" spans="1:4" x14ac:dyDescent="0.2">
      <c r="A848" s="44" t="s">
        <v>10</v>
      </c>
      <c r="B848" s="37">
        <v>37058</v>
      </c>
      <c r="C848" s="7">
        <v>45</v>
      </c>
      <c r="D848" s="7">
        <v>31</v>
      </c>
    </row>
    <row r="849" spans="1:4" x14ac:dyDescent="0.2">
      <c r="A849" s="44" t="s">
        <v>10</v>
      </c>
      <c r="B849" s="37">
        <v>37059</v>
      </c>
      <c r="C849" s="7">
        <v>31</v>
      </c>
      <c r="D849" s="7">
        <v>33</v>
      </c>
    </row>
    <row r="850" spans="1:4" x14ac:dyDescent="0.2">
      <c r="A850" s="44" t="s">
        <v>10</v>
      </c>
      <c r="B850" s="37">
        <v>37060</v>
      </c>
      <c r="C850" s="7">
        <v>50</v>
      </c>
      <c r="D850" s="7">
        <v>33</v>
      </c>
    </row>
    <row r="851" spans="1:4" x14ac:dyDescent="0.2">
      <c r="A851" s="44" t="s">
        <v>10</v>
      </c>
      <c r="B851" s="37">
        <v>37061</v>
      </c>
      <c r="C851" s="7">
        <v>49</v>
      </c>
      <c r="D851" s="7">
        <v>29</v>
      </c>
    </row>
    <row r="852" spans="1:4" x14ac:dyDescent="0.2">
      <c r="A852" s="44" t="s">
        <v>10</v>
      </c>
      <c r="B852" s="37">
        <v>37062</v>
      </c>
      <c r="C852" s="7">
        <v>43</v>
      </c>
      <c r="D852" s="7">
        <v>22</v>
      </c>
    </row>
    <row r="853" spans="1:4" x14ac:dyDescent="0.2">
      <c r="A853" s="44" t="s">
        <v>10</v>
      </c>
      <c r="B853" s="37">
        <v>37063</v>
      </c>
      <c r="C853" s="7">
        <v>43</v>
      </c>
      <c r="D853" s="7">
        <v>26</v>
      </c>
    </row>
    <row r="854" spans="1:4" x14ac:dyDescent="0.2">
      <c r="A854" s="44" t="s">
        <v>10</v>
      </c>
      <c r="B854" s="37">
        <v>37064</v>
      </c>
      <c r="C854" s="7">
        <v>37</v>
      </c>
      <c r="D854" s="7">
        <v>33</v>
      </c>
    </row>
    <row r="855" spans="1:4" x14ac:dyDescent="0.2">
      <c r="A855" s="44" t="s">
        <v>10</v>
      </c>
      <c r="B855" s="37">
        <v>37065</v>
      </c>
      <c r="C855" s="7">
        <v>47</v>
      </c>
      <c r="D855" s="7">
        <v>32</v>
      </c>
    </row>
    <row r="856" spans="1:4" x14ac:dyDescent="0.2">
      <c r="A856" s="44" t="s">
        <v>10</v>
      </c>
      <c r="B856" s="37">
        <v>37066</v>
      </c>
      <c r="C856" s="7">
        <v>43</v>
      </c>
      <c r="D856" s="7">
        <v>23</v>
      </c>
    </row>
    <row r="857" spans="1:4" x14ac:dyDescent="0.2">
      <c r="A857" s="44" t="s">
        <v>10</v>
      </c>
      <c r="B857" s="37">
        <v>37067</v>
      </c>
      <c r="C857" s="7">
        <v>30</v>
      </c>
      <c r="D857" s="7">
        <v>23</v>
      </c>
    </row>
    <row r="858" spans="1:4" x14ac:dyDescent="0.2">
      <c r="A858" s="44" t="s">
        <v>10</v>
      </c>
      <c r="B858" s="37">
        <v>37068</v>
      </c>
      <c r="C858" s="7">
        <v>50</v>
      </c>
      <c r="D858" s="7">
        <v>20</v>
      </c>
    </row>
    <row r="859" spans="1:4" x14ac:dyDescent="0.2">
      <c r="A859" s="44" t="s">
        <v>10</v>
      </c>
      <c r="B859" s="37">
        <v>37069</v>
      </c>
      <c r="C859" s="7">
        <v>30</v>
      </c>
      <c r="D859" s="7">
        <v>26</v>
      </c>
    </row>
    <row r="860" spans="1:4" x14ac:dyDescent="0.2">
      <c r="A860" s="44" t="s">
        <v>10</v>
      </c>
      <c r="B860" s="37">
        <v>37070</v>
      </c>
      <c r="C860" s="7">
        <v>41</v>
      </c>
      <c r="D860" s="7">
        <v>31</v>
      </c>
    </row>
    <row r="861" spans="1:4" x14ac:dyDescent="0.2">
      <c r="A861" s="44" t="s">
        <v>10</v>
      </c>
      <c r="B861" s="37">
        <v>37071</v>
      </c>
      <c r="C861" s="7">
        <v>45</v>
      </c>
      <c r="D861" s="7">
        <v>34</v>
      </c>
    </row>
    <row r="862" spans="1:4" x14ac:dyDescent="0.2">
      <c r="A862" s="44" t="s">
        <v>10</v>
      </c>
      <c r="B862" s="37">
        <v>37072</v>
      </c>
      <c r="C862" s="7">
        <v>44</v>
      </c>
      <c r="D862" s="7">
        <v>35</v>
      </c>
    </row>
    <row r="863" spans="1:4" x14ac:dyDescent="0.2">
      <c r="A863" s="44" t="s">
        <v>10</v>
      </c>
      <c r="B863" s="37">
        <v>37073</v>
      </c>
      <c r="C863" s="7">
        <v>33</v>
      </c>
      <c r="D863" s="7">
        <v>21</v>
      </c>
    </row>
    <row r="864" spans="1:4" x14ac:dyDescent="0.2">
      <c r="A864" s="44" t="s">
        <v>10</v>
      </c>
      <c r="B864" s="37">
        <v>37074</v>
      </c>
      <c r="C864" s="7">
        <v>46</v>
      </c>
      <c r="D864" s="7">
        <v>29</v>
      </c>
    </row>
    <row r="865" spans="1:4" x14ac:dyDescent="0.2">
      <c r="A865" s="44" t="s">
        <v>10</v>
      </c>
      <c r="B865" s="37">
        <v>37075</v>
      </c>
      <c r="C865" s="7">
        <v>36</v>
      </c>
      <c r="D865" s="7">
        <v>34</v>
      </c>
    </row>
    <row r="866" spans="1:4" x14ac:dyDescent="0.2">
      <c r="A866" s="44" t="s">
        <v>10</v>
      </c>
      <c r="B866" s="37">
        <v>37076</v>
      </c>
      <c r="C866" s="7">
        <v>34</v>
      </c>
      <c r="D866" s="7">
        <v>30</v>
      </c>
    </row>
    <row r="867" spans="1:4" x14ac:dyDescent="0.2">
      <c r="A867" s="44" t="s">
        <v>10</v>
      </c>
      <c r="B867" s="37">
        <v>37077</v>
      </c>
      <c r="C867" s="7">
        <v>43</v>
      </c>
      <c r="D867" s="7">
        <v>31</v>
      </c>
    </row>
    <row r="868" spans="1:4" x14ac:dyDescent="0.2">
      <c r="A868" s="44" t="s">
        <v>10</v>
      </c>
      <c r="B868" s="37">
        <v>37078</v>
      </c>
      <c r="C868" s="7">
        <v>41</v>
      </c>
      <c r="D868" s="7">
        <v>27</v>
      </c>
    </row>
    <row r="869" spans="1:4" x14ac:dyDescent="0.2">
      <c r="A869" s="44" t="s">
        <v>10</v>
      </c>
      <c r="B869" s="37">
        <v>37079</v>
      </c>
      <c r="C869" s="7">
        <v>39</v>
      </c>
      <c r="D869" s="7">
        <v>26</v>
      </c>
    </row>
    <row r="870" spans="1:4" x14ac:dyDescent="0.2">
      <c r="A870" s="44" t="s">
        <v>10</v>
      </c>
      <c r="B870" s="37">
        <v>37080</v>
      </c>
      <c r="C870" s="7">
        <v>49</v>
      </c>
      <c r="D870" s="7">
        <v>21</v>
      </c>
    </row>
    <row r="871" spans="1:4" x14ac:dyDescent="0.2">
      <c r="A871" s="44" t="s">
        <v>10</v>
      </c>
      <c r="B871" s="37">
        <v>37081</v>
      </c>
      <c r="C871" s="7">
        <v>40</v>
      </c>
      <c r="D871" s="7">
        <v>28</v>
      </c>
    </row>
    <row r="872" spans="1:4" x14ac:dyDescent="0.2">
      <c r="A872" s="44" t="s">
        <v>10</v>
      </c>
      <c r="B872" s="37">
        <v>37082</v>
      </c>
      <c r="C872" s="7">
        <v>36</v>
      </c>
      <c r="D872" s="7">
        <v>34</v>
      </c>
    </row>
    <row r="873" spans="1:4" x14ac:dyDescent="0.2">
      <c r="A873" s="44" t="s">
        <v>10</v>
      </c>
      <c r="B873" s="37">
        <v>37083</v>
      </c>
      <c r="C873" s="7">
        <v>36</v>
      </c>
      <c r="D873" s="7">
        <v>25</v>
      </c>
    </row>
    <row r="874" spans="1:4" x14ac:dyDescent="0.2">
      <c r="A874" s="44" t="s">
        <v>10</v>
      </c>
      <c r="B874" s="37">
        <v>37084</v>
      </c>
      <c r="C874" s="7">
        <v>40</v>
      </c>
      <c r="D874" s="7">
        <v>24</v>
      </c>
    </row>
    <row r="875" spans="1:4" x14ac:dyDescent="0.2">
      <c r="A875" s="44" t="s">
        <v>10</v>
      </c>
      <c r="B875" s="37">
        <v>37085</v>
      </c>
      <c r="C875" s="7">
        <v>42</v>
      </c>
      <c r="D875" s="7">
        <v>29</v>
      </c>
    </row>
    <row r="876" spans="1:4" x14ac:dyDescent="0.2">
      <c r="A876" s="44" t="s">
        <v>10</v>
      </c>
      <c r="B876" s="37">
        <v>37086</v>
      </c>
      <c r="C876" s="7">
        <v>40</v>
      </c>
      <c r="D876" s="7">
        <v>29</v>
      </c>
    </row>
    <row r="877" spans="1:4" x14ac:dyDescent="0.2">
      <c r="A877" s="44" t="s">
        <v>10</v>
      </c>
      <c r="B877" s="37">
        <v>37087</v>
      </c>
      <c r="C877" s="7">
        <v>30</v>
      </c>
      <c r="D877" s="7">
        <v>35</v>
      </c>
    </row>
    <row r="878" spans="1:4" x14ac:dyDescent="0.2">
      <c r="A878" s="44" t="s">
        <v>10</v>
      </c>
      <c r="B878" s="37">
        <v>37088</v>
      </c>
      <c r="C878" s="7">
        <v>41</v>
      </c>
      <c r="D878" s="7">
        <v>29</v>
      </c>
    </row>
    <row r="879" spans="1:4" x14ac:dyDescent="0.2">
      <c r="A879" s="44" t="s">
        <v>10</v>
      </c>
      <c r="B879" s="37">
        <v>37089</v>
      </c>
      <c r="C879" s="7">
        <v>39</v>
      </c>
      <c r="D879" s="7">
        <v>23</v>
      </c>
    </row>
    <row r="880" spans="1:4" x14ac:dyDescent="0.2">
      <c r="A880" s="44" t="s">
        <v>10</v>
      </c>
      <c r="B880" s="37">
        <v>37090</v>
      </c>
      <c r="C880" s="7">
        <v>48</v>
      </c>
      <c r="D880" s="7">
        <v>21</v>
      </c>
    </row>
    <row r="881" spans="1:4" x14ac:dyDescent="0.2">
      <c r="A881" s="44" t="s">
        <v>10</v>
      </c>
      <c r="B881" s="37">
        <v>37091</v>
      </c>
      <c r="C881" s="7">
        <v>32</v>
      </c>
      <c r="D881" s="7">
        <v>32</v>
      </c>
    </row>
    <row r="882" spans="1:4" x14ac:dyDescent="0.2">
      <c r="A882" s="44" t="s">
        <v>10</v>
      </c>
      <c r="B882" s="37">
        <v>37092</v>
      </c>
      <c r="C882" s="7">
        <v>32</v>
      </c>
      <c r="D882" s="7">
        <v>30</v>
      </c>
    </row>
    <row r="883" spans="1:4" x14ac:dyDescent="0.2">
      <c r="A883" s="44" t="s">
        <v>10</v>
      </c>
      <c r="B883" s="37">
        <v>37093</v>
      </c>
      <c r="C883" s="7">
        <v>31</v>
      </c>
      <c r="D883" s="7">
        <v>30</v>
      </c>
    </row>
    <row r="884" spans="1:4" x14ac:dyDescent="0.2">
      <c r="A884" s="44" t="s">
        <v>10</v>
      </c>
      <c r="B884" s="37">
        <v>37094</v>
      </c>
      <c r="C884" s="7">
        <v>40</v>
      </c>
      <c r="D884" s="7">
        <v>33</v>
      </c>
    </row>
    <row r="885" spans="1:4" x14ac:dyDescent="0.2">
      <c r="A885" s="44" t="s">
        <v>10</v>
      </c>
      <c r="B885" s="37">
        <v>37095</v>
      </c>
      <c r="C885" s="7">
        <v>36</v>
      </c>
      <c r="D885" s="7">
        <v>23</v>
      </c>
    </row>
    <row r="886" spans="1:4" x14ac:dyDescent="0.2">
      <c r="A886" s="44" t="s">
        <v>10</v>
      </c>
      <c r="B886" s="37">
        <v>37096</v>
      </c>
      <c r="C886" s="7">
        <v>49</v>
      </c>
      <c r="D886" s="7">
        <v>33</v>
      </c>
    </row>
    <row r="887" spans="1:4" x14ac:dyDescent="0.2">
      <c r="A887" s="44" t="s">
        <v>10</v>
      </c>
      <c r="B887" s="37">
        <v>37097</v>
      </c>
      <c r="C887" s="7">
        <v>45</v>
      </c>
      <c r="D887" s="7">
        <v>24</v>
      </c>
    </row>
    <row r="888" spans="1:4" x14ac:dyDescent="0.2">
      <c r="A888" s="44" t="s">
        <v>10</v>
      </c>
      <c r="B888" s="37">
        <v>37098</v>
      </c>
      <c r="C888" s="7">
        <v>36</v>
      </c>
      <c r="D888" s="7">
        <v>31</v>
      </c>
    </row>
    <row r="889" spans="1:4" x14ac:dyDescent="0.2">
      <c r="A889" s="44" t="s">
        <v>10</v>
      </c>
      <c r="B889" s="37">
        <v>37099</v>
      </c>
      <c r="C889" s="7">
        <v>48</v>
      </c>
      <c r="D889" s="7">
        <v>25</v>
      </c>
    </row>
    <row r="890" spans="1:4" x14ac:dyDescent="0.2">
      <c r="A890" s="44" t="s">
        <v>10</v>
      </c>
      <c r="B890" s="37">
        <v>37100</v>
      </c>
      <c r="C890" s="7">
        <v>38</v>
      </c>
      <c r="D890" s="7">
        <v>20</v>
      </c>
    </row>
    <row r="891" spans="1:4" x14ac:dyDescent="0.2">
      <c r="A891" s="44" t="s">
        <v>10</v>
      </c>
      <c r="B891" s="37">
        <v>37101</v>
      </c>
      <c r="C891" s="7">
        <v>49</v>
      </c>
      <c r="D891" s="7">
        <v>29</v>
      </c>
    </row>
    <row r="892" spans="1:4" x14ac:dyDescent="0.2">
      <c r="A892" s="44" t="s">
        <v>10</v>
      </c>
      <c r="B892" s="37">
        <v>37102</v>
      </c>
      <c r="C892" s="7">
        <v>38</v>
      </c>
      <c r="D892" s="7">
        <v>27</v>
      </c>
    </row>
    <row r="893" spans="1:4" x14ac:dyDescent="0.2">
      <c r="A893" s="44" t="s">
        <v>10</v>
      </c>
      <c r="B893" s="37">
        <v>37103</v>
      </c>
      <c r="C893" s="7">
        <v>40</v>
      </c>
      <c r="D893" s="7">
        <v>33</v>
      </c>
    </row>
    <row r="894" spans="1:4" x14ac:dyDescent="0.2">
      <c r="A894" s="44" t="s">
        <v>10</v>
      </c>
      <c r="B894" s="37">
        <v>37104</v>
      </c>
      <c r="C894" s="7">
        <v>34</v>
      </c>
      <c r="D894" s="7">
        <v>35</v>
      </c>
    </row>
    <row r="895" spans="1:4" x14ac:dyDescent="0.2">
      <c r="A895" s="44" t="s">
        <v>10</v>
      </c>
      <c r="B895" s="37">
        <v>37105</v>
      </c>
      <c r="C895" s="7">
        <v>32</v>
      </c>
      <c r="D895" s="7">
        <v>33</v>
      </c>
    </row>
    <row r="896" spans="1:4" x14ac:dyDescent="0.2">
      <c r="A896" s="44" t="s">
        <v>10</v>
      </c>
      <c r="B896" s="37">
        <v>37106</v>
      </c>
      <c r="C896" s="7">
        <v>41</v>
      </c>
      <c r="D896" s="7">
        <v>31</v>
      </c>
    </row>
    <row r="897" spans="1:4" x14ac:dyDescent="0.2">
      <c r="A897" s="44" t="s">
        <v>10</v>
      </c>
      <c r="B897" s="37">
        <v>37107</v>
      </c>
      <c r="C897" s="7">
        <v>33</v>
      </c>
      <c r="D897" s="7">
        <v>27</v>
      </c>
    </row>
    <row r="898" spans="1:4" x14ac:dyDescent="0.2">
      <c r="A898" s="44" t="s">
        <v>10</v>
      </c>
      <c r="B898" s="37">
        <v>37108</v>
      </c>
      <c r="C898" s="7">
        <v>47</v>
      </c>
      <c r="D898" s="7">
        <v>27</v>
      </c>
    </row>
    <row r="899" spans="1:4" x14ac:dyDescent="0.2">
      <c r="A899" s="44" t="s">
        <v>10</v>
      </c>
      <c r="B899" s="37">
        <v>37109</v>
      </c>
      <c r="C899" s="7">
        <v>46</v>
      </c>
      <c r="D899" s="7">
        <v>23</v>
      </c>
    </row>
    <row r="900" spans="1:4" x14ac:dyDescent="0.2">
      <c r="A900" s="44" t="s">
        <v>10</v>
      </c>
      <c r="B900" s="37">
        <v>37110</v>
      </c>
      <c r="C900" s="7">
        <v>38</v>
      </c>
      <c r="D900" s="7">
        <v>34</v>
      </c>
    </row>
    <row r="901" spans="1:4" x14ac:dyDescent="0.2">
      <c r="A901" s="44" t="s">
        <v>10</v>
      </c>
      <c r="B901" s="37">
        <v>37111</v>
      </c>
      <c r="C901" s="7">
        <v>44</v>
      </c>
      <c r="D901" s="7">
        <v>24</v>
      </c>
    </row>
    <row r="902" spans="1:4" x14ac:dyDescent="0.2">
      <c r="A902" s="44" t="s">
        <v>10</v>
      </c>
      <c r="B902" s="37">
        <v>37112</v>
      </c>
      <c r="C902" s="7">
        <v>49</v>
      </c>
      <c r="D902" s="7">
        <v>35</v>
      </c>
    </row>
    <row r="903" spans="1:4" x14ac:dyDescent="0.2">
      <c r="A903" s="44" t="s">
        <v>10</v>
      </c>
      <c r="B903" s="37">
        <v>37113</v>
      </c>
      <c r="C903" s="7">
        <v>44</v>
      </c>
      <c r="D903" s="7">
        <v>31</v>
      </c>
    </row>
    <row r="904" spans="1:4" x14ac:dyDescent="0.2">
      <c r="A904" s="44" t="s">
        <v>10</v>
      </c>
      <c r="B904" s="37">
        <v>37114</v>
      </c>
      <c r="C904" s="7">
        <v>41</v>
      </c>
      <c r="D904" s="7">
        <v>20</v>
      </c>
    </row>
    <row r="905" spans="1:4" x14ac:dyDescent="0.2">
      <c r="A905" s="44" t="s">
        <v>10</v>
      </c>
      <c r="B905" s="37">
        <v>37115</v>
      </c>
      <c r="C905" s="7">
        <v>34</v>
      </c>
      <c r="D905" s="7">
        <v>31</v>
      </c>
    </row>
    <row r="906" spans="1:4" x14ac:dyDescent="0.2">
      <c r="A906" s="44" t="s">
        <v>10</v>
      </c>
      <c r="B906" s="37">
        <v>37116</v>
      </c>
      <c r="C906" s="7">
        <v>34</v>
      </c>
      <c r="D906" s="7">
        <v>35</v>
      </c>
    </row>
    <row r="907" spans="1:4" x14ac:dyDescent="0.2">
      <c r="A907" s="44" t="s">
        <v>10</v>
      </c>
      <c r="B907" s="37">
        <v>37117</v>
      </c>
      <c r="C907" s="7">
        <v>31</v>
      </c>
      <c r="D907" s="7">
        <v>23</v>
      </c>
    </row>
    <row r="908" spans="1:4" x14ac:dyDescent="0.2">
      <c r="A908" s="44" t="s">
        <v>10</v>
      </c>
      <c r="B908" s="37">
        <v>37118</v>
      </c>
      <c r="C908" s="7">
        <v>46</v>
      </c>
      <c r="D908" s="7">
        <v>22</v>
      </c>
    </row>
    <row r="909" spans="1:4" x14ac:dyDescent="0.2">
      <c r="A909" s="44" t="s">
        <v>10</v>
      </c>
      <c r="B909" s="37">
        <v>37119</v>
      </c>
      <c r="C909" s="7">
        <v>42</v>
      </c>
      <c r="D909" s="7">
        <v>31</v>
      </c>
    </row>
    <row r="910" spans="1:4" x14ac:dyDescent="0.2">
      <c r="A910" s="44" t="s">
        <v>10</v>
      </c>
      <c r="B910" s="37">
        <v>37120</v>
      </c>
      <c r="C910" s="7">
        <v>41</v>
      </c>
      <c r="D910" s="7">
        <v>25</v>
      </c>
    </row>
    <row r="911" spans="1:4" x14ac:dyDescent="0.2">
      <c r="A911" s="44" t="s">
        <v>10</v>
      </c>
      <c r="B911" s="37">
        <v>37121</v>
      </c>
      <c r="C911" s="7">
        <v>33</v>
      </c>
      <c r="D911" s="7">
        <v>26</v>
      </c>
    </row>
    <row r="912" spans="1:4" x14ac:dyDescent="0.2">
      <c r="A912" s="44" t="s">
        <v>10</v>
      </c>
      <c r="B912" s="37">
        <v>37122</v>
      </c>
      <c r="C912" s="7">
        <v>42</v>
      </c>
      <c r="D912" s="7">
        <v>33</v>
      </c>
    </row>
    <row r="913" spans="1:4" x14ac:dyDescent="0.2">
      <c r="A913" s="44" t="s">
        <v>10</v>
      </c>
      <c r="B913" s="37">
        <v>37123</v>
      </c>
      <c r="C913" s="7">
        <v>38</v>
      </c>
      <c r="D913" s="7">
        <v>32</v>
      </c>
    </row>
    <row r="914" spans="1:4" x14ac:dyDescent="0.2">
      <c r="A914" s="44" t="s">
        <v>10</v>
      </c>
      <c r="B914" s="37">
        <v>37124</v>
      </c>
      <c r="C914" s="7">
        <v>38</v>
      </c>
      <c r="D914" s="7">
        <v>25</v>
      </c>
    </row>
    <row r="915" spans="1:4" x14ac:dyDescent="0.2">
      <c r="A915" s="44" t="s">
        <v>10</v>
      </c>
      <c r="B915" s="37">
        <v>37125</v>
      </c>
      <c r="C915" s="7">
        <v>39</v>
      </c>
      <c r="D915" s="7">
        <v>25</v>
      </c>
    </row>
    <row r="916" spans="1:4" x14ac:dyDescent="0.2">
      <c r="A916" s="44" t="s">
        <v>10</v>
      </c>
      <c r="B916" s="37">
        <v>37126</v>
      </c>
      <c r="C916" s="7">
        <v>34</v>
      </c>
      <c r="D916" s="7">
        <v>20</v>
      </c>
    </row>
    <row r="917" spans="1:4" x14ac:dyDescent="0.2">
      <c r="A917" s="44" t="s">
        <v>10</v>
      </c>
      <c r="B917" s="37">
        <v>37127</v>
      </c>
      <c r="C917" s="7">
        <v>30</v>
      </c>
      <c r="D917" s="7">
        <v>30</v>
      </c>
    </row>
    <row r="918" spans="1:4" x14ac:dyDescent="0.2">
      <c r="A918" s="44" t="s">
        <v>10</v>
      </c>
      <c r="B918" s="37">
        <v>37128</v>
      </c>
      <c r="C918" s="7">
        <v>34</v>
      </c>
      <c r="D918" s="7">
        <v>20</v>
      </c>
    </row>
    <row r="919" spans="1:4" x14ac:dyDescent="0.2">
      <c r="A919" s="44" t="s">
        <v>10</v>
      </c>
      <c r="B919" s="37">
        <v>37129</v>
      </c>
      <c r="C919" s="7">
        <v>38</v>
      </c>
      <c r="D919" s="7">
        <v>27</v>
      </c>
    </row>
    <row r="920" spans="1:4" x14ac:dyDescent="0.2">
      <c r="A920" s="44" t="s">
        <v>10</v>
      </c>
      <c r="B920" s="37">
        <v>37130</v>
      </c>
      <c r="C920" s="7">
        <v>30</v>
      </c>
      <c r="D920" s="7">
        <v>34</v>
      </c>
    </row>
    <row r="921" spans="1:4" x14ac:dyDescent="0.2">
      <c r="A921" s="44" t="s">
        <v>10</v>
      </c>
      <c r="B921" s="37">
        <v>37131</v>
      </c>
      <c r="C921" s="7">
        <v>37</v>
      </c>
      <c r="D921" s="7">
        <v>21</v>
      </c>
    </row>
    <row r="922" spans="1:4" x14ac:dyDescent="0.2">
      <c r="A922" s="44" t="s">
        <v>10</v>
      </c>
      <c r="B922" s="37">
        <v>37132</v>
      </c>
      <c r="C922" s="7">
        <v>35</v>
      </c>
      <c r="D922" s="7">
        <v>21</v>
      </c>
    </row>
    <row r="923" spans="1:4" x14ac:dyDescent="0.2">
      <c r="A923" s="44" t="s">
        <v>10</v>
      </c>
      <c r="B923" s="37">
        <v>37133</v>
      </c>
      <c r="C923" s="7">
        <v>33</v>
      </c>
      <c r="D923" s="7">
        <v>31</v>
      </c>
    </row>
    <row r="924" spans="1:4" x14ac:dyDescent="0.2">
      <c r="A924" s="44" t="s">
        <v>10</v>
      </c>
      <c r="B924" s="37">
        <v>37134</v>
      </c>
      <c r="C924" s="7">
        <v>45</v>
      </c>
      <c r="D924" s="7">
        <v>34</v>
      </c>
    </row>
    <row r="925" spans="1:4" x14ac:dyDescent="0.2">
      <c r="A925" s="44" t="s">
        <v>10</v>
      </c>
      <c r="B925" s="37">
        <v>37135</v>
      </c>
      <c r="C925" s="7">
        <v>37</v>
      </c>
      <c r="D925" s="7">
        <v>33</v>
      </c>
    </row>
    <row r="926" spans="1:4" x14ac:dyDescent="0.2">
      <c r="A926" s="44" t="s">
        <v>10</v>
      </c>
      <c r="B926" s="37">
        <v>37136</v>
      </c>
      <c r="C926" s="7">
        <v>35</v>
      </c>
      <c r="D926" s="7">
        <v>23</v>
      </c>
    </row>
    <row r="927" spans="1:4" x14ac:dyDescent="0.2">
      <c r="A927" s="44" t="s">
        <v>10</v>
      </c>
      <c r="B927" s="37">
        <v>37137</v>
      </c>
      <c r="C927" s="7">
        <v>47</v>
      </c>
      <c r="D927" s="7">
        <v>25</v>
      </c>
    </row>
    <row r="928" spans="1:4" x14ac:dyDescent="0.2">
      <c r="A928" s="44" t="s">
        <v>10</v>
      </c>
      <c r="B928" s="37">
        <v>37138</v>
      </c>
      <c r="C928" s="7">
        <v>44</v>
      </c>
      <c r="D928" s="7">
        <v>25</v>
      </c>
    </row>
    <row r="929" spans="1:4" x14ac:dyDescent="0.2">
      <c r="A929" s="44" t="s">
        <v>10</v>
      </c>
      <c r="B929" s="37">
        <v>37139</v>
      </c>
      <c r="C929" s="7">
        <v>42</v>
      </c>
      <c r="D929" s="7">
        <v>25</v>
      </c>
    </row>
    <row r="930" spans="1:4" x14ac:dyDescent="0.2">
      <c r="A930" s="44" t="s">
        <v>10</v>
      </c>
      <c r="B930" s="37">
        <v>37140</v>
      </c>
      <c r="C930" s="7">
        <v>47</v>
      </c>
      <c r="D930" s="7">
        <v>32</v>
      </c>
    </row>
    <row r="931" spans="1:4" x14ac:dyDescent="0.2">
      <c r="A931" s="44" t="s">
        <v>10</v>
      </c>
      <c r="B931" s="37">
        <v>37141</v>
      </c>
      <c r="C931" s="7">
        <v>33</v>
      </c>
      <c r="D931" s="7">
        <v>29</v>
      </c>
    </row>
    <row r="932" spans="1:4" x14ac:dyDescent="0.2">
      <c r="A932" s="44" t="s">
        <v>10</v>
      </c>
      <c r="B932" s="37">
        <v>37142</v>
      </c>
      <c r="C932" s="7">
        <v>38</v>
      </c>
      <c r="D932" s="7">
        <v>27</v>
      </c>
    </row>
    <row r="933" spans="1:4" x14ac:dyDescent="0.2">
      <c r="A933" s="44" t="s">
        <v>10</v>
      </c>
      <c r="B933" s="37">
        <v>37143</v>
      </c>
      <c r="C933" s="7">
        <v>31</v>
      </c>
      <c r="D933" s="7">
        <v>23</v>
      </c>
    </row>
    <row r="934" spans="1:4" x14ac:dyDescent="0.2">
      <c r="A934" s="44" t="s">
        <v>10</v>
      </c>
      <c r="B934" s="37">
        <v>37144</v>
      </c>
      <c r="C934" s="7">
        <v>50</v>
      </c>
      <c r="D934" s="7">
        <v>28</v>
      </c>
    </row>
    <row r="935" spans="1:4" x14ac:dyDescent="0.2">
      <c r="A935" s="44" t="s">
        <v>10</v>
      </c>
      <c r="B935" s="37">
        <v>37145</v>
      </c>
      <c r="C935" s="7">
        <v>49</v>
      </c>
      <c r="D935" s="7">
        <v>28</v>
      </c>
    </row>
    <row r="936" spans="1:4" x14ac:dyDescent="0.2">
      <c r="A936" s="44" t="s">
        <v>10</v>
      </c>
      <c r="B936" s="37">
        <v>37146</v>
      </c>
      <c r="C936" s="7">
        <v>33</v>
      </c>
      <c r="D936" s="7">
        <v>34</v>
      </c>
    </row>
    <row r="937" spans="1:4" x14ac:dyDescent="0.2">
      <c r="A937" s="44" t="s">
        <v>10</v>
      </c>
      <c r="B937" s="37">
        <v>37147</v>
      </c>
      <c r="C937" s="7">
        <v>30</v>
      </c>
      <c r="D937" s="7">
        <v>29</v>
      </c>
    </row>
    <row r="938" spans="1:4" x14ac:dyDescent="0.2">
      <c r="A938" s="44" t="s">
        <v>10</v>
      </c>
      <c r="B938" s="37">
        <v>37148</v>
      </c>
      <c r="C938" s="7">
        <v>39</v>
      </c>
      <c r="D938" s="7">
        <v>29</v>
      </c>
    </row>
    <row r="939" spans="1:4" x14ac:dyDescent="0.2">
      <c r="A939" s="44" t="s">
        <v>10</v>
      </c>
      <c r="B939" s="37">
        <v>37149</v>
      </c>
      <c r="C939" s="7">
        <v>43</v>
      </c>
      <c r="D939" s="7">
        <v>21</v>
      </c>
    </row>
    <row r="940" spans="1:4" x14ac:dyDescent="0.2">
      <c r="A940" s="44" t="s">
        <v>10</v>
      </c>
      <c r="B940" s="37">
        <v>37150</v>
      </c>
      <c r="C940" s="7">
        <v>31</v>
      </c>
      <c r="D940" s="7">
        <v>20</v>
      </c>
    </row>
    <row r="941" spans="1:4" x14ac:dyDescent="0.2">
      <c r="A941" s="44" t="s">
        <v>10</v>
      </c>
      <c r="B941" s="37">
        <v>37151</v>
      </c>
      <c r="C941" s="7">
        <v>30</v>
      </c>
      <c r="D941" s="7">
        <v>30</v>
      </c>
    </row>
    <row r="942" spans="1:4" x14ac:dyDescent="0.2">
      <c r="A942" s="44" t="s">
        <v>10</v>
      </c>
      <c r="B942" s="37">
        <v>37152</v>
      </c>
      <c r="C942" s="7">
        <v>31</v>
      </c>
      <c r="D942" s="7">
        <v>20</v>
      </c>
    </row>
    <row r="943" spans="1:4" x14ac:dyDescent="0.2">
      <c r="A943" s="44" t="s">
        <v>10</v>
      </c>
      <c r="B943" s="37">
        <v>37153</v>
      </c>
      <c r="C943" s="7">
        <v>50</v>
      </c>
      <c r="D943" s="7">
        <v>34</v>
      </c>
    </row>
    <row r="944" spans="1:4" x14ac:dyDescent="0.2">
      <c r="A944" s="44" t="s">
        <v>10</v>
      </c>
      <c r="B944" s="37">
        <v>37154</v>
      </c>
      <c r="C944" s="7">
        <v>39</v>
      </c>
      <c r="D944" s="7">
        <v>28</v>
      </c>
    </row>
    <row r="945" spans="1:4" x14ac:dyDescent="0.2">
      <c r="A945" s="44" t="s">
        <v>10</v>
      </c>
      <c r="B945" s="37">
        <v>37155</v>
      </c>
      <c r="C945" s="7">
        <v>44</v>
      </c>
      <c r="D945" s="7">
        <v>21</v>
      </c>
    </row>
    <row r="946" spans="1:4" x14ac:dyDescent="0.2">
      <c r="A946" s="44" t="s">
        <v>10</v>
      </c>
      <c r="B946" s="37">
        <v>37156</v>
      </c>
      <c r="C946" s="7">
        <v>40</v>
      </c>
      <c r="D946" s="7">
        <v>21</v>
      </c>
    </row>
    <row r="947" spans="1:4" x14ac:dyDescent="0.2">
      <c r="A947" s="44" t="s">
        <v>10</v>
      </c>
      <c r="B947" s="37">
        <v>37157</v>
      </c>
      <c r="C947" s="7">
        <v>39</v>
      </c>
      <c r="D947" s="7">
        <v>25</v>
      </c>
    </row>
    <row r="948" spans="1:4" x14ac:dyDescent="0.2">
      <c r="A948" s="44" t="s">
        <v>10</v>
      </c>
      <c r="B948" s="37">
        <v>37158</v>
      </c>
      <c r="C948" s="7">
        <v>37</v>
      </c>
      <c r="D948" s="7">
        <v>31</v>
      </c>
    </row>
    <row r="949" spans="1:4" x14ac:dyDescent="0.2">
      <c r="A949" s="44" t="s">
        <v>10</v>
      </c>
      <c r="B949" s="37">
        <v>37159</v>
      </c>
      <c r="C949" s="7">
        <v>50</v>
      </c>
      <c r="D949" s="7">
        <v>20</v>
      </c>
    </row>
    <row r="950" spans="1:4" x14ac:dyDescent="0.2">
      <c r="A950" s="44" t="s">
        <v>10</v>
      </c>
      <c r="B950" s="37">
        <v>37160</v>
      </c>
      <c r="C950" s="7">
        <v>36</v>
      </c>
      <c r="D950" s="7">
        <v>24</v>
      </c>
    </row>
    <row r="951" spans="1:4" x14ac:dyDescent="0.2">
      <c r="A951" s="44" t="s">
        <v>10</v>
      </c>
      <c r="B951" s="37">
        <v>37161</v>
      </c>
      <c r="C951" s="7">
        <v>46</v>
      </c>
      <c r="D951" s="7">
        <v>29</v>
      </c>
    </row>
    <row r="952" spans="1:4" x14ac:dyDescent="0.2">
      <c r="A952" s="44" t="s">
        <v>10</v>
      </c>
      <c r="B952" s="37">
        <v>37162</v>
      </c>
      <c r="C952" s="7">
        <v>41</v>
      </c>
      <c r="D952" s="7">
        <v>29</v>
      </c>
    </row>
    <row r="953" spans="1:4" x14ac:dyDescent="0.2">
      <c r="A953" s="44" t="s">
        <v>10</v>
      </c>
      <c r="B953" s="37">
        <v>37163</v>
      </c>
      <c r="C953" s="7">
        <v>35</v>
      </c>
      <c r="D953" s="7">
        <v>21</v>
      </c>
    </row>
    <row r="954" spans="1:4" x14ac:dyDescent="0.2">
      <c r="A954" s="44" t="s">
        <v>10</v>
      </c>
      <c r="B954" s="37">
        <v>37164</v>
      </c>
      <c r="C954" s="7">
        <v>43</v>
      </c>
      <c r="D954" s="7">
        <v>20</v>
      </c>
    </row>
    <row r="955" spans="1:4" x14ac:dyDescent="0.2">
      <c r="A955" s="44" t="s">
        <v>10</v>
      </c>
      <c r="B955" s="37">
        <v>37165</v>
      </c>
      <c r="C955" s="7">
        <v>36</v>
      </c>
      <c r="D955" s="7">
        <v>33</v>
      </c>
    </row>
    <row r="956" spans="1:4" x14ac:dyDescent="0.2">
      <c r="A956" s="44" t="s">
        <v>10</v>
      </c>
      <c r="B956" s="37">
        <v>37166</v>
      </c>
      <c r="C956" s="7">
        <v>36</v>
      </c>
      <c r="D956" s="7">
        <v>22</v>
      </c>
    </row>
    <row r="957" spans="1:4" x14ac:dyDescent="0.2">
      <c r="A957" s="44" t="s">
        <v>10</v>
      </c>
      <c r="B957" s="37">
        <v>37167</v>
      </c>
      <c r="C957" s="7">
        <v>44</v>
      </c>
      <c r="D957" s="7">
        <v>25</v>
      </c>
    </row>
    <row r="958" spans="1:4" x14ac:dyDescent="0.2">
      <c r="A958" s="44" t="s">
        <v>10</v>
      </c>
      <c r="B958" s="37">
        <v>37168</v>
      </c>
      <c r="C958" s="7">
        <v>48</v>
      </c>
      <c r="D958" s="7">
        <v>22</v>
      </c>
    </row>
    <row r="959" spans="1:4" x14ac:dyDescent="0.2">
      <c r="A959" s="44" t="s">
        <v>10</v>
      </c>
      <c r="B959" s="37">
        <v>37169</v>
      </c>
      <c r="C959" s="7">
        <v>33</v>
      </c>
      <c r="D959" s="7">
        <v>29</v>
      </c>
    </row>
    <row r="960" spans="1:4" x14ac:dyDescent="0.2">
      <c r="A960" s="44" t="s">
        <v>10</v>
      </c>
      <c r="B960" s="37">
        <v>37170</v>
      </c>
      <c r="C960" s="7">
        <v>48</v>
      </c>
      <c r="D960" s="7">
        <v>27</v>
      </c>
    </row>
    <row r="961" spans="1:4" x14ac:dyDescent="0.2">
      <c r="A961" s="44" t="s">
        <v>10</v>
      </c>
      <c r="B961" s="37">
        <v>37171</v>
      </c>
      <c r="C961" s="7">
        <v>37</v>
      </c>
      <c r="D961" s="7">
        <v>22</v>
      </c>
    </row>
    <row r="962" spans="1:4" x14ac:dyDescent="0.2">
      <c r="A962" s="44" t="s">
        <v>10</v>
      </c>
      <c r="B962" s="37">
        <v>37172</v>
      </c>
      <c r="C962" s="7">
        <v>49</v>
      </c>
      <c r="D962" s="7">
        <v>34</v>
      </c>
    </row>
    <row r="963" spans="1:4" x14ac:dyDescent="0.2">
      <c r="A963" s="44" t="s">
        <v>10</v>
      </c>
      <c r="B963" s="37">
        <v>37173</v>
      </c>
      <c r="C963" s="7">
        <v>41</v>
      </c>
      <c r="D963" s="7">
        <v>33</v>
      </c>
    </row>
    <row r="964" spans="1:4" x14ac:dyDescent="0.2">
      <c r="A964" s="44" t="s">
        <v>10</v>
      </c>
      <c r="B964" s="37">
        <v>37174</v>
      </c>
      <c r="C964" s="7">
        <v>50</v>
      </c>
      <c r="D964" s="7">
        <v>20</v>
      </c>
    </row>
    <row r="965" spans="1:4" x14ac:dyDescent="0.2">
      <c r="A965" s="44" t="s">
        <v>10</v>
      </c>
      <c r="B965" s="37">
        <v>37175</v>
      </c>
      <c r="C965" s="7">
        <v>32</v>
      </c>
      <c r="D965" s="7">
        <v>20</v>
      </c>
    </row>
    <row r="966" spans="1:4" x14ac:dyDescent="0.2">
      <c r="A966" s="44" t="s">
        <v>10</v>
      </c>
      <c r="B966" s="37">
        <v>37176</v>
      </c>
      <c r="C966" s="7">
        <v>45</v>
      </c>
      <c r="D966" s="7">
        <v>23</v>
      </c>
    </row>
    <row r="967" spans="1:4" x14ac:dyDescent="0.2">
      <c r="A967" s="44" t="s">
        <v>10</v>
      </c>
      <c r="B967" s="37">
        <v>37177</v>
      </c>
      <c r="C967" s="7">
        <v>41</v>
      </c>
      <c r="D967" s="7">
        <v>34</v>
      </c>
    </row>
    <row r="968" spans="1:4" x14ac:dyDescent="0.2">
      <c r="A968" s="44" t="s">
        <v>10</v>
      </c>
      <c r="B968" s="37">
        <v>37178</v>
      </c>
      <c r="C968" s="7">
        <v>43</v>
      </c>
      <c r="D968" s="7">
        <v>30</v>
      </c>
    </row>
    <row r="969" spans="1:4" x14ac:dyDescent="0.2">
      <c r="A969" s="44" t="s">
        <v>10</v>
      </c>
      <c r="B969" s="37">
        <v>37179</v>
      </c>
      <c r="C969" s="7">
        <v>33</v>
      </c>
      <c r="D969" s="7">
        <v>32</v>
      </c>
    </row>
    <row r="970" spans="1:4" x14ac:dyDescent="0.2">
      <c r="A970" s="44" t="s">
        <v>10</v>
      </c>
      <c r="B970" s="37">
        <v>37180</v>
      </c>
      <c r="C970" s="7">
        <v>48</v>
      </c>
      <c r="D970" s="7">
        <v>31</v>
      </c>
    </row>
    <row r="971" spans="1:4" x14ac:dyDescent="0.2">
      <c r="A971" s="44" t="s">
        <v>10</v>
      </c>
      <c r="B971" s="37">
        <v>37181</v>
      </c>
      <c r="C971" s="7">
        <v>40</v>
      </c>
      <c r="D971" s="7">
        <v>33</v>
      </c>
    </row>
    <row r="972" spans="1:4" x14ac:dyDescent="0.2">
      <c r="A972" s="44" t="s">
        <v>10</v>
      </c>
      <c r="B972" s="37">
        <v>37182</v>
      </c>
      <c r="C972" s="7">
        <v>36</v>
      </c>
      <c r="D972" s="7">
        <v>34</v>
      </c>
    </row>
    <row r="973" spans="1:4" x14ac:dyDescent="0.2">
      <c r="A973" s="44" t="s">
        <v>10</v>
      </c>
      <c r="B973" s="37">
        <v>37183</v>
      </c>
      <c r="C973" s="7">
        <v>50</v>
      </c>
      <c r="D973" s="7">
        <v>24</v>
      </c>
    </row>
    <row r="974" spans="1:4" x14ac:dyDescent="0.2">
      <c r="A974" s="44" t="s">
        <v>10</v>
      </c>
      <c r="B974" s="37">
        <v>37184</v>
      </c>
      <c r="C974" s="7">
        <v>30</v>
      </c>
      <c r="D974" s="7">
        <v>20</v>
      </c>
    </row>
    <row r="975" spans="1:4" x14ac:dyDescent="0.2">
      <c r="A975" s="44" t="s">
        <v>10</v>
      </c>
      <c r="B975" s="37">
        <v>37185</v>
      </c>
      <c r="C975" s="7">
        <v>43</v>
      </c>
      <c r="D975" s="7">
        <v>34</v>
      </c>
    </row>
    <row r="976" spans="1:4" x14ac:dyDescent="0.2">
      <c r="A976" s="44" t="s">
        <v>10</v>
      </c>
      <c r="B976" s="37">
        <v>37186</v>
      </c>
      <c r="C976" s="7">
        <v>30</v>
      </c>
      <c r="D976" s="7">
        <v>26</v>
      </c>
    </row>
    <row r="977" spans="1:4" x14ac:dyDescent="0.2">
      <c r="A977" s="44" t="s">
        <v>10</v>
      </c>
      <c r="B977" s="37">
        <v>37187</v>
      </c>
      <c r="C977" s="7">
        <v>43</v>
      </c>
      <c r="D977" s="7">
        <v>32</v>
      </c>
    </row>
    <row r="978" spans="1:4" x14ac:dyDescent="0.2">
      <c r="A978" s="44" t="s">
        <v>10</v>
      </c>
      <c r="B978" s="37">
        <v>37188</v>
      </c>
      <c r="C978" s="7">
        <v>30</v>
      </c>
      <c r="D978" s="7">
        <v>25</v>
      </c>
    </row>
    <row r="979" spans="1:4" x14ac:dyDescent="0.2">
      <c r="A979" s="44" t="s">
        <v>10</v>
      </c>
      <c r="B979" s="37">
        <v>37189</v>
      </c>
      <c r="C979" s="7">
        <v>49</v>
      </c>
      <c r="D979" s="7">
        <v>21</v>
      </c>
    </row>
    <row r="980" spans="1:4" x14ac:dyDescent="0.2">
      <c r="A980" s="44" t="s">
        <v>10</v>
      </c>
      <c r="B980" s="37">
        <v>37190</v>
      </c>
      <c r="C980" s="7">
        <v>47</v>
      </c>
      <c r="D980" s="7">
        <v>30</v>
      </c>
    </row>
    <row r="981" spans="1:4" x14ac:dyDescent="0.2">
      <c r="A981" s="44" t="s">
        <v>10</v>
      </c>
      <c r="B981" s="37">
        <v>37191</v>
      </c>
      <c r="C981" s="7">
        <v>47</v>
      </c>
      <c r="D981" s="7">
        <v>28</v>
      </c>
    </row>
    <row r="982" spans="1:4" x14ac:dyDescent="0.2">
      <c r="A982" s="44" t="s">
        <v>10</v>
      </c>
      <c r="B982" s="37">
        <v>37192</v>
      </c>
      <c r="C982" s="7">
        <v>39</v>
      </c>
      <c r="D982" s="7">
        <v>34</v>
      </c>
    </row>
    <row r="983" spans="1:4" x14ac:dyDescent="0.2">
      <c r="A983" s="44" t="s">
        <v>10</v>
      </c>
      <c r="B983" s="37">
        <v>37193</v>
      </c>
      <c r="C983" s="7">
        <v>35</v>
      </c>
      <c r="D983" s="7">
        <v>35</v>
      </c>
    </row>
    <row r="984" spans="1:4" x14ac:dyDescent="0.2">
      <c r="A984" s="44" t="s">
        <v>10</v>
      </c>
      <c r="B984" s="37">
        <v>37194</v>
      </c>
      <c r="C984" s="7">
        <v>35</v>
      </c>
      <c r="D984" s="7">
        <v>31</v>
      </c>
    </row>
    <row r="985" spans="1:4" x14ac:dyDescent="0.2">
      <c r="A985" s="44" t="s">
        <v>10</v>
      </c>
      <c r="B985" s="37">
        <v>37195</v>
      </c>
      <c r="C985" s="7">
        <v>31</v>
      </c>
      <c r="D985" s="7">
        <v>35</v>
      </c>
    </row>
    <row r="986" spans="1:4" x14ac:dyDescent="0.2">
      <c r="A986" s="44" t="s">
        <v>10</v>
      </c>
      <c r="B986" s="37">
        <v>37196</v>
      </c>
      <c r="C986" s="7">
        <v>33</v>
      </c>
      <c r="D986" s="7">
        <v>23</v>
      </c>
    </row>
    <row r="987" spans="1:4" x14ac:dyDescent="0.2">
      <c r="A987" s="44" t="s">
        <v>10</v>
      </c>
      <c r="B987" s="37">
        <v>37197</v>
      </c>
      <c r="C987" s="7">
        <v>31</v>
      </c>
      <c r="D987" s="7">
        <v>32</v>
      </c>
    </row>
    <row r="988" spans="1:4" x14ac:dyDescent="0.2">
      <c r="A988" s="44" t="s">
        <v>10</v>
      </c>
      <c r="B988" s="37">
        <v>37198</v>
      </c>
      <c r="C988" s="7">
        <v>50</v>
      </c>
      <c r="D988" s="7">
        <v>23</v>
      </c>
    </row>
    <row r="989" spans="1:4" x14ac:dyDescent="0.2">
      <c r="A989" s="44" t="s">
        <v>10</v>
      </c>
      <c r="B989" s="37">
        <v>37199</v>
      </c>
      <c r="C989" s="7">
        <v>35</v>
      </c>
      <c r="D989" s="7">
        <v>25</v>
      </c>
    </row>
    <row r="990" spans="1:4" x14ac:dyDescent="0.2">
      <c r="A990" s="44" t="s">
        <v>10</v>
      </c>
      <c r="B990" s="37">
        <v>37200</v>
      </c>
      <c r="C990" s="7">
        <v>43</v>
      </c>
      <c r="D990" s="7">
        <v>22</v>
      </c>
    </row>
    <row r="991" spans="1:4" x14ac:dyDescent="0.2">
      <c r="A991" s="44" t="s">
        <v>10</v>
      </c>
      <c r="B991" s="37">
        <v>37201</v>
      </c>
      <c r="C991" s="7">
        <v>31</v>
      </c>
      <c r="D991" s="7">
        <v>29</v>
      </c>
    </row>
    <row r="992" spans="1:4" x14ac:dyDescent="0.2">
      <c r="A992" s="44" t="s">
        <v>10</v>
      </c>
      <c r="B992" s="37">
        <v>37202</v>
      </c>
      <c r="C992" s="7">
        <v>33</v>
      </c>
      <c r="D992" s="7">
        <v>28</v>
      </c>
    </row>
    <row r="993" spans="1:4" x14ac:dyDescent="0.2">
      <c r="A993" s="44" t="s">
        <v>10</v>
      </c>
      <c r="B993" s="37">
        <v>37203</v>
      </c>
      <c r="C993" s="7">
        <v>47</v>
      </c>
      <c r="D993" s="7">
        <v>20</v>
      </c>
    </row>
    <row r="994" spans="1:4" x14ac:dyDescent="0.2">
      <c r="A994" s="44" t="s">
        <v>10</v>
      </c>
      <c r="B994" s="37">
        <v>37204</v>
      </c>
      <c r="C994" s="7">
        <v>30</v>
      </c>
      <c r="D994" s="7">
        <v>20</v>
      </c>
    </row>
    <row r="995" spans="1:4" x14ac:dyDescent="0.2">
      <c r="A995" s="44" t="s">
        <v>10</v>
      </c>
      <c r="B995" s="37">
        <v>37205</v>
      </c>
      <c r="C995" s="7">
        <v>34</v>
      </c>
      <c r="D995" s="7">
        <v>29</v>
      </c>
    </row>
    <row r="996" spans="1:4" x14ac:dyDescent="0.2">
      <c r="A996" s="44" t="s">
        <v>10</v>
      </c>
      <c r="B996" s="37">
        <v>37206</v>
      </c>
      <c r="C996" s="7">
        <v>31</v>
      </c>
      <c r="D996" s="7">
        <v>25</v>
      </c>
    </row>
    <row r="997" spans="1:4" x14ac:dyDescent="0.2">
      <c r="A997" s="44" t="s">
        <v>10</v>
      </c>
      <c r="B997" s="37">
        <v>37207</v>
      </c>
      <c r="C997" s="7">
        <v>46</v>
      </c>
      <c r="D997" s="7">
        <v>24</v>
      </c>
    </row>
    <row r="998" spans="1:4" x14ac:dyDescent="0.2">
      <c r="A998" s="44" t="s">
        <v>10</v>
      </c>
      <c r="B998" s="37">
        <v>37208</v>
      </c>
      <c r="C998" s="7">
        <v>50</v>
      </c>
      <c r="D998" s="7">
        <v>29</v>
      </c>
    </row>
    <row r="999" spans="1:4" x14ac:dyDescent="0.2">
      <c r="A999" s="44" t="s">
        <v>10</v>
      </c>
      <c r="B999" s="37">
        <v>37209</v>
      </c>
      <c r="C999" s="7">
        <v>32</v>
      </c>
      <c r="D999" s="7">
        <v>21</v>
      </c>
    </row>
    <row r="1000" spans="1:4" x14ac:dyDescent="0.2">
      <c r="A1000" s="44" t="s">
        <v>10</v>
      </c>
      <c r="B1000" s="37">
        <v>37210</v>
      </c>
      <c r="C1000" s="7">
        <v>46</v>
      </c>
      <c r="D1000" s="7">
        <v>29</v>
      </c>
    </row>
    <row r="1001" spans="1:4" x14ac:dyDescent="0.2">
      <c r="A1001" s="44" t="s">
        <v>10</v>
      </c>
      <c r="B1001" s="37">
        <v>37211</v>
      </c>
      <c r="C1001" s="7">
        <v>42</v>
      </c>
      <c r="D1001" s="7">
        <v>35</v>
      </c>
    </row>
    <row r="1002" spans="1:4" x14ac:dyDescent="0.2">
      <c r="A1002" s="44" t="s">
        <v>10</v>
      </c>
      <c r="B1002" s="37">
        <v>37212</v>
      </c>
      <c r="C1002" s="7">
        <v>37</v>
      </c>
      <c r="D1002" s="7">
        <v>27</v>
      </c>
    </row>
    <row r="1003" spans="1:4" x14ac:dyDescent="0.2">
      <c r="A1003" s="44" t="s">
        <v>10</v>
      </c>
      <c r="B1003" s="37">
        <v>37213</v>
      </c>
      <c r="C1003" s="7">
        <v>46</v>
      </c>
      <c r="D1003" s="7">
        <v>27</v>
      </c>
    </row>
    <row r="1004" spans="1:4" x14ac:dyDescent="0.2">
      <c r="A1004" s="44" t="s">
        <v>10</v>
      </c>
      <c r="B1004" s="37">
        <v>37214</v>
      </c>
      <c r="C1004" s="7">
        <v>33</v>
      </c>
      <c r="D1004" s="7">
        <v>30</v>
      </c>
    </row>
    <row r="1005" spans="1:4" x14ac:dyDescent="0.2">
      <c r="A1005" s="44" t="s">
        <v>10</v>
      </c>
      <c r="B1005" s="37">
        <v>37215</v>
      </c>
      <c r="C1005" s="7">
        <v>47</v>
      </c>
      <c r="D1005" s="7">
        <v>29</v>
      </c>
    </row>
    <row r="1006" spans="1:4" x14ac:dyDescent="0.2">
      <c r="A1006" s="44" t="s">
        <v>10</v>
      </c>
      <c r="B1006" s="37">
        <v>37216</v>
      </c>
      <c r="C1006" s="7">
        <v>42</v>
      </c>
      <c r="D1006" s="7">
        <v>33</v>
      </c>
    </row>
    <row r="1007" spans="1:4" x14ac:dyDescent="0.2">
      <c r="A1007" s="44" t="s">
        <v>10</v>
      </c>
      <c r="B1007" s="37">
        <v>37217</v>
      </c>
      <c r="C1007" s="7">
        <v>47</v>
      </c>
      <c r="D1007" s="7">
        <v>28</v>
      </c>
    </row>
    <row r="1008" spans="1:4" x14ac:dyDescent="0.2">
      <c r="A1008" s="44" t="s">
        <v>10</v>
      </c>
      <c r="B1008" s="37">
        <v>37218</v>
      </c>
      <c r="C1008" s="7">
        <v>33</v>
      </c>
      <c r="D1008" s="7">
        <v>32</v>
      </c>
    </row>
    <row r="1009" spans="1:4" x14ac:dyDescent="0.2">
      <c r="A1009" s="44" t="s">
        <v>10</v>
      </c>
      <c r="B1009" s="37">
        <v>37219</v>
      </c>
      <c r="C1009" s="7">
        <v>41</v>
      </c>
      <c r="D1009" s="7">
        <v>32</v>
      </c>
    </row>
    <row r="1010" spans="1:4" x14ac:dyDescent="0.2">
      <c r="A1010" s="44" t="s">
        <v>10</v>
      </c>
      <c r="B1010" s="37">
        <v>37220</v>
      </c>
      <c r="C1010" s="7">
        <v>44</v>
      </c>
      <c r="D1010" s="7">
        <v>32</v>
      </c>
    </row>
    <row r="1011" spans="1:4" x14ac:dyDescent="0.2">
      <c r="A1011" s="44" t="s">
        <v>10</v>
      </c>
      <c r="B1011" s="37">
        <v>37221</v>
      </c>
      <c r="C1011" s="7">
        <v>43</v>
      </c>
      <c r="D1011" s="7">
        <v>21</v>
      </c>
    </row>
    <row r="1012" spans="1:4" x14ac:dyDescent="0.2">
      <c r="A1012" s="44" t="s">
        <v>10</v>
      </c>
      <c r="B1012" s="37">
        <v>37222</v>
      </c>
      <c r="C1012" s="7">
        <v>43</v>
      </c>
      <c r="D1012" s="7">
        <v>26</v>
      </c>
    </row>
    <row r="1013" spans="1:4" x14ac:dyDescent="0.2">
      <c r="A1013" s="44" t="s">
        <v>10</v>
      </c>
      <c r="B1013" s="37">
        <v>37223</v>
      </c>
      <c r="C1013" s="7">
        <v>37</v>
      </c>
      <c r="D1013" s="7">
        <v>35</v>
      </c>
    </row>
    <row r="1014" spans="1:4" x14ac:dyDescent="0.2">
      <c r="A1014" s="44" t="s">
        <v>10</v>
      </c>
      <c r="B1014" s="37">
        <v>37224</v>
      </c>
      <c r="C1014" s="7">
        <v>48</v>
      </c>
      <c r="D1014" s="7">
        <v>30</v>
      </c>
    </row>
    <row r="1015" spans="1:4" x14ac:dyDescent="0.2">
      <c r="A1015" s="44" t="s">
        <v>10</v>
      </c>
      <c r="B1015" s="37">
        <v>37225</v>
      </c>
      <c r="C1015" s="7">
        <v>47</v>
      </c>
      <c r="D1015" s="7">
        <v>23</v>
      </c>
    </row>
    <row r="1016" spans="1:4" x14ac:dyDescent="0.2">
      <c r="A1016" s="44" t="s">
        <v>10</v>
      </c>
      <c r="B1016" s="37">
        <v>37226</v>
      </c>
      <c r="C1016" s="7">
        <v>35</v>
      </c>
      <c r="D1016" s="7">
        <v>27</v>
      </c>
    </row>
    <row r="1017" spans="1:4" x14ac:dyDescent="0.2">
      <c r="A1017" s="44" t="s">
        <v>10</v>
      </c>
      <c r="B1017" s="37">
        <v>37227</v>
      </c>
      <c r="C1017" s="7">
        <v>45</v>
      </c>
      <c r="D1017" s="7">
        <v>32</v>
      </c>
    </row>
    <row r="1018" spans="1:4" x14ac:dyDescent="0.2">
      <c r="A1018" s="44" t="s">
        <v>10</v>
      </c>
      <c r="B1018" s="37">
        <v>37228</v>
      </c>
      <c r="C1018" s="7">
        <v>30</v>
      </c>
      <c r="D1018" s="7">
        <v>34</v>
      </c>
    </row>
    <row r="1019" spans="1:4" x14ac:dyDescent="0.2">
      <c r="A1019" s="44" t="s">
        <v>10</v>
      </c>
      <c r="B1019" s="37">
        <v>37229</v>
      </c>
      <c r="C1019" s="7">
        <v>36</v>
      </c>
      <c r="D1019" s="7">
        <v>32</v>
      </c>
    </row>
    <row r="1020" spans="1:4" x14ac:dyDescent="0.2">
      <c r="A1020" s="44" t="s">
        <v>10</v>
      </c>
      <c r="B1020" s="37">
        <v>37230</v>
      </c>
      <c r="C1020" s="7">
        <v>30</v>
      </c>
      <c r="D1020" s="7">
        <v>30</v>
      </c>
    </row>
    <row r="1021" spans="1:4" x14ac:dyDescent="0.2">
      <c r="A1021" s="44" t="s">
        <v>10</v>
      </c>
      <c r="B1021" s="37">
        <v>37231</v>
      </c>
      <c r="C1021" s="7">
        <v>50</v>
      </c>
      <c r="D1021" s="7">
        <v>23</v>
      </c>
    </row>
    <row r="1022" spans="1:4" x14ac:dyDescent="0.2">
      <c r="A1022" s="44" t="s">
        <v>7</v>
      </c>
      <c r="B1022" s="37">
        <v>36892</v>
      </c>
      <c r="C1022" s="7">
        <v>45</v>
      </c>
      <c r="D1022" s="7">
        <v>21</v>
      </c>
    </row>
    <row r="1023" spans="1:4" x14ac:dyDescent="0.2">
      <c r="A1023" s="44" t="s">
        <v>7</v>
      </c>
      <c r="B1023" s="37">
        <v>36893</v>
      </c>
      <c r="C1023" s="7">
        <v>35</v>
      </c>
      <c r="D1023" s="7">
        <v>11</v>
      </c>
    </row>
    <row r="1024" spans="1:4" x14ac:dyDescent="0.2">
      <c r="A1024" s="44" t="s">
        <v>7</v>
      </c>
      <c r="B1024" s="37">
        <v>36894</v>
      </c>
      <c r="C1024" s="7">
        <v>35</v>
      </c>
      <c r="D1024" s="7">
        <v>31</v>
      </c>
    </row>
    <row r="1025" spans="1:4" x14ac:dyDescent="0.2">
      <c r="A1025" s="44" t="s">
        <v>7</v>
      </c>
      <c r="B1025" s="37">
        <v>36895</v>
      </c>
      <c r="C1025" s="7">
        <v>47</v>
      </c>
      <c r="D1025" s="7">
        <v>24</v>
      </c>
    </row>
    <row r="1026" spans="1:4" x14ac:dyDescent="0.2">
      <c r="A1026" s="44" t="s">
        <v>7</v>
      </c>
      <c r="B1026" s="37">
        <v>36896</v>
      </c>
      <c r="C1026" s="7">
        <v>48</v>
      </c>
      <c r="D1026" s="7">
        <v>20</v>
      </c>
    </row>
    <row r="1027" spans="1:4" x14ac:dyDescent="0.2">
      <c r="A1027" s="44" t="s">
        <v>7</v>
      </c>
      <c r="B1027" s="37">
        <v>36897</v>
      </c>
      <c r="C1027" s="7">
        <v>34</v>
      </c>
      <c r="D1027" s="7">
        <v>16</v>
      </c>
    </row>
    <row r="1028" spans="1:4" x14ac:dyDescent="0.2">
      <c r="A1028" s="44" t="s">
        <v>7</v>
      </c>
      <c r="B1028" s="37">
        <v>36898</v>
      </c>
      <c r="C1028" s="7">
        <v>31</v>
      </c>
      <c r="D1028" s="7">
        <v>18</v>
      </c>
    </row>
    <row r="1029" spans="1:4" x14ac:dyDescent="0.2">
      <c r="A1029" s="44" t="s">
        <v>7</v>
      </c>
      <c r="B1029" s="37">
        <v>36899</v>
      </c>
      <c r="C1029" s="7">
        <v>42</v>
      </c>
      <c r="D1029" s="7">
        <v>15</v>
      </c>
    </row>
    <row r="1030" spans="1:4" x14ac:dyDescent="0.2">
      <c r="A1030" s="44" t="s">
        <v>7</v>
      </c>
      <c r="B1030" s="37">
        <v>36900</v>
      </c>
      <c r="C1030" s="7">
        <v>39</v>
      </c>
      <c r="D1030" s="7">
        <v>30</v>
      </c>
    </row>
    <row r="1031" spans="1:4" x14ac:dyDescent="0.2">
      <c r="A1031" s="44" t="s">
        <v>7</v>
      </c>
      <c r="B1031" s="37">
        <v>36901</v>
      </c>
      <c r="C1031" s="7">
        <v>48</v>
      </c>
      <c r="D1031" s="7">
        <v>16</v>
      </c>
    </row>
    <row r="1032" spans="1:4" x14ac:dyDescent="0.2">
      <c r="A1032" s="44" t="s">
        <v>7</v>
      </c>
      <c r="B1032" s="37">
        <v>36902</v>
      </c>
      <c r="C1032" s="7">
        <v>42</v>
      </c>
      <c r="D1032" s="7">
        <v>16</v>
      </c>
    </row>
    <row r="1033" spans="1:4" x14ac:dyDescent="0.2">
      <c r="A1033" s="44" t="s">
        <v>7</v>
      </c>
      <c r="B1033" s="37">
        <v>36903</v>
      </c>
      <c r="C1033" s="7">
        <v>35</v>
      </c>
      <c r="D1033" s="7">
        <v>25</v>
      </c>
    </row>
    <row r="1034" spans="1:4" x14ac:dyDescent="0.2">
      <c r="A1034" s="44" t="s">
        <v>7</v>
      </c>
      <c r="B1034" s="37">
        <v>36904</v>
      </c>
      <c r="C1034" s="7">
        <v>34</v>
      </c>
      <c r="D1034" s="7">
        <v>31</v>
      </c>
    </row>
    <row r="1035" spans="1:4" x14ac:dyDescent="0.2">
      <c r="A1035" s="44" t="s">
        <v>7</v>
      </c>
      <c r="B1035" s="37">
        <v>36905</v>
      </c>
      <c r="C1035" s="7">
        <v>48</v>
      </c>
      <c r="D1035" s="7">
        <v>14</v>
      </c>
    </row>
    <row r="1036" spans="1:4" x14ac:dyDescent="0.2">
      <c r="A1036" s="44" t="s">
        <v>7</v>
      </c>
      <c r="B1036" s="37">
        <v>36906</v>
      </c>
      <c r="C1036" s="7">
        <v>44</v>
      </c>
      <c r="D1036" s="7">
        <v>16</v>
      </c>
    </row>
    <row r="1037" spans="1:4" x14ac:dyDescent="0.2">
      <c r="A1037" s="44" t="s">
        <v>7</v>
      </c>
      <c r="B1037" s="37">
        <v>36907</v>
      </c>
      <c r="C1037" s="7">
        <v>50</v>
      </c>
      <c r="D1037" s="7">
        <v>25</v>
      </c>
    </row>
    <row r="1038" spans="1:4" x14ac:dyDescent="0.2">
      <c r="A1038" s="44" t="s">
        <v>7</v>
      </c>
      <c r="B1038" s="37">
        <v>36908</v>
      </c>
      <c r="C1038" s="7">
        <v>42</v>
      </c>
      <c r="D1038" s="7">
        <v>23</v>
      </c>
    </row>
    <row r="1039" spans="1:4" x14ac:dyDescent="0.2">
      <c r="A1039" s="44" t="s">
        <v>7</v>
      </c>
      <c r="B1039" s="37">
        <v>36909</v>
      </c>
      <c r="C1039" s="7">
        <v>40</v>
      </c>
      <c r="D1039" s="7">
        <v>31</v>
      </c>
    </row>
    <row r="1040" spans="1:4" x14ac:dyDescent="0.2">
      <c r="A1040" s="44" t="s">
        <v>7</v>
      </c>
      <c r="B1040" s="37">
        <v>36910</v>
      </c>
      <c r="C1040" s="7">
        <v>35</v>
      </c>
      <c r="D1040" s="7">
        <v>14</v>
      </c>
    </row>
    <row r="1041" spans="1:4" x14ac:dyDescent="0.2">
      <c r="A1041" s="44" t="s">
        <v>7</v>
      </c>
      <c r="B1041" s="37">
        <v>36911</v>
      </c>
      <c r="C1041" s="7">
        <v>48</v>
      </c>
      <c r="D1041" s="7">
        <v>24</v>
      </c>
    </row>
    <row r="1042" spans="1:4" x14ac:dyDescent="0.2">
      <c r="A1042" s="44" t="s">
        <v>7</v>
      </c>
      <c r="B1042" s="37">
        <v>36912</v>
      </c>
      <c r="C1042" s="7">
        <v>43</v>
      </c>
      <c r="D1042" s="7">
        <v>17</v>
      </c>
    </row>
    <row r="1043" spans="1:4" x14ac:dyDescent="0.2">
      <c r="A1043" s="44" t="s">
        <v>7</v>
      </c>
      <c r="B1043" s="37">
        <v>36913</v>
      </c>
      <c r="C1043" s="7">
        <v>48</v>
      </c>
      <c r="D1043" s="7">
        <v>25</v>
      </c>
    </row>
    <row r="1044" spans="1:4" x14ac:dyDescent="0.2">
      <c r="A1044" s="44" t="s">
        <v>7</v>
      </c>
      <c r="B1044" s="37">
        <v>36914</v>
      </c>
      <c r="C1044" s="7">
        <v>45</v>
      </c>
      <c r="D1044" s="7">
        <v>23</v>
      </c>
    </row>
    <row r="1045" spans="1:4" x14ac:dyDescent="0.2">
      <c r="A1045" s="44" t="s">
        <v>7</v>
      </c>
      <c r="B1045" s="37">
        <v>36915</v>
      </c>
      <c r="C1045" s="7">
        <v>44</v>
      </c>
      <c r="D1045" s="7">
        <v>12</v>
      </c>
    </row>
    <row r="1046" spans="1:4" x14ac:dyDescent="0.2">
      <c r="A1046" s="44" t="s">
        <v>7</v>
      </c>
      <c r="B1046" s="37">
        <v>36916</v>
      </c>
      <c r="C1046" s="7">
        <v>49</v>
      </c>
      <c r="D1046" s="7">
        <v>11</v>
      </c>
    </row>
    <row r="1047" spans="1:4" x14ac:dyDescent="0.2">
      <c r="A1047" s="44" t="s">
        <v>7</v>
      </c>
      <c r="B1047" s="37">
        <v>36917</v>
      </c>
      <c r="C1047" s="7">
        <v>46</v>
      </c>
      <c r="D1047" s="7">
        <v>17</v>
      </c>
    </row>
    <row r="1048" spans="1:4" x14ac:dyDescent="0.2">
      <c r="A1048" s="44" t="s">
        <v>7</v>
      </c>
      <c r="B1048" s="37">
        <v>36918</v>
      </c>
      <c r="C1048" s="7">
        <v>47</v>
      </c>
      <c r="D1048" s="7">
        <v>15</v>
      </c>
    </row>
    <row r="1049" spans="1:4" x14ac:dyDescent="0.2">
      <c r="A1049" s="44" t="s">
        <v>7</v>
      </c>
      <c r="B1049" s="37">
        <v>36919</v>
      </c>
      <c r="C1049" s="7">
        <v>45</v>
      </c>
      <c r="D1049" s="7">
        <v>24</v>
      </c>
    </row>
    <row r="1050" spans="1:4" x14ac:dyDescent="0.2">
      <c r="A1050" s="44" t="s">
        <v>7</v>
      </c>
      <c r="B1050" s="37">
        <v>36920</v>
      </c>
      <c r="C1050" s="7">
        <v>35</v>
      </c>
      <c r="D1050" s="7">
        <v>11</v>
      </c>
    </row>
    <row r="1051" spans="1:4" x14ac:dyDescent="0.2">
      <c r="A1051" s="44" t="s">
        <v>7</v>
      </c>
      <c r="B1051" s="37">
        <v>36921</v>
      </c>
      <c r="C1051" s="7">
        <v>45</v>
      </c>
      <c r="D1051" s="7">
        <v>11</v>
      </c>
    </row>
    <row r="1052" spans="1:4" x14ac:dyDescent="0.2">
      <c r="A1052" s="44" t="s">
        <v>7</v>
      </c>
      <c r="B1052" s="37">
        <v>36922</v>
      </c>
      <c r="C1052" s="7">
        <v>35</v>
      </c>
      <c r="D1052" s="7">
        <v>26</v>
      </c>
    </row>
    <row r="1053" spans="1:4" x14ac:dyDescent="0.2">
      <c r="A1053" s="44" t="s">
        <v>7</v>
      </c>
      <c r="B1053" s="37">
        <v>36923</v>
      </c>
      <c r="C1053" s="7">
        <v>31</v>
      </c>
      <c r="D1053" s="7">
        <v>22</v>
      </c>
    </row>
    <row r="1054" spans="1:4" x14ac:dyDescent="0.2">
      <c r="A1054" s="44" t="s">
        <v>7</v>
      </c>
      <c r="B1054" s="37">
        <v>36924</v>
      </c>
      <c r="C1054" s="7">
        <v>44</v>
      </c>
      <c r="D1054" s="7">
        <v>26</v>
      </c>
    </row>
    <row r="1055" spans="1:4" x14ac:dyDescent="0.2">
      <c r="A1055" s="44" t="s">
        <v>7</v>
      </c>
      <c r="B1055" s="37">
        <v>36925</v>
      </c>
      <c r="C1055" s="7">
        <v>38</v>
      </c>
      <c r="D1055" s="7">
        <v>12</v>
      </c>
    </row>
    <row r="1056" spans="1:4" x14ac:dyDescent="0.2">
      <c r="A1056" s="44" t="s">
        <v>7</v>
      </c>
      <c r="B1056" s="37">
        <v>36926</v>
      </c>
      <c r="C1056" s="7">
        <v>44</v>
      </c>
      <c r="D1056" s="7">
        <v>14</v>
      </c>
    </row>
    <row r="1057" spans="1:4" x14ac:dyDescent="0.2">
      <c r="A1057" s="44" t="s">
        <v>7</v>
      </c>
      <c r="B1057" s="37">
        <v>36927</v>
      </c>
      <c r="C1057" s="7">
        <v>50</v>
      </c>
      <c r="D1057" s="7">
        <v>24</v>
      </c>
    </row>
    <row r="1058" spans="1:4" x14ac:dyDescent="0.2">
      <c r="A1058" s="44" t="s">
        <v>7</v>
      </c>
      <c r="B1058" s="37">
        <v>36928</v>
      </c>
      <c r="C1058" s="7">
        <v>49</v>
      </c>
      <c r="D1058" s="7">
        <v>11</v>
      </c>
    </row>
    <row r="1059" spans="1:4" x14ac:dyDescent="0.2">
      <c r="A1059" s="44" t="s">
        <v>7</v>
      </c>
      <c r="B1059" s="37">
        <v>36929</v>
      </c>
      <c r="C1059" s="7">
        <v>33</v>
      </c>
      <c r="D1059" s="7">
        <v>22</v>
      </c>
    </row>
    <row r="1060" spans="1:4" x14ac:dyDescent="0.2">
      <c r="A1060" s="44" t="s">
        <v>7</v>
      </c>
      <c r="B1060" s="37">
        <v>36930</v>
      </c>
      <c r="C1060" s="7">
        <v>43</v>
      </c>
      <c r="D1060" s="7">
        <v>15</v>
      </c>
    </row>
    <row r="1061" spans="1:4" x14ac:dyDescent="0.2">
      <c r="A1061" s="44" t="s">
        <v>7</v>
      </c>
      <c r="B1061" s="37">
        <v>36931</v>
      </c>
      <c r="C1061" s="7">
        <v>32</v>
      </c>
      <c r="D1061" s="7">
        <v>18</v>
      </c>
    </row>
    <row r="1062" spans="1:4" x14ac:dyDescent="0.2">
      <c r="A1062" s="44" t="s">
        <v>7</v>
      </c>
      <c r="B1062" s="37">
        <v>36932</v>
      </c>
      <c r="C1062" s="7">
        <v>48</v>
      </c>
      <c r="D1062" s="7">
        <v>16</v>
      </c>
    </row>
    <row r="1063" spans="1:4" x14ac:dyDescent="0.2">
      <c r="A1063" s="44" t="s">
        <v>7</v>
      </c>
      <c r="B1063" s="37">
        <v>36933</v>
      </c>
      <c r="C1063" s="7">
        <v>35</v>
      </c>
      <c r="D1063" s="7">
        <v>12</v>
      </c>
    </row>
    <row r="1064" spans="1:4" x14ac:dyDescent="0.2">
      <c r="A1064" s="44" t="s">
        <v>7</v>
      </c>
      <c r="B1064" s="37">
        <v>36934</v>
      </c>
      <c r="C1064" s="7">
        <v>31</v>
      </c>
      <c r="D1064" s="7">
        <v>24</v>
      </c>
    </row>
    <row r="1065" spans="1:4" x14ac:dyDescent="0.2">
      <c r="A1065" s="44" t="s">
        <v>7</v>
      </c>
      <c r="B1065" s="37">
        <v>36935</v>
      </c>
      <c r="C1065" s="7">
        <v>35</v>
      </c>
      <c r="D1065" s="7">
        <v>18</v>
      </c>
    </row>
    <row r="1066" spans="1:4" x14ac:dyDescent="0.2">
      <c r="A1066" s="44" t="s">
        <v>7</v>
      </c>
      <c r="B1066" s="37">
        <v>36936</v>
      </c>
      <c r="C1066" s="7">
        <v>42</v>
      </c>
      <c r="D1066" s="7">
        <v>25</v>
      </c>
    </row>
    <row r="1067" spans="1:4" x14ac:dyDescent="0.2">
      <c r="A1067" s="44" t="s">
        <v>7</v>
      </c>
      <c r="B1067" s="37">
        <v>36937</v>
      </c>
      <c r="C1067" s="7">
        <v>46</v>
      </c>
      <c r="D1067" s="7">
        <v>25</v>
      </c>
    </row>
    <row r="1068" spans="1:4" x14ac:dyDescent="0.2">
      <c r="A1068" s="44" t="s">
        <v>7</v>
      </c>
      <c r="B1068" s="37">
        <v>36938</v>
      </c>
      <c r="C1068" s="7">
        <v>48</v>
      </c>
      <c r="D1068" s="7">
        <v>20</v>
      </c>
    </row>
    <row r="1069" spans="1:4" x14ac:dyDescent="0.2">
      <c r="A1069" s="44" t="s">
        <v>7</v>
      </c>
      <c r="B1069" s="37">
        <v>36939</v>
      </c>
      <c r="C1069" s="7">
        <v>40</v>
      </c>
      <c r="D1069" s="7">
        <v>29</v>
      </c>
    </row>
    <row r="1070" spans="1:4" x14ac:dyDescent="0.2">
      <c r="A1070" s="44" t="s">
        <v>7</v>
      </c>
      <c r="B1070" s="37">
        <v>36940</v>
      </c>
      <c r="C1070" s="7">
        <v>33</v>
      </c>
      <c r="D1070" s="7">
        <v>25</v>
      </c>
    </row>
    <row r="1071" spans="1:4" x14ac:dyDescent="0.2">
      <c r="A1071" s="44" t="s">
        <v>7</v>
      </c>
      <c r="B1071" s="37">
        <v>36941</v>
      </c>
      <c r="C1071" s="7">
        <v>37</v>
      </c>
      <c r="D1071" s="7">
        <v>32</v>
      </c>
    </row>
    <row r="1072" spans="1:4" x14ac:dyDescent="0.2">
      <c r="A1072" s="44" t="s">
        <v>7</v>
      </c>
      <c r="B1072" s="37">
        <v>36942</v>
      </c>
      <c r="C1072" s="7">
        <v>31</v>
      </c>
      <c r="D1072" s="7">
        <v>29</v>
      </c>
    </row>
    <row r="1073" spans="1:4" x14ac:dyDescent="0.2">
      <c r="A1073" s="44" t="s">
        <v>7</v>
      </c>
      <c r="B1073" s="37">
        <v>36943</v>
      </c>
      <c r="C1073" s="7">
        <v>43</v>
      </c>
      <c r="D1073" s="7">
        <v>28</v>
      </c>
    </row>
    <row r="1074" spans="1:4" x14ac:dyDescent="0.2">
      <c r="A1074" s="44" t="s">
        <v>7</v>
      </c>
      <c r="B1074" s="37">
        <v>36944</v>
      </c>
      <c r="C1074" s="7">
        <v>33</v>
      </c>
      <c r="D1074" s="7">
        <v>20</v>
      </c>
    </row>
    <row r="1075" spans="1:4" x14ac:dyDescent="0.2">
      <c r="A1075" s="44" t="s">
        <v>7</v>
      </c>
      <c r="B1075" s="37">
        <v>36945</v>
      </c>
      <c r="C1075" s="7">
        <v>30</v>
      </c>
      <c r="D1075" s="7">
        <v>20</v>
      </c>
    </row>
    <row r="1076" spans="1:4" x14ac:dyDescent="0.2">
      <c r="A1076" s="44" t="s">
        <v>7</v>
      </c>
      <c r="B1076" s="37">
        <v>36946</v>
      </c>
      <c r="C1076" s="7">
        <v>33</v>
      </c>
      <c r="D1076" s="7">
        <v>13</v>
      </c>
    </row>
    <row r="1077" spans="1:4" x14ac:dyDescent="0.2">
      <c r="A1077" s="44" t="s">
        <v>7</v>
      </c>
      <c r="B1077" s="37">
        <v>36947</v>
      </c>
      <c r="C1077" s="7">
        <v>48</v>
      </c>
      <c r="D1077" s="7">
        <v>10</v>
      </c>
    </row>
    <row r="1078" spans="1:4" x14ac:dyDescent="0.2">
      <c r="A1078" s="44" t="s">
        <v>7</v>
      </c>
      <c r="B1078" s="37">
        <v>36948</v>
      </c>
      <c r="C1078" s="7">
        <v>38</v>
      </c>
      <c r="D1078" s="7">
        <v>22</v>
      </c>
    </row>
    <row r="1079" spans="1:4" x14ac:dyDescent="0.2">
      <c r="A1079" s="44" t="s">
        <v>7</v>
      </c>
      <c r="B1079" s="37">
        <v>36949</v>
      </c>
      <c r="C1079" s="7">
        <v>45</v>
      </c>
      <c r="D1079" s="7">
        <v>27</v>
      </c>
    </row>
    <row r="1080" spans="1:4" x14ac:dyDescent="0.2">
      <c r="A1080" s="44" t="s">
        <v>7</v>
      </c>
      <c r="B1080" s="37">
        <v>36950</v>
      </c>
      <c r="C1080" s="7">
        <v>33</v>
      </c>
      <c r="D1080" s="7">
        <v>18</v>
      </c>
    </row>
    <row r="1081" spans="1:4" x14ac:dyDescent="0.2">
      <c r="A1081" s="44" t="s">
        <v>7</v>
      </c>
      <c r="B1081" s="37">
        <v>36951</v>
      </c>
      <c r="C1081" s="7">
        <v>39</v>
      </c>
      <c r="D1081" s="7">
        <v>18</v>
      </c>
    </row>
    <row r="1082" spans="1:4" x14ac:dyDescent="0.2">
      <c r="A1082" s="44" t="s">
        <v>7</v>
      </c>
      <c r="B1082" s="37">
        <v>36952</v>
      </c>
      <c r="C1082" s="7">
        <v>30</v>
      </c>
      <c r="D1082" s="7">
        <v>22</v>
      </c>
    </row>
    <row r="1083" spans="1:4" x14ac:dyDescent="0.2">
      <c r="A1083" s="44" t="s">
        <v>7</v>
      </c>
      <c r="B1083" s="37">
        <v>36953</v>
      </c>
      <c r="C1083" s="7">
        <v>40</v>
      </c>
      <c r="D1083" s="7">
        <v>20</v>
      </c>
    </row>
    <row r="1084" spans="1:4" x14ac:dyDescent="0.2">
      <c r="A1084" s="44" t="s">
        <v>7</v>
      </c>
      <c r="B1084" s="37">
        <v>36954</v>
      </c>
      <c r="C1084" s="7">
        <v>30</v>
      </c>
      <c r="D1084" s="7">
        <v>27</v>
      </c>
    </row>
    <row r="1085" spans="1:4" x14ac:dyDescent="0.2">
      <c r="A1085" s="44" t="s">
        <v>7</v>
      </c>
      <c r="B1085" s="37">
        <v>36955</v>
      </c>
      <c r="C1085" s="7">
        <v>32</v>
      </c>
      <c r="D1085" s="7">
        <v>13</v>
      </c>
    </row>
    <row r="1086" spans="1:4" x14ac:dyDescent="0.2">
      <c r="A1086" s="44" t="s">
        <v>7</v>
      </c>
      <c r="B1086" s="37">
        <v>36956</v>
      </c>
      <c r="C1086" s="7">
        <v>36</v>
      </c>
      <c r="D1086" s="7">
        <v>13</v>
      </c>
    </row>
    <row r="1087" spans="1:4" x14ac:dyDescent="0.2">
      <c r="A1087" s="44" t="s">
        <v>7</v>
      </c>
      <c r="B1087" s="37">
        <v>36957</v>
      </c>
      <c r="C1087" s="7">
        <v>32</v>
      </c>
      <c r="D1087" s="7">
        <v>15</v>
      </c>
    </row>
    <row r="1088" spans="1:4" x14ac:dyDescent="0.2">
      <c r="A1088" s="44" t="s">
        <v>7</v>
      </c>
      <c r="B1088" s="37">
        <v>36958</v>
      </c>
      <c r="C1088" s="7">
        <v>46</v>
      </c>
      <c r="D1088" s="7">
        <v>19</v>
      </c>
    </row>
    <row r="1089" spans="1:4" x14ac:dyDescent="0.2">
      <c r="A1089" s="44" t="s">
        <v>7</v>
      </c>
      <c r="B1089" s="37">
        <v>36959</v>
      </c>
      <c r="C1089" s="7">
        <v>45</v>
      </c>
      <c r="D1089" s="7">
        <v>13</v>
      </c>
    </row>
    <row r="1090" spans="1:4" x14ac:dyDescent="0.2">
      <c r="A1090" s="44" t="s">
        <v>7</v>
      </c>
      <c r="B1090" s="37">
        <v>36960</v>
      </c>
      <c r="C1090" s="7">
        <v>48</v>
      </c>
      <c r="D1090" s="7">
        <v>13</v>
      </c>
    </row>
    <row r="1091" spans="1:4" x14ac:dyDescent="0.2">
      <c r="A1091" s="44" t="s">
        <v>7</v>
      </c>
      <c r="B1091" s="37">
        <v>36961</v>
      </c>
      <c r="C1091" s="7">
        <v>50</v>
      </c>
      <c r="D1091" s="7">
        <v>13</v>
      </c>
    </row>
    <row r="1092" spans="1:4" x14ac:dyDescent="0.2">
      <c r="A1092" s="44" t="s">
        <v>7</v>
      </c>
      <c r="B1092" s="37">
        <v>36962</v>
      </c>
      <c r="C1092" s="7">
        <v>44</v>
      </c>
      <c r="D1092" s="7">
        <v>28</v>
      </c>
    </row>
    <row r="1093" spans="1:4" x14ac:dyDescent="0.2">
      <c r="A1093" s="44" t="s">
        <v>7</v>
      </c>
      <c r="B1093" s="37">
        <v>36963</v>
      </c>
      <c r="C1093" s="7">
        <v>35</v>
      </c>
      <c r="D1093" s="7">
        <v>20</v>
      </c>
    </row>
    <row r="1094" spans="1:4" x14ac:dyDescent="0.2">
      <c r="A1094" s="44" t="s">
        <v>7</v>
      </c>
      <c r="B1094" s="37">
        <v>36964</v>
      </c>
      <c r="C1094" s="7">
        <v>46</v>
      </c>
      <c r="D1094" s="7">
        <v>32</v>
      </c>
    </row>
    <row r="1095" spans="1:4" x14ac:dyDescent="0.2">
      <c r="A1095" s="44" t="s">
        <v>7</v>
      </c>
      <c r="B1095" s="37">
        <v>36965</v>
      </c>
      <c r="C1095" s="7">
        <v>41</v>
      </c>
      <c r="D1095" s="7">
        <v>12</v>
      </c>
    </row>
    <row r="1096" spans="1:4" x14ac:dyDescent="0.2">
      <c r="A1096" s="44" t="s">
        <v>7</v>
      </c>
      <c r="B1096" s="37">
        <v>36966</v>
      </c>
      <c r="C1096" s="7">
        <v>49</v>
      </c>
      <c r="D1096" s="7">
        <v>11</v>
      </c>
    </row>
    <row r="1097" spans="1:4" x14ac:dyDescent="0.2">
      <c r="A1097" s="44" t="s">
        <v>7</v>
      </c>
      <c r="B1097" s="37">
        <v>36967</v>
      </c>
      <c r="C1097" s="7">
        <v>50</v>
      </c>
      <c r="D1097" s="7">
        <v>10</v>
      </c>
    </row>
    <row r="1098" spans="1:4" x14ac:dyDescent="0.2">
      <c r="A1098" s="44" t="s">
        <v>7</v>
      </c>
      <c r="B1098" s="37">
        <v>36968</v>
      </c>
      <c r="C1098" s="7">
        <v>45</v>
      </c>
      <c r="D1098" s="7">
        <v>10</v>
      </c>
    </row>
    <row r="1099" spans="1:4" x14ac:dyDescent="0.2">
      <c r="A1099" s="44" t="s">
        <v>7</v>
      </c>
      <c r="B1099" s="37">
        <v>36969</v>
      </c>
      <c r="C1099" s="7">
        <v>40</v>
      </c>
      <c r="D1099" s="7">
        <v>12</v>
      </c>
    </row>
    <row r="1100" spans="1:4" x14ac:dyDescent="0.2">
      <c r="A1100" s="44" t="s">
        <v>7</v>
      </c>
      <c r="B1100" s="37">
        <v>36970</v>
      </c>
      <c r="C1100" s="7">
        <v>46</v>
      </c>
      <c r="D1100" s="7">
        <v>17</v>
      </c>
    </row>
    <row r="1101" spans="1:4" x14ac:dyDescent="0.2">
      <c r="A1101" s="44" t="s">
        <v>7</v>
      </c>
      <c r="B1101" s="37">
        <v>36971</v>
      </c>
      <c r="C1101" s="7">
        <v>39</v>
      </c>
      <c r="D1101" s="7">
        <v>16</v>
      </c>
    </row>
    <row r="1102" spans="1:4" x14ac:dyDescent="0.2">
      <c r="A1102" s="44" t="s">
        <v>7</v>
      </c>
      <c r="B1102" s="37">
        <v>36972</v>
      </c>
      <c r="C1102" s="7">
        <v>43</v>
      </c>
      <c r="D1102" s="7">
        <v>11</v>
      </c>
    </row>
    <row r="1103" spans="1:4" x14ac:dyDescent="0.2">
      <c r="A1103" s="44" t="s">
        <v>7</v>
      </c>
      <c r="B1103" s="37">
        <v>36973</v>
      </c>
      <c r="C1103" s="7">
        <v>31</v>
      </c>
      <c r="D1103" s="7">
        <v>28</v>
      </c>
    </row>
    <row r="1104" spans="1:4" x14ac:dyDescent="0.2">
      <c r="A1104" s="44" t="s">
        <v>7</v>
      </c>
      <c r="B1104" s="37">
        <v>36974</v>
      </c>
      <c r="C1104" s="7">
        <v>40</v>
      </c>
      <c r="D1104" s="7">
        <v>20</v>
      </c>
    </row>
    <row r="1105" spans="1:4" x14ac:dyDescent="0.2">
      <c r="A1105" s="44" t="s">
        <v>7</v>
      </c>
      <c r="B1105" s="37">
        <v>36975</v>
      </c>
      <c r="C1105" s="7">
        <v>45</v>
      </c>
      <c r="D1105" s="7">
        <v>28</v>
      </c>
    </row>
    <row r="1106" spans="1:4" x14ac:dyDescent="0.2">
      <c r="A1106" s="44" t="s">
        <v>7</v>
      </c>
      <c r="B1106" s="37">
        <v>36976</v>
      </c>
      <c r="C1106" s="7">
        <v>40</v>
      </c>
      <c r="D1106" s="7">
        <v>10</v>
      </c>
    </row>
    <row r="1107" spans="1:4" x14ac:dyDescent="0.2">
      <c r="A1107" s="44" t="s">
        <v>7</v>
      </c>
      <c r="B1107" s="37">
        <v>36977</v>
      </c>
      <c r="C1107" s="7">
        <v>41</v>
      </c>
      <c r="D1107" s="7">
        <v>18</v>
      </c>
    </row>
    <row r="1108" spans="1:4" x14ac:dyDescent="0.2">
      <c r="A1108" s="44" t="s">
        <v>7</v>
      </c>
      <c r="B1108" s="37">
        <v>36978</v>
      </c>
      <c r="C1108" s="7">
        <v>40</v>
      </c>
      <c r="D1108" s="7">
        <v>20</v>
      </c>
    </row>
    <row r="1109" spans="1:4" x14ac:dyDescent="0.2">
      <c r="A1109" s="44" t="s">
        <v>7</v>
      </c>
      <c r="B1109" s="37">
        <v>36979</v>
      </c>
      <c r="C1109" s="7">
        <v>31</v>
      </c>
      <c r="D1109" s="7">
        <v>27</v>
      </c>
    </row>
    <row r="1110" spans="1:4" x14ac:dyDescent="0.2">
      <c r="A1110" s="44" t="s">
        <v>7</v>
      </c>
      <c r="B1110" s="37">
        <v>36980</v>
      </c>
      <c r="C1110" s="7">
        <v>34</v>
      </c>
      <c r="D1110" s="7">
        <v>32</v>
      </c>
    </row>
    <row r="1111" spans="1:4" x14ac:dyDescent="0.2">
      <c r="A1111" s="44" t="s">
        <v>7</v>
      </c>
      <c r="B1111" s="37">
        <v>36981</v>
      </c>
      <c r="C1111" s="7">
        <v>38</v>
      </c>
      <c r="D1111" s="7">
        <v>24</v>
      </c>
    </row>
    <row r="1112" spans="1:4" x14ac:dyDescent="0.2">
      <c r="A1112" s="44" t="s">
        <v>7</v>
      </c>
      <c r="B1112" s="37">
        <v>36982</v>
      </c>
      <c r="C1112" s="7">
        <v>44</v>
      </c>
      <c r="D1112" s="7">
        <v>15</v>
      </c>
    </row>
    <row r="1113" spans="1:4" x14ac:dyDescent="0.2">
      <c r="A1113" s="44" t="s">
        <v>7</v>
      </c>
      <c r="B1113" s="37">
        <v>36983</v>
      </c>
      <c r="C1113" s="7">
        <v>42</v>
      </c>
      <c r="D1113" s="7">
        <v>29</v>
      </c>
    </row>
    <row r="1114" spans="1:4" x14ac:dyDescent="0.2">
      <c r="A1114" s="44" t="s">
        <v>7</v>
      </c>
      <c r="B1114" s="37">
        <v>36984</v>
      </c>
      <c r="C1114" s="7">
        <v>48</v>
      </c>
      <c r="D1114" s="7">
        <v>18</v>
      </c>
    </row>
    <row r="1115" spans="1:4" x14ac:dyDescent="0.2">
      <c r="A1115" s="44" t="s">
        <v>7</v>
      </c>
      <c r="B1115" s="37">
        <v>36985</v>
      </c>
      <c r="C1115" s="7">
        <v>38</v>
      </c>
      <c r="D1115" s="7">
        <v>30</v>
      </c>
    </row>
    <row r="1116" spans="1:4" x14ac:dyDescent="0.2">
      <c r="A1116" s="44" t="s">
        <v>7</v>
      </c>
      <c r="B1116" s="37">
        <v>36986</v>
      </c>
      <c r="C1116" s="7">
        <v>37</v>
      </c>
      <c r="D1116" s="7">
        <v>15</v>
      </c>
    </row>
    <row r="1117" spans="1:4" x14ac:dyDescent="0.2">
      <c r="A1117" s="44" t="s">
        <v>7</v>
      </c>
      <c r="B1117" s="37">
        <v>36987</v>
      </c>
      <c r="C1117" s="7">
        <v>38</v>
      </c>
      <c r="D1117" s="7">
        <v>25</v>
      </c>
    </row>
    <row r="1118" spans="1:4" x14ac:dyDescent="0.2">
      <c r="A1118" s="44" t="s">
        <v>7</v>
      </c>
      <c r="B1118" s="37">
        <v>36988</v>
      </c>
      <c r="C1118" s="7">
        <v>40</v>
      </c>
      <c r="D1118" s="7">
        <v>20</v>
      </c>
    </row>
    <row r="1119" spans="1:4" x14ac:dyDescent="0.2">
      <c r="A1119" s="44" t="s">
        <v>7</v>
      </c>
      <c r="B1119" s="37">
        <v>36989</v>
      </c>
      <c r="C1119" s="7">
        <v>30</v>
      </c>
      <c r="D1119" s="7">
        <v>19</v>
      </c>
    </row>
    <row r="1120" spans="1:4" x14ac:dyDescent="0.2">
      <c r="A1120" s="44" t="s">
        <v>7</v>
      </c>
      <c r="B1120" s="37">
        <v>36990</v>
      </c>
      <c r="C1120" s="7">
        <v>48</v>
      </c>
      <c r="D1120" s="7">
        <v>10</v>
      </c>
    </row>
    <row r="1121" spans="1:4" x14ac:dyDescent="0.2">
      <c r="A1121" s="44" t="s">
        <v>7</v>
      </c>
      <c r="B1121" s="37">
        <v>36991</v>
      </c>
      <c r="C1121" s="7">
        <v>42</v>
      </c>
      <c r="D1121" s="7">
        <v>30</v>
      </c>
    </row>
    <row r="1122" spans="1:4" x14ac:dyDescent="0.2">
      <c r="A1122" s="44" t="s">
        <v>7</v>
      </c>
      <c r="B1122" s="37">
        <v>36992</v>
      </c>
      <c r="C1122" s="7">
        <v>48</v>
      </c>
      <c r="D1122" s="7">
        <v>18</v>
      </c>
    </row>
    <row r="1123" spans="1:4" x14ac:dyDescent="0.2">
      <c r="A1123" s="44" t="s">
        <v>7</v>
      </c>
      <c r="B1123" s="37">
        <v>36993</v>
      </c>
      <c r="C1123" s="7">
        <v>48</v>
      </c>
      <c r="D1123" s="7">
        <v>25</v>
      </c>
    </row>
    <row r="1124" spans="1:4" x14ac:dyDescent="0.2">
      <c r="A1124" s="44" t="s">
        <v>7</v>
      </c>
      <c r="B1124" s="37">
        <v>36994</v>
      </c>
      <c r="C1124" s="7">
        <v>41</v>
      </c>
      <c r="D1124" s="7">
        <v>20</v>
      </c>
    </row>
    <row r="1125" spans="1:4" x14ac:dyDescent="0.2">
      <c r="A1125" s="44" t="s">
        <v>7</v>
      </c>
      <c r="B1125" s="37">
        <v>36995</v>
      </c>
      <c r="C1125" s="7">
        <v>35</v>
      </c>
      <c r="D1125" s="7">
        <v>21</v>
      </c>
    </row>
    <row r="1126" spans="1:4" x14ac:dyDescent="0.2">
      <c r="A1126" s="44" t="s">
        <v>7</v>
      </c>
      <c r="B1126" s="37">
        <v>36996</v>
      </c>
      <c r="C1126" s="7">
        <v>32</v>
      </c>
      <c r="D1126" s="7">
        <v>29</v>
      </c>
    </row>
    <row r="1127" spans="1:4" x14ac:dyDescent="0.2">
      <c r="A1127" s="44" t="s">
        <v>7</v>
      </c>
      <c r="B1127" s="37">
        <v>36997</v>
      </c>
      <c r="C1127" s="7">
        <v>32</v>
      </c>
      <c r="D1127" s="7">
        <v>19</v>
      </c>
    </row>
    <row r="1128" spans="1:4" x14ac:dyDescent="0.2">
      <c r="A1128" s="44" t="s">
        <v>7</v>
      </c>
      <c r="B1128" s="37">
        <v>36998</v>
      </c>
      <c r="C1128" s="7">
        <v>45</v>
      </c>
      <c r="D1128" s="7">
        <v>14</v>
      </c>
    </row>
    <row r="1129" spans="1:4" x14ac:dyDescent="0.2">
      <c r="A1129" s="44" t="s">
        <v>7</v>
      </c>
      <c r="B1129" s="37">
        <v>36999</v>
      </c>
      <c r="C1129" s="7">
        <v>37</v>
      </c>
      <c r="D1129" s="7">
        <v>21</v>
      </c>
    </row>
    <row r="1130" spans="1:4" x14ac:dyDescent="0.2">
      <c r="A1130" s="44" t="s">
        <v>7</v>
      </c>
      <c r="B1130" s="37">
        <v>37000</v>
      </c>
      <c r="C1130" s="7">
        <v>44</v>
      </c>
      <c r="D1130" s="7">
        <v>14</v>
      </c>
    </row>
    <row r="1131" spans="1:4" x14ac:dyDescent="0.2">
      <c r="A1131" s="44" t="s">
        <v>7</v>
      </c>
      <c r="B1131" s="37">
        <v>37001</v>
      </c>
      <c r="C1131" s="7">
        <v>32</v>
      </c>
      <c r="D1131" s="7">
        <v>20</v>
      </c>
    </row>
    <row r="1132" spans="1:4" x14ac:dyDescent="0.2">
      <c r="A1132" s="44" t="s">
        <v>7</v>
      </c>
      <c r="B1132" s="37">
        <v>37002</v>
      </c>
      <c r="C1132" s="7">
        <v>37</v>
      </c>
      <c r="D1132" s="7">
        <v>20</v>
      </c>
    </row>
    <row r="1133" spans="1:4" x14ac:dyDescent="0.2">
      <c r="A1133" s="44" t="s">
        <v>7</v>
      </c>
      <c r="B1133" s="37">
        <v>37003</v>
      </c>
      <c r="C1133" s="7">
        <v>33</v>
      </c>
      <c r="D1133" s="7">
        <v>20</v>
      </c>
    </row>
    <row r="1134" spans="1:4" x14ac:dyDescent="0.2">
      <c r="A1134" s="44" t="s">
        <v>7</v>
      </c>
      <c r="B1134" s="37">
        <v>37004</v>
      </c>
      <c r="C1134" s="7">
        <v>45</v>
      </c>
      <c r="D1134" s="7">
        <v>26</v>
      </c>
    </row>
    <row r="1135" spans="1:4" x14ac:dyDescent="0.2">
      <c r="A1135" s="44" t="s">
        <v>7</v>
      </c>
      <c r="B1135" s="37">
        <v>37005</v>
      </c>
      <c r="C1135" s="7">
        <v>50</v>
      </c>
      <c r="D1135" s="7">
        <v>20</v>
      </c>
    </row>
    <row r="1136" spans="1:4" x14ac:dyDescent="0.2">
      <c r="A1136" s="44" t="s">
        <v>7</v>
      </c>
      <c r="B1136" s="37">
        <v>37006</v>
      </c>
      <c r="C1136" s="7">
        <v>46</v>
      </c>
      <c r="D1136" s="7">
        <v>32</v>
      </c>
    </row>
    <row r="1137" spans="1:4" x14ac:dyDescent="0.2">
      <c r="A1137" s="44" t="s">
        <v>7</v>
      </c>
      <c r="B1137" s="37">
        <v>37007</v>
      </c>
      <c r="C1137" s="7">
        <v>49</v>
      </c>
      <c r="D1137" s="7">
        <v>28</v>
      </c>
    </row>
    <row r="1138" spans="1:4" x14ac:dyDescent="0.2">
      <c r="A1138" s="44" t="s">
        <v>7</v>
      </c>
      <c r="B1138" s="37">
        <v>37008</v>
      </c>
      <c r="C1138" s="7">
        <v>38</v>
      </c>
      <c r="D1138" s="7">
        <v>30</v>
      </c>
    </row>
    <row r="1139" spans="1:4" x14ac:dyDescent="0.2">
      <c r="A1139" s="44" t="s">
        <v>7</v>
      </c>
      <c r="B1139" s="37">
        <v>37009</v>
      </c>
      <c r="C1139" s="7">
        <v>41</v>
      </c>
      <c r="D1139" s="7">
        <v>26</v>
      </c>
    </row>
    <row r="1140" spans="1:4" x14ac:dyDescent="0.2">
      <c r="A1140" s="44" t="s">
        <v>7</v>
      </c>
      <c r="B1140" s="37">
        <v>37010</v>
      </c>
      <c r="C1140" s="7">
        <v>45</v>
      </c>
      <c r="D1140" s="7">
        <v>21</v>
      </c>
    </row>
    <row r="1141" spans="1:4" x14ac:dyDescent="0.2">
      <c r="A1141" s="44" t="s">
        <v>7</v>
      </c>
      <c r="B1141" s="37">
        <v>37011</v>
      </c>
      <c r="C1141" s="7">
        <v>39</v>
      </c>
      <c r="D1141" s="7">
        <v>28</v>
      </c>
    </row>
    <row r="1142" spans="1:4" x14ac:dyDescent="0.2">
      <c r="A1142" s="44" t="s">
        <v>7</v>
      </c>
      <c r="B1142" s="37">
        <v>37012</v>
      </c>
      <c r="C1142" s="7">
        <v>49</v>
      </c>
      <c r="D1142" s="7">
        <v>16</v>
      </c>
    </row>
    <row r="1143" spans="1:4" x14ac:dyDescent="0.2">
      <c r="A1143" s="44" t="s">
        <v>7</v>
      </c>
      <c r="B1143" s="37">
        <v>37013</v>
      </c>
      <c r="C1143" s="7">
        <v>31</v>
      </c>
      <c r="D1143" s="7">
        <v>16</v>
      </c>
    </row>
    <row r="1144" spans="1:4" x14ac:dyDescent="0.2">
      <c r="A1144" s="44" t="s">
        <v>7</v>
      </c>
      <c r="B1144" s="37">
        <v>37014</v>
      </c>
      <c r="C1144" s="7">
        <v>30</v>
      </c>
      <c r="D1144" s="7">
        <v>12</v>
      </c>
    </row>
    <row r="1145" spans="1:4" x14ac:dyDescent="0.2">
      <c r="A1145" s="44" t="s">
        <v>7</v>
      </c>
      <c r="B1145" s="37">
        <v>37015</v>
      </c>
      <c r="C1145" s="7">
        <v>34</v>
      </c>
      <c r="D1145" s="7">
        <v>27</v>
      </c>
    </row>
    <row r="1146" spans="1:4" x14ac:dyDescent="0.2">
      <c r="A1146" s="44" t="s">
        <v>7</v>
      </c>
      <c r="B1146" s="37">
        <v>37016</v>
      </c>
      <c r="C1146" s="7">
        <v>45</v>
      </c>
      <c r="D1146" s="7">
        <v>10</v>
      </c>
    </row>
    <row r="1147" spans="1:4" x14ac:dyDescent="0.2">
      <c r="A1147" s="44" t="s">
        <v>7</v>
      </c>
      <c r="B1147" s="37">
        <v>37017</v>
      </c>
      <c r="C1147" s="7">
        <v>34</v>
      </c>
      <c r="D1147" s="7">
        <v>28</v>
      </c>
    </row>
    <row r="1148" spans="1:4" x14ac:dyDescent="0.2">
      <c r="A1148" s="44" t="s">
        <v>7</v>
      </c>
      <c r="B1148" s="37">
        <v>37018</v>
      </c>
      <c r="C1148" s="7">
        <v>41</v>
      </c>
      <c r="D1148" s="7">
        <v>13</v>
      </c>
    </row>
    <row r="1149" spans="1:4" x14ac:dyDescent="0.2">
      <c r="A1149" s="44" t="s">
        <v>7</v>
      </c>
      <c r="B1149" s="37">
        <v>37019</v>
      </c>
      <c r="C1149" s="7">
        <v>49</v>
      </c>
      <c r="D1149" s="7">
        <v>20</v>
      </c>
    </row>
    <row r="1150" spans="1:4" x14ac:dyDescent="0.2">
      <c r="A1150" s="44" t="s">
        <v>7</v>
      </c>
      <c r="B1150" s="37">
        <v>37020</v>
      </c>
      <c r="C1150" s="7">
        <v>38</v>
      </c>
      <c r="D1150" s="7">
        <v>32</v>
      </c>
    </row>
    <row r="1151" spans="1:4" x14ac:dyDescent="0.2">
      <c r="A1151" s="44" t="s">
        <v>7</v>
      </c>
      <c r="B1151" s="37">
        <v>37021</v>
      </c>
      <c r="C1151" s="7">
        <v>39</v>
      </c>
      <c r="D1151" s="7">
        <v>18</v>
      </c>
    </row>
    <row r="1152" spans="1:4" x14ac:dyDescent="0.2">
      <c r="A1152" s="44" t="s">
        <v>7</v>
      </c>
      <c r="B1152" s="37">
        <v>37022</v>
      </c>
      <c r="C1152" s="7">
        <v>43</v>
      </c>
      <c r="D1152" s="7">
        <v>25</v>
      </c>
    </row>
    <row r="1153" spans="1:4" x14ac:dyDescent="0.2">
      <c r="A1153" s="44" t="s">
        <v>7</v>
      </c>
      <c r="B1153" s="37">
        <v>37023</v>
      </c>
      <c r="C1153" s="7">
        <v>41</v>
      </c>
      <c r="D1153" s="7">
        <v>16</v>
      </c>
    </row>
    <row r="1154" spans="1:4" x14ac:dyDescent="0.2">
      <c r="A1154" s="44" t="s">
        <v>7</v>
      </c>
      <c r="B1154" s="37">
        <v>37024</v>
      </c>
      <c r="C1154" s="7">
        <v>38</v>
      </c>
      <c r="D1154" s="7">
        <v>24</v>
      </c>
    </row>
    <row r="1155" spans="1:4" x14ac:dyDescent="0.2">
      <c r="A1155" s="44" t="s">
        <v>7</v>
      </c>
      <c r="B1155" s="37">
        <v>37025</v>
      </c>
      <c r="C1155" s="7">
        <v>36</v>
      </c>
      <c r="D1155" s="7">
        <v>32</v>
      </c>
    </row>
    <row r="1156" spans="1:4" x14ac:dyDescent="0.2">
      <c r="A1156" s="44" t="s">
        <v>7</v>
      </c>
      <c r="B1156" s="37">
        <v>37026</v>
      </c>
      <c r="C1156" s="7">
        <v>38</v>
      </c>
      <c r="D1156" s="7">
        <v>12</v>
      </c>
    </row>
    <row r="1157" spans="1:4" x14ac:dyDescent="0.2">
      <c r="A1157" s="44" t="s">
        <v>7</v>
      </c>
      <c r="B1157" s="37">
        <v>37027</v>
      </c>
      <c r="C1157" s="7">
        <v>45</v>
      </c>
      <c r="D1157" s="7">
        <v>22</v>
      </c>
    </row>
    <row r="1158" spans="1:4" x14ac:dyDescent="0.2">
      <c r="A1158" s="44" t="s">
        <v>7</v>
      </c>
      <c r="B1158" s="37">
        <v>37028</v>
      </c>
      <c r="C1158" s="7">
        <v>46</v>
      </c>
      <c r="D1158" s="7">
        <v>15</v>
      </c>
    </row>
    <row r="1159" spans="1:4" x14ac:dyDescent="0.2">
      <c r="A1159" s="44" t="s">
        <v>7</v>
      </c>
      <c r="B1159" s="37">
        <v>37029</v>
      </c>
      <c r="C1159" s="7">
        <v>36</v>
      </c>
      <c r="D1159" s="7">
        <v>32</v>
      </c>
    </row>
    <row r="1160" spans="1:4" x14ac:dyDescent="0.2">
      <c r="A1160" s="44" t="s">
        <v>7</v>
      </c>
      <c r="B1160" s="37">
        <v>37030</v>
      </c>
      <c r="C1160" s="7">
        <v>33</v>
      </c>
      <c r="D1160" s="7">
        <v>28</v>
      </c>
    </row>
    <row r="1161" spans="1:4" x14ac:dyDescent="0.2">
      <c r="A1161" s="44" t="s">
        <v>7</v>
      </c>
      <c r="B1161" s="37">
        <v>37031</v>
      </c>
      <c r="C1161" s="7">
        <v>37</v>
      </c>
      <c r="D1161" s="7">
        <v>24</v>
      </c>
    </row>
    <row r="1162" spans="1:4" x14ac:dyDescent="0.2">
      <c r="A1162" s="44" t="s">
        <v>7</v>
      </c>
      <c r="B1162" s="37">
        <v>37032</v>
      </c>
      <c r="C1162" s="7">
        <v>50</v>
      </c>
      <c r="D1162" s="7">
        <v>30</v>
      </c>
    </row>
    <row r="1163" spans="1:4" x14ac:dyDescent="0.2">
      <c r="A1163" s="44" t="s">
        <v>7</v>
      </c>
      <c r="B1163" s="37">
        <v>37033</v>
      </c>
      <c r="C1163" s="7">
        <v>46</v>
      </c>
      <c r="D1163" s="7">
        <v>28</v>
      </c>
    </row>
    <row r="1164" spans="1:4" x14ac:dyDescent="0.2">
      <c r="A1164" s="44" t="s">
        <v>7</v>
      </c>
      <c r="B1164" s="37">
        <v>37034</v>
      </c>
      <c r="C1164" s="7">
        <v>44</v>
      </c>
      <c r="D1164" s="7">
        <v>22</v>
      </c>
    </row>
    <row r="1165" spans="1:4" x14ac:dyDescent="0.2">
      <c r="A1165" s="44" t="s">
        <v>7</v>
      </c>
      <c r="B1165" s="37">
        <v>37035</v>
      </c>
      <c r="C1165" s="7">
        <v>30</v>
      </c>
      <c r="D1165" s="7">
        <v>14</v>
      </c>
    </row>
    <row r="1166" spans="1:4" x14ac:dyDescent="0.2">
      <c r="A1166" s="44" t="s">
        <v>7</v>
      </c>
      <c r="B1166" s="37">
        <v>37036</v>
      </c>
      <c r="C1166" s="7">
        <v>46</v>
      </c>
      <c r="D1166" s="7">
        <v>26</v>
      </c>
    </row>
    <row r="1167" spans="1:4" x14ac:dyDescent="0.2">
      <c r="A1167" s="44" t="s">
        <v>7</v>
      </c>
      <c r="B1167" s="37">
        <v>37037</v>
      </c>
      <c r="C1167" s="7">
        <v>41</v>
      </c>
      <c r="D1167" s="7">
        <v>17</v>
      </c>
    </row>
    <row r="1168" spans="1:4" x14ac:dyDescent="0.2">
      <c r="A1168" s="44" t="s">
        <v>7</v>
      </c>
      <c r="B1168" s="37">
        <v>37038</v>
      </c>
      <c r="C1168" s="7">
        <v>36</v>
      </c>
      <c r="D1168" s="7">
        <v>24</v>
      </c>
    </row>
    <row r="1169" spans="1:4" x14ac:dyDescent="0.2">
      <c r="A1169" s="44" t="s">
        <v>7</v>
      </c>
      <c r="B1169" s="37">
        <v>37039</v>
      </c>
      <c r="C1169" s="7">
        <v>40</v>
      </c>
      <c r="D1169" s="7">
        <v>30</v>
      </c>
    </row>
    <row r="1170" spans="1:4" x14ac:dyDescent="0.2">
      <c r="A1170" s="44" t="s">
        <v>7</v>
      </c>
      <c r="B1170" s="37">
        <v>37040</v>
      </c>
      <c r="C1170" s="7">
        <v>49</v>
      </c>
      <c r="D1170" s="7">
        <v>24</v>
      </c>
    </row>
    <row r="1171" spans="1:4" x14ac:dyDescent="0.2">
      <c r="A1171" s="44" t="s">
        <v>7</v>
      </c>
      <c r="B1171" s="37">
        <v>37041</v>
      </c>
      <c r="C1171" s="7">
        <v>32</v>
      </c>
      <c r="D1171" s="7">
        <v>31</v>
      </c>
    </row>
    <row r="1172" spans="1:4" x14ac:dyDescent="0.2">
      <c r="A1172" s="44" t="s">
        <v>7</v>
      </c>
      <c r="B1172" s="37">
        <v>37042</v>
      </c>
      <c r="C1172" s="7">
        <v>43</v>
      </c>
      <c r="D1172" s="7">
        <v>23</v>
      </c>
    </row>
    <row r="1173" spans="1:4" x14ac:dyDescent="0.2">
      <c r="A1173" s="44" t="s">
        <v>7</v>
      </c>
      <c r="B1173" s="37">
        <v>37043</v>
      </c>
      <c r="C1173" s="7">
        <v>34</v>
      </c>
      <c r="D1173" s="7">
        <v>17</v>
      </c>
    </row>
    <row r="1174" spans="1:4" x14ac:dyDescent="0.2">
      <c r="A1174" s="44" t="s">
        <v>7</v>
      </c>
      <c r="B1174" s="37">
        <v>37044</v>
      </c>
      <c r="C1174" s="7">
        <v>35</v>
      </c>
      <c r="D1174" s="7">
        <v>22</v>
      </c>
    </row>
    <row r="1175" spans="1:4" x14ac:dyDescent="0.2">
      <c r="A1175" s="44" t="s">
        <v>7</v>
      </c>
      <c r="B1175" s="37">
        <v>37045</v>
      </c>
      <c r="C1175" s="7">
        <v>31</v>
      </c>
      <c r="D1175" s="7">
        <v>31</v>
      </c>
    </row>
    <row r="1176" spans="1:4" x14ac:dyDescent="0.2">
      <c r="A1176" s="44" t="s">
        <v>7</v>
      </c>
      <c r="B1176" s="37">
        <v>37046</v>
      </c>
      <c r="C1176" s="7">
        <v>30</v>
      </c>
      <c r="D1176" s="7">
        <v>12</v>
      </c>
    </row>
    <row r="1177" spans="1:4" x14ac:dyDescent="0.2">
      <c r="A1177" s="44" t="s">
        <v>7</v>
      </c>
      <c r="B1177" s="37">
        <v>37047</v>
      </c>
      <c r="C1177" s="7">
        <v>37</v>
      </c>
      <c r="D1177" s="7">
        <v>32</v>
      </c>
    </row>
    <row r="1178" spans="1:4" x14ac:dyDescent="0.2">
      <c r="A1178" s="44" t="s">
        <v>7</v>
      </c>
      <c r="B1178" s="37">
        <v>37048</v>
      </c>
      <c r="C1178" s="7">
        <v>40</v>
      </c>
      <c r="D1178" s="7">
        <v>12</v>
      </c>
    </row>
    <row r="1179" spans="1:4" x14ac:dyDescent="0.2">
      <c r="A1179" s="44" t="s">
        <v>7</v>
      </c>
      <c r="B1179" s="37">
        <v>37049</v>
      </c>
      <c r="C1179" s="7">
        <v>34</v>
      </c>
      <c r="D1179" s="7">
        <v>18</v>
      </c>
    </row>
    <row r="1180" spans="1:4" x14ac:dyDescent="0.2">
      <c r="A1180" s="44" t="s">
        <v>7</v>
      </c>
      <c r="B1180" s="37">
        <v>37050</v>
      </c>
      <c r="C1180" s="7">
        <v>37</v>
      </c>
      <c r="D1180" s="7">
        <v>28</v>
      </c>
    </row>
    <row r="1181" spans="1:4" x14ac:dyDescent="0.2">
      <c r="A1181" s="44" t="s">
        <v>7</v>
      </c>
      <c r="B1181" s="37">
        <v>37051</v>
      </c>
      <c r="C1181" s="7">
        <v>32</v>
      </c>
      <c r="D1181" s="7">
        <v>13</v>
      </c>
    </row>
    <row r="1182" spans="1:4" x14ac:dyDescent="0.2">
      <c r="A1182" s="44" t="s">
        <v>7</v>
      </c>
      <c r="B1182" s="37">
        <v>37052</v>
      </c>
      <c r="C1182" s="7">
        <v>43</v>
      </c>
      <c r="D1182" s="7">
        <v>22</v>
      </c>
    </row>
    <row r="1183" spans="1:4" x14ac:dyDescent="0.2">
      <c r="A1183" s="44" t="s">
        <v>7</v>
      </c>
      <c r="B1183" s="37">
        <v>37053</v>
      </c>
      <c r="C1183" s="7">
        <v>42</v>
      </c>
      <c r="D1183" s="7">
        <v>20</v>
      </c>
    </row>
    <row r="1184" spans="1:4" x14ac:dyDescent="0.2">
      <c r="A1184" s="44" t="s">
        <v>7</v>
      </c>
      <c r="B1184" s="37">
        <v>37054</v>
      </c>
      <c r="C1184" s="7">
        <v>47</v>
      </c>
      <c r="D1184" s="7">
        <v>32</v>
      </c>
    </row>
    <row r="1185" spans="1:4" x14ac:dyDescent="0.2">
      <c r="A1185" s="44" t="s">
        <v>7</v>
      </c>
      <c r="B1185" s="37">
        <v>37055</v>
      </c>
      <c r="C1185" s="7">
        <v>47</v>
      </c>
      <c r="D1185" s="7">
        <v>16</v>
      </c>
    </row>
    <row r="1186" spans="1:4" x14ac:dyDescent="0.2">
      <c r="A1186" s="44" t="s">
        <v>7</v>
      </c>
      <c r="B1186" s="37">
        <v>37056</v>
      </c>
      <c r="C1186" s="7">
        <v>47</v>
      </c>
      <c r="D1186" s="7">
        <v>26</v>
      </c>
    </row>
    <row r="1187" spans="1:4" x14ac:dyDescent="0.2">
      <c r="A1187" s="44" t="s">
        <v>7</v>
      </c>
      <c r="B1187" s="37">
        <v>37057</v>
      </c>
      <c r="C1187" s="7">
        <v>38</v>
      </c>
      <c r="D1187" s="7">
        <v>25</v>
      </c>
    </row>
    <row r="1188" spans="1:4" x14ac:dyDescent="0.2">
      <c r="A1188" s="44" t="s">
        <v>7</v>
      </c>
      <c r="B1188" s="37">
        <v>37058</v>
      </c>
      <c r="C1188" s="7">
        <v>32</v>
      </c>
      <c r="D1188" s="7">
        <v>27</v>
      </c>
    </row>
    <row r="1189" spans="1:4" x14ac:dyDescent="0.2">
      <c r="A1189" s="44" t="s">
        <v>7</v>
      </c>
      <c r="B1189" s="37">
        <v>37059</v>
      </c>
      <c r="C1189" s="7">
        <v>36</v>
      </c>
      <c r="D1189" s="7">
        <v>23</v>
      </c>
    </row>
    <row r="1190" spans="1:4" x14ac:dyDescent="0.2">
      <c r="A1190" s="44" t="s">
        <v>7</v>
      </c>
      <c r="B1190" s="37">
        <v>37060</v>
      </c>
      <c r="C1190" s="7">
        <v>32</v>
      </c>
      <c r="D1190" s="7">
        <v>30</v>
      </c>
    </row>
    <row r="1191" spans="1:4" x14ac:dyDescent="0.2">
      <c r="A1191" s="44" t="s">
        <v>7</v>
      </c>
      <c r="B1191" s="37">
        <v>37061</v>
      </c>
      <c r="C1191" s="7">
        <v>40</v>
      </c>
      <c r="D1191" s="7">
        <v>26</v>
      </c>
    </row>
    <row r="1192" spans="1:4" x14ac:dyDescent="0.2">
      <c r="A1192" s="44" t="s">
        <v>7</v>
      </c>
      <c r="B1192" s="37">
        <v>37062</v>
      </c>
      <c r="C1192" s="7">
        <v>48</v>
      </c>
      <c r="D1192" s="7">
        <v>29</v>
      </c>
    </row>
    <row r="1193" spans="1:4" x14ac:dyDescent="0.2">
      <c r="A1193" s="44" t="s">
        <v>7</v>
      </c>
      <c r="B1193" s="37">
        <v>37063</v>
      </c>
      <c r="C1193" s="7">
        <v>36</v>
      </c>
      <c r="D1193" s="7">
        <v>17</v>
      </c>
    </row>
    <row r="1194" spans="1:4" x14ac:dyDescent="0.2">
      <c r="A1194" s="44" t="s">
        <v>7</v>
      </c>
      <c r="B1194" s="37">
        <v>37064</v>
      </c>
      <c r="C1194" s="7">
        <v>33</v>
      </c>
      <c r="D1194" s="7">
        <v>10</v>
      </c>
    </row>
    <row r="1195" spans="1:4" x14ac:dyDescent="0.2">
      <c r="A1195" s="44" t="s">
        <v>7</v>
      </c>
      <c r="B1195" s="37">
        <v>37065</v>
      </c>
      <c r="C1195" s="7">
        <v>38</v>
      </c>
      <c r="D1195" s="7">
        <v>28</v>
      </c>
    </row>
    <row r="1196" spans="1:4" x14ac:dyDescent="0.2">
      <c r="A1196" s="44" t="s">
        <v>7</v>
      </c>
      <c r="B1196" s="37">
        <v>37066</v>
      </c>
      <c r="C1196" s="7">
        <v>31</v>
      </c>
      <c r="D1196" s="7">
        <v>14</v>
      </c>
    </row>
    <row r="1197" spans="1:4" x14ac:dyDescent="0.2">
      <c r="A1197" s="44" t="s">
        <v>7</v>
      </c>
      <c r="B1197" s="37">
        <v>37067</v>
      </c>
      <c r="C1197" s="7">
        <v>49</v>
      </c>
      <c r="D1197" s="7">
        <v>25</v>
      </c>
    </row>
    <row r="1198" spans="1:4" x14ac:dyDescent="0.2">
      <c r="A1198" s="44" t="s">
        <v>7</v>
      </c>
      <c r="B1198" s="37">
        <v>37068</v>
      </c>
      <c r="C1198" s="7">
        <v>31</v>
      </c>
      <c r="D1198" s="7">
        <v>30</v>
      </c>
    </row>
    <row r="1199" spans="1:4" x14ac:dyDescent="0.2">
      <c r="A1199" s="44" t="s">
        <v>7</v>
      </c>
      <c r="B1199" s="37">
        <v>37069</v>
      </c>
      <c r="C1199" s="7">
        <v>47</v>
      </c>
      <c r="D1199" s="7">
        <v>29</v>
      </c>
    </row>
    <row r="1200" spans="1:4" x14ac:dyDescent="0.2">
      <c r="A1200" s="44" t="s">
        <v>7</v>
      </c>
      <c r="B1200" s="37">
        <v>37070</v>
      </c>
      <c r="C1200" s="7">
        <v>36</v>
      </c>
      <c r="D1200" s="7">
        <v>20</v>
      </c>
    </row>
    <row r="1201" spans="1:4" x14ac:dyDescent="0.2">
      <c r="A1201" s="44" t="s">
        <v>7</v>
      </c>
      <c r="B1201" s="37">
        <v>37071</v>
      </c>
      <c r="C1201" s="7">
        <v>45</v>
      </c>
      <c r="D1201" s="7">
        <v>19</v>
      </c>
    </row>
    <row r="1202" spans="1:4" x14ac:dyDescent="0.2">
      <c r="A1202" s="44" t="s">
        <v>7</v>
      </c>
      <c r="B1202" s="37">
        <v>37072</v>
      </c>
      <c r="C1202" s="7">
        <v>47</v>
      </c>
      <c r="D1202" s="7">
        <v>10</v>
      </c>
    </row>
    <row r="1203" spans="1:4" x14ac:dyDescent="0.2">
      <c r="A1203" s="44" t="s">
        <v>7</v>
      </c>
      <c r="B1203" s="37">
        <v>37073</v>
      </c>
      <c r="C1203" s="7">
        <v>43</v>
      </c>
      <c r="D1203" s="7">
        <v>14</v>
      </c>
    </row>
    <row r="1204" spans="1:4" x14ac:dyDescent="0.2">
      <c r="A1204" s="44" t="s">
        <v>7</v>
      </c>
      <c r="B1204" s="37">
        <v>37074</v>
      </c>
      <c r="C1204" s="7">
        <v>48</v>
      </c>
      <c r="D1204" s="7">
        <v>19</v>
      </c>
    </row>
    <row r="1205" spans="1:4" x14ac:dyDescent="0.2">
      <c r="A1205" s="44" t="s">
        <v>7</v>
      </c>
      <c r="B1205" s="37">
        <v>37075</v>
      </c>
      <c r="C1205" s="7">
        <v>33</v>
      </c>
      <c r="D1205" s="7">
        <v>27</v>
      </c>
    </row>
    <row r="1206" spans="1:4" x14ac:dyDescent="0.2">
      <c r="A1206" s="44" t="s">
        <v>7</v>
      </c>
      <c r="B1206" s="37">
        <v>37076</v>
      </c>
      <c r="C1206" s="7">
        <v>49</v>
      </c>
      <c r="D1206" s="7">
        <v>18</v>
      </c>
    </row>
    <row r="1207" spans="1:4" x14ac:dyDescent="0.2">
      <c r="A1207" s="44" t="s">
        <v>7</v>
      </c>
      <c r="B1207" s="37">
        <v>37077</v>
      </c>
      <c r="C1207" s="7">
        <v>33</v>
      </c>
      <c r="D1207" s="7">
        <v>14</v>
      </c>
    </row>
    <row r="1208" spans="1:4" x14ac:dyDescent="0.2">
      <c r="A1208" s="44" t="s">
        <v>7</v>
      </c>
      <c r="B1208" s="37">
        <v>37078</v>
      </c>
      <c r="C1208" s="7">
        <v>32</v>
      </c>
      <c r="D1208" s="7">
        <v>19</v>
      </c>
    </row>
    <row r="1209" spans="1:4" x14ac:dyDescent="0.2">
      <c r="A1209" s="44" t="s">
        <v>7</v>
      </c>
      <c r="B1209" s="37">
        <v>37079</v>
      </c>
      <c r="C1209" s="7">
        <v>46</v>
      </c>
      <c r="D1209" s="7">
        <v>31</v>
      </c>
    </row>
    <row r="1210" spans="1:4" x14ac:dyDescent="0.2">
      <c r="A1210" s="44" t="s">
        <v>7</v>
      </c>
      <c r="B1210" s="37">
        <v>37080</v>
      </c>
      <c r="C1210" s="7">
        <v>34</v>
      </c>
      <c r="D1210" s="7">
        <v>21</v>
      </c>
    </row>
    <row r="1211" spans="1:4" x14ac:dyDescent="0.2">
      <c r="A1211" s="44" t="s">
        <v>7</v>
      </c>
      <c r="B1211" s="37">
        <v>37081</v>
      </c>
      <c r="C1211" s="7">
        <v>30</v>
      </c>
      <c r="D1211" s="7">
        <v>20</v>
      </c>
    </row>
    <row r="1212" spans="1:4" x14ac:dyDescent="0.2">
      <c r="A1212" s="44" t="s">
        <v>7</v>
      </c>
      <c r="B1212" s="37">
        <v>37082</v>
      </c>
      <c r="C1212" s="7">
        <v>38</v>
      </c>
      <c r="D1212" s="7">
        <v>13</v>
      </c>
    </row>
    <row r="1213" spans="1:4" x14ac:dyDescent="0.2">
      <c r="A1213" s="44" t="s">
        <v>7</v>
      </c>
      <c r="B1213" s="37">
        <v>37083</v>
      </c>
      <c r="C1213" s="7">
        <v>30</v>
      </c>
      <c r="D1213" s="7">
        <v>14</v>
      </c>
    </row>
    <row r="1214" spans="1:4" x14ac:dyDescent="0.2">
      <c r="A1214" s="44" t="s">
        <v>7</v>
      </c>
      <c r="B1214" s="37">
        <v>37084</v>
      </c>
      <c r="C1214" s="7">
        <v>37</v>
      </c>
      <c r="D1214" s="7">
        <v>26</v>
      </c>
    </row>
    <row r="1215" spans="1:4" x14ac:dyDescent="0.2">
      <c r="A1215" s="44" t="s">
        <v>7</v>
      </c>
      <c r="B1215" s="37">
        <v>37085</v>
      </c>
      <c r="C1215" s="7">
        <v>48</v>
      </c>
      <c r="D1215" s="7">
        <v>18</v>
      </c>
    </row>
    <row r="1216" spans="1:4" x14ac:dyDescent="0.2">
      <c r="A1216" s="44" t="s">
        <v>7</v>
      </c>
      <c r="B1216" s="37">
        <v>37086</v>
      </c>
      <c r="C1216" s="7">
        <v>47</v>
      </c>
      <c r="D1216" s="7">
        <v>10</v>
      </c>
    </row>
    <row r="1217" spans="1:4" x14ac:dyDescent="0.2">
      <c r="A1217" s="44" t="s">
        <v>7</v>
      </c>
      <c r="B1217" s="37">
        <v>37087</v>
      </c>
      <c r="C1217" s="7">
        <v>41</v>
      </c>
      <c r="D1217" s="7">
        <v>17</v>
      </c>
    </row>
    <row r="1218" spans="1:4" x14ac:dyDescent="0.2">
      <c r="A1218" s="44" t="s">
        <v>7</v>
      </c>
      <c r="B1218" s="37">
        <v>37088</v>
      </c>
      <c r="C1218" s="7">
        <v>50</v>
      </c>
      <c r="D1218" s="7">
        <v>11</v>
      </c>
    </row>
    <row r="1219" spans="1:4" x14ac:dyDescent="0.2">
      <c r="A1219" s="44" t="s">
        <v>7</v>
      </c>
      <c r="B1219" s="37">
        <v>37089</v>
      </c>
      <c r="C1219" s="7">
        <v>43</v>
      </c>
      <c r="D1219" s="7">
        <v>24</v>
      </c>
    </row>
    <row r="1220" spans="1:4" x14ac:dyDescent="0.2">
      <c r="A1220" s="44" t="s">
        <v>7</v>
      </c>
      <c r="B1220" s="37">
        <v>37090</v>
      </c>
      <c r="C1220" s="7">
        <v>31</v>
      </c>
      <c r="D1220" s="7">
        <v>30</v>
      </c>
    </row>
    <row r="1221" spans="1:4" x14ac:dyDescent="0.2">
      <c r="A1221" s="44" t="s">
        <v>7</v>
      </c>
      <c r="B1221" s="37">
        <v>37091</v>
      </c>
      <c r="C1221" s="7">
        <v>41</v>
      </c>
      <c r="D1221" s="7">
        <v>30</v>
      </c>
    </row>
    <row r="1222" spans="1:4" x14ac:dyDescent="0.2">
      <c r="A1222" s="44" t="s">
        <v>7</v>
      </c>
      <c r="B1222" s="37">
        <v>37092</v>
      </c>
      <c r="C1222" s="7">
        <v>30</v>
      </c>
      <c r="D1222" s="7">
        <v>22</v>
      </c>
    </row>
    <row r="1223" spans="1:4" x14ac:dyDescent="0.2">
      <c r="A1223" s="44" t="s">
        <v>7</v>
      </c>
      <c r="B1223" s="37">
        <v>37093</v>
      </c>
      <c r="C1223" s="7">
        <v>50</v>
      </c>
      <c r="D1223" s="7">
        <v>29</v>
      </c>
    </row>
    <row r="1224" spans="1:4" x14ac:dyDescent="0.2">
      <c r="A1224" s="44" t="s">
        <v>7</v>
      </c>
      <c r="B1224" s="37">
        <v>37094</v>
      </c>
      <c r="C1224" s="7">
        <v>42</v>
      </c>
      <c r="D1224" s="7">
        <v>11</v>
      </c>
    </row>
    <row r="1225" spans="1:4" x14ac:dyDescent="0.2">
      <c r="A1225" s="44" t="s">
        <v>7</v>
      </c>
      <c r="B1225" s="37">
        <v>37095</v>
      </c>
      <c r="C1225" s="7">
        <v>31</v>
      </c>
      <c r="D1225" s="7">
        <v>15</v>
      </c>
    </row>
    <row r="1226" spans="1:4" x14ac:dyDescent="0.2">
      <c r="A1226" s="44" t="s">
        <v>7</v>
      </c>
      <c r="B1226" s="37">
        <v>37096</v>
      </c>
      <c r="C1226" s="7">
        <v>48</v>
      </c>
      <c r="D1226" s="7">
        <v>14</v>
      </c>
    </row>
    <row r="1227" spans="1:4" x14ac:dyDescent="0.2">
      <c r="A1227" s="44" t="s">
        <v>7</v>
      </c>
      <c r="B1227" s="37">
        <v>37097</v>
      </c>
      <c r="C1227" s="7">
        <v>42</v>
      </c>
      <c r="D1227" s="7">
        <v>13</v>
      </c>
    </row>
    <row r="1228" spans="1:4" x14ac:dyDescent="0.2">
      <c r="A1228" s="44" t="s">
        <v>7</v>
      </c>
      <c r="B1228" s="37">
        <v>37098</v>
      </c>
      <c r="C1228" s="7">
        <v>44</v>
      </c>
      <c r="D1228" s="7">
        <v>14</v>
      </c>
    </row>
    <row r="1229" spans="1:4" x14ac:dyDescent="0.2">
      <c r="A1229" s="44" t="s">
        <v>7</v>
      </c>
      <c r="B1229" s="37">
        <v>37099</v>
      </c>
      <c r="C1229" s="7">
        <v>36</v>
      </c>
      <c r="D1229" s="7">
        <v>15</v>
      </c>
    </row>
    <row r="1230" spans="1:4" x14ac:dyDescent="0.2">
      <c r="A1230" s="44" t="s">
        <v>7</v>
      </c>
      <c r="B1230" s="37">
        <v>37100</v>
      </c>
      <c r="C1230" s="7">
        <v>32</v>
      </c>
      <c r="D1230" s="7">
        <v>26</v>
      </c>
    </row>
    <row r="1231" spans="1:4" x14ac:dyDescent="0.2">
      <c r="A1231" s="44" t="s">
        <v>7</v>
      </c>
      <c r="B1231" s="37">
        <v>37101</v>
      </c>
      <c r="C1231" s="7">
        <v>44</v>
      </c>
      <c r="D1231" s="7">
        <v>26</v>
      </c>
    </row>
    <row r="1232" spans="1:4" x14ac:dyDescent="0.2">
      <c r="A1232" s="44" t="s">
        <v>7</v>
      </c>
      <c r="B1232" s="37">
        <v>37102</v>
      </c>
      <c r="C1232" s="7">
        <v>40</v>
      </c>
      <c r="D1232" s="7">
        <v>29</v>
      </c>
    </row>
    <row r="1233" spans="1:4" x14ac:dyDescent="0.2">
      <c r="A1233" s="44" t="s">
        <v>7</v>
      </c>
      <c r="B1233" s="37">
        <v>37103</v>
      </c>
      <c r="C1233" s="7">
        <v>33</v>
      </c>
      <c r="D1233" s="7">
        <v>18</v>
      </c>
    </row>
    <row r="1234" spans="1:4" x14ac:dyDescent="0.2">
      <c r="A1234" s="44" t="s">
        <v>7</v>
      </c>
      <c r="B1234" s="37">
        <v>37104</v>
      </c>
      <c r="C1234" s="7">
        <v>35</v>
      </c>
      <c r="D1234" s="7">
        <v>22</v>
      </c>
    </row>
    <row r="1235" spans="1:4" x14ac:dyDescent="0.2">
      <c r="A1235" s="44" t="s">
        <v>7</v>
      </c>
      <c r="B1235" s="37">
        <v>37105</v>
      </c>
      <c r="C1235" s="7">
        <v>45</v>
      </c>
      <c r="D1235" s="7">
        <v>18</v>
      </c>
    </row>
    <row r="1236" spans="1:4" x14ac:dyDescent="0.2">
      <c r="A1236" s="44" t="s">
        <v>7</v>
      </c>
      <c r="B1236" s="37">
        <v>37106</v>
      </c>
      <c r="C1236" s="7">
        <v>39</v>
      </c>
      <c r="D1236" s="7">
        <v>28</v>
      </c>
    </row>
    <row r="1237" spans="1:4" x14ac:dyDescent="0.2">
      <c r="A1237" s="44" t="s">
        <v>7</v>
      </c>
      <c r="B1237" s="37">
        <v>37107</v>
      </c>
      <c r="C1237" s="7">
        <v>43</v>
      </c>
      <c r="D1237" s="7">
        <v>15</v>
      </c>
    </row>
    <row r="1238" spans="1:4" x14ac:dyDescent="0.2">
      <c r="A1238" s="44" t="s">
        <v>7</v>
      </c>
      <c r="B1238" s="37">
        <v>37108</v>
      </c>
      <c r="C1238" s="7">
        <v>44</v>
      </c>
      <c r="D1238" s="7">
        <v>12</v>
      </c>
    </row>
    <row r="1239" spans="1:4" x14ac:dyDescent="0.2">
      <c r="A1239" s="44" t="s">
        <v>7</v>
      </c>
      <c r="B1239" s="37">
        <v>37109</v>
      </c>
      <c r="C1239" s="7">
        <v>41</v>
      </c>
      <c r="D1239" s="7">
        <v>17</v>
      </c>
    </row>
    <row r="1240" spans="1:4" x14ac:dyDescent="0.2">
      <c r="A1240" s="44" t="s">
        <v>7</v>
      </c>
      <c r="B1240" s="37">
        <v>37110</v>
      </c>
      <c r="C1240" s="7">
        <v>46</v>
      </c>
      <c r="D1240" s="7">
        <v>30</v>
      </c>
    </row>
    <row r="1241" spans="1:4" x14ac:dyDescent="0.2">
      <c r="A1241" s="44" t="s">
        <v>7</v>
      </c>
      <c r="B1241" s="37">
        <v>37111</v>
      </c>
      <c r="C1241" s="7">
        <v>47</v>
      </c>
      <c r="D1241" s="7">
        <v>30</v>
      </c>
    </row>
    <row r="1242" spans="1:4" x14ac:dyDescent="0.2">
      <c r="A1242" s="44" t="s">
        <v>7</v>
      </c>
      <c r="B1242" s="37">
        <v>37112</v>
      </c>
      <c r="C1242" s="7">
        <v>42</v>
      </c>
      <c r="D1242" s="7">
        <v>32</v>
      </c>
    </row>
    <row r="1243" spans="1:4" x14ac:dyDescent="0.2">
      <c r="A1243" s="44" t="s">
        <v>7</v>
      </c>
      <c r="B1243" s="37">
        <v>37113</v>
      </c>
      <c r="C1243" s="7">
        <v>41</v>
      </c>
      <c r="D1243" s="7">
        <v>19</v>
      </c>
    </row>
    <row r="1244" spans="1:4" x14ac:dyDescent="0.2">
      <c r="A1244" s="44" t="s">
        <v>7</v>
      </c>
      <c r="B1244" s="37">
        <v>37114</v>
      </c>
      <c r="C1244" s="7">
        <v>35</v>
      </c>
      <c r="D1244" s="7">
        <v>22</v>
      </c>
    </row>
    <row r="1245" spans="1:4" x14ac:dyDescent="0.2">
      <c r="A1245" s="44" t="s">
        <v>7</v>
      </c>
      <c r="B1245" s="37">
        <v>37115</v>
      </c>
      <c r="C1245" s="7">
        <v>48</v>
      </c>
      <c r="D1245" s="7">
        <v>10</v>
      </c>
    </row>
    <row r="1246" spans="1:4" x14ac:dyDescent="0.2">
      <c r="A1246" s="44" t="s">
        <v>7</v>
      </c>
      <c r="B1246" s="37">
        <v>37116</v>
      </c>
      <c r="C1246" s="7">
        <v>43</v>
      </c>
      <c r="D1246" s="7">
        <v>10</v>
      </c>
    </row>
    <row r="1247" spans="1:4" x14ac:dyDescent="0.2">
      <c r="A1247" s="44" t="s">
        <v>7</v>
      </c>
      <c r="B1247" s="37">
        <v>37117</v>
      </c>
      <c r="C1247" s="7">
        <v>49</v>
      </c>
      <c r="D1247" s="7">
        <v>29</v>
      </c>
    </row>
    <row r="1248" spans="1:4" x14ac:dyDescent="0.2">
      <c r="A1248" s="44" t="s">
        <v>7</v>
      </c>
      <c r="B1248" s="37">
        <v>37118</v>
      </c>
      <c r="C1248" s="7">
        <v>48</v>
      </c>
      <c r="D1248" s="7">
        <v>26</v>
      </c>
    </row>
    <row r="1249" spans="1:4" x14ac:dyDescent="0.2">
      <c r="A1249" s="44" t="s">
        <v>7</v>
      </c>
      <c r="B1249" s="37">
        <v>37119</v>
      </c>
      <c r="C1249" s="7">
        <v>42</v>
      </c>
      <c r="D1249" s="7">
        <v>13</v>
      </c>
    </row>
    <row r="1250" spans="1:4" x14ac:dyDescent="0.2">
      <c r="A1250" s="44" t="s">
        <v>7</v>
      </c>
      <c r="B1250" s="37">
        <v>37120</v>
      </c>
      <c r="C1250" s="7">
        <v>49</v>
      </c>
      <c r="D1250" s="7">
        <v>14</v>
      </c>
    </row>
    <row r="1251" spans="1:4" x14ac:dyDescent="0.2">
      <c r="A1251" s="44" t="s">
        <v>7</v>
      </c>
      <c r="B1251" s="37">
        <v>37121</v>
      </c>
      <c r="C1251" s="7">
        <v>43</v>
      </c>
      <c r="D1251" s="7">
        <v>17</v>
      </c>
    </row>
    <row r="1252" spans="1:4" x14ac:dyDescent="0.2">
      <c r="A1252" s="44" t="s">
        <v>7</v>
      </c>
      <c r="B1252" s="37">
        <v>37122</v>
      </c>
      <c r="C1252" s="7">
        <v>46</v>
      </c>
      <c r="D1252" s="7">
        <v>11</v>
      </c>
    </row>
    <row r="1253" spans="1:4" x14ac:dyDescent="0.2">
      <c r="A1253" s="44" t="s">
        <v>7</v>
      </c>
      <c r="B1253" s="37">
        <v>37123</v>
      </c>
      <c r="C1253" s="7">
        <v>32</v>
      </c>
      <c r="D1253" s="7">
        <v>10</v>
      </c>
    </row>
    <row r="1254" spans="1:4" x14ac:dyDescent="0.2">
      <c r="A1254" s="44" t="s">
        <v>7</v>
      </c>
      <c r="B1254" s="37">
        <v>37124</v>
      </c>
      <c r="C1254" s="7">
        <v>34</v>
      </c>
      <c r="D1254" s="7">
        <v>19</v>
      </c>
    </row>
    <row r="1255" spans="1:4" x14ac:dyDescent="0.2">
      <c r="A1255" s="44" t="s">
        <v>7</v>
      </c>
      <c r="B1255" s="37">
        <v>37125</v>
      </c>
      <c r="C1255" s="7">
        <v>44</v>
      </c>
      <c r="D1255" s="7">
        <v>29</v>
      </c>
    </row>
    <row r="1256" spans="1:4" x14ac:dyDescent="0.2">
      <c r="A1256" s="44" t="s">
        <v>7</v>
      </c>
      <c r="B1256" s="37">
        <v>37126</v>
      </c>
      <c r="C1256" s="7">
        <v>40</v>
      </c>
      <c r="D1256" s="7">
        <v>32</v>
      </c>
    </row>
    <row r="1257" spans="1:4" x14ac:dyDescent="0.2">
      <c r="A1257" s="44" t="s">
        <v>7</v>
      </c>
      <c r="B1257" s="37">
        <v>37127</v>
      </c>
      <c r="C1257" s="7">
        <v>48</v>
      </c>
      <c r="D1257" s="7">
        <v>15</v>
      </c>
    </row>
    <row r="1258" spans="1:4" x14ac:dyDescent="0.2">
      <c r="A1258" s="44" t="s">
        <v>7</v>
      </c>
      <c r="B1258" s="37">
        <v>37128</v>
      </c>
      <c r="C1258" s="7">
        <v>36</v>
      </c>
      <c r="D1258" s="7">
        <v>14</v>
      </c>
    </row>
    <row r="1259" spans="1:4" x14ac:dyDescent="0.2">
      <c r="A1259" s="44" t="s">
        <v>7</v>
      </c>
      <c r="B1259" s="37">
        <v>37129</v>
      </c>
      <c r="C1259" s="7">
        <v>41</v>
      </c>
      <c r="D1259" s="7">
        <v>17</v>
      </c>
    </row>
    <row r="1260" spans="1:4" x14ac:dyDescent="0.2">
      <c r="A1260" s="44" t="s">
        <v>7</v>
      </c>
      <c r="B1260" s="37">
        <v>37130</v>
      </c>
      <c r="C1260" s="7">
        <v>45</v>
      </c>
      <c r="D1260" s="7">
        <v>29</v>
      </c>
    </row>
    <row r="1261" spans="1:4" x14ac:dyDescent="0.2">
      <c r="A1261" s="44" t="s">
        <v>7</v>
      </c>
      <c r="B1261" s="37">
        <v>37131</v>
      </c>
      <c r="C1261" s="7">
        <v>44</v>
      </c>
      <c r="D1261" s="7">
        <v>27</v>
      </c>
    </row>
    <row r="1262" spans="1:4" x14ac:dyDescent="0.2">
      <c r="A1262" s="44" t="s">
        <v>7</v>
      </c>
      <c r="B1262" s="37">
        <v>37132</v>
      </c>
      <c r="C1262" s="7">
        <v>48</v>
      </c>
      <c r="D1262" s="7">
        <v>32</v>
      </c>
    </row>
    <row r="1263" spans="1:4" x14ac:dyDescent="0.2">
      <c r="A1263" s="44" t="s">
        <v>7</v>
      </c>
      <c r="B1263" s="37">
        <v>37133</v>
      </c>
      <c r="C1263" s="7">
        <v>32</v>
      </c>
      <c r="D1263" s="7">
        <v>14</v>
      </c>
    </row>
    <row r="1264" spans="1:4" x14ac:dyDescent="0.2">
      <c r="A1264" s="44" t="s">
        <v>7</v>
      </c>
      <c r="B1264" s="37">
        <v>37134</v>
      </c>
      <c r="C1264" s="7">
        <v>44</v>
      </c>
      <c r="D1264" s="7">
        <v>31</v>
      </c>
    </row>
    <row r="1265" spans="1:4" x14ac:dyDescent="0.2">
      <c r="A1265" s="44" t="s">
        <v>7</v>
      </c>
      <c r="B1265" s="37">
        <v>37135</v>
      </c>
      <c r="C1265" s="7">
        <v>36</v>
      </c>
      <c r="D1265" s="7">
        <v>24</v>
      </c>
    </row>
    <row r="1266" spans="1:4" x14ac:dyDescent="0.2">
      <c r="A1266" s="44" t="s">
        <v>7</v>
      </c>
      <c r="B1266" s="37">
        <v>37136</v>
      </c>
      <c r="C1266" s="7">
        <v>44</v>
      </c>
      <c r="D1266" s="7">
        <v>32</v>
      </c>
    </row>
    <row r="1267" spans="1:4" x14ac:dyDescent="0.2">
      <c r="A1267" s="44" t="s">
        <v>7</v>
      </c>
      <c r="B1267" s="37">
        <v>37137</v>
      </c>
      <c r="C1267" s="7">
        <v>34</v>
      </c>
      <c r="D1267" s="7">
        <v>21</v>
      </c>
    </row>
    <row r="1268" spans="1:4" x14ac:dyDescent="0.2">
      <c r="A1268" s="44" t="s">
        <v>7</v>
      </c>
      <c r="B1268" s="37">
        <v>37138</v>
      </c>
      <c r="C1268" s="7">
        <v>47</v>
      </c>
      <c r="D1268" s="7">
        <v>24</v>
      </c>
    </row>
    <row r="1269" spans="1:4" x14ac:dyDescent="0.2">
      <c r="A1269" s="44" t="s">
        <v>7</v>
      </c>
      <c r="B1269" s="37">
        <v>37139</v>
      </c>
      <c r="C1269" s="7">
        <v>34</v>
      </c>
      <c r="D1269" s="7">
        <v>32</v>
      </c>
    </row>
    <row r="1270" spans="1:4" x14ac:dyDescent="0.2">
      <c r="A1270" s="44" t="s">
        <v>7</v>
      </c>
      <c r="B1270" s="37">
        <v>37140</v>
      </c>
      <c r="C1270" s="7">
        <v>41</v>
      </c>
      <c r="D1270" s="7">
        <v>21</v>
      </c>
    </row>
    <row r="1271" spans="1:4" x14ac:dyDescent="0.2">
      <c r="A1271" s="44" t="s">
        <v>7</v>
      </c>
      <c r="B1271" s="37">
        <v>37141</v>
      </c>
      <c r="C1271" s="7">
        <v>48</v>
      </c>
      <c r="D1271" s="7">
        <v>28</v>
      </c>
    </row>
    <row r="1272" spans="1:4" x14ac:dyDescent="0.2">
      <c r="A1272" s="44" t="s">
        <v>7</v>
      </c>
      <c r="B1272" s="37">
        <v>37142</v>
      </c>
      <c r="C1272" s="7">
        <v>44</v>
      </c>
      <c r="D1272" s="7">
        <v>20</v>
      </c>
    </row>
    <row r="1273" spans="1:4" x14ac:dyDescent="0.2">
      <c r="A1273" s="44" t="s">
        <v>7</v>
      </c>
      <c r="B1273" s="37">
        <v>37143</v>
      </c>
      <c r="C1273" s="7">
        <v>35</v>
      </c>
      <c r="D1273" s="7">
        <v>17</v>
      </c>
    </row>
    <row r="1274" spans="1:4" x14ac:dyDescent="0.2">
      <c r="A1274" s="44" t="s">
        <v>7</v>
      </c>
      <c r="B1274" s="37">
        <v>37144</v>
      </c>
      <c r="C1274" s="7">
        <v>40</v>
      </c>
      <c r="D1274" s="7">
        <v>25</v>
      </c>
    </row>
    <row r="1275" spans="1:4" x14ac:dyDescent="0.2">
      <c r="A1275" s="44" t="s">
        <v>7</v>
      </c>
      <c r="B1275" s="37">
        <v>37145</v>
      </c>
      <c r="C1275" s="7">
        <v>46</v>
      </c>
      <c r="D1275" s="7">
        <v>19</v>
      </c>
    </row>
    <row r="1276" spans="1:4" x14ac:dyDescent="0.2">
      <c r="A1276" s="44" t="s">
        <v>7</v>
      </c>
      <c r="B1276" s="37">
        <v>37146</v>
      </c>
      <c r="C1276" s="7">
        <v>50</v>
      </c>
      <c r="D1276" s="7">
        <v>18</v>
      </c>
    </row>
    <row r="1277" spans="1:4" x14ac:dyDescent="0.2">
      <c r="A1277" s="44" t="s">
        <v>7</v>
      </c>
      <c r="B1277" s="37">
        <v>37147</v>
      </c>
      <c r="C1277" s="7">
        <v>34</v>
      </c>
      <c r="D1277" s="7">
        <v>22</v>
      </c>
    </row>
    <row r="1278" spans="1:4" x14ac:dyDescent="0.2">
      <c r="A1278" s="44" t="s">
        <v>7</v>
      </c>
      <c r="B1278" s="37">
        <v>37148</v>
      </c>
      <c r="C1278" s="7">
        <v>46</v>
      </c>
      <c r="D1278" s="7">
        <v>29</v>
      </c>
    </row>
    <row r="1279" spans="1:4" x14ac:dyDescent="0.2">
      <c r="A1279" s="44" t="s">
        <v>7</v>
      </c>
      <c r="B1279" s="37">
        <v>37149</v>
      </c>
      <c r="C1279" s="7">
        <v>34</v>
      </c>
      <c r="D1279" s="7">
        <v>12</v>
      </c>
    </row>
    <row r="1280" spans="1:4" x14ac:dyDescent="0.2">
      <c r="A1280" s="44" t="s">
        <v>7</v>
      </c>
      <c r="B1280" s="37">
        <v>37150</v>
      </c>
      <c r="C1280" s="7">
        <v>37</v>
      </c>
      <c r="D1280" s="7">
        <v>24</v>
      </c>
    </row>
    <row r="1281" spans="1:4" x14ac:dyDescent="0.2">
      <c r="A1281" s="44" t="s">
        <v>7</v>
      </c>
      <c r="B1281" s="37">
        <v>37151</v>
      </c>
      <c r="C1281" s="7">
        <v>46</v>
      </c>
      <c r="D1281" s="7">
        <v>13</v>
      </c>
    </row>
    <row r="1282" spans="1:4" x14ac:dyDescent="0.2">
      <c r="A1282" s="44" t="s">
        <v>7</v>
      </c>
      <c r="B1282" s="37">
        <v>37152</v>
      </c>
      <c r="C1282" s="7">
        <v>34</v>
      </c>
      <c r="D1282" s="7">
        <v>23</v>
      </c>
    </row>
    <row r="1283" spans="1:4" x14ac:dyDescent="0.2">
      <c r="A1283" s="44" t="s">
        <v>7</v>
      </c>
      <c r="B1283" s="37">
        <v>37153</v>
      </c>
      <c r="C1283" s="7">
        <v>44</v>
      </c>
      <c r="D1283" s="7">
        <v>13</v>
      </c>
    </row>
    <row r="1284" spans="1:4" x14ac:dyDescent="0.2">
      <c r="A1284" s="44" t="s">
        <v>7</v>
      </c>
      <c r="B1284" s="37">
        <v>37154</v>
      </c>
      <c r="C1284" s="7">
        <v>34</v>
      </c>
      <c r="D1284" s="7">
        <v>20</v>
      </c>
    </row>
    <row r="1285" spans="1:4" x14ac:dyDescent="0.2">
      <c r="A1285" s="44" t="s">
        <v>7</v>
      </c>
      <c r="B1285" s="37">
        <v>37155</v>
      </c>
      <c r="C1285" s="7">
        <v>32</v>
      </c>
      <c r="D1285" s="7">
        <v>18</v>
      </c>
    </row>
    <row r="1286" spans="1:4" x14ac:dyDescent="0.2">
      <c r="A1286" s="44" t="s">
        <v>7</v>
      </c>
      <c r="B1286" s="37">
        <v>37156</v>
      </c>
      <c r="C1286" s="7">
        <v>40</v>
      </c>
      <c r="D1286" s="7">
        <v>11</v>
      </c>
    </row>
    <row r="1287" spans="1:4" x14ac:dyDescent="0.2">
      <c r="A1287" s="44" t="s">
        <v>7</v>
      </c>
      <c r="B1287" s="37">
        <v>37157</v>
      </c>
      <c r="C1287" s="7">
        <v>48</v>
      </c>
      <c r="D1287" s="7">
        <v>14</v>
      </c>
    </row>
    <row r="1288" spans="1:4" x14ac:dyDescent="0.2">
      <c r="A1288" s="44" t="s">
        <v>7</v>
      </c>
      <c r="B1288" s="37">
        <v>37158</v>
      </c>
      <c r="C1288" s="7">
        <v>34</v>
      </c>
      <c r="D1288" s="7">
        <v>24</v>
      </c>
    </row>
    <row r="1289" spans="1:4" x14ac:dyDescent="0.2">
      <c r="A1289" s="44" t="s">
        <v>7</v>
      </c>
      <c r="B1289" s="37">
        <v>37159</v>
      </c>
      <c r="C1289" s="7">
        <v>43</v>
      </c>
      <c r="D1289" s="7">
        <v>20</v>
      </c>
    </row>
    <row r="1290" spans="1:4" x14ac:dyDescent="0.2">
      <c r="A1290" s="44" t="s">
        <v>7</v>
      </c>
      <c r="B1290" s="37">
        <v>37160</v>
      </c>
      <c r="C1290" s="7">
        <v>45</v>
      </c>
      <c r="D1290" s="7">
        <v>30</v>
      </c>
    </row>
    <row r="1291" spans="1:4" x14ac:dyDescent="0.2">
      <c r="A1291" s="44" t="s">
        <v>7</v>
      </c>
      <c r="B1291" s="37">
        <v>37161</v>
      </c>
      <c r="C1291" s="7">
        <v>48</v>
      </c>
      <c r="D1291" s="7">
        <v>16</v>
      </c>
    </row>
    <row r="1292" spans="1:4" x14ac:dyDescent="0.2">
      <c r="A1292" s="44" t="s">
        <v>7</v>
      </c>
      <c r="B1292" s="37">
        <v>37162</v>
      </c>
      <c r="C1292" s="7">
        <v>37</v>
      </c>
      <c r="D1292" s="7">
        <v>11</v>
      </c>
    </row>
    <row r="1293" spans="1:4" x14ac:dyDescent="0.2">
      <c r="A1293" s="44" t="s">
        <v>7</v>
      </c>
      <c r="B1293" s="37">
        <v>37163</v>
      </c>
      <c r="C1293" s="7">
        <v>37</v>
      </c>
      <c r="D1293" s="7">
        <v>29</v>
      </c>
    </row>
    <row r="1294" spans="1:4" x14ac:dyDescent="0.2">
      <c r="A1294" s="44" t="s">
        <v>7</v>
      </c>
      <c r="B1294" s="37">
        <v>37164</v>
      </c>
      <c r="C1294" s="7">
        <v>40</v>
      </c>
      <c r="D1294" s="7">
        <v>25</v>
      </c>
    </row>
    <row r="1295" spans="1:4" x14ac:dyDescent="0.2">
      <c r="A1295" s="44" t="s">
        <v>7</v>
      </c>
      <c r="B1295" s="37">
        <v>37165</v>
      </c>
      <c r="C1295" s="7">
        <v>37</v>
      </c>
      <c r="D1295" s="7">
        <v>28</v>
      </c>
    </row>
    <row r="1296" spans="1:4" x14ac:dyDescent="0.2">
      <c r="A1296" s="44" t="s">
        <v>7</v>
      </c>
      <c r="B1296" s="37">
        <v>37166</v>
      </c>
      <c r="C1296" s="7">
        <v>50</v>
      </c>
      <c r="D1296" s="7">
        <v>30</v>
      </c>
    </row>
    <row r="1297" spans="1:4" x14ac:dyDescent="0.2">
      <c r="A1297" s="44" t="s">
        <v>7</v>
      </c>
      <c r="B1297" s="37">
        <v>37167</v>
      </c>
      <c r="C1297" s="7">
        <v>34</v>
      </c>
      <c r="D1297" s="7">
        <v>29</v>
      </c>
    </row>
    <row r="1298" spans="1:4" x14ac:dyDescent="0.2">
      <c r="A1298" s="44" t="s">
        <v>7</v>
      </c>
      <c r="B1298" s="37">
        <v>37168</v>
      </c>
      <c r="C1298" s="7">
        <v>35</v>
      </c>
      <c r="D1298" s="7">
        <v>24</v>
      </c>
    </row>
    <row r="1299" spans="1:4" x14ac:dyDescent="0.2">
      <c r="A1299" s="44" t="s">
        <v>7</v>
      </c>
      <c r="B1299" s="37">
        <v>37169</v>
      </c>
      <c r="C1299" s="7">
        <v>47</v>
      </c>
      <c r="D1299" s="7">
        <v>11</v>
      </c>
    </row>
    <row r="1300" spans="1:4" x14ac:dyDescent="0.2">
      <c r="A1300" s="44" t="s">
        <v>7</v>
      </c>
      <c r="B1300" s="37">
        <v>37170</v>
      </c>
      <c r="C1300" s="7">
        <v>48</v>
      </c>
      <c r="D1300" s="7">
        <v>27</v>
      </c>
    </row>
    <row r="1301" spans="1:4" x14ac:dyDescent="0.2">
      <c r="A1301" s="44" t="s">
        <v>7</v>
      </c>
      <c r="B1301" s="37">
        <v>37171</v>
      </c>
      <c r="C1301" s="7">
        <v>38</v>
      </c>
      <c r="D1301" s="7">
        <v>13</v>
      </c>
    </row>
    <row r="1302" spans="1:4" x14ac:dyDescent="0.2">
      <c r="A1302" s="44" t="s">
        <v>7</v>
      </c>
      <c r="B1302" s="37">
        <v>37172</v>
      </c>
      <c r="C1302" s="7">
        <v>36</v>
      </c>
      <c r="D1302" s="7">
        <v>32</v>
      </c>
    </row>
    <row r="1303" spans="1:4" x14ac:dyDescent="0.2">
      <c r="A1303" s="44" t="s">
        <v>7</v>
      </c>
      <c r="B1303" s="37">
        <v>37173</v>
      </c>
      <c r="C1303" s="7">
        <v>34</v>
      </c>
      <c r="D1303" s="7">
        <v>28</v>
      </c>
    </row>
    <row r="1304" spans="1:4" x14ac:dyDescent="0.2">
      <c r="A1304" s="44" t="s">
        <v>7</v>
      </c>
      <c r="B1304" s="37">
        <v>37174</v>
      </c>
      <c r="C1304" s="7">
        <v>50</v>
      </c>
      <c r="D1304" s="7">
        <v>16</v>
      </c>
    </row>
    <row r="1305" spans="1:4" x14ac:dyDescent="0.2">
      <c r="A1305" s="44" t="s">
        <v>7</v>
      </c>
      <c r="B1305" s="37">
        <v>37175</v>
      </c>
      <c r="C1305" s="7">
        <v>44</v>
      </c>
      <c r="D1305" s="7">
        <v>27</v>
      </c>
    </row>
    <row r="1306" spans="1:4" x14ac:dyDescent="0.2">
      <c r="A1306" s="44" t="s">
        <v>7</v>
      </c>
      <c r="B1306" s="37">
        <v>37176</v>
      </c>
      <c r="C1306" s="7">
        <v>47</v>
      </c>
      <c r="D1306" s="7">
        <v>16</v>
      </c>
    </row>
    <row r="1307" spans="1:4" x14ac:dyDescent="0.2">
      <c r="A1307" s="44" t="s">
        <v>7</v>
      </c>
      <c r="B1307" s="37">
        <v>37177</v>
      </c>
      <c r="C1307" s="7">
        <v>31</v>
      </c>
      <c r="D1307" s="7">
        <v>16</v>
      </c>
    </row>
    <row r="1308" spans="1:4" x14ac:dyDescent="0.2">
      <c r="A1308" s="44" t="s">
        <v>7</v>
      </c>
      <c r="B1308" s="37">
        <v>37178</v>
      </c>
      <c r="C1308" s="7">
        <v>43</v>
      </c>
      <c r="D1308" s="7">
        <v>31</v>
      </c>
    </row>
    <row r="1309" spans="1:4" x14ac:dyDescent="0.2">
      <c r="A1309" s="44" t="s">
        <v>7</v>
      </c>
      <c r="B1309" s="37">
        <v>37179</v>
      </c>
      <c r="C1309" s="7">
        <v>35</v>
      </c>
      <c r="D1309" s="7">
        <v>31</v>
      </c>
    </row>
    <row r="1310" spans="1:4" x14ac:dyDescent="0.2">
      <c r="A1310" s="44" t="s">
        <v>7</v>
      </c>
      <c r="B1310" s="37">
        <v>37180</v>
      </c>
      <c r="C1310" s="7">
        <v>50</v>
      </c>
      <c r="D1310" s="7">
        <v>23</v>
      </c>
    </row>
    <row r="1311" spans="1:4" x14ac:dyDescent="0.2">
      <c r="A1311" s="44" t="s">
        <v>7</v>
      </c>
      <c r="B1311" s="37">
        <v>37181</v>
      </c>
      <c r="C1311" s="7">
        <v>42</v>
      </c>
      <c r="D1311" s="7">
        <v>32</v>
      </c>
    </row>
    <row r="1312" spans="1:4" x14ac:dyDescent="0.2">
      <c r="A1312" s="44" t="s">
        <v>7</v>
      </c>
      <c r="B1312" s="37">
        <v>37182</v>
      </c>
      <c r="C1312" s="7">
        <v>37</v>
      </c>
      <c r="D1312" s="7">
        <v>19</v>
      </c>
    </row>
    <row r="1313" spans="1:4" x14ac:dyDescent="0.2">
      <c r="A1313" s="44" t="s">
        <v>7</v>
      </c>
      <c r="B1313" s="37">
        <v>37183</v>
      </c>
      <c r="C1313" s="7">
        <v>37</v>
      </c>
      <c r="D1313" s="7">
        <v>11</v>
      </c>
    </row>
    <row r="1314" spans="1:4" x14ac:dyDescent="0.2">
      <c r="A1314" s="44" t="s">
        <v>7</v>
      </c>
      <c r="B1314" s="37">
        <v>37184</v>
      </c>
      <c r="C1314" s="7">
        <v>31</v>
      </c>
      <c r="D1314" s="7">
        <v>12</v>
      </c>
    </row>
    <row r="1315" spans="1:4" x14ac:dyDescent="0.2">
      <c r="A1315" s="44" t="s">
        <v>7</v>
      </c>
      <c r="B1315" s="37">
        <v>37185</v>
      </c>
      <c r="C1315" s="7">
        <v>41</v>
      </c>
      <c r="D1315" s="7">
        <v>26</v>
      </c>
    </row>
    <row r="1316" spans="1:4" x14ac:dyDescent="0.2">
      <c r="A1316" s="44" t="s">
        <v>7</v>
      </c>
      <c r="B1316" s="37">
        <v>37186</v>
      </c>
      <c r="C1316" s="7">
        <v>40</v>
      </c>
      <c r="D1316" s="7">
        <v>17</v>
      </c>
    </row>
    <row r="1317" spans="1:4" x14ac:dyDescent="0.2">
      <c r="A1317" s="44" t="s">
        <v>7</v>
      </c>
      <c r="B1317" s="37">
        <v>37187</v>
      </c>
      <c r="C1317" s="7">
        <v>42</v>
      </c>
      <c r="D1317" s="7">
        <v>27</v>
      </c>
    </row>
    <row r="1318" spans="1:4" x14ac:dyDescent="0.2">
      <c r="A1318" s="44" t="s">
        <v>7</v>
      </c>
      <c r="B1318" s="37">
        <v>37188</v>
      </c>
      <c r="C1318" s="7">
        <v>31</v>
      </c>
      <c r="D1318" s="7">
        <v>13</v>
      </c>
    </row>
    <row r="1319" spans="1:4" x14ac:dyDescent="0.2">
      <c r="A1319" s="44" t="s">
        <v>7</v>
      </c>
      <c r="B1319" s="37">
        <v>37189</v>
      </c>
      <c r="C1319" s="7">
        <v>32</v>
      </c>
      <c r="D1319" s="7">
        <v>21</v>
      </c>
    </row>
    <row r="1320" spans="1:4" x14ac:dyDescent="0.2">
      <c r="A1320" s="44" t="s">
        <v>7</v>
      </c>
      <c r="B1320" s="37">
        <v>37190</v>
      </c>
      <c r="C1320" s="7">
        <v>32</v>
      </c>
      <c r="D1320" s="7">
        <v>28</v>
      </c>
    </row>
    <row r="1321" spans="1:4" x14ac:dyDescent="0.2">
      <c r="A1321" s="44" t="s">
        <v>7</v>
      </c>
      <c r="B1321" s="37">
        <v>37191</v>
      </c>
      <c r="C1321" s="7">
        <v>50</v>
      </c>
      <c r="D1321" s="7">
        <v>24</v>
      </c>
    </row>
    <row r="1322" spans="1:4" x14ac:dyDescent="0.2">
      <c r="A1322" s="44" t="s">
        <v>7</v>
      </c>
      <c r="B1322" s="37">
        <v>37192</v>
      </c>
      <c r="C1322" s="7">
        <v>48</v>
      </c>
      <c r="D1322" s="7">
        <v>13</v>
      </c>
    </row>
    <row r="1323" spans="1:4" x14ac:dyDescent="0.2">
      <c r="A1323" s="44" t="s">
        <v>7</v>
      </c>
      <c r="B1323" s="37">
        <v>37193</v>
      </c>
      <c r="C1323" s="7">
        <v>49</v>
      </c>
      <c r="D1323" s="7">
        <v>25</v>
      </c>
    </row>
    <row r="1324" spans="1:4" x14ac:dyDescent="0.2">
      <c r="A1324" s="44" t="s">
        <v>7</v>
      </c>
      <c r="B1324" s="37">
        <v>37194</v>
      </c>
      <c r="C1324" s="7">
        <v>32</v>
      </c>
      <c r="D1324" s="7">
        <v>17</v>
      </c>
    </row>
    <row r="1325" spans="1:4" x14ac:dyDescent="0.2">
      <c r="A1325" s="44" t="s">
        <v>7</v>
      </c>
      <c r="B1325" s="37">
        <v>37195</v>
      </c>
      <c r="C1325" s="7">
        <v>32</v>
      </c>
      <c r="D1325" s="7">
        <v>22</v>
      </c>
    </row>
    <row r="1326" spans="1:4" x14ac:dyDescent="0.2">
      <c r="A1326" s="44" t="s">
        <v>7</v>
      </c>
      <c r="B1326" s="37">
        <v>37196</v>
      </c>
      <c r="C1326" s="7">
        <v>44</v>
      </c>
      <c r="D1326" s="7">
        <v>27</v>
      </c>
    </row>
    <row r="1327" spans="1:4" x14ac:dyDescent="0.2">
      <c r="A1327" s="44" t="s">
        <v>7</v>
      </c>
      <c r="B1327" s="37">
        <v>37197</v>
      </c>
      <c r="C1327" s="7">
        <v>41</v>
      </c>
      <c r="D1327" s="7">
        <v>13</v>
      </c>
    </row>
    <row r="1328" spans="1:4" x14ac:dyDescent="0.2">
      <c r="A1328" s="44" t="s">
        <v>7</v>
      </c>
      <c r="B1328" s="37">
        <v>37198</v>
      </c>
      <c r="C1328" s="7">
        <v>41</v>
      </c>
      <c r="D1328" s="7">
        <v>32</v>
      </c>
    </row>
    <row r="1329" spans="1:4" x14ac:dyDescent="0.2">
      <c r="A1329" s="44" t="s">
        <v>7</v>
      </c>
      <c r="B1329" s="37">
        <v>37199</v>
      </c>
      <c r="C1329" s="7">
        <v>35</v>
      </c>
      <c r="D1329" s="7">
        <v>27</v>
      </c>
    </row>
    <row r="1330" spans="1:4" x14ac:dyDescent="0.2">
      <c r="A1330" s="44" t="s">
        <v>7</v>
      </c>
      <c r="B1330" s="37">
        <v>37200</v>
      </c>
      <c r="C1330" s="7">
        <v>44</v>
      </c>
      <c r="D1330" s="7">
        <v>26</v>
      </c>
    </row>
    <row r="1331" spans="1:4" x14ac:dyDescent="0.2">
      <c r="A1331" s="44" t="s">
        <v>7</v>
      </c>
      <c r="B1331" s="37">
        <v>37201</v>
      </c>
      <c r="C1331" s="7">
        <v>34</v>
      </c>
      <c r="D1331" s="7">
        <v>31</v>
      </c>
    </row>
    <row r="1332" spans="1:4" x14ac:dyDescent="0.2">
      <c r="A1332" s="44" t="s">
        <v>7</v>
      </c>
      <c r="B1332" s="37">
        <v>37202</v>
      </c>
      <c r="C1332" s="7">
        <v>34</v>
      </c>
      <c r="D1332" s="7">
        <v>26</v>
      </c>
    </row>
    <row r="1333" spans="1:4" x14ac:dyDescent="0.2">
      <c r="A1333" s="44" t="s">
        <v>7</v>
      </c>
      <c r="B1333" s="37">
        <v>37203</v>
      </c>
      <c r="C1333" s="7">
        <v>50</v>
      </c>
      <c r="D1333" s="7">
        <v>11</v>
      </c>
    </row>
    <row r="1334" spans="1:4" x14ac:dyDescent="0.2">
      <c r="A1334" s="44" t="s">
        <v>7</v>
      </c>
      <c r="B1334" s="37">
        <v>37204</v>
      </c>
      <c r="C1334" s="7">
        <v>32</v>
      </c>
      <c r="D1334" s="7">
        <v>29</v>
      </c>
    </row>
    <row r="1335" spans="1:4" x14ac:dyDescent="0.2">
      <c r="A1335" s="44" t="s">
        <v>7</v>
      </c>
      <c r="B1335" s="37">
        <v>37205</v>
      </c>
      <c r="C1335" s="7">
        <v>46</v>
      </c>
      <c r="D1335" s="7">
        <v>10</v>
      </c>
    </row>
    <row r="1336" spans="1:4" x14ac:dyDescent="0.2">
      <c r="A1336" s="44" t="s">
        <v>7</v>
      </c>
      <c r="B1336" s="37">
        <v>37206</v>
      </c>
      <c r="C1336" s="7">
        <v>45</v>
      </c>
      <c r="D1336" s="7">
        <v>23</v>
      </c>
    </row>
    <row r="1337" spans="1:4" x14ac:dyDescent="0.2">
      <c r="A1337" s="44" t="s">
        <v>7</v>
      </c>
      <c r="B1337" s="37">
        <v>37207</v>
      </c>
      <c r="C1337" s="7">
        <v>43</v>
      </c>
      <c r="D1337" s="7">
        <v>29</v>
      </c>
    </row>
    <row r="1338" spans="1:4" x14ac:dyDescent="0.2">
      <c r="A1338" s="44" t="s">
        <v>7</v>
      </c>
      <c r="B1338" s="37">
        <v>37208</v>
      </c>
      <c r="C1338" s="7">
        <v>36</v>
      </c>
      <c r="D1338" s="7">
        <v>24</v>
      </c>
    </row>
    <row r="1339" spans="1:4" x14ac:dyDescent="0.2">
      <c r="A1339" s="44" t="s">
        <v>7</v>
      </c>
      <c r="B1339" s="37">
        <v>37209</v>
      </c>
      <c r="C1339" s="7">
        <v>47</v>
      </c>
      <c r="D1339" s="7">
        <v>15</v>
      </c>
    </row>
    <row r="1340" spans="1:4" x14ac:dyDescent="0.2">
      <c r="A1340" s="44" t="s">
        <v>7</v>
      </c>
      <c r="B1340" s="37">
        <v>37210</v>
      </c>
      <c r="C1340" s="7">
        <v>45</v>
      </c>
      <c r="D1340" s="7">
        <v>30</v>
      </c>
    </row>
    <row r="1341" spans="1:4" x14ac:dyDescent="0.2">
      <c r="A1341" s="44" t="s">
        <v>7</v>
      </c>
      <c r="B1341" s="37">
        <v>37211</v>
      </c>
      <c r="C1341" s="7">
        <v>33</v>
      </c>
      <c r="D1341" s="7">
        <v>11</v>
      </c>
    </row>
    <row r="1342" spans="1:4" x14ac:dyDescent="0.2">
      <c r="A1342" s="44" t="s">
        <v>7</v>
      </c>
      <c r="B1342" s="37">
        <v>37212</v>
      </c>
      <c r="C1342" s="7">
        <v>50</v>
      </c>
      <c r="D1342" s="7">
        <v>21</v>
      </c>
    </row>
    <row r="1343" spans="1:4" x14ac:dyDescent="0.2">
      <c r="A1343" s="44" t="s">
        <v>7</v>
      </c>
      <c r="B1343" s="37">
        <v>37213</v>
      </c>
      <c r="C1343" s="7">
        <v>49</v>
      </c>
      <c r="D1343" s="7">
        <v>16</v>
      </c>
    </row>
    <row r="1344" spans="1:4" x14ac:dyDescent="0.2">
      <c r="A1344" s="44" t="s">
        <v>7</v>
      </c>
      <c r="B1344" s="37">
        <v>37214</v>
      </c>
      <c r="C1344" s="7">
        <v>38</v>
      </c>
      <c r="D1344" s="7">
        <v>13</v>
      </c>
    </row>
    <row r="1345" spans="1:4" x14ac:dyDescent="0.2">
      <c r="A1345" s="44" t="s">
        <v>7</v>
      </c>
      <c r="B1345" s="37">
        <v>37215</v>
      </c>
      <c r="C1345" s="7">
        <v>42</v>
      </c>
      <c r="D1345" s="7">
        <v>14</v>
      </c>
    </row>
    <row r="1346" spans="1:4" x14ac:dyDescent="0.2">
      <c r="A1346" s="44" t="s">
        <v>7</v>
      </c>
      <c r="B1346" s="37">
        <v>37216</v>
      </c>
      <c r="C1346" s="7">
        <v>42</v>
      </c>
      <c r="D1346" s="7">
        <v>15</v>
      </c>
    </row>
    <row r="1347" spans="1:4" x14ac:dyDescent="0.2">
      <c r="A1347" s="44" t="s">
        <v>7</v>
      </c>
      <c r="B1347" s="37">
        <v>37217</v>
      </c>
      <c r="C1347" s="7">
        <v>40</v>
      </c>
      <c r="D1347" s="7">
        <v>12</v>
      </c>
    </row>
    <row r="1348" spans="1:4" x14ac:dyDescent="0.2">
      <c r="A1348" s="44" t="s">
        <v>7</v>
      </c>
      <c r="B1348" s="37">
        <v>37218</v>
      </c>
      <c r="C1348" s="7">
        <v>48</v>
      </c>
      <c r="D1348" s="7">
        <v>31</v>
      </c>
    </row>
    <row r="1349" spans="1:4" x14ac:dyDescent="0.2">
      <c r="A1349" s="44" t="s">
        <v>7</v>
      </c>
      <c r="B1349" s="37">
        <v>37219</v>
      </c>
      <c r="C1349" s="7">
        <v>47</v>
      </c>
      <c r="D1349" s="7">
        <v>29</v>
      </c>
    </row>
    <row r="1350" spans="1:4" x14ac:dyDescent="0.2">
      <c r="A1350" s="44" t="s">
        <v>7</v>
      </c>
      <c r="B1350" s="37">
        <v>37220</v>
      </c>
      <c r="C1350" s="7">
        <v>37</v>
      </c>
      <c r="D1350" s="7">
        <v>31</v>
      </c>
    </row>
    <row r="1351" spans="1:4" x14ac:dyDescent="0.2">
      <c r="A1351" s="44" t="s">
        <v>7</v>
      </c>
      <c r="B1351" s="37">
        <v>37221</v>
      </c>
      <c r="C1351" s="7">
        <v>49</v>
      </c>
      <c r="D1351" s="7">
        <v>23</v>
      </c>
    </row>
    <row r="1352" spans="1:4" x14ac:dyDescent="0.2">
      <c r="A1352" s="44" t="s">
        <v>7</v>
      </c>
      <c r="B1352" s="37">
        <v>37222</v>
      </c>
      <c r="C1352" s="7">
        <v>43</v>
      </c>
      <c r="D1352" s="7">
        <v>26</v>
      </c>
    </row>
    <row r="1353" spans="1:4" x14ac:dyDescent="0.2">
      <c r="A1353" s="44" t="s">
        <v>7</v>
      </c>
      <c r="B1353" s="37">
        <v>37223</v>
      </c>
      <c r="C1353" s="7">
        <v>49</v>
      </c>
      <c r="D1353" s="7">
        <v>20</v>
      </c>
    </row>
    <row r="1354" spans="1:4" x14ac:dyDescent="0.2">
      <c r="A1354" s="44" t="s">
        <v>7</v>
      </c>
      <c r="B1354" s="37">
        <v>37224</v>
      </c>
      <c r="C1354" s="7">
        <v>36</v>
      </c>
      <c r="D1354" s="7">
        <v>20</v>
      </c>
    </row>
    <row r="1355" spans="1:4" x14ac:dyDescent="0.2">
      <c r="A1355" s="44" t="s">
        <v>7</v>
      </c>
      <c r="B1355" s="37">
        <v>37225</v>
      </c>
      <c r="C1355" s="7">
        <v>41</v>
      </c>
      <c r="D1355" s="7">
        <v>12</v>
      </c>
    </row>
    <row r="1356" spans="1:4" x14ac:dyDescent="0.2">
      <c r="A1356" s="44" t="s">
        <v>7</v>
      </c>
      <c r="B1356" s="37">
        <v>37226</v>
      </c>
      <c r="C1356" s="7">
        <v>49</v>
      </c>
      <c r="D1356" s="7">
        <v>19</v>
      </c>
    </row>
    <row r="1357" spans="1:4" x14ac:dyDescent="0.2">
      <c r="A1357" s="44" t="s">
        <v>7</v>
      </c>
      <c r="B1357" s="37">
        <v>37227</v>
      </c>
      <c r="C1357" s="7">
        <v>35</v>
      </c>
      <c r="D1357" s="7">
        <v>14</v>
      </c>
    </row>
    <row r="1358" spans="1:4" x14ac:dyDescent="0.2">
      <c r="A1358" s="44" t="s">
        <v>7</v>
      </c>
      <c r="B1358" s="37">
        <v>37228</v>
      </c>
      <c r="C1358" s="7">
        <v>49</v>
      </c>
      <c r="D1358" s="7">
        <v>14</v>
      </c>
    </row>
    <row r="1359" spans="1:4" x14ac:dyDescent="0.2">
      <c r="A1359" s="44" t="s">
        <v>7</v>
      </c>
      <c r="B1359" s="37">
        <v>37229</v>
      </c>
      <c r="C1359" s="7">
        <v>32</v>
      </c>
      <c r="D1359" s="7">
        <v>30</v>
      </c>
    </row>
    <row r="1360" spans="1:4" x14ac:dyDescent="0.2">
      <c r="A1360" s="44" t="s">
        <v>7</v>
      </c>
      <c r="B1360" s="37">
        <v>37230</v>
      </c>
      <c r="C1360" s="7">
        <v>46</v>
      </c>
      <c r="D1360" s="7">
        <v>21</v>
      </c>
    </row>
    <row r="1361" spans="1:4" x14ac:dyDescent="0.2">
      <c r="A1361" s="44" t="s">
        <v>7</v>
      </c>
      <c r="B1361" s="37">
        <v>37231</v>
      </c>
      <c r="C1361" s="7">
        <v>39</v>
      </c>
      <c r="D1361" s="7">
        <v>10</v>
      </c>
    </row>
    <row r="1362" spans="1:4" x14ac:dyDescent="0.2">
      <c r="A1362" s="44" t="s">
        <v>22</v>
      </c>
      <c r="B1362" s="37">
        <v>36892</v>
      </c>
      <c r="C1362" s="7">
        <f>SUMIFS(C$342:C$1361,$B$342:$B$1361,$B1362)</f>
        <v>128</v>
      </c>
      <c r="D1362" s="7">
        <f>SUMIFS(D$342:D$1361,$B$342:$B$1361,$B1362)</f>
        <v>75</v>
      </c>
    </row>
    <row r="1363" spans="1:4" x14ac:dyDescent="0.2">
      <c r="A1363" s="44" t="s">
        <v>22</v>
      </c>
      <c r="B1363" s="37">
        <v>36893</v>
      </c>
      <c r="C1363" s="7">
        <f t="shared" ref="C1363:D1426" si="0">SUMIFS(C$342:C$1361,$B$342:$B$1361,$B1363)</f>
        <v>126</v>
      </c>
      <c r="D1363" s="7">
        <f t="shared" si="0"/>
        <v>78</v>
      </c>
    </row>
    <row r="1364" spans="1:4" x14ac:dyDescent="0.2">
      <c r="A1364" s="44" t="s">
        <v>22</v>
      </c>
      <c r="B1364" s="37">
        <v>36894</v>
      </c>
      <c r="C1364" s="7">
        <f t="shared" si="0"/>
        <v>142</v>
      </c>
      <c r="D1364" s="7">
        <f t="shared" si="0"/>
        <v>83</v>
      </c>
    </row>
    <row r="1365" spans="1:4" x14ac:dyDescent="0.2">
      <c r="A1365" s="44" t="s">
        <v>22</v>
      </c>
      <c r="B1365" s="37">
        <v>36895</v>
      </c>
      <c r="C1365" s="7">
        <f t="shared" si="0"/>
        <v>125</v>
      </c>
      <c r="D1365" s="7">
        <f t="shared" si="0"/>
        <v>63</v>
      </c>
    </row>
    <row r="1366" spans="1:4" x14ac:dyDescent="0.2">
      <c r="A1366" s="44" t="s">
        <v>22</v>
      </c>
      <c r="B1366" s="37">
        <v>36896</v>
      </c>
      <c r="C1366" s="7">
        <f t="shared" si="0"/>
        <v>142</v>
      </c>
      <c r="D1366" s="7">
        <f t="shared" si="0"/>
        <v>71</v>
      </c>
    </row>
    <row r="1367" spans="1:4" x14ac:dyDescent="0.2">
      <c r="A1367" s="44" t="s">
        <v>22</v>
      </c>
      <c r="B1367" s="37">
        <v>36897</v>
      </c>
      <c r="C1367" s="7">
        <f t="shared" si="0"/>
        <v>123</v>
      </c>
      <c r="D1367" s="7">
        <f t="shared" si="0"/>
        <v>72</v>
      </c>
    </row>
    <row r="1368" spans="1:4" x14ac:dyDescent="0.2">
      <c r="A1368" s="44" t="s">
        <v>22</v>
      </c>
      <c r="B1368" s="37">
        <v>36898</v>
      </c>
      <c r="C1368" s="7">
        <f t="shared" si="0"/>
        <v>129</v>
      </c>
      <c r="D1368" s="7">
        <f t="shared" si="0"/>
        <v>67</v>
      </c>
    </row>
    <row r="1369" spans="1:4" x14ac:dyDescent="0.2">
      <c r="A1369" s="44" t="s">
        <v>22</v>
      </c>
      <c r="B1369" s="37">
        <v>36899</v>
      </c>
      <c r="C1369" s="7">
        <f t="shared" si="0"/>
        <v>140</v>
      </c>
      <c r="D1369" s="7">
        <f t="shared" si="0"/>
        <v>79</v>
      </c>
    </row>
    <row r="1370" spans="1:4" x14ac:dyDescent="0.2">
      <c r="A1370" s="44" t="s">
        <v>22</v>
      </c>
      <c r="B1370" s="37">
        <v>36900</v>
      </c>
      <c r="C1370" s="7">
        <f t="shared" si="0"/>
        <v>137</v>
      </c>
      <c r="D1370" s="7">
        <f t="shared" si="0"/>
        <v>87</v>
      </c>
    </row>
    <row r="1371" spans="1:4" x14ac:dyDescent="0.2">
      <c r="A1371" s="44" t="s">
        <v>22</v>
      </c>
      <c r="B1371" s="37">
        <v>36901</v>
      </c>
      <c r="C1371" s="7">
        <f t="shared" si="0"/>
        <v>135</v>
      </c>
      <c r="D1371" s="7">
        <f t="shared" si="0"/>
        <v>78</v>
      </c>
    </row>
    <row r="1372" spans="1:4" x14ac:dyDescent="0.2">
      <c r="A1372" s="44" t="s">
        <v>22</v>
      </c>
      <c r="B1372" s="37">
        <v>36902</v>
      </c>
      <c r="C1372" s="7">
        <f t="shared" si="0"/>
        <v>144</v>
      </c>
      <c r="D1372" s="7">
        <f t="shared" si="0"/>
        <v>64</v>
      </c>
    </row>
    <row r="1373" spans="1:4" x14ac:dyDescent="0.2">
      <c r="A1373" s="44" t="s">
        <v>22</v>
      </c>
      <c r="B1373" s="37">
        <v>36903</v>
      </c>
      <c r="C1373" s="7">
        <f t="shared" si="0"/>
        <v>113</v>
      </c>
      <c r="D1373" s="7">
        <f t="shared" si="0"/>
        <v>64</v>
      </c>
    </row>
    <row r="1374" spans="1:4" x14ac:dyDescent="0.2">
      <c r="A1374" s="44" t="s">
        <v>22</v>
      </c>
      <c r="B1374" s="37">
        <v>36904</v>
      </c>
      <c r="C1374" s="7">
        <f t="shared" si="0"/>
        <v>118</v>
      </c>
      <c r="D1374" s="7">
        <f t="shared" si="0"/>
        <v>99</v>
      </c>
    </row>
    <row r="1375" spans="1:4" x14ac:dyDescent="0.2">
      <c r="A1375" s="44" t="s">
        <v>22</v>
      </c>
      <c r="B1375" s="37">
        <v>36905</v>
      </c>
      <c r="C1375" s="7">
        <f t="shared" si="0"/>
        <v>151</v>
      </c>
      <c r="D1375" s="7">
        <f t="shared" si="0"/>
        <v>67</v>
      </c>
    </row>
    <row r="1376" spans="1:4" x14ac:dyDescent="0.2">
      <c r="A1376" s="44" t="s">
        <v>22</v>
      </c>
      <c r="B1376" s="37">
        <v>36906</v>
      </c>
      <c r="C1376" s="7">
        <f t="shared" si="0"/>
        <v>135</v>
      </c>
      <c r="D1376" s="7">
        <f t="shared" si="0"/>
        <v>68</v>
      </c>
    </row>
    <row r="1377" spans="1:4" x14ac:dyDescent="0.2">
      <c r="A1377" s="44" t="s">
        <v>22</v>
      </c>
      <c r="B1377" s="37">
        <v>36907</v>
      </c>
      <c r="C1377" s="7">
        <f t="shared" si="0"/>
        <v>147</v>
      </c>
      <c r="D1377" s="7">
        <f t="shared" si="0"/>
        <v>70</v>
      </c>
    </row>
    <row r="1378" spans="1:4" x14ac:dyDescent="0.2">
      <c r="A1378" s="44" t="s">
        <v>22</v>
      </c>
      <c r="B1378" s="37">
        <v>36908</v>
      </c>
      <c r="C1378" s="7">
        <f t="shared" si="0"/>
        <v>136</v>
      </c>
      <c r="D1378" s="7">
        <f t="shared" si="0"/>
        <v>85</v>
      </c>
    </row>
    <row r="1379" spans="1:4" x14ac:dyDescent="0.2">
      <c r="A1379" s="44" t="s">
        <v>22</v>
      </c>
      <c r="B1379" s="37">
        <v>36909</v>
      </c>
      <c r="C1379" s="7">
        <f t="shared" si="0"/>
        <v>131</v>
      </c>
      <c r="D1379" s="7">
        <f t="shared" si="0"/>
        <v>83</v>
      </c>
    </row>
    <row r="1380" spans="1:4" x14ac:dyDescent="0.2">
      <c r="A1380" s="44" t="s">
        <v>22</v>
      </c>
      <c r="B1380" s="37">
        <v>36910</v>
      </c>
      <c r="C1380" s="7">
        <f t="shared" si="0"/>
        <v>129</v>
      </c>
      <c r="D1380" s="7">
        <f t="shared" si="0"/>
        <v>65</v>
      </c>
    </row>
    <row r="1381" spans="1:4" x14ac:dyDescent="0.2">
      <c r="A1381" s="44" t="s">
        <v>22</v>
      </c>
      <c r="B1381" s="37">
        <v>36911</v>
      </c>
      <c r="C1381" s="7">
        <f t="shared" si="0"/>
        <v>129</v>
      </c>
      <c r="D1381" s="7">
        <f t="shared" si="0"/>
        <v>70</v>
      </c>
    </row>
    <row r="1382" spans="1:4" x14ac:dyDescent="0.2">
      <c r="A1382" s="44" t="s">
        <v>22</v>
      </c>
      <c r="B1382" s="37">
        <v>36912</v>
      </c>
      <c r="C1382" s="7">
        <f t="shared" si="0"/>
        <v>144</v>
      </c>
      <c r="D1382" s="7">
        <f t="shared" si="0"/>
        <v>61</v>
      </c>
    </row>
    <row r="1383" spans="1:4" x14ac:dyDescent="0.2">
      <c r="A1383" s="44" t="s">
        <v>22</v>
      </c>
      <c r="B1383" s="37">
        <v>36913</v>
      </c>
      <c r="C1383" s="7">
        <f t="shared" si="0"/>
        <v>125</v>
      </c>
      <c r="D1383" s="7">
        <f t="shared" si="0"/>
        <v>86</v>
      </c>
    </row>
    <row r="1384" spans="1:4" x14ac:dyDescent="0.2">
      <c r="A1384" s="44" t="s">
        <v>22</v>
      </c>
      <c r="B1384" s="37">
        <v>36914</v>
      </c>
      <c r="C1384" s="7">
        <f t="shared" si="0"/>
        <v>134</v>
      </c>
      <c r="D1384" s="7">
        <f t="shared" si="0"/>
        <v>73</v>
      </c>
    </row>
    <row r="1385" spans="1:4" x14ac:dyDescent="0.2">
      <c r="A1385" s="44" t="s">
        <v>22</v>
      </c>
      <c r="B1385" s="37">
        <v>36915</v>
      </c>
      <c r="C1385" s="7">
        <f t="shared" si="0"/>
        <v>130</v>
      </c>
      <c r="D1385" s="7">
        <f t="shared" si="0"/>
        <v>71</v>
      </c>
    </row>
    <row r="1386" spans="1:4" x14ac:dyDescent="0.2">
      <c r="A1386" s="44" t="s">
        <v>22</v>
      </c>
      <c r="B1386" s="37">
        <v>36916</v>
      </c>
      <c r="C1386" s="7">
        <f t="shared" si="0"/>
        <v>146</v>
      </c>
      <c r="D1386" s="7">
        <f t="shared" si="0"/>
        <v>74</v>
      </c>
    </row>
    <row r="1387" spans="1:4" x14ac:dyDescent="0.2">
      <c r="A1387" s="44" t="s">
        <v>22</v>
      </c>
      <c r="B1387" s="37">
        <v>36917</v>
      </c>
      <c r="C1387" s="7">
        <f t="shared" si="0"/>
        <v>134</v>
      </c>
      <c r="D1387" s="7">
        <f t="shared" si="0"/>
        <v>73</v>
      </c>
    </row>
    <row r="1388" spans="1:4" x14ac:dyDescent="0.2">
      <c r="A1388" s="44" t="s">
        <v>22</v>
      </c>
      <c r="B1388" s="37">
        <v>36918</v>
      </c>
      <c r="C1388" s="7">
        <f t="shared" si="0"/>
        <v>133</v>
      </c>
      <c r="D1388" s="7">
        <f t="shared" si="0"/>
        <v>82</v>
      </c>
    </row>
    <row r="1389" spans="1:4" x14ac:dyDescent="0.2">
      <c r="A1389" s="44" t="s">
        <v>22</v>
      </c>
      <c r="B1389" s="37">
        <v>36919</v>
      </c>
      <c r="C1389" s="7">
        <f t="shared" si="0"/>
        <v>138</v>
      </c>
      <c r="D1389" s="7">
        <f t="shared" si="0"/>
        <v>77</v>
      </c>
    </row>
    <row r="1390" spans="1:4" x14ac:dyDescent="0.2">
      <c r="A1390" s="44" t="s">
        <v>22</v>
      </c>
      <c r="B1390" s="37">
        <v>36920</v>
      </c>
      <c r="C1390" s="7">
        <f t="shared" si="0"/>
        <v>128</v>
      </c>
      <c r="D1390" s="7">
        <f t="shared" si="0"/>
        <v>70</v>
      </c>
    </row>
    <row r="1391" spans="1:4" x14ac:dyDescent="0.2">
      <c r="A1391" s="44" t="s">
        <v>22</v>
      </c>
      <c r="B1391" s="37">
        <v>36921</v>
      </c>
      <c r="C1391" s="7">
        <f t="shared" si="0"/>
        <v>136</v>
      </c>
      <c r="D1391" s="7">
        <f t="shared" si="0"/>
        <v>59</v>
      </c>
    </row>
    <row r="1392" spans="1:4" x14ac:dyDescent="0.2">
      <c r="A1392" s="44" t="s">
        <v>22</v>
      </c>
      <c r="B1392" s="37">
        <v>36922</v>
      </c>
      <c r="C1392" s="7">
        <f t="shared" si="0"/>
        <v>112</v>
      </c>
      <c r="D1392" s="7">
        <f t="shared" si="0"/>
        <v>86</v>
      </c>
    </row>
    <row r="1393" spans="1:4" x14ac:dyDescent="0.2">
      <c r="A1393" s="44" t="s">
        <v>22</v>
      </c>
      <c r="B1393" s="37">
        <v>36923</v>
      </c>
      <c r="C1393" s="7">
        <f t="shared" si="0"/>
        <v>122</v>
      </c>
      <c r="D1393" s="7">
        <f t="shared" si="0"/>
        <v>63</v>
      </c>
    </row>
    <row r="1394" spans="1:4" x14ac:dyDescent="0.2">
      <c r="A1394" s="44" t="s">
        <v>22</v>
      </c>
      <c r="B1394" s="37">
        <v>36924</v>
      </c>
      <c r="C1394" s="7">
        <f t="shared" si="0"/>
        <v>129</v>
      </c>
      <c r="D1394" s="7">
        <f t="shared" si="0"/>
        <v>76</v>
      </c>
    </row>
    <row r="1395" spans="1:4" x14ac:dyDescent="0.2">
      <c r="A1395" s="44" t="s">
        <v>22</v>
      </c>
      <c r="B1395" s="37">
        <v>36925</v>
      </c>
      <c r="C1395" s="7">
        <f t="shared" si="0"/>
        <v>134</v>
      </c>
      <c r="D1395" s="7">
        <f t="shared" si="0"/>
        <v>59</v>
      </c>
    </row>
    <row r="1396" spans="1:4" x14ac:dyDescent="0.2">
      <c r="A1396" s="44" t="s">
        <v>22</v>
      </c>
      <c r="B1396" s="37">
        <v>36926</v>
      </c>
      <c r="C1396" s="7">
        <f t="shared" si="0"/>
        <v>128</v>
      </c>
      <c r="D1396" s="7">
        <f t="shared" si="0"/>
        <v>61</v>
      </c>
    </row>
    <row r="1397" spans="1:4" x14ac:dyDescent="0.2">
      <c r="A1397" s="44" t="s">
        <v>22</v>
      </c>
      <c r="B1397" s="37">
        <v>36927</v>
      </c>
      <c r="C1397" s="7">
        <f t="shared" si="0"/>
        <v>148</v>
      </c>
      <c r="D1397" s="7">
        <f t="shared" si="0"/>
        <v>68</v>
      </c>
    </row>
    <row r="1398" spans="1:4" x14ac:dyDescent="0.2">
      <c r="A1398" s="44" t="s">
        <v>22</v>
      </c>
      <c r="B1398" s="37">
        <v>36928</v>
      </c>
      <c r="C1398" s="7">
        <f t="shared" si="0"/>
        <v>137</v>
      </c>
      <c r="D1398" s="7">
        <f t="shared" si="0"/>
        <v>50</v>
      </c>
    </row>
    <row r="1399" spans="1:4" x14ac:dyDescent="0.2">
      <c r="A1399" s="44" t="s">
        <v>22</v>
      </c>
      <c r="B1399" s="37">
        <v>36929</v>
      </c>
      <c r="C1399" s="7">
        <f t="shared" si="0"/>
        <v>117</v>
      </c>
      <c r="D1399" s="7">
        <f t="shared" si="0"/>
        <v>86</v>
      </c>
    </row>
    <row r="1400" spans="1:4" x14ac:dyDescent="0.2">
      <c r="A1400" s="44" t="s">
        <v>22</v>
      </c>
      <c r="B1400" s="37">
        <v>36930</v>
      </c>
      <c r="C1400" s="7">
        <f t="shared" si="0"/>
        <v>144</v>
      </c>
      <c r="D1400" s="7">
        <f t="shared" si="0"/>
        <v>82</v>
      </c>
    </row>
    <row r="1401" spans="1:4" x14ac:dyDescent="0.2">
      <c r="A1401" s="44" t="s">
        <v>22</v>
      </c>
      <c r="B1401" s="37">
        <v>36931</v>
      </c>
      <c r="C1401" s="7">
        <f t="shared" si="0"/>
        <v>141</v>
      </c>
      <c r="D1401" s="7">
        <f t="shared" si="0"/>
        <v>78</v>
      </c>
    </row>
    <row r="1402" spans="1:4" x14ac:dyDescent="0.2">
      <c r="A1402" s="44" t="s">
        <v>22</v>
      </c>
      <c r="B1402" s="37">
        <v>36932</v>
      </c>
      <c r="C1402" s="7">
        <f t="shared" si="0"/>
        <v>145</v>
      </c>
      <c r="D1402" s="7">
        <f t="shared" si="0"/>
        <v>74</v>
      </c>
    </row>
    <row r="1403" spans="1:4" x14ac:dyDescent="0.2">
      <c r="A1403" s="44" t="s">
        <v>22</v>
      </c>
      <c r="B1403" s="37">
        <v>36933</v>
      </c>
      <c r="C1403" s="7">
        <f t="shared" si="0"/>
        <v>123</v>
      </c>
      <c r="D1403" s="7">
        <f t="shared" si="0"/>
        <v>63</v>
      </c>
    </row>
    <row r="1404" spans="1:4" x14ac:dyDescent="0.2">
      <c r="A1404" s="44" t="s">
        <v>22</v>
      </c>
      <c r="B1404" s="37">
        <v>36934</v>
      </c>
      <c r="C1404" s="7">
        <f t="shared" si="0"/>
        <v>125</v>
      </c>
      <c r="D1404" s="7">
        <f t="shared" si="0"/>
        <v>80</v>
      </c>
    </row>
    <row r="1405" spans="1:4" x14ac:dyDescent="0.2">
      <c r="A1405" s="44" t="s">
        <v>22</v>
      </c>
      <c r="B1405" s="37">
        <v>36935</v>
      </c>
      <c r="C1405" s="7">
        <f t="shared" si="0"/>
        <v>137</v>
      </c>
      <c r="D1405" s="7">
        <f t="shared" si="0"/>
        <v>80</v>
      </c>
    </row>
    <row r="1406" spans="1:4" x14ac:dyDescent="0.2">
      <c r="A1406" s="44" t="s">
        <v>22</v>
      </c>
      <c r="B1406" s="37">
        <v>36936</v>
      </c>
      <c r="C1406" s="7">
        <f t="shared" si="0"/>
        <v>134</v>
      </c>
      <c r="D1406" s="7">
        <f t="shared" si="0"/>
        <v>98</v>
      </c>
    </row>
    <row r="1407" spans="1:4" x14ac:dyDescent="0.2">
      <c r="A1407" s="44" t="s">
        <v>22</v>
      </c>
      <c r="B1407" s="37">
        <v>36937</v>
      </c>
      <c r="C1407" s="7">
        <f t="shared" si="0"/>
        <v>130</v>
      </c>
      <c r="D1407" s="7">
        <f t="shared" si="0"/>
        <v>78</v>
      </c>
    </row>
    <row r="1408" spans="1:4" x14ac:dyDescent="0.2">
      <c r="A1408" s="44" t="s">
        <v>22</v>
      </c>
      <c r="B1408" s="37">
        <v>36938</v>
      </c>
      <c r="C1408" s="7">
        <f t="shared" si="0"/>
        <v>133</v>
      </c>
      <c r="D1408" s="7">
        <f t="shared" si="0"/>
        <v>65</v>
      </c>
    </row>
    <row r="1409" spans="1:4" x14ac:dyDescent="0.2">
      <c r="A1409" s="44" t="s">
        <v>22</v>
      </c>
      <c r="B1409" s="37">
        <v>36939</v>
      </c>
      <c r="C1409" s="7">
        <f t="shared" si="0"/>
        <v>141</v>
      </c>
      <c r="D1409" s="7">
        <f t="shared" si="0"/>
        <v>101</v>
      </c>
    </row>
    <row r="1410" spans="1:4" x14ac:dyDescent="0.2">
      <c r="A1410" s="44" t="s">
        <v>22</v>
      </c>
      <c r="B1410" s="37">
        <v>36940</v>
      </c>
      <c r="C1410" s="7">
        <f t="shared" si="0"/>
        <v>123</v>
      </c>
      <c r="D1410" s="7">
        <f t="shared" si="0"/>
        <v>99</v>
      </c>
    </row>
    <row r="1411" spans="1:4" x14ac:dyDescent="0.2">
      <c r="A1411" s="44" t="s">
        <v>22</v>
      </c>
      <c r="B1411" s="37">
        <v>36941</v>
      </c>
      <c r="C1411" s="7">
        <f t="shared" si="0"/>
        <v>143</v>
      </c>
      <c r="D1411" s="7">
        <f t="shared" si="0"/>
        <v>88</v>
      </c>
    </row>
    <row r="1412" spans="1:4" x14ac:dyDescent="0.2">
      <c r="A1412" s="44" t="s">
        <v>22</v>
      </c>
      <c r="B1412" s="37">
        <v>36942</v>
      </c>
      <c r="C1412" s="7">
        <f t="shared" si="0"/>
        <v>118</v>
      </c>
      <c r="D1412" s="7">
        <f t="shared" si="0"/>
        <v>88</v>
      </c>
    </row>
    <row r="1413" spans="1:4" x14ac:dyDescent="0.2">
      <c r="A1413" s="44" t="s">
        <v>22</v>
      </c>
      <c r="B1413" s="37">
        <v>36943</v>
      </c>
      <c r="C1413" s="7">
        <f t="shared" si="0"/>
        <v>141</v>
      </c>
      <c r="D1413" s="7">
        <f t="shared" si="0"/>
        <v>77</v>
      </c>
    </row>
    <row r="1414" spans="1:4" x14ac:dyDescent="0.2">
      <c r="A1414" s="44" t="s">
        <v>22</v>
      </c>
      <c r="B1414" s="37">
        <v>36944</v>
      </c>
      <c r="C1414" s="7">
        <f t="shared" si="0"/>
        <v>121</v>
      </c>
      <c r="D1414" s="7">
        <f t="shared" si="0"/>
        <v>73</v>
      </c>
    </row>
    <row r="1415" spans="1:4" x14ac:dyDescent="0.2">
      <c r="A1415" s="44" t="s">
        <v>22</v>
      </c>
      <c r="B1415" s="37">
        <v>36945</v>
      </c>
      <c r="C1415" s="7">
        <f t="shared" si="0"/>
        <v>113</v>
      </c>
      <c r="D1415" s="7">
        <f t="shared" si="0"/>
        <v>69</v>
      </c>
    </row>
    <row r="1416" spans="1:4" x14ac:dyDescent="0.2">
      <c r="A1416" s="44" t="s">
        <v>22</v>
      </c>
      <c r="B1416" s="37">
        <v>36946</v>
      </c>
      <c r="C1416" s="7">
        <f t="shared" si="0"/>
        <v>128</v>
      </c>
      <c r="D1416" s="7">
        <f t="shared" si="0"/>
        <v>87</v>
      </c>
    </row>
    <row r="1417" spans="1:4" x14ac:dyDescent="0.2">
      <c r="A1417" s="44" t="s">
        <v>22</v>
      </c>
      <c r="B1417" s="37">
        <v>36947</v>
      </c>
      <c r="C1417" s="7">
        <f t="shared" si="0"/>
        <v>138</v>
      </c>
      <c r="D1417" s="7">
        <f t="shared" si="0"/>
        <v>47</v>
      </c>
    </row>
    <row r="1418" spans="1:4" x14ac:dyDescent="0.2">
      <c r="A1418" s="44" t="s">
        <v>22</v>
      </c>
      <c r="B1418" s="37">
        <v>36948</v>
      </c>
      <c r="C1418" s="7">
        <f t="shared" si="0"/>
        <v>116</v>
      </c>
      <c r="D1418" s="7">
        <f t="shared" si="0"/>
        <v>78</v>
      </c>
    </row>
    <row r="1419" spans="1:4" x14ac:dyDescent="0.2">
      <c r="A1419" s="44" t="s">
        <v>22</v>
      </c>
      <c r="B1419" s="37">
        <v>36949</v>
      </c>
      <c r="C1419" s="7">
        <f t="shared" si="0"/>
        <v>150</v>
      </c>
      <c r="D1419" s="7">
        <f t="shared" si="0"/>
        <v>72</v>
      </c>
    </row>
    <row r="1420" spans="1:4" x14ac:dyDescent="0.2">
      <c r="A1420" s="44" t="s">
        <v>22</v>
      </c>
      <c r="B1420" s="37">
        <v>36950</v>
      </c>
      <c r="C1420" s="7">
        <f t="shared" si="0"/>
        <v>119</v>
      </c>
      <c r="D1420" s="7">
        <f t="shared" si="0"/>
        <v>87</v>
      </c>
    </row>
    <row r="1421" spans="1:4" x14ac:dyDescent="0.2">
      <c r="A1421" s="44" t="s">
        <v>22</v>
      </c>
      <c r="B1421" s="37">
        <v>36951</v>
      </c>
      <c r="C1421" s="7">
        <f t="shared" si="0"/>
        <v>145</v>
      </c>
      <c r="D1421" s="7">
        <f t="shared" si="0"/>
        <v>76</v>
      </c>
    </row>
    <row r="1422" spans="1:4" x14ac:dyDescent="0.2">
      <c r="A1422" s="44" t="s">
        <v>22</v>
      </c>
      <c r="B1422" s="37">
        <v>36952</v>
      </c>
      <c r="C1422" s="7">
        <f t="shared" si="0"/>
        <v>127</v>
      </c>
      <c r="D1422" s="7">
        <f t="shared" si="0"/>
        <v>91</v>
      </c>
    </row>
    <row r="1423" spans="1:4" x14ac:dyDescent="0.2">
      <c r="A1423" s="44" t="s">
        <v>22</v>
      </c>
      <c r="B1423" s="37">
        <v>36953</v>
      </c>
      <c r="C1423" s="7">
        <f t="shared" si="0"/>
        <v>130</v>
      </c>
      <c r="D1423" s="7">
        <f t="shared" si="0"/>
        <v>68</v>
      </c>
    </row>
    <row r="1424" spans="1:4" x14ac:dyDescent="0.2">
      <c r="A1424" s="44" t="s">
        <v>22</v>
      </c>
      <c r="B1424" s="37">
        <v>36954</v>
      </c>
      <c r="C1424" s="7">
        <f t="shared" si="0"/>
        <v>126</v>
      </c>
      <c r="D1424" s="7">
        <f t="shared" si="0"/>
        <v>90</v>
      </c>
    </row>
    <row r="1425" spans="1:4" x14ac:dyDescent="0.2">
      <c r="A1425" s="44" t="s">
        <v>22</v>
      </c>
      <c r="B1425" s="37">
        <v>36955</v>
      </c>
      <c r="C1425" s="7">
        <f t="shared" si="0"/>
        <v>119</v>
      </c>
      <c r="D1425" s="7">
        <f t="shared" si="0"/>
        <v>59</v>
      </c>
    </row>
    <row r="1426" spans="1:4" x14ac:dyDescent="0.2">
      <c r="A1426" s="44" t="s">
        <v>22</v>
      </c>
      <c r="B1426" s="37">
        <v>36956</v>
      </c>
      <c r="C1426" s="7">
        <f t="shared" si="0"/>
        <v>115</v>
      </c>
      <c r="D1426" s="7">
        <f t="shared" si="0"/>
        <v>70</v>
      </c>
    </row>
    <row r="1427" spans="1:4" x14ac:dyDescent="0.2">
      <c r="A1427" s="44" t="s">
        <v>22</v>
      </c>
      <c r="B1427" s="37">
        <v>36957</v>
      </c>
      <c r="C1427" s="7">
        <f t="shared" ref="C1427:D1490" si="1">SUMIFS(C$342:C$1361,$B$342:$B$1361,$B1427)</f>
        <v>128</v>
      </c>
      <c r="D1427" s="7">
        <f t="shared" si="1"/>
        <v>78</v>
      </c>
    </row>
    <row r="1428" spans="1:4" x14ac:dyDescent="0.2">
      <c r="A1428" s="44" t="s">
        <v>22</v>
      </c>
      <c r="B1428" s="37">
        <v>36958</v>
      </c>
      <c r="C1428" s="7">
        <f t="shared" si="1"/>
        <v>135</v>
      </c>
      <c r="D1428" s="7">
        <f t="shared" si="1"/>
        <v>76</v>
      </c>
    </row>
    <row r="1429" spans="1:4" x14ac:dyDescent="0.2">
      <c r="A1429" s="44" t="s">
        <v>22</v>
      </c>
      <c r="B1429" s="37">
        <v>36959</v>
      </c>
      <c r="C1429" s="7">
        <f t="shared" si="1"/>
        <v>123</v>
      </c>
      <c r="D1429" s="7">
        <f t="shared" si="1"/>
        <v>64</v>
      </c>
    </row>
    <row r="1430" spans="1:4" x14ac:dyDescent="0.2">
      <c r="A1430" s="44" t="s">
        <v>22</v>
      </c>
      <c r="B1430" s="37">
        <v>36960</v>
      </c>
      <c r="C1430" s="7">
        <f t="shared" si="1"/>
        <v>124</v>
      </c>
      <c r="D1430" s="7">
        <f t="shared" si="1"/>
        <v>79</v>
      </c>
    </row>
    <row r="1431" spans="1:4" x14ac:dyDescent="0.2">
      <c r="A1431" s="44" t="s">
        <v>22</v>
      </c>
      <c r="B1431" s="37">
        <v>36961</v>
      </c>
      <c r="C1431" s="7">
        <f t="shared" si="1"/>
        <v>145</v>
      </c>
      <c r="D1431" s="7">
        <f t="shared" si="1"/>
        <v>80</v>
      </c>
    </row>
    <row r="1432" spans="1:4" x14ac:dyDescent="0.2">
      <c r="A1432" s="44" t="s">
        <v>22</v>
      </c>
      <c r="B1432" s="37">
        <v>36962</v>
      </c>
      <c r="C1432" s="7">
        <f t="shared" si="1"/>
        <v>135</v>
      </c>
      <c r="D1432" s="7">
        <f t="shared" si="1"/>
        <v>79</v>
      </c>
    </row>
    <row r="1433" spans="1:4" x14ac:dyDescent="0.2">
      <c r="A1433" s="44" t="s">
        <v>22</v>
      </c>
      <c r="B1433" s="37">
        <v>36963</v>
      </c>
      <c r="C1433" s="7">
        <f t="shared" si="1"/>
        <v>125</v>
      </c>
      <c r="D1433" s="7">
        <f t="shared" si="1"/>
        <v>73</v>
      </c>
    </row>
    <row r="1434" spans="1:4" x14ac:dyDescent="0.2">
      <c r="A1434" s="44" t="s">
        <v>22</v>
      </c>
      <c r="B1434" s="37">
        <v>36964</v>
      </c>
      <c r="C1434" s="7">
        <f t="shared" si="1"/>
        <v>118</v>
      </c>
      <c r="D1434" s="7">
        <f t="shared" si="1"/>
        <v>90</v>
      </c>
    </row>
    <row r="1435" spans="1:4" x14ac:dyDescent="0.2">
      <c r="A1435" s="44" t="s">
        <v>22</v>
      </c>
      <c r="B1435" s="37">
        <v>36965</v>
      </c>
      <c r="C1435" s="7">
        <f t="shared" si="1"/>
        <v>117</v>
      </c>
      <c r="D1435" s="7">
        <f t="shared" si="1"/>
        <v>57</v>
      </c>
    </row>
    <row r="1436" spans="1:4" x14ac:dyDescent="0.2">
      <c r="A1436" s="44" t="s">
        <v>22</v>
      </c>
      <c r="B1436" s="37">
        <v>36966</v>
      </c>
      <c r="C1436" s="7">
        <f t="shared" si="1"/>
        <v>145</v>
      </c>
      <c r="D1436" s="7">
        <f t="shared" si="1"/>
        <v>69</v>
      </c>
    </row>
    <row r="1437" spans="1:4" x14ac:dyDescent="0.2">
      <c r="A1437" s="44" t="s">
        <v>22</v>
      </c>
      <c r="B1437" s="37">
        <v>36967</v>
      </c>
      <c r="C1437" s="7">
        <f t="shared" si="1"/>
        <v>149</v>
      </c>
      <c r="D1437" s="7">
        <f t="shared" si="1"/>
        <v>80</v>
      </c>
    </row>
    <row r="1438" spans="1:4" x14ac:dyDescent="0.2">
      <c r="A1438" s="44" t="s">
        <v>22</v>
      </c>
      <c r="B1438" s="37">
        <v>36968</v>
      </c>
      <c r="C1438" s="7">
        <f t="shared" si="1"/>
        <v>123</v>
      </c>
      <c r="D1438" s="7">
        <f t="shared" si="1"/>
        <v>79</v>
      </c>
    </row>
    <row r="1439" spans="1:4" x14ac:dyDescent="0.2">
      <c r="A1439" s="44" t="s">
        <v>22</v>
      </c>
      <c r="B1439" s="37">
        <v>36969</v>
      </c>
      <c r="C1439" s="7">
        <f t="shared" si="1"/>
        <v>125</v>
      </c>
      <c r="D1439" s="7">
        <f t="shared" si="1"/>
        <v>59</v>
      </c>
    </row>
    <row r="1440" spans="1:4" x14ac:dyDescent="0.2">
      <c r="A1440" s="44" t="s">
        <v>22</v>
      </c>
      <c r="B1440" s="37">
        <v>36970</v>
      </c>
      <c r="C1440" s="7">
        <f t="shared" si="1"/>
        <v>126</v>
      </c>
      <c r="D1440" s="7">
        <f t="shared" si="1"/>
        <v>80</v>
      </c>
    </row>
    <row r="1441" spans="1:4" x14ac:dyDescent="0.2">
      <c r="A1441" s="44" t="s">
        <v>22</v>
      </c>
      <c r="B1441" s="37">
        <v>36971</v>
      </c>
      <c r="C1441" s="7">
        <f t="shared" si="1"/>
        <v>113</v>
      </c>
      <c r="D1441" s="7">
        <f t="shared" si="1"/>
        <v>68</v>
      </c>
    </row>
    <row r="1442" spans="1:4" x14ac:dyDescent="0.2">
      <c r="A1442" s="44" t="s">
        <v>22</v>
      </c>
      <c r="B1442" s="37">
        <v>36972</v>
      </c>
      <c r="C1442" s="7">
        <f t="shared" si="1"/>
        <v>138</v>
      </c>
      <c r="D1442" s="7">
        <f t="shared" si="1"/>
        <v>54</v>
      </c>
    </row>
    <row r="1443" spans="1:4" x14ac:dyDescent="0.2">
      <c r="A1443" s="44" t="s">
        <v>22</v>
      </c>
      <c r="B1443" s="37">
        <v>36973</v>
      </c>
      <c r="C1443" s="7">
        <f t="shared" si="1"/>
        <v>110</v>
      </c>
      <c r="D1443" s="7">
        <f t="shared" si="1"/>
        <v>79</v>
      </c>
    </row>
    <row r="1444" spans="1:4" x14ac:dyDescent="0.2">
      <c r="A1444" s="44" t="s">
        <v>22</v>
      </c>
      <c r="B1444" s="37">
        <v>36974</v>
      </c>
      <c r="C1444" s="7">
        <f t="shared" si="1"/>
        <v>135</v>
      </c>
      <c r="D1444" s="7">
        <f t="shared" si="1"/>
        <v>87</v>
      </c>
    </row>
    <row r="1445" spans="1:4" x14ac:dyDescent="0.2">
      <c r="A1445" s="44" t="s">
        <v>22</v>
      </c>
      <c r="B1445" s="37">
        <v>36975</v>
      </c>
      <c r="C1445" s="7">
        <f t="shared" si="1"/>
        <v>140</v>
      </c>
      <c r="D1445" s="7">
        <f t="shared" si="1"/>
        <v>98</v>
      </c>
    </row>
    <row r="1446" spans="1:4" x14ac:dyDescent="0.2">
      <c r="A1446" s="44" t="s">
        <v>22</v>
      </c>
      <c r="B1446" s="37">
        <v>36976</v>
      </c>
      <c r="C1446" s="7">
        <f t="shared" si="1"/>
        <v>145</v>
      </c>
      <c r="D1446" s="7">
        <f t="shared" si="1"/>
        <v>69</v>
      </c>
    </row>
    <row r="1447" spans="1:4" x14ac:dyDescent="0.2">
      <c r="A1447" s="44" t="s">
        <v>22</v>
      </c>
      <c r="B1447" s="37">
        <v>36977</v>
      </c>
      <c r="C1447" s="7">
        <f t="shared" si="1"/>
        <v>121</v>
      </c>
      <c r="D1447" s="7">
        <f t="shared" si="1"/>
        <v>68</v>
      </c>
    </row>
    <row r="1448" spans="1:4" x14ac:dyDescent="0.2">
      <c r="A1448" s="44" t="s">
        <v>22</v>
      </c>
      <c r="B1448" s="37">
        <v>36978</v>
      </c>
      <c r="C1448" s="7">
        <f t="shared" si="1"/>
        <v>118</v>
      </c>
      <c r="D1448" s="7">
        <f t="shared" si="1"/>
        <v>83</v>
      </c>
    </row>
    <row r="1449" spans="1:4" x14ac:dyDescent="0.2">
      <c r="A1449" s="44" t="s">
        <v>22</v>
      </c>
      <c r="B1449" s="37">
        <v>36979</v>
      </c>
      <c r="C1449" s="7">
        <f t="shared" si="1"/>
        <v>128</v>
      </c>
      <c r="D1449" s="7">
        <f t="shared" si="1"/>
        <v>84</v>
      </c>
    </row>
    <row r="1450" spans="1:4" x14ac:dyDescent="0.2">
      <c r="A1450" s="44" t="s">
        <v>22</v>
      </c>
      <c r="B1450" s="37">
        <v>36980</v>
      </c>
      <c r="C1450" s="7">
        <f t="shared" si="1"/>
        <v>123</v>
      </c>
      <c r="D1450" s="7">
        <f t="shared" si="1"/>
        <v>83</v>
      </c>
    </row>
    <row r="1451" spans="1:4" x14ac:dyDescent="0.2">
      <c r="A1451" s="44" t="s">
        <v>22</v>
      </c>
      <c r="B1451" s="37">
        <v>36981</v>
      </c>
      <c r="C1451" s="7">
        <f t="shared" si="1"/>
        <v>115</v>
      </c>
      <c r="D1451" s="7">
        <f t="shared" si="1"/>
        <v>76</v>
      </c>
    </row>
    <row r="1452" spans="1:4" x14ac:dyDescent="0.2">
      <c r="A1452" s="44" t="s">
        <v>22</v>
      </c>
      <c r="B1452" s="37">
        <v>36982</v>
      </c>
      <c r="C1452" s="7">
        <f t="shared" si="1"/>
        <v>142</v>
      </c>
      <c r="D1452" s="7">
        <f t="shared" si="1"/>
        <v>64</v>
      </c>
    </row>
    <row r="1453" spans="1:4" x14ac:dyDescent="0.2">
      <c r="A1453" s="44" t="s">
        <v>22</v>
      </c>
      <c r="B1453" s="37">
        <v>36983</v>
      </c>
      <c r="C1453" s="7">
        <f t="shared" si="1"/>
        <v>134</v>
      </c>
      <c r="D1453" s="7">
        <f t="shared" si="1"/>
        <v>79</v>
      </c>
    </row>
    <row r="1454" spans="1:4" x14ac:dyDescent="0.2">
      <c r="A1454" s="44" t="s">
        <v>22</v>
      </c>
      <c r="B1454" s="37">
        <v>36984</v>
      </c>
      <c r="C1454" s="7">
        <f t="shared" si="1"/>
        <v>140</v>
      </c>
      <c r="D1454" s="7">
        <f t="shared" si="1"/>
        <v>71</v>
      </c>
    </row>
    <row r="1455" spans="1:4" x14ac:dyDescent="0.2">
      <c r="A1455" s="44" t="s">
        <v>22</v>
      </c>
      <c r="B1455" s="37">
        <v>36985</v>
      </c>
      <c r="C1455" s="7">
        <f t="shared" si="1"/>
        <v>132</v>
      </c>
      <c r="D1455" s="7">
        <f t="shared" si="1"/>
        <v>71</v>
      </c>
    </row>
    <row r="1456" spans="1:4" x14ac:dyDescent="0.2">
      <c r="A1456" s="44" t="s">
        <v>22</v>
      </c>
      <c r="B1456" s="37">
        <v>36986</v>
      </c>
      <c r="C1456" s="7">
        <f t="shared" si="1"/>
        <v>123</v>
      </c>
      <c r="D1456" s="7">
        <f t="shared" si="1"/>
        <v>77</v>
      </c>
    </row>
    <row r="1457" spans="1:4" x14ac:dyDescent="0.2">
      <c r="A1457" s="44" t="s">
        <v>22</v>
      </c>
      <c r="B1457" s="37">
        <v>36987</v>
      </c>
      <c r="C1457" s="7">
        <f t="shared" si="1"/>
        <v>138</v>
      </c>
      <c r="D1457" s="7">
        <f t="shared" si="1"/>
        <v>71</v>
      </c>
    </row>
    <row r="1458" spans="1:4" x14ac:dyDescent="0.2">
      <c r="A1458" s="44" t="s">
        <v>22</v>
      </c>
      <c r="B1458" s="37">
        <v>36988</v>
      </c>
      <c r="C1458" s="7">
        <f t="shared" si="1"/>
        <v>120</v>
      </c>
      <c r="D1458" s="7">
        <f t="shared" si="1"/>
        <v>67</v>
      </c>
    </row>
    <row r="1459" spans="1:4" x14ac:dyDescent="0.2">
      <c r="A1459" s="44" t="s">
        <v>22</v>
      </c>
      <c r="B1459" s="37">
        <v>36989</v>
      </c>
      <c r="C1459" s="7">
        <f t="shared" si="1"/>
        <v>118</v>
      </c>
      <c r="D1459" s="7">
        <f t="shared" si="1"/>
        <v>85</v>
      </c>
    </row>
    <row r="1460" spans="1:4" x14ac:dyDescent="0.2">
      <c r="A1460" s="44" t="s">
        <v>22</v>
      </c>
      <c r="B1460" s="37">
        <v>36990</v>
      </c>
      <c r="C1460" s="7">
        <f t="shared" si="1"/>
        <v>141</v>
      </c>
      <c r="D1460" s="7">
        <f t="shared" si="1"/>
        <v>81</v>
      </c>
    </row>
    <row r="1461" spans="1:4" x14ac:dyDescent="0.2">
      <c r="A1461" s="44" t="s">
        <v>22</v>
      </c>
      <c r="B1461" s="37">
        <v>36991</v>
      </c>
      <c r="C1461" s="7">
        <f t="shared" si="1"/>
        <v>130</v>
      </c>
      <c r="D1461" s="7">
        <f t="shared" si="1"/>
        <v>82</v>
      </c>
    </row>
    <row r="1462" spans="1:4" x14ac:dyDescent="0.2">
      <c r="A1462" s="44" t="s">
        <v>22</v>
      </c>
      <c r="B1462" s="37">
        <v>36992</v>
      </c>
      <c r="C1462" s="7">
        <f t="shared" si="1"/>
        <v>133</v>
      </c>
      <c r="D1462" s="7">
        <f t="shared" si="1"/>
        <v>77</v>
      </c>
    </row>
    <row r="1463" spans="1:4" x14ac:dyDescent="0.2">
      <c r="A1463" s="44" t="s">
        <v>22</v>
      </c>
      <c r="B1463" s="37">
        <v>36993</v>
      </c>
      <c r="C1463" s="7">
        <f t="shared" si="1"/>
        <v>136</v>
      </c>
      <c r="D1463" s="7">
        <f t="shared" si="1"/>
        <v>85</v>
      </c>
    </row>
    <row r="1464" spans="1:4" x14ac:dyDescent="0.2">
      <c r="A1464" s="44" t="s">
        <v>22</v>
      </c>
      <c r="B1464" s="37">
        <v>36994</v>
      </c>
      <c r="C1464" s="7">
        <f t="shared" si="1"/>
        <v>131</v>
      </c>
      <c r="D1464" s="7">
        <f t="shared" si="1"/>
        <v>83</v>
      </c>
    </row>
    <row r="1465" spans="1:4" x14ac:dyDescent="0.2">
      <c r="A1465" s="44" t="s">
        <v>22</v>
      </c>
      <c r="B1465" s="37">
        <v>36995</v>
      </c>
      <c r="C1465" s="7">
        <f t="shared" si="1"/>
        <v>107</v>
      </c>
      <c r="D1465" s="7">
        <f t="shared" si="1"/>
        <v>66</v>
      </c>
    </row>
    <row r="1466" spans="1:4" x14ac:dyDescent="0.2">
      <c r="A1466" s="44" t="s">
        <v>22</v>
      </c>
      <c r="B1466" s="37">
        <v>36996</v>
      </c>
      <c r="C1466" s="7">
        <f t="shared" si="1"/>
        <v>128</v>
      </c>
      <c r="D1466" s="7">
        <f t="shared" si="1"/>
        <v>87</v>
      </c>
    </row>
    <row r="1467" spans="1:4" x14ac:dyDescent="0.2">
      <c r="A1467" s="44" t="s">
        <v>22</v>
      </c>
      <c r="B1467" s="37">
        <v>36997</v>
      </c>
      <c r="C1467" s="7">
        <f t="shared" si="1"/>
        <v>118</v>
      </c>
      <c r="D1467" s="7">
        <f t="shared" si="1"/>
        <v>72</v>
      </c>
    </row>
    <row r="1468" spans="1:4" x14ac:dyDescent="0.2">
      <c r="A1468" s="44" t="s">
        <v>22</v>
      </c>
      <c r="B1468" s="37">
        <v>36998</v>
      </c>
      <c r="C1468" s="7">
        <f t="shared" si="1"/>
        <v>136</v>
      </c>
      <c r="D1468" s="7">
        <f t="shared" si="1"/>
        <v>60</v>
      </c>
    </row>
    <row r="1469" spans="1:4" x14ac:dyDescent="0.2">
      <c r="A1469" s="44" t="s">
        <v>22</v>
      </c>
      <c r="B1469" s="37">
        <v>36999</v>
      </c>
      <c r="C1469" s="7">
        <f t="shared" si="1"/>
        <v>126</v>
      </c>
      <c r="D1469" s="7">
        <f t="shared" si="1"/>
        <v>83</v>
      </c>
    </row>
    <row r="1470" spans="1:4" x14ac:dyDescent="0.2">
      <c r="A1470" s="44" t="s">
        <v>22</v>
      </c>
      <c r="B1470" s="37">
        <v>37000</v>
      </c>
      <c r="C1470" s="7">
        <f t="shared" si="1"/>
        <v>125</v>
      </c>
      <c r="D1470" s="7">
        <f t="shared" si="1"/>
        <v>66</v>
      </c>
    </row>
    <row r="1471" spans="1:4" x14ac:dyDescent="0.2">
      <c r="A1471" s="44" t="s">
        <v>22</v>
      </c>
      <c r="B1471" s="37">
        <v>37001</v>
      </c>
      <c r="C1471" s="7">
        <f t="shared" si="1"/>
        <v>131</v>
      </c>
      <c r="D1471" s="7">
        <f t="shared" si="1"/>
        <v>85</v>
      </c>
    </row>
    <row r="1472" spans="1:4" x14ac:dyDescent="0.2">
      <c r="A1472" s="44" t="s">
        <v>22</v>
      </c>
      <c r="B1472" s="37">
        <v>37002</v>
      </c>
      <c r="C1472" s="7">
        <f t="shared" si="1"/>
        <v>131</v>
      </c>
      <c r="D1472" s="7">
        <f t="shared" si="1"/>
        <v>62</v>
      </c>
    </row>
    <row r="1473" spans="1:4" x14ac:dyDescent="0.2">
      <c r="A1473" s="44" t="s">
        <v>22</v>
      </c>
      <c r="B1473" s="37">
        <v>37003</v>
      </c>
      <c r="C1473" s="7">
        <f t="shared" si="1"/>
        <v>115</v>
      </c>
      <c r="D1473" s="7">
        <f t="shared" si="1"/>
        <v>68</v>
      </c>
    </row>
    <row r="1474" spans="1:4" x14ac:dyDescent="0.2">
      <c r="A1474" s="44" t="s">
        <v>22</v>
      </c>
      <c r="B1474" s="37">
        <v>37004</v>
      </c>
      <c r="C1474" s="7">
        <f t="shared" si="1"/>
        <v>152</v>
      </c>
      <c r="D1474" s="7">
        <f t="shared" si="1"/>
        <v>85</v>
      </c>
    </row>
    <row r="1475" spans="1:4" x14ac:dyDescent="0.2">
      <c r="A1475" s="44" t="s">
        <v>22</v>
      </c>
      <c r="B1475" s="37">
        <v>37005</v>
      </c>
      <c r="C1475" s="7">
        <f t="shared" si="1"/>
        <v>152</v>
      </c>
      <c r="D1475" s="7">
        <f t="shared" si="1"/>
        <v>76</v>
      </c>
    </row>
    <row r="1476" spans="1:4" x14ac:dyDescent="0.2">
      <c r="A1476" s="44" t="s">
        <v>22</v>
      </c>
      <c r="B1476" s="37">
        <v>37006</v>
      </c>
      <c r="C1476" s="7">
        <f t="shared" si="1"/>
        <v>131</v>
      </c>
      <c r="D1476" s="7">
        <f t="shared" si="1"/>
        <v>83</v>
      </c>
    </row>
    <row r="1477" spans="1:4" x14ac:dyDescent="0.2">
      <c r="A1477" s="44" t="s">
        <v>22</v>
      </c>
      <c r="B1477" s="37">
        <v>37007</v>
      </c>
      <c r="C1477" s="7">
        <f t="shared" si="1"/>
        <v>137</v>
      </c>
      <c r="D1477" s="7">
        <f t="shared" si="1"/>
        <v>96</v>
      </c>
    </row>
    <row r="1478" spans="1:4" x14ac:dyDescent="0.2">
      <c r="A1478" s="44" t="s">
        <v>22</v>
      </c>
      <c r="B1478" s="37">
        <v>37008</v>
      </c>
      <c r="C1478" s="7">
        <f t="shared" si="1"/>
        <v>125</v>
      </c>
      <c r="D1478" s="7">
        <f t="shared" si="1"/>
        <v>78</v>
      </c>
    </row>
    <row r="1479" spans="1:4" x14ac:dyDescent="0.2">
      <c r="A1479" s="44" t="s">
        <v>22</v>
      </c>
      <c r="B1479" s="37">
        <v>37009</v>
      </c>
      <c r="C1479" s="7">
        <f t="shared" si="1"/>
        <v>117</v>
      </c>
      <c r="D1479" s="7">
        <f t="shared" si="1"/>
        <v>88</v>
      </c>
    </row>
    <row r="1480" spans="1:4" x14ac:dyDescent="0.2">
      <c r="A1480" s="44" t="s">
        <v>22</v>
      </c>
      <c r="B1480" s="37">
        <v>37010</v>
      </c>
      <c r="C1480" s="7">
        <f t="shared" si="1"/>
        <v>132</v>
      </c>
      <c r="D1480" s="7">
        <f t="shared" si="1"/>
        <v>68</v>
      </c>
    </row>
    <row r="1481" spans="1:4" x14ac:dyDescent="0.2">
      <c r="A1481" s="44" t="s">
        <v>22</v>
      </c>
      <c r="B1481" s="37">
        <v>37011</v>
      </c>
      <c r="C1481" s="7">
        <f t="shared" si="1"/>
        <v>116</v>
      </c>
      <c r="D1481" s="7">
        <f t="shared" si="1"/>
        <v>81</v>
      </c>
    </row>
    <row r="1482" spans="1:4" x14ac:dyDescent="0.2">
      <c r="A1482" s="44" t="s">
        <v>22</v>
      </c>
      <c r="B1482" s="37">
        <v>37012</v>
      </c>
      <c r="C1482" s="7">
        <f t="shared" si="1"/>
        <v>141</v>
      </c>
      <c r="D1482" s="7">
        <f t="shared" si="1"/>
        <v>85</v>
      </c>
    </row>
    <row r="1483" spans="1:4" x14ac:dyDescent="0.2">
      <c r="A1483" s="44" t="s">
        <v>22</v>
      </c>
      <c r="B1483" s="37">
        <v>37013</v>
      </c>
      <c r="C1483" s="7">
        <f t="shared" si="1"/>
        <v>119</v>
      </c>
      <c r="D1483" s="7">
        <f t="shared" si="1"/>
        <v>55</v>
      </c>
    </row>
    <row r="1484" spans="1:4" x14ac:dyDescent="0.2">
      <c r="A1484" s="44" t="s">
        <v>22</v>
      </c>
      <c r="B1484" s="37">
        <v>37014</v>
      </c>
      <c r="C1484" s="7">
        <f t="shared" si="1"/>
        <v>119</v>
      </c>
      <c r="D1484" s="7">
        <f t="shared" si="1"/>
        <v>72</v>
      </c>
    </row>
    <row r="1485" spans="1:4" x14ac:dyDescent="0.2">
      <c r="A1485" s="44" t="s">
        <v>22</v>
      </c>
      <c r="B1485" s="37">
        <v>37015</v>
      </c>
      <c r="C1485" s="7">
        <f t="shared" si="1"/>
        <v>127</v>
      </c>
      <c r="D1485" s="7">
        <f t="shared" si="1"/>
        <v>83</v>
      </c>
    </row>
    <row r="1486" spans="1:4" x14ac:dyDescent="0.2">
      <c r="A1486" s="44" t="s">
        <v>22</v>
      </c>
      <c r="B1486" s="37">
        <v>37016</v>
      </c>
      <c r="C1486" s="7">
        <f t="shared" si="1"/>
        <v>123</v>
      </c>
      <c r="D1486" s="7">
        <f t="shared" si="1"/>
        <v>63</v>
      </c>
    </row>
    <row r="1487" spans="1:4" x14ac:dyDescent="0.2">
      <c r="A1487" s="44" t="s">
        <v>22</v>
      </c>
      <c r="B1487" s="37">
        <v>37017</v>
      </c>
      <c r="C1487" s="7">
        <f t="shared" si="1"/>
        <v>109</v>
      </c>
      <c r="D1487" s="7">
        <f t="shared" si="1"/>
        <v>93</v>
      </c>
    </row>
    <row r="1488" spans="1:4" x14ac:dyDescent="0.2">
      <c r="A1488" s="44" t="s">
        <v>22</v>
      </c>
      <c r="B1488" s="37">
        <v>37018</v>
      </c>
      <c r="C1488" s="7">
        <f t="shared" si="1"/>
        <v>132</v>
      </c>
      <c r="D1488" s="7">
        <f t="shared" si="1"/>
        <v>62</v>
      </c>
    </row>
    <row r="1489" spans="1:4" x14ac:dyDescent="0.2">
      <c r="A1489" s="44" t="s">
        <v>22</v>
      </c>
      <c r="B1489" s="37">
        <v>37019</v>
      </c>
      <c r="C1489" s="7">
        <f t="shared" si="1"/>
        <v>147</v>
      </c>
      <c r="D1489" s="7">
        <f t="shared" si="1"/>
        <v>85</v>
      </c>
    </row>
    <row r="1490" spans="1:4" x14ac:dyDescent="0.2">
      <c r="A1490" s="44" t="s">
        <v>22</v>
      </c>
      <c r="B1490" s="37">
        <v>37020</v>
      </c>
      <c r="C1490" s="7">
        <f t="shared" si="1"/>
        <v>120</v>
      </c>
      <c r="D1490" s="7">
        <f t="shared" si="1"/>
        <v>78</v>
      </c>
    </row>
    <row r="1491" spans="1:4" x14ac:dyDescent="0.2">
      <c r="A1491" s="44" t="s">
        <v>22</v>
      </c>
      <c r="B1491" s="37">
        <v>37021</v>
      </c>
      <c r="C1491" s="7">
        <f t="shared" ref="C1491:D1554" si="2">SUMIFS(C$342:C$1361,$B$342:$B$1361,$B1491)</f>
        <v>113</v>
      </c>
      <c r="D1491" s="7">
        <f t="shared" si="2"/>
        <v>74</v>
      </c>
    </row>
    <row r="1492" spans="1:4" x14ac:dyDescent="0.2">
      <c r="A1492" s="44" t="s">
        <v>22</v>
      </c>
      <c r="B1492" s="37">
        <v>37022</v>
      </c>
      <c r="C1492" s="7">
        <f t="shared" si="2"/>
        <v>133</v>
      </c>
      <c r="D1492" s="7">
        <f t="shared" si="2"/>
        <v>89</v>
      </c>
    </row>
    <row r="1493" spans="1:4" x14ac:dyDescent="0.2">
      <c r="A1493" s="44" t="s">
        <v>22</v>
      </c>
      <c r="B1493" s="37">
        <v>37023</v>
      </c>
      <c r="C1493" s="7">
        <f t="shared" si="2"/>
        <v>125</v>
      </c>
      <c r="D1493" s="7">
        <f t="shared" si="2"/>
        <v>67</v>
      </c>
    </row>
    <row r="1494" spans="1:4" x14ac:dyDescent="0.2">
      <c r="A1494" s="44" t="s">
        <v>22</v>
      </c>
      <c r="B1494" s="37">
        <v>37024</v>
      </c>
      <c r="C1494" s="7">
        <f t="shared" si="2"/>
        <v>120</v>
      </c>
      <c r="D1494" s="7">
        <f t="shared" si="2"/>
        <v>78</v>
      </c>
    </row>
    <row r="1495" spans="1:4" x14ac:dyDescent="0.2">
      <c r="A1495" s="44" t="s">
        <v>22</v>
      </c>
      <c r="B1495" s="37">
        <v>37025</v>
      </c>
      <c r="C1495" s="7">
        <f t="shared" si="2"/>
        <v>106</v>
      </c>
      <c r="D1495" s="7">
        <f t="shared" si="2"/>
        <v>77</v>
      </c>
    </row>
    <row r="1496" spans="1:4" x14ac:dyDescent="0.2">
      <c r="A1496" s="44" t="s">
        <v>22</v>
      </c>
      <c r="B1496" s="37">
        <v>37026</v>
      </c>
      <c r="C1496" s="7">
        <f t="shared" si="2"/>
        <v>111</v>
      </c>
      <c r="D1496" s="7">
        <f t="shared" si="2"/>
        <v>67</v>
      </c>
    </row>
    <row r="1497" spans="1:4" x14ac:dyDescent="0.2">
      <c r="A1497" s="44" t="s">
        <v>22</v>
      </c>
      <c r="B1497" s="37">
        <v>37027</v>
      </c>
      <c r="C1497" s="7">
        <f t="shared" si="2"/>
        <v>133</v>
      </c>
      <c r="D1497" s="7">
        <f t="shared" si="2"/>
        <v>83</v>
      </c>
    </row>
    <row r="1498" spans="1:4" x14ac:dyDescent="0.2">
      <c r="A1498" s="44" t="s">
        <v>22</v>
      </c>
      <c r="B1498" s="37">
        <v>37028</v>
      </c>
      <c r="C1498" s="7">
        <f t="shared" si="2"/>
        <v>140</v>
      </c>
      <c r="D1498" s="7">
        <f t="shared" si="2"/>
        <v>63</v>
      </c>
    </row>
    <row r="1499" spans="1:4" x14ac:dyDescent="0.2">
      <c r="A1499" s="44" t="s">
        <v>22</v>
      </c>
      <c r="B1499" s="37">
        <v>37029</v>
      </c>
      <c r="C1499" s="7">
        <f t="shared" si="2"/>
        <v>127</v>
      </c>
      <c r="D1499" s="7">
        <f t="shared" si="2"/>
        <v>90</v>
      </c>
    </row>
    <row r="1500" spans="1:4" x14ac:dyDescent="0.2">
      <c r="A1500" s="44" t="s">
        <v>22</v>
      </c>
      <c r="B1500" s="37">
        <v>37030</v>
      </c>
      <c r="C1500" s="7">
        <f t="shared" si="2"/>
        <v>133</v>
      </c>
      <c r="D1500" s="7">
        <f t="shared" si="2"/>
        <v>69</v>
      </c>
    </row>
    <row r="1501" spans="1:4" x14ac:dyDescent="0.2">
      <c r="A1501" s="44" t="s">
        <v>22</v>
      </c>
      <c r="B1501" s="37">
        <v>37031</v>
      </c>
      <c r="C1501" s="7">
        <f t="shared" si="2"/>
        <v>134</v>
      </c>
      <c r="D1501" s="7">
        <f t="shared" si="2"/>
        <v>89</v>
      </c>
    </row>
    <row r="1502" spans="1:4" x14ac:dyDescent="0.2">
      <c r="A1502" s="44" t="s">
        <v>22</v>
      </c>
      <c r="B1502" s="37">
        <v>37032</v>
      </c>
      <c r="C1502" s="7">
        <f t="shared" si="2"/>
        <v>136</v>
      </c>
      <c r="D1502" s="7">
        <f t="shared" si="2"/>
        <v>76</v>
      </c>
    </row>
    <row r="1503" spans="1:4" x14ac:dyDescent="0.2">
      <c r="A1503" s="44" t="s">
        <v>22</v>
      </c>
      <c r="B1503" s="37">
        <v>37033</v>
      </c>
      <c r="C1503" s="7">
        <f t="shared" si="2"/>
        <v>139</v>
      </c>
      <c r="D1503" s="7">
        <f t="shared" si="2"/>
        <v>79</v>
      </c>
    </row>
    <row r="1504" spans="1:4" x14ac:dyDescent="0.2">
      <c r="A1504" s="44" t="s">
        <v>22</v>
      </c>
      <c r="B1504" s="37">
        <v>37034</v>
      </c>
      <c r="C1504" s="7">
        <f t="shared" si="2"/>
        <v>150</v>
      </c>
      <c r="D1504" s="7">
        <f t="shared" si="2"/>
        <v>72</v>
      </c>
    </row>
    <row r="1505" spans="1:4" x14ac:dyDescent="0.2">
      <c r="A1505" s="44" t="s">
        <v>22</v>
      </c>
      <c r="B1505" s="37">
        <v>37035</v>
      </c>
      <c r="C1505" s="7">
        <f t="shared" si="2"/>
        <v>123</v>
      </c>
      <c r="D1505" s="7">
        <f t="shared" si="2"/>
        <v>62</v>
      </c>
    </row>
    <row r="1506" spans="1:4" x14ac:dyDescent="0.2">
      <c r="A1506" s="44" t="s">
        <v>22</v>
      </c>
      <c r="B1506" s="37">
        <v>37036</v>
      </c>
      <c r="C1506" s="7">
        <f t="shared" si="2"/>
        <v>134</v>
      </c>
      <c r="D1506" s="7">
        <f t="shared" si="2"/>
        <v>76</v>
      </c>
    </row>
    <row r="1507" spans="1:4" x14ac:dyDescent="0.2">
      <c r="A1507" s="44" t="s">
        <v>22</v>
      </c>
      <c r="B1507" s="37">
        <v>37037</v>
      </c>
      <c r="C1507" s="7">
        <f t="shared" si="2"/>
        <v>143</v>
      </c>
      <c r="D1507" s="7">
        <f t="shared" si="2"/>
        <v>79</v>
      </c>
    </row>
    <row r="1508" spans="1:4" x14ac:dyDescent="0.2">
      <c r="A1508" s="44" t="s">
        <v>22</v>
      </c>
      <c r="B1508" s="37">
        <v>37038</v>
      </c>
      <c r="C1508" s="7">
        <f t="shared" si="2"/>
        <v>132</v>
      </c>
      <c r="D1508" s="7">
        <f t="shared" si="2"/>
        <v>94</v>
      </c>
    </row>
    <row r="1509" spans="1:4" x14ac:dyDescent="0.2">
      <c r="A1509" s="44" t="s">
        <v>22</v>
      </c>
      <c r="B1509" s="37">
        <v>37039</v>
      </c>
      <c r="C1509" s="7">
        <f t="shared" si="2"/>
        <v>137</v>
      </c>
      <c r="D1509" s="7">
        <f t="shared" si="2"/>
        <v>89</v>
      </c>
    </row>
    <row r="1510" spans="1:4" x14ac:dyDescent="0.2">
      <c r="A1510" s="44" t="s">
        <v>22</v>
      </c>
      <c r="B1510" s="37">
        <v>37040</v>
      </c>
      <c r="C1510" s="7">
        <f t="shared" si="2"/>
        <v>147</v>
      </c>
      <c r="D1510" s="7">
        <f t="shared" si="2"/>
        <v>74</v>
      </c>
    </row>
    <row r="1511" spans="1:4" x14ac:dyDescent="0.2">
      <c r="A1511" s="44" t="s">
        <v>22</v>
      </c>
      <c r="B1511" s="37">
        <v>37041</v>
      </c>
      <c r="C1511" s="7">
        <f t="shared" si="2"/>
        <v>111</v>
      </c>
      <c r="D1511" s="7">
        <f t="shared" si="2"/>
        <v>85</v>
      </c>
    </row>
    <row r="1512" spans="1:4" x14ac:dyDescent="0.2">
      <c r="A1512" s="44" t="s">
        <v>22</v>
      </c>
      <c r="B1512" s="37">
        <v>37042</v>
      </c>
      <c r="C1512" s="7">
        <f t="shared" si="2"/>
        <v>145</v>
      </c>
      <c r="D1512" s="7">
        <f t="shared" si="2"/>
        <v>82</v>
      </c>
    </row>
    <row r="1513" spans="1:4" x14ac:dyDescent="0.2">
      <c r="A1513" s="44" t="s">
        <v>22</v>
      </c>
      <c r="B1513" s="37">
        <v>37043</v>
      </c>
      <c r="C1513" s="7">
        <f t="shared" si="2"/>
        <v>116</v>
      </c>
      <c r="D1513" s="7">
        <f t="shared" si="2"/>
        <v>63</v>
      </c>
    </row>
    <row r="1514" spans="1:4" x14ac:dyDescent="0.2">
      <c r="A1514" s="44" t="s">
        <v>22</v>
      </c>
      <c r="B1514" s="37">
        <v>37044</v>
      </c>
      <c r="C1514" s="7">
        <f t="shared" si="2"/>
        <v>110</v>
      </c>
      <c r="D1514" s="7">
        <f t="shared" si="2"/>
        <v>78</v>
      </c>
    </row>
    <row r="1515" spans="1:4" x14ac:dyDescent="0.2">
      <c r="A1515" s="44" t="s">
        <v>22</v>
      </c>
      <c r="B1515" s="37">
        <v>37045</v>
      </c>
      <c r="C1515" s="7">
        <f t="shared" si="2"/>
        <v>116</v>
      </c>
      <c r="D1515" s="7">
        <f t="shared" si="2"/>
        <v>77</v>
      </c>
    </row>
    <row r="1516" spans="1:4" x14ac:dyDescent="0.2">
      <c r="A1516" s="44" t="s">
        <v>22</v>
      </c>
      <c r="B1516" s="37">
        <v>37046</v>
      </c>
      <c r="C1516" s="7">
        <f t="shared" si="2"/>
        <v>126</v>
      </c>
      <c r="D1516" s="7">
        <f t="shared" si="2"/>
        <v>79</v>
      </c>
    </row>
    <row r="1517" spans="1:4" x14ac:dyDescent="0.2">
      <c r="A1517" s="44" t="s">
        <v>22</v>
      </c>
      <c r="B1517" s="37">
        <v>37047</v>
      </c>
      <c r="C1517" s="7">
        <f t="shared" si="2"/>
        <v>113</v>
      </c>
      <c r="D1517" s="7">
        <f t="shared" si="2"/>
        <v>83</v>
      </c>
    </row>
    <row r="1518" spans="1:4" x14ac:dyDescent="0.2">
      <c r="A1518" s="44" t="s">
        <v>22</v>
      </c>
      <c r="B1518" s="37">
        <v>37048</v>
      </c>
      <c r="C1518" s="7">
        <f t="shared" si="2"/>
        <v>119</v>
      </c>
      <c r="D1518" s="7">
        <f t="shared" si="2"/>
        <v>53</v>
      </c>
    </row>
    <row r="1519" spans="1:4" x14ac:dyDescent="0.2">
      <c r="A1519" s="44" t="s">
        <v>22</v>
      </c>
      <c r="B1519" s="37">
        <v>37049</v>
      </c>
      <c r="C1519" s="7">
        <f t="shared" si="2"/>
        <v>119</v>
      </c>
      <c r="D1519" s="7">
        <f t="shared" si="2"/>
        <v>78</v>
      </c>
    </row>
    <row r="1520" spans="1:4" x14ac:dyDescent="0.2">
      <c r="A1520" s="44" t="s">
        <v>22</v>
      </c>
      <c r="B1520" s="37">
        <v>37050</v>
      </c>
      <c r="C1520" s="7">
        <f t="shared" si="2"/>
        <v>111</v>
      </c>
      <c r="D1520" s="7">
        <f t="shared" si="2"/>
        <v>85</v>
      </c>
    </row>
    <row r="1521" spans="1:4" x14ac:dyDescent="0.2">
      <c r="A1521" s="44" t="s">
        <v>22</v>
      </c>
      <c r="B1521" s="37">
        <v>37051</v>
      </c>
      <c r="C1521" s="7">
        <f t="shared" si="2"/>
        <v>119</v>
      </c>
      <c r="D1521" s="7">
        <f t="shared" si="2"/>
        <v>59</v>
      </c>
    </row>
    <row r="1522" spans="1:4" x14ac:dyDescent="0.2">
      <c r="A1522" s="44" t="s">
        <v>22</v>
      </c>
      <c r="B1522" s="37">
        <v>37052</v>
      </c>
      <c r="C1522" s="7">
        <f t="shared" si="2"/>
        <v>130</v>
      </c>
      <c r="D1522" s="7">
        <f t="shared" si="2"/>
        <v>82</v>
      </c>
    </row>
    <row r="1523" spans="1:4" x14ac:dyDescent="0.2">
      <c r="A1523" s="44" t="s">
        <v>22</v>
      </c>
      <c r="B1523" s="37">
        <v>37053</v>
      </c>
      <c r="C1523" s="7">
        <f t="shared" si="2"/>
        <v>140</v>
      </c>
      <c r="D1523" s="7">
        <f t="shared" si="2"/>
        <v>62</v>
      </c>
    </row>
    <row r="1524" spans="1:4" x14ac:dyDescent="0.2">
      <c r="A1524" s="44" t="s">
        <v>22</v>
      </c>
      <c r="B1524" s="37">
        <v>37054</v>
      </c>
      <c r="C1524" s="7">
        <f t="shared" si="2"/>
        <v>135</v>
      </c>
      <c r="D1524" s="7">
        <f t="shared" si="2"/>
        <v>82</v>
      </c>
    </row>
    <row r="1525" spans="1:4" x14ac:dyDescent="0.2">
      <c r="A1525" s="44" t="s">
        <v>22</v>
      </c>
      <c r="B1525" s="37">
        <v>37055</v>
      </c>
      <c r="C1525" s="7">
        <f t="shared" si="2"/>
        <v>137</v>
      </c>
      <c r="D1525" s="7">
        <f t="shared" si="2"/>
        <v>77</v>
      </c>
    </row>
    <row r="1526" spans="1:4" x14ac:dyDescent="0.2">
      <c r="A1526" s="44" t="s">
        <v>22</v>
      </c>
      <c r="B1526" s="37">
        <v>37056</v>
      </c>
      <c r="C1526" s="7">
        <f t="shared" si="2"/>
        <v>126</v>
      </c>
      <c r="D1526" s="7">
        <f t="shared" si="2"/>
        <v>96</v>
      </c>
    </row>
    <row r="1527" spans="1:4" x14ac:dyDescent="0.2">
      <c r="A1527" s="44" t="s">
        <v>22</v>
      </c>
      <c r="B1527" s="37">
        <v>37057</v>
      </c>
      <c r="C1527" s="7">
        <f t="shared" si="2"/>
        <v>127</v>
      </c>
      <c r="D1527" s="7">
        <f t="shared" si="2"/>
        <v>76</v>
      </c>
    </row>
    <row r="1528" spans="1:4" x14ac:dyDescent="0.2">
      <c r="A1528" s="44" t="s">
        <v>22</v>
      </c>
      <c r="B1528" s="37">
        <v>37058</v>
      </c>
      <c r="C1528" s="7">
        <f t="shared" si="2"/>
        <v>127</v>
      </c>
      <c r="D1528" s="7">
        <f t="shared" si="2"/>
        <v>84</v>
      </c>
    </row>
    <row r="1529" spans="1:4" x14ac:dyDescent="0.2">
      <c r="A1529" s="44" t="s">
        <v>22</v>
      </c>
      <c r="B1529" s="37">
        <v>37059</v>
      </c>
      <c r="C1529" s="7">
        <f t="shared" si="2"/>
        <v>109</v>
      </c>
      <c r="D1529" s="7">
        <f t="shared" si="2"/>
        <v>92</v>
      </c>
    </row>
    <row r="1530" spans="1:4" x14ac:dyDescent="0.2">
      <c r="A1530" s="44" t="s">
        <v>22</v>
      </c>
      <c r="B1530" s="37">
        <v>37060</v>
      </c>
      <c r="C1530" s="7">
        <f t="shared" si="2"/>
        <v>141</v>
      </c>
      <c r="D1530" s="7">
        <f t="shared" si="2"/>
        <v>80</v>
      </c>
    </row>
    <row r="1531" spans="1:4" x14ac:dyDescent="0.2">
      <c r="A1531" s="44" t="s">
        <v>22</v>
      </c>
      <c r="B1531" s="37">
        <v>37061</v>
      </c>
      <c r="C1531" s="7">
        <f t="shared" si="2"/>
        <v>149</v>
      </c>
      <c r="D1531" s="7">
        <f t="shared" si="2"/>
        <v>95</v>
      </c>
    </row>
    <row r="1532" spans="1:4" x14ac:dyDescent="0.2">
      <c r="A1532" s="44" t="s">
        <v>22</v>
      </c>
      <c r="B1532" s="37">
        <v>37062</v>
      </c>
      <c r="C1532" s="7">
        <f t="shared" si="2"/>
        <v>149</v>
      </c>
      <c r="D1532" s="7">
        <f t="shared" si="2"/>
        <v>72</v>
      </c>
    </row>
    <row r="1533" spans="1:4" x14ac:dyDescent="0.2">
      <c r="A1533" s="44" t="s">
        <v>22</v>
      </c>
      <c r="B1533" s="37">
        <v>37063</v>
      </c>
      <c r="C1533" s="7">
        <f t="shared" si="2"/>
        <v>121</v>
      </c>
      <c r="D1533" s="7">
        <f t="shared" si="2"/>
        <v>81</v>
      </c>
    </row>
    <row r="1534" spans="1:4" x14ac:dyDescent="0.2">
      <c r="A1534" s="44" t="s">
        <v>22</v>
      </c>
      <c r="B1534" s="37">
        <v>37064</v>
      </c>
      <c r="C1534" s="7">
        <f t="shared" si="2"/>
        <v>112</v>
      </c>
      <c r="D1534" s="7">
        <f t="shared" si="2"/>
        <v>70</v>
      </c>
    </row>
    <row r="1535" spans="1:4" x14ac:dyDescent="0.2">
      <c r="A1535" s="44" t="s">
        <v>22</v>
      </c>
      <c r="B1535" s="37">
        <v>37065</v>
      </c>
      <c r="C1535" s="7">
        <f t="shared" si="2"/>
        <v>132</v>
      </c>
      <c r="D1535" s="7">
        <f t="shared" si="2"/>
        <v>95</v>
      </c>
    </row>
    <row r="1536" spans="1:4" x14ac:dyDescent="0.2">
      <c r="A1536" s="44" t="s">
        <v>22</v>
      </c>
      <c r="B1536" s="37">
        <v>37066</v>
      </c>
      <c r="C1536" s="7">
        <f t="shared" si="2"/>
        <v>127</v>
      </c>
      <c r="D1536" s="7">
        <f t="shared" si="2"/>
        <v>72</v>
      </c>
    </row>
    <row r="1537" spans="1:4" x14ac:dyDescent="0.2">
      <c r="A1537" s="44" t="s">
        <v>22</v>
      </c>
      <c r="B1537" s="37">
        <v>37067</v>
      </c>
      <c r="C1537" s="7">
        <f t="shared" si="2"/>
        <v>127</v>
      </c>
      <c r="D1537" s="7">
        <f t="shared" si="2"/>
        <v>82</v>
      </c>
    </row>
    <row r="1538" spans="1:4" x14ac:dyDescent="0.2">
      <c r="A1538" s="44" t="s">
        <v>22</v>
      </c>
      <c r="B1538" s="37">
        <v>37068</v>
      </c>
      <c r="C1538" s="7">
        <f t="shared" si="2"/>
        <v>136</v>
      </c>
      <c r="D1538" s="7">
        <f t="shared" si="2"/>
        <v>71</v>
      </c>
    </row>
    <row r="1539" spans="1:4" x14ac:dyDescent="0.2">
      <c r="A1539" s="44" t="s">
        <v>22</v>
      </c>
      <c r="B1539" s="37">
        <v>37069</v>
      </c>
      <c r="C1539" s="7">
        <f t="shared" si="2"/>
        <v>131</v>
      </c>
      <c r="D1539" s="7">
        <f t="shared" si="2"/>
        <v>90</v>
      </c>
    </row>
    <row r="1540" spans="1:4" x14ac:dyDescent="0.2">
      <c r="A1540" s="44" t="s">
        <v>22</v>
      </c>
      <c r="B1540" s="37">
        <v>37070</v>
      </c>
      <c r="C1540" s="7">
        <f t="shared" si="2"/>
        <v>126</v>
      </c>
      <c r="D1540" s="7">
        <f t="shared" si="2"/>
        <v>79</v>
      </c>
    </row>
    <row r="1541" spans="1:4" x14ac:dyDescent="0.2">
      <c r="A1541" s="44" t="s">
        <v>22</v>
      </c>
      <c r="B1541" s="37">
        <v>37071</v>
      </c>
      <c r="C1541" s="7">
        <f t="shared" si="2"/>
        <v>132</v>
      </c>
      <c r="D1541" s="7">
        <f t="shared" si="2"/>
        <v>81</v>
      </c>
    </row>
    <row r="1542" spans="1:4" x14ac:dyDescent="0.2">
      <c r="A1542" s="44" t="s">
        <v>22</v>
      </c>
      <c r="B1542" s="37">
        <v>37072</v>
      </c>
      <c r="C1542" s="7">
        <f t="shared" si="2"/>
        <v>139</v>
      </c>
      <c r="D1542" s="7">
        <f t="shared" si="2"/>
        <v>64</v>
      </c>
    </row>
    <row r="1543" spans="1:4" x14ac:dyDescent="0.2">
      <c r="A1543" s="44" t="s">
        <v>22</v>
      </c>
      <c r="B1543" s="37">
        <v>37073</v>
      </c>
      <c r="C1543" s="7">
        <f t="shared" si="2"/>
        <v>135</v>
      </c>
      <c r="D1543" s="7">
        <f t="shared" si="2"/>
        <v>61</v>
      </c>
    </row>
    <row r="1544" spans="1:4" x14ac:dyDescent="0.2">
      <c r="A1544" s="44" t="s">
        <v>22</v>
      </c>
      <c r="B1544" s="37">
        <v>37074</v>
      </c>
      <c r="C1544" s="7">
        <f t="shared" si="2"/>
        <v>151</v>
      </c>
      <c r="D1544" s="7">
        <f t="shared" si="2"/>
        <v>87</v>
      </c>
    </row>
    <row r="1545" spans="1:4" x14ac:dyDescent="0.2">
      <c r="A1545" s="44" t="s">
        <v>22</v>
      </c>
      <c r="B1545" s="37">
        <v>37075</v>
      </c>
      <c r="C1545" s="7">
        <f t="shared" si="2"/>
        <v>129</v>
      </c>
      <c r="D1545" s="7">
        <f t="shared" si="2"/>
        <v>96</v>
      </c>
    </row>
    <row r="1546" spans="1:4" x14ac:dyDescent="0.2">
      <c r="A1546" s="44" t="s">
        <v>22</v>
      </c>
      <c r="B1546" s="37">
        <v>37076</v>
      </c>
      <c r="C1546" s="7">
        <f t="shared" si="2"/>
        <v>143</v>
      </c>
      <c r="D1546" s="7">
        <f t="shared" si="2"/>
        <v>76</v>
      </c>
    </row>
    <row r="1547" spans="1:4" x14ac:dyDescent="0.2">
      <c r="A1547" s="44" t="s">
        <v>22</v>
      </c>
      <c r="B1547" s="37">
        <v>37077</v>
      </c>
      <c r="C1547" s="7">
        <f t="shared" si="2"/>
        <v>128</v>
      </c>
      <c r="D1547" s="7">
        <f t="shared" si="2"/>
        <v>81</v>
      </c>
    </row>
    <row r="1548" spans="1:4" x14ac:dyDescent="0.2">
      <c r="A1548" s="44" t="s">
        <v>22</v>
      </c>
      <c r="B1548" s="37">
        <v>37078</v>
      </c>
      <c r="C1548" s="7">
        <f t="shared" si="2"/>
        <v>129</v>
      </c>
      <c r="D1548" s="7">
        <f t="shared" si="2"/>
        <v>65</v>
      </c>
    </row>
    <row r="1549" spans="1:4" x14ac:dyDescent="0.2">
      <c r="A1549" s="44" t="s">
        <v>22</v>
      </c>
      <c r="B1549" s="37">
        <v>37079</v>
      </c>
      <c r="C1549" s="7">
        <f t="shared" si="2"/>
        <v>138</v>
      </c>
      <c r="D1549" s="7">
        <f t="shared" si="2"/>
        <v>87</v>
      </c>
    </row>
    <row r="1550" spans="1:4" x14ac:dyDescent="0.2">
      <c r="A1550" s="44" t="s">
        <v>22</v>
      </c>
      <c r="B1550" s="37">
        <v>37080</v>
      </c>
      <c r="C1550" s="7">
        <f t="shared" si="2"/>
        <v>128</v>
      </c>
      <c r="D1550" s="7">
        <f t="shared" si="2"/>
        <v>67</v>
      </c>
    </row>
    <row r="1551" spans="1:4" x14ac:dyDescent="0.2">
      <c r="A1551" s="44" t="s">
        <v>22</v>
      </c>
      <c r="B1551" s="37">
        <v>37081</v>
      </c>
      <c r="C1551" s="7">
        <f t="shared" si="2"/>
        <v>116</v>
      </c>
      <c r="D1551" s="7">
        <f t="shared" si="2"/>
        <v>87</v>
      </c>
    </row>
    <row r="1552" spans="1:4" x14ac:dyDescent="0.2">
      <c r="A1552" s="44" t="s">
        <v>22</v>
      </c>
      <c r="B1552" s="37">
        <v>37082</v>
      </c>
      <c r="C1552" s="7">
        <f t="shared" si="2"/>
        <v>117</v>
      </c>
      <c r="D1552" s="7">
        <f t="shared" si="2"/>
        <v>85</v>
      </c>
    </row>
    <row r="1553" spans="1:4" x14ac:dyDescent="0.2">
      <c r="A1553" s="44" t="s">
        <v>22</v>
      </c>
      <c r="B1553" s="37">
        <v>37083</v>
      </c>
      <c r="C1553" s="7">
        <f t="shared" si="2"/>
        <v>110</v>
      </c>
      <c r="D1553" s="7">
        <f t="shared" si="2"/>
        <v>58</v>
      </c>
    </row>
    <row r="1554" spans="1:4" x14ac:dyDescent="0.2">
      <c r="A1554" s="44" t="s">
        <v>22</v>
      </c>
      <c r="B1554" s="37">
        <v>37084</v>
      </c>
      <c r="C1554" s="7">
        <f t="shared" si="2"/>
        <v>125</v>
      </c>
      <c r="D1554" s="7">
        <f t="shared" si="2"/>
        <v>71</v>
      </c>
    </row>
    <row r="1555" spans="1:4" x14ac:dyDescent="0.2">
      <c r="A1555" s="44" t="s">
        <v>22</v>
      </c>
      <c r="B1555" s="37">
        <v>37085</v>
      </c>
      <c r="C1555" s="7">
        <f t="shared" ref="C1555:D1586" si="3">SUMIFS(C$342:C$1361,$B$342:$B$1361,$B1555)</f>
        <v>140</v>
      </c>
      <c r="D1555" s="7">
        <f t="shared" si="3"/>
        <v>85</v>
      </c>
    </row>
    <row r="1556" spans="1:4" x14ac:dyDescent="0.2">
      <c r="A1556" s="44" t="s">
        <v>22</v>
      </c>
      <c r="B1556" s="37">
        <v>37086</v>
      </c>
      <c r="C1556" s="7">
        <f t="shared" si="3"/>
        <v>143</v>
      </c>
      <c r="D1556" s="7">
        <f t="shared" si="3"/>
        <v>68</v>
      </c>
    </row>
    <row r="1557" spans="1:4" x14ac:dyDescent="0.2">
      <c r="A1557" s="44" t="s">
        <v>22</v>
      </c>
      <c r="B1557" s="37">
        <v>37087</v>
      </c>
      <c r="C1557" s="7">
        <f t="shared" si="3"/>
        <v>126</v>
      </c>
      <c r="D1557" s="7">
        <f t="shared" si="3"/>
        <v>79</v>
      </c>
    </row>
    <row r="1558" spans="1:4" x14ac:dyDescent="0.2">
      <c r="A1558" s="44" t="s">
        <v>22</v>
      </c>
      <c r="B1558" s="37">
        <v>37088</v>
      </c>
      <c r="C1558" s="7">
        <f t="shared" si="3"/>
        <v>134</v>
      </c>
      <c r="D1558" s="7">
        <f t="shared" si="3"/>
        <v>70</v>
      </c>
    </row>
    <row r="1559" spans="1:4" x14ac:dyDescent="0.2">
      <c r="A1559" s="44" t="s">
        <v>22</v>
      </c>
      <c r="B1559" s="37">
        <v>37089</v>
      </c>
      <c r="C1559" s="7">
        <f t="shared" si="3"/>
        <v>136</v>
      </c>
      <c r="D1559" s="7">
        <f t="shared" si="3"/>
        <v>81</v>
      </c>
    </row>
    <row r="1560" spans="1:4" x14ac:dyDescent="0.2">
      <c r="A1560" s="44" t="s">
        <v>22</v>
      </c>
      <c r="B1560" s="37">
        <v>37090</v>
      </c>
      <c r="C1560" s="7">
        <f t="shared" si="3"/>
        <v>130</v>
      </c>
      <c r="D1560" s="7">
        <f t="shared" si="3"/>
        <v>78</v>
      </c>
    </row>
    <row r="1561" spans="1:4" x14ac:dyDescent="0.2">
      <c r="A1561" s="44" t="s">
        <v>22</v>
      </c>
      <c r="B1561" s="37">
        <v>37091</v>
      </c>
      <c r="C1561" s="7">
        <f t="shared" si="3"/>
        <v>120</v>
      </c>
      <c r="D1561" s="7">
        <f t="shared" si="3"/>
        <v>101</v>
      </c>
    </row>
    <row r="1562" spans="1:4" x14ac:dyDescent="0.2">
      <c r="A1562" s="44" t="s">
        <v>22</v>
      </c>
      <c r="B1562" s="37">
        <v>37092</v>
      </c>
      <c r="C1562" s="7">
        <f t="shared" si="3"/>
        <v>108</v>
      </c>
      <c r="D1562" s="7">
        <f t="shared" si="3"/>
        <v>77</v>
      </c>
    </row>
    <row r="1563" spans="1:4" x14ac:dyDescent="0.2">
      <c r="A1563" s="44" t="s">
        <v>22</v>
      </c>
      <c r="B1563" s="37">
        <v>37093</v>
      </c>
      <c r="C1563" s="7">
        <f t="shared" si="3"/>
        <v>128</v>
      </c>
      <c r="D1563" s="7">
        <f t="shared" si="3"/>
        <v>89</v>
      </c>
    </row>
    <row r="1564" spans="1:4" x14ac:dyDescent="0.2">
      <c r="A1564" s="44" t="s">
        <v>22</v>
      </c>
      <c r="B1564" s="37">
        <v>37094</v>
      </c>
      <c r="C1564" s="7">
        <f t="shared" si="3"/>
        <v>124</v>
      </c>
      <c r="D1564" s="7">
        <f t="shared" si="3"/>
        <v>81</v>
      </c>
    </row>
    <row r="1565" spans="1:4" x14ac:dyDescent="0.2">
      <c r="A1565" s="44" t="s">
        <v>22</v>
      </c>
      <c r="B1565" s="37">
        <v>37095</v>
      </c>
      <c r="C1565" s="7">
        <f t="shared" si="3"/>
        <v>116</v>
      </c>
      <c r="D1565" s="7">
        <f t="shared" si="3"/>
        <v>69</v>
      </c>
    </row>
    <row r="1566" spans="1:4" x14ac:dyDescent="0.2">
      <c r="A1566" s="44" t="s">
        <v>22</v>
      </c>
      <c r="B1566" s="37">
        <v>37096</v>
      </c>
      <c r="C1566" s="7">
        <f t="shared" si="3"/>
        <v>141</v>
      </c>
      <c r="D1566" s="7">
        <f t="shared" si="3"/>
        <v>80</v>
      </c>
    </row>
    <row r="1567" spans="1:4" x14ac:dyDescent="0.2">
      <c r="A1567" s="44" t="s">
        <v>22</v>
      </c>
      <c r="B1567" s="37">
        <v>37097</v>
      </c>
      <c r="C1567" s="7">
        <f t="shared" si="3"/>
        <v>146</v>
      </c>
      <c r="D1567" s="7">
        <f t="shared" si="3"/>
        <v>66</v>
      </c>
    </row>
    <row r="1568" spans="1:4" x14ac:dyDescent="0.2">
      <c r="A1568" s="44" t="s">
        <v>22</v>
      </c>
      <c r="B1568" s="37">
        <v>37098</v>
      </c>
      <c r="C1568" s="7">
        <f t="shared" si="3"/>
        <v>137</v>
      </c>
      <c r="D1568" s="7">
        <f t="shared" si="3"/>
        <v>82</v>
      </c>
    </row>
    <row r="1569" spans="1:4" x14ac:dyDescent="0.2">
      <c r="A1569" s="44" t="s">
        <v>22</v>
      </c>
      <c r="B1569" s="37">
        <v>37099</v>
      </c>
      <c r="C1569" s="7">
        <f t="shared" si="3"/>
        <v>127</v>
      </c>
      <c r="D1569" s="7">
        <f t="shared" si="3"/>
        <v>68</v>
      </c>
    </row>
    <row r="1570" spans="1:4" x14ac:dyDescent="0.2">
      <c r="A1570" s="44" t="s">
        <v>22</v>
      </c>
      <c r="B1570" s="37">
        <v>37100</v>
      </c>
      <c r="C1570" s="7">
        <f t="shared" si="3"/>
        <v>113</v>
      </c>
      <c r="D1570" s="7">
        <f t="shared" si="3"/>
        <v>79</v>
      </c>
    </row>
    <row r="1571" spans="1:4" x14ac:dyDescent="0.2">
      <c r="A1571" s="44" t="s">
        <v>22</v>
      </c>
      <c r="B1571" s="37">
        <v>37101</v>
      </c>
      <c r="C1571" s="7">
        <f t="shared" si="3"/>
        <v>137</v>
      </c>
      <c r="D1571" s="7">
        <f t="shared" si="3"/>
        <v>92</v>
      </c>
    </row>
    <row r="1572" spans="1:4" x14ac:dyDescent="0.2">
      <c r="A1572" s="44" t="s">
        <v>22</v>
      </c>
      <c r="B1572" s="37">
        <v>37102</v>
      </c>
      <c r="C1572" s="7">
        <f t="shared" si="3"/>
        <v>125</v>
      </c>
      <c r="D1572" s="7">
        <f t="shared" si="3"/>
        <v>73</v>
      </c>
    </row>
    <row r="1573" spans="1:4" x14ac:dyDescent="0.2">
      <c r="A1573" s="44" t="s">
        <v>22</v>
      </c>
      <c r="B1573" s="37">
        <v>37103</v>
      </c>
      <c r="C1573" s="7">
        <f t="shared" si="3"/>
        <v>131</v>
      </c>
      <c r="D1573" s="7">
        <f t="shared" si="3"/>
        <v>90</v>
      </c>
    </row>
    <row r="1574" spans="1:4" x14ac:dyDescent="0.2">
      <c r="A1574" s="44" t="s">
        <v>22</v>
      </c>
      <c r="B1574" s="37">
        <v>37104</v>
      </c>
      <c r="C1574" s="7">
        <f t="shared" si="3"/>
        <v>121</v>
      </c>
      <c r="D1574" s="7">
        <f t="shared" si="3"/>
        <v>93</v>
      </c>
    </row>
    <row r="1575" spans="1:4" x14ac:dyDescent="0.2">
      <c r="A1575" s="44" t="s">
        <v>22</v>
      </c>
      <c r="B1575" s="37">
        <v>37105</v>
      </c>
      <c r="C1575" s="7">
        <f t="shared" si="3"/>
        <v>129</v>
      </c>
      <c r="D1575" s="7">
        <f t="shared" si="3"/>
        <v>81</v>
      </c>
    </row>
    <row r="1576" spans="1:4" x14ac:dyDescent="0.2">
      <c r="A1576" s="44" t="s">
        <v>22</v>
      </c>
      <c r="B1576" s="37">
        <v>37106</v>
      </c>
      <c r="C1576" s="7">
        <f t="shared" si="3"/>
        <v>128</v>
      </c>
      <c r="D1576" s="7">
        <f t="shared" si="3"/>
        <v>85</v>
      </c>
    </row>
    <row r="1577" spans="1:4" x14ac:dyDescent="0.2">
      <c r="A1577" s="44" t="s">
        <v>22</v>
      </c>
      <c r="B1577" s="37">
        <v>37107</v>
      </c>
      <c r="C1577" s="7">
        <f t="shared" si="3"/>
        <v>121</v>
      </c>
      <c r="D1577" s="7">
        <f t="shared" si="3"/>
        <v>66</v>
      </c>
    </row>
    <row r="1578" spans="1:4" x14ac:dyDescent="0.2">
      <c r="A1578" s="44" t="s">
        <v>22</v>
      </c>
      <c r="B1578" s="37">
        <v>37108</v>
      </c>
      <c r="C1578" s="7">
        <f t="shared" si="3"/>
        <v>144</v>
      </c>
      <c r="D1578" s="7">
        <f t="shared" si="3"/>
        <v>58</v>
      </c>
    </row>
    <row r="1579" spans="1:4" x14ac:dyDescent="0.2">
      <c r="A1579" s="44" t="s">
        <v>22</v>
      </c>
      <c r="B1579" s="37">
        <v>37109</v>
      </c>
      <c r="C1579" s="7">
        <f t="shared" si="3"/>
        <v>128</v>
      </c>
      <c r="D1579" s="7">
        <f t="shared" si="3"/>
        <v>74</v>
      </c>
    </row>
    <row r="1580" spans="1:4" x14ac:dyDescent="0.2">
      <c r="A1580" s="44" t="s">
        <v>22</v>
      </c>
      <c r="B1580" s="37">
        <v>37110</v>
      </c>
      <c r="C1580" s="7">
        <f t="shared" si="3"/>
        <v>128</v>
      </c>
      <c r="D1580" s="7">
        <f t="shared" si="3"/>
        <v>93</v>
      </c>
    </row>
    <row r="1581" spans="1:4" x14ac:dyDescent="0.2">
      <c r="A1581" s="44" t="s">
        <v>22</v>
      </c>
      <c r="B1581" s="37">
        <v>37111</v>
      </c>
      <c r="C1581" s="7">
        <f t="shared" si="3"/>
        <v>143</v>
      </c>
      <c r="D1581" s="7">
        <f t="shared" si="3"/>
        <v>75</v>
      </c>
    </row>
    <row r="1582" spans="1:4" x14ac:dyDescent="0.2">
      <c r="A1582" s="44" t="s">
        <v>22</v>
      </c>
      <c r="B1582" s="37">
        <v>37112</v>
      </c>
      <c r="C1582" s="7">
        <f t="shared" si="3"/>
        <v>147</v>
      </c>
      <c r="D1582" s="7">
        <f t="shared" si="3"/>
        <v>94</v>
      </c>
    </row>
    <row r="1583" spans="1:4" x14ac:dyDescent="0.2">
      <c r="A1583" s="44" t="s">
        <v>22</v>
      </c>
      <c r="B1583" s="37">
        <v>37113</v>
      </c>
      <c r="C1583" s="7">
        <f t="shared" si="3"/>
        <v>132</v>
      </c>
      <c r="D1583" s="7">
        <f t="shared" si="3"/>
        <v>85</v>
      </c>
    </row>
    <row r="1584" spans="1:4" x14ac:dyDescent="0.2">
      <c r="A1584" s="44" t="s">
        <v>22</v>
      </c>
      <c r="B1584" s="37">
        <v>37114</v>
      </c>
      <c r="C1584" s="7">
        <f t="shared" si="3"/>
        <v>125</v>
      </c>
      <c r="D1584" s="7">
        <f t="shared" si="3"/>
        <v>59</v>
      </c>
    </row>
    <row r="1585" spans="1:4" x14ac:dyDescent="0.2">
      <c r="A1585" s="44" t="s">
        <v>22</v>
      </c>
      <c r="B1585" s="37">
        <v>37115</v>
      </c>
      <c r="C1585" s="7">
        <f t="shared" si="3"/>
        <v>139</v>
      </c>
      <c r="D1585" s="7">
        <f t="shared" si="3"/>
        <v>81</v>
      </c>
    </row>
    <row r="1586" spans="1:4" x14ac:dyDescent="0.2">
      <c r="A1586" s="44" t="s">
        <v>22</v>
      </c>
      <c r="B1586" s="37">
        <v>37116</v>
      </c>
      <c r="C1586" s="7">
        <f t="shared" si="3"/>
        <v>126</v>
      </c>
      <c r="D1586" s="7">
        <f t="shared" si="3"/>
        <v>65</v>
      </c>
    </row>
    <row r="1587" spans="1:4" x14ac:dyDescent="0.2">
      <c r="A1587" s="44" t="s">
        <v>22</v>
      </c>
      <c r="B1587" s="37">
        <v>37117</v>
      </c>
      <c r="C1587" s="7">
        <f t="shared" ref="C1587:D1618" si="4">SUMIFS(C$342:C$1361,$B$342:$B$1361,$B1587)</f>
        <v>134</v>
      </c>
      <c r="D1587" s="7">
        <f t="shared" si="4"/>
        <v>70</v>
      </c>
    </row>
    <row r="1588" spans="1:4" x14ac:dyDescent="0.2">
      <c r="A1588" s="44" t="s">
        <v>22</v>
      </c>
      <c r="B1588" s="37">
        <v>37118</v>
      </c>
      <c r="C1588" s="7">
        <f t="shared" si="4"/>
        <v>144</v>
      </c>
      <c r="D1588" s="7">
        <f t="shared" si="4"/>
        <v>67</v>
      </c>
    </row>
    <row r="1589" spans="1:4" x14ac:dyDescent="0.2">
      <c r="A1589" s="44" t="s">
        <v>22</v>
      </c>
      <c r="B1589" s="37">
        <v>37119</v>
      </c>
      <c r="C1589" s="7">
        <f t="shared" si="4"/>
        <v>128</v>
      </c>
      <c r="D1589" s="7">
        <f t="shared" si="4"/>
        <v>73</v>
      </c>
    </row>
    <row r="1590" spans="1:4" x14ac:dyDescent="0.2">
      <c r="A1590" s="44" t="s">
        <v>22</v>
      </c>
      <c r="B1590" s="37">
        <v>37120</v>
      </c>
      <c r="C1590" s="7">
        <f t="shared" si="4"/>
        <v>150</v>
      </c>
      <c r="D1590" s="7">
        <f t="shared" si="4"/>
        <v>58</v>
      </c>
    </row>
    <row r="1591" spans="1:4" x14ac:dyDescent="0.2">
      <c r="A1591" s="44" t="s">
        <v>22</v>
      </c>
      <c r="B1591" s="37">
        <v>37121</v>
      </c>
      <c r="C1591" s="7">
        <f t="shared" si="4"/>
        <v>118</v>
      </c>
      <c r="D1591" s="7">
        <f t="shared" si="4"/>
        <v>58</v>
      </c>
    </row>
    <row r="1592" spans="1:4" x14ac:dyDescent="0.2">
      <c r="A1592" s="44" t="s">
        <v>22</v>
      </c>
      <c r="B1592" s="37">
        <v>37122</v>
      </c>
      <c r="C1592" s="7">
        <f t="shared" si="4"/>
        <v>130</v>
      </c>
      <c r="D1592" s="7">
        <f t="shared" si="4"/>
        <v>80</v>
      </c>
    </row>
    <row r="1593" spans="1:4" x14ac:dyDescent="0.2">
      <c r="A1593" s="44" t="s">
        <v>22</v>
      </c>
      <c r="B1593" s="37">
        <v>37123</v>
      </c>
      <c r="C1593" s="7">
        <f t="shared" si="4"/>
        <v>112</v>
      </c>
      <c r="D1593" s="7">
        <f t="shared" si="4"/>
        <v>67</v>
      </c>
    </row>
    <row r="1594" spans="1:4" x14ac:dyDescent="0.2">
      <c r="A1594" s="44" t="s">
        <v>22</v>
      </c>
      <c r="B1594" s="37">
        <v>37124</v>
      </c>
      <c r="C1594" s="7">
        <f t="shared" si="4"/>
        <v>122</v>
      </c>
      <c r="D1594" s="7">
        <f t="shared" si="4"/>
        <v>64</v>
      </c>
    </row>
    <row r="1595" spans="1:4" x14ac:dyDescent="0.2">
      <c r="A1595" s="44" t="s">
        <v>22</v>
      </c>
      <c r="B1595" s="37">
        <v>37125</v>
      </c>
      <c r="C1595" s="7">
        <f t="shared" si="4"/>
        <v>136</v>
      </c>
      <c r="D1595" s="7">
        <f t="shared" si="4"/>
        <v>82</v>
      </c>
    </row>
    <row r="1596" spans="1:4" x14ac:dyDescent="0.2">
      <c r="A1596" s="44" t="s">
        <v>22</v>
      </c>
      <c r="B1596" s="37">
        <v>37126</v>
      </c>
      <c r="C1596" s="7">
        <f t="shared" si="4"/>
        <v>125</v>
      </c>
      <c r="D1596" s="7">
        <f t="shared" si="4"/>
        <v>70</v>
      </c>
    </row>
    <row r="1597" spans="1:4" x14ac:dyDescent="0.2">
      <c r="A1597" s="44" t="s">
        <v>22</v>
      </c>
      <c r="B1597" s="37">
        <v>37127</v>
      </c>
      <c r="C1597" s="7">
        <f t="shared" si="4"/>
        <v>119</v>
      </c>
      <c r="D1597" s="7">
        <f t="shared" si="4"/>
        <v>68</v>
      </c>
    </row>
    <row r="1598" spans="1:4" x14ac:dyDescent="0.2">
      <c r="A1598" s="44" t="s">
        <v>22</v>
      </c>
      <c r="B1598" s="37">
        <v>37128</v>
      </c>
      <c r="C1598" s="7">
        <f t="shared" si="4"/>
        <v>121</v>
      </c>
      <c r="D1598" s="7">
        <f t="shared" si="4"/>
        <v>50</v>
      </c>
    </row>
    <row r="1599" spans="1:4" x14ac:dyDescent="0.2">
      <c r="A1599" s="44" t="s">
        <v>22</v>
      </c>
      <c r="B1599" s="37">
        <v>37129</v>
      </c>
      <c r="C1599" s="7">
        <f t="shared" si="4"/>
        <v>119</v>
      </c>
      <c r="D1599" s="7">
        <f t="shared" si="4"/>
        <v>82</v>
      </c>
    </row>
    <row r="1600" spans="1:4" x14ac:dyDescent="0.2">
      <c r="A1600" s="44" t="s">
        <v>22</v>
      </c>
      <c r="B1600" s="37">
        <v>37130</v>
      </c>
      <c r="C1600" s="7">
        <f t="shared" si="4"/>
        <v>131</v>
      </c>
      <c r="D1600" s="7">
        <f t="shared" si="4"/>
        <v>79</v>
      </c>
    </row>
    <row r="1601" spans="1:4" x14ac:dyDescent="0.2">
      <c r="A1601" s="44" t="s">
        <v>22</v>
      </c>
      <c r="B1601" s="37">
        <v>37131</v>
      </c>
      <c r="C1601" s="7">
        <f t="shared" si="4"/>
        <v>137</v>
      </c>
      <c r="D1601" s="7">
        <f t="shared" si="4"/>
        <v>81</v>
      </c>
    </row>
    <row r="1602" spans="1:4" x14ac:dyDescent="0.2">
      <c r="A1602" s="44" t="s">
        <v>22</v>
      </c>
      <c r="B1602" s="37">
        <v>37132</v>
      </c>
      <c r="C1602" s="7">
        <f t="shared" si="4"/>
        <v>128</v>
      </c>
      <c r="D1602" s="7">
        <f t="shared" si="4"/>
        <v>85</v>
      </c>
    </row>
    <row r="1603" spans="1:4" x14ac:dyDescent="0.2">
      <c r="A1603" s="44" t="s">
        <v>22</v>
      </c>
      <c r="B1603" s="37">
        <v>37133</v>
      </c>
      <c r="C1603" s="7">
        <f t="shared" si="4"/>
        <v>113</v>
      </c>
      <c r="D1603" s="7">
        <f t="shared" si="4"/>
        <v>84</v>
      </c>
    </row>
    <row r="1604" spans="1:4" x14ac:dyDescent="0.2">
      <c r="A1604" s="44" t="s">
        <v>22</v>
      </c>
      <c r="B1604" s="37">
        <v>37134</v>
      </c>
      <c r="C1604" s="7">
        <f t="shared" si="4"/>
        <v>142</v>
      </c>
      <c r="D1604" s="7">
        <f t="shared" si="4"/>
        <v>94</v>
      </c>
    </row>
    <row r="1605" spans="1:4" x14ac:dyDescent="0.2">
      <c r="A1605" s="44" t="s">
        <v>22</v>
      </c>
      <c r="B1605" s="37">
        <v>37135</v>
      </c>
      <c r="C1605" s="7">
        <f t="shared" si="4"/>
        <v>132</v>
      </c>
      <c r="D1605" s="7">
        <f t="shared" si="4"/>
        <v>81</v>
      </c>
    </row>
    <row r="1606" spans="1:4" x14ac:dyDescent="0.2">
      <c r="A1606" s="44" t="s">
        <v>22</v>
      </c>
      <c r="B1606" s="37">
        <v>37136</v>
      </c>
      <c r="C1606" s="7">
        <f t="shared" si="4"/>
        <v>119</v>
      </c>
      <c r="D1606" s="7">
        <f t="shared" si="4"/>
        <v>80</v>
      </c>
    </row>
    <row r="1607" spans="1:4" x14ac:dyDescent="0.2">
      <c r="A1607" s="44" t="s">
        <v>22</v>
      </c>
      <c r="B1607" s="37">
        <v>37137</v>
      </c>
      <c r="C1607" s="7">
        <f t="shared" si="4"/>
        <v>129</v>
      </c>
      <c r="D1607" s="7">
        <f t="shared" si="4"/>
        <v>71</v>
      </c>
    </row>
    <row r="1608" spans="1:4" x14ac:dyDescent="0.2">
      <c r="A1608" s="44" t="s">
        <v>22</v>
      </c>
      <c r="B1608" s="37">
        <v>37138</v>
      </c>
      <c r="C1608" s="7">
        <f t="shared" si="4"/>
        <v>141</v>
      </c>
      <c r="D1608" s="7">
        <f t="shared" si="4"/>
        <v>86</v>
      </c>
    </row>
    <row r="1609" spans="1:4" x14ac:dyDescent="0.2">
      <c r="A1609" s="44" t="s">
        <v>22</v>
      </c>
      <c r="B1609" s="37">
        <v>37139</v>
      </c>
      <c r="C1609" s="7">
        <f t="shared" si="4"/>
        <v>117</v>
      </c>
      <c r="D1609" s="7">
        <f t="shared" si="4"/>
        <v>95</v>
      </c>
    </row>
    <row r="1610" spans="1:4" x14ac:dyDescent="0.2">
      <c r="A1610" s="44" t="s">
        <v>22</v>
      </c>
      <c r="B1610" s="37">
        <v>37140</v>
      </c>
      <c r="C1610" s="7">
        <f t="shared" si="4"/>
        <v>142</v>
      </c>
      <c r="D1610" s="7">
        <f t="shared" si="4"/>
        <v>76</v>
      </c>
    </row>
    <row r="1611" spans="1:4" x14ac:dyDescent="0.2">
      <c r="A1611" s="44" t="s">
        <v>22</v>
      </c>
      <c r="B1611" s="37">
        <v>37141</v>
      </c>
      <c r="C1611" s="7">
        <f t="shared" si="4"/>
        <v>127</v>
      </c>
      <c r="D1611" s="7">
        <f t="shared" si="4"/>
        <v>84</v>
      </c>
    </row>
    <row r="1612" spans="1:4" x14ac:dyDescent="0.2">
      <c r="A1612" s="44" t="s">
        <v>22</v>
      </c>
      <c r="B1612" s="37">
        <v>37142</v>
      </c>
      <c r="C1612" s="7">
        <f t="shared" si="4"/>
        <v>135</v>
      </c>
      <c r="D1612" s="7">
        <f t="shared" si="4"/>
        <v>68</v>
      </c>
    </row>
    <row r="1613" spans="1:4" x14ac:dyDescent="0.2">
      <c r="A1613" s="44" t="s">
        <v>22</v>
      </c>
      <c r="B1613" s="37">
        <v>37143</v>
      </c>
      <c r="C1613" s="7">
        <f t="shared" si="4"/>
        <v>110</v>
      </c>
      <c r="D1613" s="7">
        <f t="shared" si="4"/>
        <v>73</v>
      </c>
    </row>
    <row r="1614" spans="1:4" x14ac:dyDescent="0.2">
      <c r="A1614" s="44" t="s">
        <v>22</v>
      </c>
      <c r="B1614" s="37">
        <v>37144</v>
      </c>
      <c r="C1614" s="7">
        <f t="shared" si="4"/>
        <v>144</v>
      </c>
      <c r="D1614" s="7">
        <f t="shared" si="4"/>
        <v>77</v>
      </c>
    </row>
    <row r="1615" spans="1:4" x14ac:dyDescent="0.2">
      <c r="A1615" s="44" t="s">
        <v>22</v>
      </c>
      <c r="B1615" s="37">
        <v>37145</v>
      </c>
      <c r="C1615" s="7">
        <f t="shared" si="4"/>
        <v>145</v>
      </c>
      <c r="D1615" s="7">
        <f t="shared" si="4"/>
        <v>68</v>
      </c>
    </row>
    <row r="1616" spans="1:4" x14ac:dyDescent="0.2">
      <c r="A1616" s="44" t="s">
        <v>22</v>
      </c>
      <c r="B1616" s="37">
        <v>37146</v>
      </c>
      <c r="C1616" s="7">
        <f t="shared" si="4"/>
        <v>134</v>
      </c>
      <c r="D1616" s="7">
        <f t="shared" si="4"/>
        <v>89</v>
      </c>
    </row>
    <row r="1617" spans="1:4" x14ac:dyDescent="0.2">
      <c r="A1617" s="44" t="s">
        <v>22</v>
      </c>
      <c r="B1617" s="37">
        <v>37147</v>
      </c>
      <c r="C1617" s="7">
        <f t="shared" si="4"/>
        <v>121</v>
      </c>
      <c r="D1617" s="7">
        <f t="shared" si="4"/>
        <v>84</v>
      </c>
    </row>
    <row r="1618" spans="1:4" x14ac:dyDescent="0.2">
      <c r="A1618" s="44" t="s">
        <v>22</v>
      </c>
      <c r="B1618" s="37">
        <v>37148</v>
      </c>
      <c r="C1618" s="7">
        <f t="shared" si="4"/>
        <v>135</v>
      </c>
      <c r="D1618" s="7">
        <f t="shared" si="4"/>
        <v>98</v>
      </c>
    </row>
    <row r="1619" spans="1:4" x14ac:dyDescent="0.2">
      <c r="A1619" s="44" t="s">
        <v>22</v>
      </c>
      <c r="B1619" s="37">
        <v>37149</v>
      </c>
      <c r="C1619" s="7">
        <f t="shared" ref="C1619:D1650" si="5">SUMIFS(C$342:C$1361,$B$342:$B$1361,$B1619)</f>
        <v>135</v>
      </c>
      <c r="D1619" s="7">
        <f t="shared" si="5"/>
        <v>48</v>
      </c>
    </row>
    <row r="1620" spans="1:4" x14ac:dyDescent="0.2">
      <c r="A1620" s="44" t="s">
        <v>22</v>
      </c>
      <c r="B1620" s="37">
        <v>37150</v>
      </c>
      <c r="C1620" s="7">
        <f t="shared" si="5"/>
        <v>123</v>
      </c>
      <c r="D1620" s="7">
        <f t="shared" si="5"/>
        <v>76</v>
      </c>
    </row>
    <row r="1621" spans="1:4" x14ac:dyDescent="0.2">
      <c r="A1621" s="44" t="s">
        <v>22</v>
      </c>
      <c r="B1621" s="37">
        <v>37151</v>
      </c>
      <c r="C1621" s="7">
        <f t="shared" si="5"/>
        <v>125</v>
      </c>
      <c r="D1621" s="7">
        <f t="shared" si="5"/>
        <v>64</v>
      </c>
    </row>
    <row r="1622" spans="1:4" x14ac:dyDescent="0.2">
      <c r="A1622" s="44" t="s">
        <v>22</v>
      </c>
      <c r="B1622" s="37">
        <v>37152</v>
      </c>
      <c r="C1622" s="7">
        <f t="shared" si="5"/>
        <v>115</v>
      </c>
      <c r="D1622" s="7">
        <f t="shared" si="5"/>
        <v>77</v>
      </c>
    </row>
    <row r="1623" spans="1:4" x14ac:dyDescent="0.2">
      <c r="A1623" s="44" t="s">
        <v>22</v>
      </c>
      <c r="B1623" s="37">
        <v>37153</v>
      </c>
      <c r="C1623" s="7">
        <f t="shared" si="5"/>
        <v>136</v>
      </c>
      <c r="D1623" s="7">
        <f t="shared" si="5"/>
        <v>77</v>
      </c>
    </row>
    <row r="1624" spans="1:4" x14ac:dyDescent="0.2">
      <c r="A1624" s="44" t="s">
        <v>22</v>
      </c>
      <c r="B1624" s="37">
        <v>37154</v>
      </c>
      <c r="C1624" s="7">
        <f t="shared" si="5"/>
        <v>130</v>
      </c>
      <c r="D1624" s="7">
        <f t="shared" si="5"/>
        <v>67</v>
      </c>
    </row>
    <row r="1625" spans="1:4" x14ac:dyDescent="0.2">
      <c r="A1625" s="44" t="s">
        <v>22</v>
      </c>
      <c r="B1625" s="37">
        <v>37155</v>
      </c>
      <c r="C1625" s="7">
        <f t="shared" si="5"/>
        <v>127</v>
      </c>
      <c r="D1625" s="7">
        <f t="shared" si="5"/>
        <v>65</v>
      </c>
    </row>
    <row r="1626" spans="1:4" x14ac:dyDescent="0.2">
      <c r="A1626" s="44" t="s">
        <v>22</v>
      </c>
      <c r="B1626" s="37">
        <v>37156</v>
      </c>
      <c r="C1626" s="7">
        <f t="shared" si="5"/>
        <v>122</v>
      </c>
      <c r="D1626" s="7">
        <f t="shared" si="5"/>
        <v>71</v>
      </c>
    </row>
    <row r="1627" spans="1:4" x14ac:dyDescent="0.2">
      <c r="A1627" s="44" t="s">
        <v>22</v>
      </c>
      <c r="B1627" s="37">
        <v>37157</v>
      </c>
      <c r="C1627" s="7">
        <f t="shared" si="5"/>
        <v>146</v>
      </c>
      <c r="D1627" s="7">
        <f t="shared" si="5"/>
        <v>79</v>
      </c>
    </row>
    <row r="1628" spans="1:4" x14ac:dyDescent="0.2">
      <c r="A1628" s="44" t="s">
        <v>22</v>
      </c>
      <c r="B1628" s="37">
        <v>37158</v>
      </c>
      <c r="C1628" s="7">
        <f t="shared" si="5"/>
        <v>117</v>
      </c>
      <c r="D1628" s="7">
        <f t="shared" si="5"/>
        <v>79</v>
      </c>
    </row>
    <row r="1629" spans="1:4" x14ac:dyDescent="0.2">
      <c r="A1629" s="44" t="s">
        <v>22</v>
      </c>
      <c r="B1629" s="37">
        <v>37159</v>
      </c>
      <c r="C1629" s="7">
        <f t="shared" si="5"/>
        <v>137</v>
      </c>
      <c r="D1629" s="7">
        <f t="shared" si="5"/>
        <v>61</v>
      </c>
    </row>
    <row r="1630" spans="1:4" x14ac:dyDescent="0.2">
      <c r="A1630" s="44" t="s">
        <v>22</v>
      </c>
      <c r="B1630" s="37">
        <v>37160</v>
      </c>
      <c r="C1630" s="7">
        <f t="shared" si="5"/>
        <v>123</v>
      </c>
      <c r="D1630" s="7">
        <f t="shared" si="5"/>
        <v>81</v>
      </c>
    </row>
    <row r="1631" spans="1:4" x14ac:dyDescent="0.2">
      <c r="A1631" s="44" t="s">
        <v>22</v>
      </c>
      <c r="B1631" s="37">
        <v>37161</v>
      </c>
      <c r="C1631" s="7">
        <f t="shared" si="5"/>
        <v>153</v>
      </c>
      <c r="D1631" s="7">
        <f t="shared" si="5"/>
        <v>70</v>
      </c>
    </row>
    <row r="1632" spans="1:4" x14ac:dyDescent="0.2">
      <c r="A1632" s="44" t="s">
        <v>22</v>
      </c>
      <c r="B1632" s="37">
        <v>37162</v>
      </c>
      <c r="C1632" s="7">
        <f t="shared" si="5"/>
        <v>120</v>
      </c>
      <c r="D1632" s="7">
        <f t="shared" si="5"/>
        <v>59</v>
      </c>
    </row>
    <row r="1633" spans="1:4" x14ac:dyDescent="0.2">
      <c r="A1633" s="44" t="s">
        <v>22</v>
      </c>
      <c r="B1633" s="37">
        <v>37163</v>
      </c>
      <c r="C1633" s="7">
        <f t="shared" si="5"/>
        <v>129</v>
      </c>
      <c r="D1633" s="7">
        <f t="shared" si="5"/>
        <v>90</v>
      </c>
    </row>
    <row r="1634" spans="1:4" x14ac:dyDescent="0.2">
      <c r="A1634" s="44" t="s">
        <v>22</v>
      </c>
      <c r="B1634" s="37">
        <v>37164</v>
      </c>
      <c r="C1634" s="7">
        <f t="shared" si="5"/>
        <v>130</v>
      </c>
      <c r="D1634" s="7">
        <f t="shared" si="5"/>
        <v>85</v>
      </c>
    </row>
    <row r="1635" spans="1:4" x14ac:dyDescent="0.2">
      <c r="A1635" s="44" t="s">
        <v>22</v>
      </c>
      <c r="B1635" s="37">
        <v>37165</v>
      </c>
      <c r="C1635" s="7">
        <f t="shared" si="5"/>
        <v>128</v>
      </c>
      <c r="D1635" s="7">
        <f t="shared" si="5"/>
        <v>96</v>
      </c>
    </row>
    <row r="1636" spans="1:4" x14ac:dyDescent="0.2">
      <c r="A1636" s="44" t="s">
        <v>22</v>
      </c>
      <c r="B1636" s="37">
        <v>37166</v>
      </c>
      <c r="C1636" s="7">
        <f t="shared" si="5"/>
        <v>134</v>
      </c>
      <c r="D1636" s="7">
        <f t="shared" si="5"/>
        <v>67</v>
      </c>
    </row>
    <row r="1637" spans="1:4" x14ac:dyDescent="0.2">
      <c r="A1637" s="44" t="s">
        <v>22</v>
      </c>
      <c r="B1637" s="37">
        <v>37167</v>
      </c>
      <c r="C1637" s="7">
        <f t="shared" si="5"/>
        <v>128</v>
      </c>
      <c r="D1637" s="7">
        <f t="shared" si="5"/>
        <v>91</v>
      </c>
    </row>
    <row r="1638" spans="1:4" x14ac:dyDescent="0.2">
      <c r="A1638" s="44" t="s">
        <v>22</v>
      </c>
      <c r="B1638" s="37">
        <v>37168</v>
      </c>
      <c r="C1638" s="7">
        <f t="shared" si="5"/>
        <v>136</v>
      </c>
      <c r="D1638" s="7">
        <f t="shared" si="5"/>
        <v>79</v>
      </c>
    </row>
    <row r="1639" spans="1:4" x14ac:dyDescent="0.2">
      <c r="A1639" s="44" t="s">
        <v>22</v>
      </c>
      <c r="B1639" s="37">
        <v>37169</v>
      </c>
      <c r="C1639" s="7">
        <f t="shared" si="5"/>
        <v>130</v>
      </c>
      <c r="D1639" s="7">
        <f t="shared" si="5"/>
        <v>67</v>
      </c>
    </row>
    <row r="1640" spans="1:4" x14ac:dyDescent="0.2">
      <c r="A1640" s="44" t="s">
        <v>22</v>
      </c>
      <c r="B1640" s="37">
        <v>37170</v>
      </c>
      <c r="C1640" s="7">
        <f t="shared" si="5"/>
        <v>156</v>
      </c>
      <c r="D1640" s="7">
        <f t="shared" si="5"/>
        <v>74</v>
      </c>
    </row>
    <row r="1641" spans="1:4" x14ac:dyDescent="0.2">
      <c r="A1641" s="44" t="s">
        <v>22</v>
      </c>
      <c r="B1641" s="37">
        <v>37171</v>
      </c>
      <c r="C1641" s="7">
        <f t="shared" si="5"/>
        <v>122</v>
      </c>
      <c r="D1641" s="7">
        <f t="shared" si="5"/>
        <v>66</v>
      </c>
    </row>
    <row r="1642" spans="1:4" x14ac:dyDescent="0.2">
      <c r="A1642" s="44" t="s">
        <v>22</v>
      </c>
      <c r="B1642" s="37">
        <v>37172</v>
      </c>
      <c r="C1642" s="7">
        <f t="shared" si="5"/>
        <v>125</v>
      </c>
      <c r="D1642" s="7">
        <f t="shared" si="5"/>
        <v>99</v>
      </c>
    </row>
    <row r="1643" spans="1:4" x14ac:dyDescent="0.2">
      <c r="A1643" s="44" t="s">
        <v>22</v>
      </c>
      <c r="B1643" s="37">
        <v>37173</v>
      </c>
      <c r="C1643" s="7">
        <f t="shared" si="5"/>
        <v>116</v>
      </c>
      <c r="D1643" s="7">
        <f t="shared" si="5"/>
        <v>87</v>
      </c>
    </row>
    <row r="1644" spans="1:4" x14ac:dyDescent="0.2">
      <c r="A1644" s="44" t="s">
        <v>22</v>
      </c>
      <c r="B1644" s="37">
        <v>37174</v>
      </c>
      <c r="C1644" s="7">
        <f t="shared" si="5"/>
        <v>160</v>
      </c>
      <c r="D1644" s="7">
        <f t="shared" si="5"/>
        <v>68</v>
      </c>
    </row>
    <row r="1645" spans="1:4" x14ac:dyDescent="0.2">
      <c r="A1645" s="44" t="s">
        <v>22</v>
      </c>
      <c r="B1645" s="37">
        <v>37175</v>
      </c>
      <c r="C1645" s="7">
        <f t="shared" si="5"/>
        <v>135</v>
      </c>
      <c r="D1645" s="7">
        <f t="shared" si="5"/>
        <v>68</v>
      </c>
    </row>
    <row r="1646" spans="1:4" x14ac:dyDescent="0.2">
      <c r="A1646" s="44" t="s">
        <v>22</v>
      </c>
      <c r="B1646" s="37">
        <v>37176</v>
      </c>
      <c r="C1646" s="7">
        <f t="shared" si="5"/>
        <v>139</v>
      </c>
      <c r="D1646" s="7">
        <f t="shared" si="5"/>
        <v>64</v>
      </c>
    </row>
    <row r="1647" spans="1:4" x14ac:dyDescent="0.2">
      <c r="A1647" s="44" t="s">
        <v>22</v>
      </c>
      <c r="B1647" s="37">
        <v>37177</v>
      </c>
      <c r="C1647" s="7">
        <f t="shared" si="5"/>
        <v>117</v>
      </c>
      <c r="D1647" s="7">
        <f t="shared" si="5"/>
        <v>90</v>
      </c>
    </row>
    <row r="1648" spans="1:4" x14ac:dyDescent="0.2">
      <c r="A1648" s="44" t="s">
        <v>22</v>
      </c>
      <c r="B1648" s="37">
        <v>37178</v>
      </c>
      <c r="C1648" s="7">
        <f t="shared" si="5"/>
        <v>137</v>
      </c>
      <c r="D1648" s="7">
        <f t="shared" si="5"/>
        <v>81</v>
      </c>
    </row>
    <row r="1649" spans="1:4" x14ac:dyDescent="0.2">
      <c r="A1649" s="44" t="s">
        <v>22</v>
      </c>
      <c r="B1649" s="37">
        <v>37179</v>
      </c>
      <c r="C1649" s="7">
        <f t="shared" si="5"/>
        <v>108</v>
      </c>
      <c r="D1649" s="7">
        <f t="shared" si="5"/>
        <v>95</v>
      </c>
    </row>
    <row r="1650" spans="1:4" x14ac:dyDescent="0.2">
      <c r="A1650" s="44" t="s">
        <v>22</v>
      </c>
      <c r="B1650" s="37">
        <v>37180</v>
      </c>
      <c r="C1650" s="7">
        <f t="shared" si="5"/>
        <v>153</v>
      </c>
      <c r="D1650" s="7">
        <f t="shared" si="5"/>
        <v>72</v>
      </c>
    </row>
    <row r="1651" spans="1:4" x14ac:dyDescent="0.2">
      <c r="A1651" s="44" t="s">
        <v>22</v>
      </c>
      <c r="B1651" s="37">
        <v>37181</v>
      </c>
      <c r="C1651" s="7">
        <f t="shared" ref="C1651:D1682" si="6">SUMIFS(C$342:C$1361,$B$342:$B$1361,$B1651)</f>
        <v>126</v>
      </c>
      <c r="D1651" s="7">
        <f t="shared" si="6"/>
        <v>82</v>
      </c>
    </row>
    <row r="1652" spans="1:4" x14ac:dyDescent="0.2">
      <c r="A1652" s="44" t="s">
        <v>22</v>
      </c>
      <c r="B1652" s="37">
        <v>37182</v>
      </c>
      <c r="C1652" s="7">
        <f t="shared" si="6"/>
        <v>118</v>
      </c>
      <c r="D1652" s="7">
        <f t="shared" si="6"/>
        <v>74</v>
      </c>
    </row>
    <row r="1653" spans="1:4" x14ac:dyDescent="0.2">
      <c r="A1653" s="44" t="s">
        <v>22</v>
      </c>
      <c r="B1653" s="37">
        <v>37183</v>
      </c>
      <c r="C1653" s="7">
        <f t="shared" si="6"/>
        <v>130</v>
      </c>
      <c r="D1653" s="7">
        <f t="shared" si="6"/>
        <v>63</v>
      </c>
    </row>
    <row r="1654" spans="1:4" x14ac:dyDescent="0.2">
      <c r="A1654" s="44" t="s">
        <v>22</v>
      </c>
      <c r="B1654" s="37">
        <v>37184</v>
      </c>
      <c r="C1654" s="7">
        <f t="shared" si="6"/>
        <v>103</v>
      </c>
      <c r="D1654" s="7">
        <f t="shared" si="6"/>
        <v>64</v>
      </c>
    </row>
    <row r="1655" spans="1:4" x14ac:dyDescent="0.2">
      <c r="A1655" s="44" t="s">
        <v>22</v>
      </c>
      <c r="B1655" s="37">
        <v>37185</v>
      </c>
      <c r="C1655" s="7">
        <f t="shared" si="6"/>
        <v>129</v>
      </c>
      <c r="D1655" s="7">
        <f t="shared" si="6"/>
        <v>78</v>
      </c>
    </row>
    <row r="1656" spans="1:4" x14ac:dyDescent="0.2">
      <c r="A1656" s="44" t="s">
        <v>22</v>
      </c>
      <c r="B1656" s="37">
        <v>37186</v>
      </c>
      <c r="C1656" s="7">
        <f t="shared" si="6"/>
        <v>112</v>
      </c>
      <c r="D1656" s="7">
        <f t="shared" si="6"/>
        <v>66</v>
      </c>
    </row>
    <row r="1657" spans="1:4" x14ac:dyDescent="0.2">
      <c r="A1657" s="44" t="s">
        <v>22</v>
      </c>
      <c r="B1657" s="37">
        <v>37187</v>
      </c>
      <c r="C1657" s="7">
        <f t="shared" si="6"/>
        <v>139</v>
      </c>
      <c r="D1657" s="7">
        <f t="shared" si="6"/>
        <v>76</v>
      </c>
    </row>
    <row r="1658" spans="1:4" x14ac:dyDescent="0.2">
      <c r="A1658" s="44" t="s">
        <v>22</v>
      </c>
      <c r="B1658" s="37">
        <v>37188</v>
      </c>
      <c r="C1658" s="7">
        <f t="shared" si="6"/>
        <v>112</v>
      </c>
      <c r="D1658" s="7">
        <f t="shared" si="6"/>
        <v>73</v>
      </c>
    </row>
    <row r="1659" spans="1:4" x14ac:dyDescent="0.2">
      <c r="A1659" s="44" t="s">
        <v>22</v>
      </c>
      <c r="B1659" s="37">
        <v>37189</v>
      </c>
      <c r="C1659" s="7">
        <f t="shared" si="6"/>
        <v>122</v>
      </c>
      <c r="D1659" s="7">
        <f t="shared" si="6"/>
        <v>66</v>
      </c>
    </row>
    <row r="1660" spans="1:4" x14ac:dyDescent="0.2">
      <c r="A1660" s="44" t="s">
        <v>22</v>
      </c>
      <c r="B1660" s="37">
        <v>37190</v>
      </c>
      <c r="C1660" s="7">
        <f t="shared" si="6"/>
        <v>139</v>
      </c>
      <c r="D1660" s="7">
        <f t="shared" si="6"/>
        <v>86</v>
      </c>
    </row>
    <row r="1661" spans="1:4" x14ac:dyDescent="0.2">
      <c r="A1661" s="44" t="s">
        <v>22</v>
      </c>
      <c r="B1661" s="37">
        <v>37191</v>
      </c>
      <c r="C1661" s="7">
        <f t="shared" si="6"/>
        <v>154</v>
      </c>
      <c r="D1661" s="7">
        <f t="shared" si="6"/>
        <v>84</v>
      </c>
    </row>
    <row r="1662" spans="1:4" x14ac:dyDescent="0.2">
      <c r="A1662" s="44" t="s">
        <v>22</v>
      </c>
      <c r="B1662" s="37">
        <v>37192</v>
      </c>
      <c r="C1662" s="7">
        <f t="shared" si="6"/>
        <v>138</v>
      </c>
      <c r="D1662" s="7">
        <f t="shared" si="6"/>
        <v>78</v>
      </c>
    </row>
    <row r="1663" spans="1:4" x14ac:dyDescent="0.2">
      <c r="A1663" s="44" t="s">
        <v>22</v>
      </c>
      <c r="B1663" s="37">
        <v>37193</v>
      </c>
      <c r="C1663" s="7">
        <f t="shared" si="6"/>
        <v>139</v>
      </c>
      <c r="D1663" s="7">
        <f t="shared" si="6"/>
        <v>95</v>
      </c>
    </row>
    <row r="1664" spans="1:4" x14ac:dyDescent="0.2">
      <c r="A1664" s="44" t="s">
        <v>22</v>
      </c>
      <c r="B1664" s="37">
        <v>37194</v>
      </c>
      <c r="C1664" s="7">
        <f t="shared" si="6"/>
        <v>112</v>
      </c>
      <c r="D1664" s="7">
        <f t="shared" si="6"/>
        <v>69</v>
      </c>
    </row>
    <row r="1665" spans="1:4" x14ac:dyDescent="0.2">
      <c r="A1665" s="44" t="s">
        <v>22</v>
      </c>
      <c r="B1665" s="37">
        <v>37195</v>
      </c>
      <c r="C1665" s="7">
        <f t="shared" si="6"/>
        <v>117</v>
      </c>
      <c r="D1665" s="7">
        <f t="shared" si="6"/>
        <v>90</v>
      </c>
    </row>
    <row r="1666" spans="1:4" x14ac:dyDescent="0.2">
      <c r="A1666" s="44" t="s">
        <v>22</v>
      </c>
      <c r="B1666" s="37">
        <v>37196</v>
      </c>
      <c r="C1666" s="7">
        <f t="shared" si="6"/>
        <v>118</v>
      </c>
      <c r="D1666" s="7">
        <f t="shared" si="6"/>
        <v>86</v>
      </c>
    </row>
    <row r="1667" spans="1:4" x14ac:dyDescent="0.2">
      <c r="A1667" s="44" t="s">
        <v>22</v>
      </c>
      <c r="B1667" s="37">
        <v>37197</v>
      </c>
      <c r="C1667" s="7">
        <f t="shared" si="6"/>
        <v>119</v>
      </c>
      <c r="D1667" s="7">
        <f t="shared" si="6"/>
        <v>78</v>
      </c>
    </row>
    <row r="1668" spans="1:4" x14ac:dyDescent="0.2">
      <c r="A1668" s="44" t="s">
        <v>22</v>
      </c>
      <c r="B1668" s="37">
        <v>37198</v>
      </c>
      <c r="C1668" s="7">
        <f t="shared" si="6"/>
        <v>137</v>
      </c>
      <c r="D1668" s="7">
        <f t="shared" si="6"/>
        <v>78</v>
      </c>
    </row>
    <row r="1669" spans="1:4" x14ac:dyDescent="0.2">
      <c r="A1669" s="44" t="s">
        <v>22</v>
      </c>
      <c r="B1669" s="37">
        <v>37199</v>
      </c>
      <c r="C1669" s="7">
        <f t="shared" si="6"/>
        <v>129</v>
      </c>
      <c r="D1669" s="7">
        <f t="shared" si="6"/>
        <v>90</v>
      </c>
    </row>
    <row r="1670" spans="1:4" x14ac:dyDescent="0.2">
      <c r="A1670" s="44" t="s">
        <v>22</v>
      </c>
      <c r="B1670" s="37">
        <v>37200</v>
      </c>
      <c r="C1670" s="7">
        <f t="shared" si="6"/>
        <v>129</v>
      </c>
      <c r="D1670" s="7">
        <f t="shared" si="6"/>
        <v>71</v>
      </c>
    </row>
    <row r="1671" spans="1:4" x14ac:dyDescent="0.2">
      <c r="A1671" s="44" t="s">
        <v>22</v>
      </c>
      <c r="B1671" s="37">
        <v>37201</v>
      </c>
      <c r="C1671" s="7">
        <f t="shared" si="6"/>
        <v>117</v>
      </c>
      <c r="D1671" s="7">
        <f t="shared" si="6"/>
        <v>94</v>
      </c>
    </row>
    <row r="1672" spans="1:4" x14ac:dyDescent="0.2">
      <c r="A1672" s="44" t="s">
        <v>22</v>
      </c>
      <c r="B1672" s="37">
        <v>37202</v>
      </c>
      <c r="C1672" s="7">
        <f t="shared" si="6"/>
        <v>110</v>
      </c>
      <c r="D1672" s="7">
        <f t="shared" si="6"/>
        <v>82</v>
      </c>
    </row>
    <row r="1673" spans="1:4" x14ac:dyDescent="0.2">
      <c r="A1673" s="44" t="s">
        <v>22</v>
      </c>
      <c r="B1673" s="37">
        <v>37203</v>
      </c>
      <c r="C1673" s="7">
        <f t="shared" si="6"/>
        <v>157</v>
      </c>
      <c r="D1673" s="7">
        <f t="shared" si="6"/>
        <v>68</v>
      </c>
    </row>
    <row r="1674" spans="1:4" x14ac:dyDescent="0.2">
      <c r="A1674" s="44" t="s">
        <v>22</v>
      </c>
      <c r="B1674" s="37">
        <v>37204</v>
      </c>
      <c r="C1674" s="7">
        <f t="shared" si="6"/>
        <v>117</v>
      </c>
      <c r="D1674" s="7">
        <f t="shared" si="6"/>
        <v>79</v>
      </c>
    </row>
    <row r="1675" spans="1:4" x14ac:dyDescent="0.2">
      <c r="A1675" s="44" t="s">
        <v>22</v>
      </c>
      <c r="B1675" s="37">
        <v>37205</v>
      </c>
      <c r="C1675" s="7">
        <f t="shared" si="6"/>
        <v>130</v>
      </c>
      <c r="D1675" s="7">
        <f t="shared" si="6"/>
        <v>70</v>
      </c>
    </row>
    <row r="1676" spans="1:4" x14ac:dyDescent="0.2">
      <c r="A1676" s="44" t="s">
        <v>22</v>
      </c>
      <c r="B1676" s="37">
        <v>37206</v>
      </c>
      <c r="C1676" s="7">
        <f t="shared" si="6"/>
        <v>120</v>
      </c>
      <c r="D1676" s="7">
        <f t="shared" si="6"/>
        <v>72</v>
      </c>
    </row>
    <row r="1677" spans="1:4" x14ac:dyDescent="0.2">
      <c r="A1677" s="44" t="s">
        <v>22</v>
      </c>
      <c r="B1677" s="37">
        <v>37207</v>
      </c>
      <c r="C1677" s="7">
        <f t="shared" si="6"/>
        <v>131</v>
      </c>
      <c r="D1677" s="7">
        <f t="shared" si="6"/>
        <v>78</v>
      </c>
    </row>
    <row r="1678" spans="1:4" x14ac:dyDescent="0.2">
      <c r="A1678" s="44" t="s">
        <v>22</v>
      </c>
      <c r="B1678" s="37">
        <v>37208</v>
      </c>
      <c r="C1678" s="7">
        <f t="shared" si="6"/>
        <v>129</v>
      </c>
      <c r="D1678" s="7">
        <f t="shared" si="6"/>
        <v>93</v>
      </c>
    </row>
    <row r="1679" spans="1:4" x14ac:dyDescent="0.2">
      <c r="A1679" s="44" t="s">
        <v>22</v>
      </c>
      <c r="B1679" s="37">
        <v>37209</v>
      </c>
      <c r="C1679" s="7">
        <f t="shared" si="6"/>
        <v>122</v>
      </c>
      <c r="D1679" s="7">
        <f t="shared" si="6"/>
        <v>52</v>
      </c>
    </row>
    <row r="1680" spans="1:4" x14ac:dyDescent="0.2">
      <c r="A1680" s="44" t="s">
        <v>22</v>
      </c>
      <c r="B1680" s="37">
        <v>37210</v>
      </c>
      <c r="C1680" s="7">
        <f t="shared" si="6"/>
        <v>151</v>
      </c>
      <c r="D1680" s="7">
        <f t="shared" si="6"/>
        <v>80</v>
      </c>
    </row>
    <row r="1681" spans="1:4" x14ac:dyDescent="0.2">
      <c r="A1681" s="44" t="s">
        <v>22</v>
      </c>
      <c r="B1681" s="37">
        <v>37211</v>
      </c>
      <c r="C1681" s="7">
        <f t="shared" si="6"/>
        <v>128</v>
      </c>
      <c r="D1681" s="7">
        <f t="shared" si="6"/>
        <v>61</v>
      </c>
    </row>
    <row r="1682" spans="1:4" x14ac:dyDescent="0.2">
      <c r="A1682" s="44" t="s">
        <v>22</v>
      </c>
      <c r="B1682" s="37">
        <v>37212</v>
      </c>
      <c r="C1682" s="7">
        <f t="shared" si="6"/>
        <v>136</v>
      </c>
      <c r="D1682" s="7">
        <f t="shared" si="6"/>
        <v>82</v>
      </c>
    </row>
    <row r="1683" spans="1:4" x14ac:dyDescent="0.2">
      <c r="A1683" s="44" t="s">
        <v>22</v>
      </c>
      <c r="B1683" s="37">
        <v>37213</v>
      </c>
      <c r="C1683" s="7">
        <f t="shared" ref="C1683:D1701" si="7">SUMIFS(C$342:C$1361,$B$342:$B$1361,$B1683)</f>
        <v>136</v>
      </c>
      <c r="D1683" s="7">
        <f t="shared" si="7"/>
        <v>70</v>
      </c>
    </row>
    <row r="1684" spans="1:4" x14ac:dyDescent="0.2">
      <c r="A1684" s="44" t="s">
        <v>22</v>
      </c>
      <c r="B1684" s="37">
        <v>37214</v>
      </c>
      <c r="C1684" s="7">
        <f t="shared" si="7"/>
        <v>127</v>
      </c>
      <c r="D1684" s="7">
        <f t="shared" si="7"/>
        <v>66</v>
      </c>
    </row>
    <row r="1685" spans="1:4" x14ac:dyDescent="0.2">
      <c r="A1685" s="44" t="s">
        <v>22</v>
      </c>
      <c r="B1685" s="37">
        <v>37215</v>
      </c>
      <c r="C1685" s="7">
        <f t="shared" si="7"/>
        <v>142</v>
      </c>
      <c r="D1685" s="7">
        <f t="shared" si="7"/>
        <v>64</v>
      </c>
    </row>
    <row r="1686" spans="1:4" x14ac:dyDescent="0.2">
      <c r="A1686" s="44" t="s">
        <v>22</v>
      </c>
      <c r="B1686" s="37">
        <v>37216</v>
      </c>
      <c r="C1686" s="7">
        <f t="shared" si="7"/>
        <v>138</v>
      </c>
      <c r="D1686" s="7">
        <f t="shared" si="7"/>
        <v>63</v>
      </c>
    </row>
    <row r="1687" spans="1:4" x14ac:dyDescent="0.2">
      <c r="A1687" s="44" t="s">
        <v>22</v>
      </c>
      <c r="B1687" s="37">
        <v>37217</v>
      </c>
      <c r="C1687" s="7">
        <f t="shared" si="7"/>
        <v>133</v>
      </c>
      <c r="D1687" s="7">
        <f t="shared" si="7"/>
        <v>57</v>
      </c>
    </row>
    <row r="1688" spans="1:4" x14ac:dyDescent="0.2">
      <c r="A1688" s="44" t="s">
        <v>22</v>
      </c>
      <c r="B1688" s="37">
        <v>37218</v>
      </c>
      <c r="C1688" s="7">
        <f t="shared" si="7"/>
        <v>130</v>
      </c>
      <c r="D1688" s="7">
        <f t="shared" si="7"/>
        <v>87</v>
      </c>
    </row>
    <row r="1689" spans="1:4" x14ac:dyDescent="0.2">
      <c r="A1689" s="44" t="s">
        <v>22</v>
      </c>
      <c r="B1689" s="37">
        <v>37219</v>
      </c>
      <c r="C1689" s="7">
        <f t="shared" si="7"/>
        <v>134</v>
      </c>
      <c r="D1689" s="7">
        <f t="shared" si="7"/>
        <v>83</v>
      </c>
    </row>
    <row r="1690" spans="1:4" x14ac:dyDescent="0.2">
      <c r="A1690" s="44" t="s">
        <v>22</v>
      </c>
      <c r="B1690" s="37">
        <v>37220</v>
      </c>
      <c r="C1690" s="7">
        <f t="shared" si="7"/>
        <v>130</v>
      </c>
      <c r="D1690" s="7">
        <f t="shared" si="7"/>
        <v>93</v>
      </c>
    </row>
    <row r="1691" spans="1:4" x14ac:dyDescent="0.2">
      <c r="A1691" s="44" t="s">
        <v>22</v>
      </c>
      <c r="B1691" s="37">
        <v>37221</v>
      </c>
      <c r="C1691" s="7">
        <f t="shared" si="7"/>
        <v>138</v>
      </c>
      <c r="D1691" s="7">
        <f t="shared" si="7"/>
        <v>66</v>
      </c>
    </row>
    <row r="1692" spans="1:4" x14ac:dyDescent="0.2">
      <c r="A1692" s="44" t="s">
        <v>22</v>
      </c>
      <c r="B1692" s="37">
        <v>37222</v>
      </c>
      <c r="C1692" s="7">
        <f t="shared" si="7"/>
        <v>143</v>
      </c>
      <c r="D1692" s="7">
        <f t="shared" si="7"/>
        <v>85</v>
      </c>
    </row>
    <row r="1693" spans="1:4" x14ac:dyDescent="0.2">
      <c r="A1693" s="44" t="s">
        <v>22</v>
      </c>
      <c r="B1693" s="37">
        <v>37223</v>
      </c>
      <c r="C1693" s="7">
        <f t="shared" si="7"/>
        <v>139</v>
      </c>
      <c r="D1693" s="7">
        <f t="shared" si="7"/>
        <v>78</v>
      </c>
    </row>
    <row r="1694" spans="1:4" x14ac:dyDescent="0.2">
      <c r="A1694" s="44" t="s">
        <v>22</v>
      </c>
      <c r="B1694" s="37">
        <v>37224</v>
      </c>
      <c r="C1694" s="7">
        <f t="shared" si="7"/>
        <v>138</v>
      </c>
      <c r="D1694" s="7">
        <f t="shared" si="7"/>
        <v>83</v>
      </c>
    </row>
    <row r="1695" spans="1:4" x14ac:dyDescent="0.2">
      <c r="A1695" s="44" t="s">
        <v>22</v>
      </c>
      <c r="B1695" s="37">
        <v>37225</v>
      </c>
      <c r="C1695" s="7">
        <f t="shared" si="7"/>
        <v>136</v>
      </c>
      <c r="D1695" s="7">
        <f t="shared" si="7"/>
        <v>62</v>
      </c>
    </row>
    <row r="1696" spans="1:4" x14ac:dyDescent="0.2">
      <c r="A1696" s="44" t="s">
        <v>22</v>
      </c>
      <c r="B1696" s="37">
        <v>37226</v>
      </c>
      <c r="C1696" s="7">
        <f t="shared" si="7"/>
        <v>143</v>
      </c>
      <c r="D1696" s="7">
        <f t="shared" si="7"/>
        <v>78</v>
      </c>
    </row>
    <row r="1697" spans="1:4" x14ac:dyDescent="0.2">
      <c r="A1697" s="44" t="s">
        <v>22</v>
      </c>
      <c r="B1697" s="37">
        <v>37227</v>
      </c>
      <c r="C1697" s="7">
        <f t="shared" si="7"/>
        <v>122</v>
      </c>
      <c r="D1697" s="7">
        <f t="shared" si="7"/>
        <v>77</v>
      </c>
    </row>
    <row r="1698" spans="1:4" x14ac:dyDescent="0.2">
      <c r="A1698" s="44" t="s">
        <v>22</v>
      </c>
      <c r="B1698" s="37">
        <v>37228</v>
      </c>
      <c r="C1698" s="7">
        <f t="shared" si="7"/>
        <v>138</v>
      </c>
      <c r="D1698" s="7">
        <f t="shared" si="7"/>
        <v>64</v>
      </c>
    </row>
    <row r="1699" spans="1:4" x14ac:dyDescent="0.2">
      <c r="A1699" s="44" t="s">
        <v>22</v>
      </c>
      <c r="B1699" s="37">
        <v>37229</v>
      </c>
      <c r="C1699" s="7">
        <f t="shared" si="7"/>
        <v>111</v>
      </c>
      <c r="D1699" s="7">
        <f t="shared" si="7"/>
        <v>81</v>
      </c>
    </row>
    <row r="1700" spans="1:4" x14ac:dyDescent="0.2">
      <c r="A1700" s="44" t="s">
        <v>22</v>
      </c>
      <c r="B1700" s="37">
        <v>37230</v>
      </c>
      <c r="C1700" s="7">
        <f t="shared" si="7"/>
        <v>129</v>
      </c>
      <c r="D1700" s="7">
        <f t="shared" si="7"/>
        <v>81</v>
      </c>
    </row>
    <row r="1701" spans="1:4" x14ac:dyDescent="0.2">
      <c r="A1701" s="44" t="s">
        <v>22</v>
      </c>
      <c r="B1701" s="37">
        <v>37231</v>
      </c>
      <c r="C1701" s="7">
        <f t="shared" si="7"/>
        <v>138</v>
      </c>
      <c r="D1701" s="7">
        <f t="shared" si="7"/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4" tint="-0.249977111117893"/>
  </sheetPr>
  <dimension ref="A1:E39"/>
  <sheetViews>
    <sheetView workbookViewId="0">
      <selection activeCell="E35" sqref="E35:H36"/>
    </sheetView>
  </sheetViews>
  <sheetFormatPr defaultRowHeight="12.75" x14ac:dyDescent="0.2"/>
  <cols>
    <col min="1" max="1" width="16.42578125" customWidth="1"/>
    <col min="3" max="3" width="12.7109375" bestFit="1" customWidth="1"/>
    <col min="5" max="5" width="11.28515625" bestFit="1" customWidth="1"/>
  </cols>
  <sheetData>
    <row r="1" spans="1:5" x14ac:dyDescent="0.2">
      <c r="A1" s="45" t="s">
        <v>27</v>
      </c>
      <c r="B1" s="45" t="s">
        <v>88</v>
      </c>
      <c r="C1" s="45" t="s">
        <v>97</v>
      </c>
      <c r="D1" s="45" t="s">
        <v>89</v>
      </c>
      <c r="E1" s="45" t="s">
        <v>102</v>
      </c>
    </row>
    <row r="2" spans="1:5" x14ac:dyDescent="0.2">
      <c r="A2" s="1" t="s">
        <v>18</v>
      </c>
      <c r="B2" s="7" t="s">
        <v>98</v>
      </c>
      <c r="C2" s="42">
        <v>0.06</v>
      </c>
      <c r="D2" s="42">
        <v>0.22</v>
      </c>
      <c r="E2" s="50">
        <v>30000</v>
      </c>
    </row>
    <row r="3" spans="1:5" x14ac:dyDescent="0.2">
      <c r="A3" s="1" t="s">
        <v>18</v>
      </c>
      <c r="B3" s="7" t="s">
        <v>91</v>
      </c>
      <c r="C3" s="42">
        <v>0</v>
      </c>
      <c r="D3" s="42">
        <v>0.31</v>
      </c>
      <c r="E3" s="50">
        <v>25000</v>
      </c>
    </row>
    <row r="4" spans="1:5" x14ac:dyDescent="0.2">
      <c r="A4" s="1" t="s">
        <v>18</v>
      </c>
      <c r="B4" s="7" t="s">
        <v>92</v>
      </c>
      <c r="C4" s="42">
        <v>-0.03</v>
      </c>
      <c r="D4" s="42">
        <v>9.5000000000000001E-2</v>
      </c>
      <c r="E4" s="50">
        <v>10000</v>
      </c>
    </row>
    <row r="5" spans="1:5" x14ac:dyDescent="0.2">
      <c r="A5" s="1" t="s">
        <v>18</v>
      </c>
      <c r="B5" s="7" t="s">
        <v>93</v>
      </c>
      <c r="C5" s="42">
        <v>0.15</v>
      </c>
      <c r="D5" s="42">
        <v>0.16</v>
      </c>
      <c r="E5" s="50">
        <v>15000</v>
      </c>
    </row>
    <row r="6" spans="1:5" x14ac:dyDescent="0.2">
      <c r="A6" s="1" t="s">
        <v>18</v>
      </c>
      <c r="B6" s="7" t="s">
        <v>94</v>
      </c>
      <c r="C6" s="42">
        <v>-0.06</v>
      </c>
      <c r="D6" s="42">
        <v>0.21</v>
      </c>
      <c r="E6" s="50">
        <v>8000</v>
      </c>
    </row>
    <row r="7" spans="1:5" x14ac:dyDescent="0.2">
      <c r="A7" s="44" t="s">
        <v>14</v>
      </c>
      <c r="B7" s="7" t="s">
        <v>98</v>
      </c>
      <c r="C7" s="42">
        <v>0.09</v>
      </c>
      <c r="D7" s="42">
        <v>0.08</v>
      </c>
      <c r="E7" s="50">
        <v>21000</v>
      </c>
    </row>
    <row r="8" spans="1:5" x14ac:dyDescent="0.2">
      <c r="A8" s="44" t="s">
        <v>14</v>
      </c>
      <c r="B8" s="7" t="s">
        <v>91</v>
      </c>
      <c r="C8" s="42">
        <v>0</v>
      </c>
      <c r="D8" s="42">
        <v>0.27</v>
      </c>
      <c r="E8" s="50">
        <v>25000</v>
      </c>
    </row>
    <row r="9" spans="1:5" x14ac:dyDescent="0.2">
      <c r="A9" s="44" t="s">
        <v>14</v>
      </c>
      <c r="B9" s="7" t="s">
        <v>92</v>
      </c>
      <c r="C9" s="42">
        <v>-0.03</v>
      </c>
      <c r="D9" s="42">
        <v>0.15</v>
      </c>
      <c r="E9" s="50">
        <v>13000</v>
      </c>
    </row>
    <row r="10" spans="1:5" x14ac:dyDescent="0.2">
      <c r="A10" s="44" t="s">
        <v>14</v>
      </c>
      <c r="B10" s="7" t="s">
        <v>93</v>
      </c>
      <c r="C10" s="42">
        <v>0.15</v>
      </c>
      <c r="D10" s="42">
        <v>0.22</v>
      </c>
      <c r="E10" s="50">
        <v>16000</v>
      </c>
    </row>
    <row r="11" spans="1:5" x14ac:dyDescent="0.2">
      <c r="A11" s="44" t="s">
        <v>14</v>
      </c>
      <c r="B11" s="7" t="s">
        <v>94</v>
      </c>
      <c r="C11" s="42">
        <v>-0.06</v>
      </c>
      <c r="D11" s="42">
        <v>0.21</v>
      </c>
      <c r="E11" s="50">
        <v>10000</v>
      </c>
    </row>
    <row r="12" spans="1:5" x14ac:dyDescent="0.2">
      <c r="A12" s="44" t="s">
        <v>10</v>
      </c>
      <c r="B12" s="7" t="s">
        <v>98</v>
      </c>
      <c r="C12" s="42">
        <v>0.06</v>
      </c>
      <c r="D12" s="42">
        <v>0.14000000000000001</v>
      </c>
      <c r="E12" s="50">
        <v>12000</v>
      </c>
    </row>
    <row r="13" spans="1:5" x14ac:dyDescent="0.2">
      <c r="A13" s="44" t="s">
        <v>10</v>
      </c>
      <c r="B13" s="7" t="s">
        <v>91</v>
      </c>
      <c r="C13" s="42">
        <v>0</v>
      </c>
      <c r="D13" s="42">
        <v>0.21</v>
      </c>
      <c r="E13" s="50">
        <v>14000</v>
      </c>
    </row>
    <row r="14" spans="1:5" x14ac:dyDescent="0.2">
      <c r="A14" s="44" t="s">
        <v>10</v>
      </c>
      <c r="B14" s="7" t="s">
        <v>92</v>
      </c>
      <c r="C14" s="42">
        <v>-0.03</v>
      </c>
      <c r="D14" s="42">
        <v>0.08</v>
      </c>
      <c r="E14" s="50">
        <v>13000</v>
      </c>
    </row>
    <row r="15" spans="1:5" x14ac:dyDescent="0.2">
      <c r="A15" s="44" t="s">
        <v>10</v>
      </c>
      <c r="B15" s="7" t="s">
        <v>93</v>
      </c>
      <c r="C15" s="42">
        <v>0.15</v>
      </c>
      <c r="D15" s="42">
        <v>0.19</v>
      </c>
      <c r="E15" s="50">
        <v>17000</v>
      </c>
    </row>
    <row r="16" spans="1:5" x14ac:dyDescent="0.2">
      <c r="A16" s="44" t="s">
        <v>10</v>
      </c>
      <c r="B16" s="7" t="s">
        <v>94</v>
      </c>
      <c r="C16" s="42">
        <v>-0.06</v>
      </c>
      <c r="D16" s="42">
        <v>0.28999999999999998</v>
      </c>
      <c r="E16" s="50">
        <v>6000</v>
      </c>
    </row>
    <row r="17" spans="1:5" x14ac:dyDescent="0.2">
      <c r="A17" s="1" t="s">
        <v>7</v>
      </c>
      <c r="B17" s="7" t="s">
        <v>98</v>
      </c>
      <c r="C17" s="42">
        <v>0.06</v>
      </c>
      <c r="D17" s="42">
        <v>0.06</v>
      </c>
      <c r="E17" s="50">
        <v>25000</v>
      </c>
    </row>
    <row r="18" spans="1:5" x14ac:dyDescent="0.2">
      <c r="A18" s="1" t="s">
        <v>7</v>
      </c>
      <c r="B18" s="7" t="s">
        <v>91</v>
      </c>
      <c r="C18" s="42">
        <v>0</v>
      </c>
      <c r="D18" s="42">
        <v>0.32</v>
      </c>
      <c r="E18" s="50">
        <v>19000</v>
      </c>
    </row>
    <row r="19" spans="1:5" x14ac:dyDescent="0.2">
      <c r="A19" s="1" t="s">
        <v>7</v>
      </c>
      <c r="B19" s="7" t="s">
        <v>92</v>
      </c>
      <c r="C19" s="42">
        <v>-0.03</v>
      </c>
      <c r="D19" s="42">
        <v>0.22</v>
      </c>
      <c r="E19" s="50">
        <v>12000</v>
      </c>
    </row>
    <row r="20" spans="1:5" x14ac:dyDescent="0.2">
      <c r="A20" s="1" t="s">
        <v>7</v>
      </c>
      <c r="B20" s="7" t="s">
        <v>93</v>
      </c>
      <c r="C20" s="42">
        <v>0.15</v>
      </c>
      <c r="D20" s="42">
        <v>0.21</v>
      </c>
      <c r="E20" s="50">
        <v>17000</v>
      </c>
    </row>
    <row r="21" spans="1:5" x14ac:dyDescent="0.2">
      <c r="A21" s="1" t="s">
        <v>7</v>
      </c>
      <c r="B21" s="7" t="s">
        <v>94</v>
      </c>
      <c r="C21" s="42">
        <v>-0.06</v>
      </c>
      <c r="D21" s="42">
        <v>0.19</v>
      </c>
      <c r="E21" s="50">
        <v>10000</v>
      </c>
    </row>
    <row r="22" spans="1:5" x14ac:dyDescent="0.2">
      <c r="A22" s="44" t="s">
        <v>22</v>
      </c>
      <c r="B22" s="7" t="s">
        <v>98</v>
      </c>
      <c r="C22" s="42">
        <v>0.06</v>
      </c>
      <c r="D22" s="42">
        <v>0.22</v>
      </c>
      <c r="E22" s="50">
        <f>SUMIFS(E$2:E$21,$B$2:$B$21,B22)</f>
        <v>88000</v>
      </c>
    </row>
    <row r="23" spans="1:5" x14ac:dyDescent="0.2">
      <c r="A23" s="44" t="s">
        <v>22</v>
      </c>
      <c r="B23" s="7" t="s">
        <v>91</v>
      </c>
      <c r="C23" s="42">
        <v>0</v>
      </c>
      <c r="D23" s="42">
        <v>0.31</v>
      </c>
      <c r="E23" s="50">
        <f>SUMIFS(E$2:E$21,$B$2:$B$21,B23)</f>
        <v>83000</v>
      </c>
    </row>
    <row r="24" spans="1:5" x14ac:dyDescent="0.2">
      <c r="A24" s="44" t="s">
        <v>22</v>
      </c>
      <c r="B24" s="7" t="s">
        <v>92</v>
      </c>
      <c r="C24" s="42">
        <v>-0.03</v>
      </c>
      <c r="D24" s="42">
        <v>9.5000000000000001E-2</v>
      </c>
      <c r="E24" s="50">
        <f>SUMIFS(E$2:E$21,$B$2:$B$21,B24)</f>
        <v>48000</v>
      </c>
    </row>
    <row r="25" spans="1:5" x14ac:dyDescent="0.2">
      <c r="A25" s="44" t="s">
        <v>22</v>
      </c>
      <c r="B25" s="7" t="s">
        <v>93</v>
      </c>
      <c r="C25" s="42">
        <v>0.15</v>
      </c>
      <c r="D25" s="42">
        <v>0.16</v>
      </c>
      <c r="E25" s="50">
        <f>SUMIFS(E$2:E$21,$B$2:$B$21,B25)</f>
        <v>65000</v>
      </c>
    </row>
    <row r="26" spans="1:5" x14ac:dyDescent="0.2">
      <c r="A26" s="44" t="s">
        <v>22</v>
      </c>
      <c r="B26" s="7" t="s">
        <v>94</v>
      </c>
      <c r="C26" s="42">
        <v>-0.06</v>
      </c>
      <c r="D26" s="42">
        <v>0.21</v>
      </c>
      <c r="E26" s="50">
        <f>SUMIFS(E$2:E$21,$B$2:$B$21,B26)</f>
        <v>34000</v>
      </c>
    </row>
    <row r="28" spans="1:5" x14ac:dyDescent="0.2">
      <c r="A28" s="45" t="s">
        <v>27</v>
      </c>
      <c r="B28" s="45" t="s">
        <v>115</v>
      </c>
      <c r="C28" s="45" t="s">
        <v>114</v>
      </c>
    </row>
    <row r="29" spans="1:5" x14ac:dyDescent="0.2">
      <c r="A29" s="1" t="s">
        <v>18</v>
      </c>
      <c r="B29" t="s">
        <v>113</v>
      </c>
      <c r="C29" s="50">
        <v>2307067</v>
      </c>
    </row>
    <row r="30" spans="1:5" x14ac:dyDescent="0.2">
      <c r="A30" s="44" t="s">
        <v>14</v>
      </c>
      <c r="B30" t="s">
        <v>113</v>
      </c>
      <c r="C30" s="50">
        <v>5608786</v>
      </c>
    </row>
    <row r="31" spans="1:5" x14ac:dyDescent="0.2">
      <c r="A31" s="44" t="s">
        <v>10</v>
      </c>
      <c r="B31" t="s">
        <v>113</v>
      </c>
      <c r="C31" s="50">
        <v>3456765</v>
      </c>
    </row>
    <row r="32" spans="1:5" x14ac:dyDescent="0.2">
      <c r="A32" s="1" t="s">
        <v>7</v>
      </c>
      <c r="B32" t="s">
        <v>113</v>
      </c>
      <c r="C32" s="50">
        <v>2056784</v>
      </c>
    </row>
    <row r="33" spans="1:4" x14ac:dyDescent="0.2">
      <c r="A33" s="44" t="s">
        <v>22</v>
      </c>
      <c r="B33" t="s">
        <v>113</v>
      </c>
      <c r="C33" s="50">
        <f>SUM(C29:C32)</f>
        <v>13429402</v>
      </c>
    </row>
    <row r="35" spans="1:4" x14ac:dyDescent="0.2">
      <c r="C35" t="s">
        <v>129</v>
      </c>
    </row>
    <row r="36" spans="1:4" x14ac:dyDescent="0.2">
      <c r="A36" s="44" t="s">
        <v>22</v>
      </c>
      <c r="B36" t="s">
        <v>128</v>
      </c>
      <c r="C36">
        <v>16.920000000000002</v>
      </c>
      <c r="D36">
        <v>17.43</v>
      </c>
    </row>
    <row r="37" spans="1:4" x14ac:dyDescent="0.2">
      <c r="A37" s="44"/>
    </row>
    <row r="38" spans="1:4" x14ac:dyDescent="0.2">
      <c r="A38" s="44"/>
    </row>
    <row r="39" spans="1:4" x14ac:dyDescent="0.2">
      <c r="A39" s="1"/>
    </row>
  </sheetData>
  <conditionalFormatting sqref="C2:D6">
    <cfRule type="expression" dxfId="31" priority="29">
      <formula>$B$8="%"</formula>
    </cfRule>
    <cfRule type="expression" dxfId="30" priority="30">
      <formula>$B$8="kEUR"</formula>
    </cfRule>
  </conditionalFormatting>
  <conditionalFormatting sqref="C7:C11">
    <cfRule type="expression" dxfId="29" priority="27">
      <formula>$B$8="%"</formula>
    </cfRule>
    <cfRule type="expression" dxfId="28" priority="28">
      <formula>$B$8="kEUR"</formula>
    </cfRule>
  </conditionalFormatting>
  <conditionalFormatting sqref="C12:C16">
    <cfRule type="expression" dxfId="27" priority="25">
      <formula>$B$8="%"</formula>
    </cfRule>
    <cfRule type="expression" dxfId="26" priority="26">
      <formula>$B$8="kEUR"</formula>
    </cfRule>
  </conditionalFormatting>
  <conditionalFormatting sqref="C17:C21">
    <cfRule type="expression" dxfId="25" priority="23">
      <formula>$B$8="%"</formula>
    </cfRule>
    <cfRule type="expression" dxfId="24" priority="24">
      <formula>$B$8="kEUR"</formula>
    </cfRule>
  </conditionalFormatting>
  <conditionalFormatting sqref="C22:C26 C29:C32">
    <cfRule type="expression" dxfId="23" priority="21">
      <formula>$B$8="%"</formula>
    </cfRule>
    <cfRule type="expression" dxfId="22" priority="22">
      <formula>$B$8="kEUR"</formula>
    </cfRule>
  </conditionalFormatting>
  <conditionalFormatting sqref="D7:D11">
    <cfRule type="expression" dxfId="21" priority="19">
      <formula>$B$8="%"</formula>
    </cfRule>
    <cfRule type="expression" dxfId="20" priority="20">
      <formula>$B$8="kEUR"</formula>
    </cfRule>
  </conditionalFormatting>
  <conditionalFormatting sqref="D12:D16">
    <cfRule type="expression" dxfId="19" priority="17">
      <formula>$B$8="%"</formula>
    </cfRule>
    <cfRule type="expression" dxfId="18" priority="18">
      <formula>$B$8="kEUR"</formula>
    </cfRule>
  </conditionalFormatting>
  <conditionalFormatting sqref="D17:D21">
    <cfRule type="expression" dxfId="17" priority="15">
      <formula>$B$8="%"</formula>
    </cfRule>
    <cfRule type="expression" dxfId="16" priority="16">
      <formula>$B$8="kEUR"</formula>
    </cfRule>
  </conditionalFormatting>
  <conditionalFormatting sqref="D22:D26">
    <cfRule type="expression" dxfId="15" priority="13">
      <formula>$B$8="%"</formula>
    </cfRule>
    <cfRule type="expression" dxfId="14" priority="14">
      <formula>$B$8="kEUR"</formula>
    </cfRule>
  </conditionalFormatting>
  <conditionalFormatting sqref="E2:E6">
    <cfRule type="expression" dxfId="13" priority="11">
      <formula>$B$8="%"</formula>
    </cfRule>
    <cfRule type="expression" dxfId="12" priority="12">
      <formula>$B$8="kEUR"</formula>
    </cfRule>
  </conditionalFormatting>
  <conditionalFormatting sqref="E7:E11">
    <cfRule type="expression" dxfId="11" priority="9">
      <formula>$B$8="%"</formula>
    </cfRule>
    <cfRule type="expression" dxfId="10" priority="10">
      <formula>$B$8="kEUR"</formula>
    </cfRule>
  </conditionalFormatting>
  <conditionalFormatting sqref="E12:E16">
    <cfRule type="expression" dxfId="9" priority="7">
      <formula>$B$8="%"</formula>
    </cfRule>
    <cfRule type="expression" dxfId="8" priority="8">
      <formula>$B$8="kEUR"</formula>
    </cfRule>
  </conditionalFormatting>
  <conditionalFormatting sqref="E17:E21">
    <cfRule type="expression" dxfId="7" priority="5">
      <formula>$B$8="%"</formula>
    </cfRule>
    <cfRule type="expression" dxfId="6" priority="6">
      <formula>$B$8="kEUR"</formula>
    </cfRule>
  </conditionalFormatting>
  <conditionalFormatting sqref="E22:E26">
    <cfRule type="expression" dxfId="5" priority="3">
      <formula>$B$8="%"</formula>
    </cfRule>
    <cfRule type="expression" dxfId="4" priority="4">
      <formula>$B$8="kEUR"</formula>
    </cfRule>
  </conditionalFormatting>
  <conditionalFormatting sqref="C33">
    <cfRule type="expression" dxfId="3" priority="1">
      <formula>$B$8="%"</formula>
    </cfRule>
    <cfRule type="expression" dxfId="2" priority="2">
      <formula>$B$8="kEUR"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92D050"/>
  </sheetPr>
  <dimension ref="A1:R78"/>
  <sheetViews>
    <sheetView topLeftCell="C1" workbookViewId="0">
      <pane ySplit="1" topLeftCell="A2" activePane="bottomLeft" state="frozen"/>
      <selection activeCell="U9" sqref="U9"/>
      <selection pane="bottomLeft" activeCell="M46" sqref="M46"/>
    </sheetView>
  </sheetViews>
  <sheetFormatPr defaultRowHeight="12.75" x14ac:dyDescent="0.2"/>
  <cols>
    <col min="1" max="1" width="13.5703125" customWidth="1"/>
    <col min="2" max="2" width="14.42578125" customWidth="1"/>
    <col min="3" max="3" width="13" bestFit="1" customWidth="1"/>
    <col min="4" max="4" width="12.85546875" bestFit="1" customWidth="1"/>
    <col min="5" max="15" width="11.140625" customWidth="1"/>
  </cols>
  <sheetData>
    <row r="1" spans="1:18" x14ac:dyDescent="0.2">
      <c r="A1" s="46" t="str">
        <f>INDEX(Lists!$B$2:$B$6,Dashboard!B17,1)</f>
        <v>Group</v>
      </c>
      <c r="B1" s="45" t="s">
        <v>33</v>
      </c>
      <c r="C1" s="45" t="s">
        <v>32</v>
      </c>
      <c r="D1" s="45" t="s">
        <v>31</v>
      </c>
      <c r="E1" s="45" t="s">
        <v>30</v>
      </c>
      <c r="F1" s="45" t="s">
        <v>29</v>
      </c>
      <c r="G1" s="45" t="s">
        <v>28</v>
      </c>
      <c r="H1" s="45" t="str">
        <f>INDEX(Lists!$E$2:$E$4,Dashboard!$D17,1)</f>
        <v>Expenses</v>
      </c>
      <c r="I1" s="48" t="str">
        <f ca="1">OFFSET(A1,0,CHOOSE(Dashboard!$D$17,1,3,5),1,1)</f>
        <v>Exp Actual</v>
      </c>
      <c r="J1" s="48" t="str">
        <f ca="1">OFFSET(B1,0,CHOOSE(Dashboard!$D$17,1,3,5),1,1)</f>
        <v>Exp Budget</v>
      </c>
      <c r="N1">
        <f>Dashboard!S8</f>
        <v>12</v>
      </c>
      <c r="O1" t="s">
        <v>78</v>
      </c>
      <c r="P1" s="4" t="str">
        <f>H1&amp;" Actual"</f>
        <v>Expenses Actual</v>
      </c>
      <c r="Q1" s="4" t="str">
        <f>H1&amp;" Budget"</f>
        <v>Expenses Budget</v>
      </c>
      <c r="R1" t="s">
        <v>140</v>
      </c>
    </row>
    <row r="2" spans="1:18" x14ac:dyDescent="0.2">
      <c r="A2" s="10">
        <v>40909</v>
      </c>
      <c r="B2" s="11">
        <f>SUMPRODUCT((Data!$C$2:$C$121=$A2)*(Data!$B$2:$B$121=Dashboard!$B$17)*(Data!D$2:D$121))</f>
        <v>16273.125</v>
      </c>
      <c r="C2" s="11">
        <f>SUMPRODUCT((Data!$C$2:$C$121=$A2)*(Data!$B$2:$B$121=Dashboard!$B$17)*(Data!E$2:E$121))</f>
        <v>13433.330416096403</v>
      </c>
      <c r="D2" s="11">
        <f>SUMPRODUCT((Data!$C$2:$C$121=$A2)*(Data!$B$2:$B$121=Dashboard!$B$17)*(Data!F$2:F$121))</f>
        <v>22930.3125</v>
      </c>
      <c r="E2" s="11">
        <f>SUMPRODUCT((Data!$C$2:$C$121=$A2)*(Data!$B$2:$B$121=Dashboard!$B$17)*(Data!G$2:G$121))</f>
        <v>20637.281249999996</v>
      </c>
      <c r="F2" s="11">
        <f>SUMPRODUCT((Data!$C$2:$C$121=$A2)*(Data!$B$2:$B$121=Dashboard!$B$17)*(Data!H$2:H$121))</f>
        <v>6657.1875</v>
      </c>
      <c r="G2" s="11">
        <f>SUMPRODUCT((Data!$C$2:$C$121=$A2)*(Data!$B$2:$B$121=Dashboard!$B$17)*(Data!I$2:I$121))</f>
        <v>7203.9508339035947</v>
      </c>
      <c r="I2" s="4">
        <f ca="1">OFFSET(A2,0,CHOOSE(Dashboard!$D$17,1,3,5),1,1)</f>
        <v>6657.1875</v>
      </c>
      <c r="J2" s="4">
        <f ca="1">OFFSET(B2,0,CHOOSE(Dashboard!$D$17,1,3,5),1,1)</f>
        <v>7203.9508339035947</v>
      </c>
      <c r="O2" s="8">
        <f t="shared" ref="O2:O25" ca="1" si="0">IF(ISERROR(P2),NA(),A2)</f>
        <v>40909</v>
      </c>
      <c r="P2" s="4">
        <f ca="1">OFFSET($I$1,IF(ROW()-1&gt;$N$1,NA(),ROW()-1),0,1,1)</f>
        <v>6657.1875</v>
      </c>
      <c r="Q2" s="4">
        <f t="shared" ref="Q2:Q25" ca="1" si="1">OFFSET($J$1,IF(ROW()-1&gt;$N$1,NA(),ROW()-1),0,1,1)</f>
        <v>7203.9508339035947</v>
      </c>
      <c r="R2" s="52">
        <f ca="1">IF(ISERROR(P2),"",P2/1000)</f>
        <v>6.6571875</v>
      </c>
    </row>
    <row r="3" spans="1:18" x14ac:dyDescent="0.2">
      <c r="A3" s="10">
        <v>40940</v>
      </c>
      <c r="B3" s="11">
        <f>SUMPRODUCT((Data!$C$2:$C$121=$A3)*(Data!$B$2:$B$121=Dashboard!$B$17)*(Data!D$2:D$121))</f>
        <v>17325</v>
      </c>
      <c r="C3" s="11">
        <f>SUMPRODUCT((Data!$C$2:$C$121=$A3)*(Data!$B$2:$B$121=Dashboard!$B$17)*(Data!E$2:E$121))</f>
        <v>13927.181536800001</v>
      </c>
      <c r="D3" s="11">
        <f>SUMPRODUCT((Data!$C$2:$C$121=$A3)*(Data!$B$2:$B$121=Dashboard!$B$17)*(Data!F$2:F$121))</f>
        <v>24412.5</v>
      </c>
      <c r="E3" s="11">
        <f>SUMPRODUCT((Data!$C$2:$C$121=$A3)*(Data!$B$2:$B$121=Dashboard!$B$17)*(Data!G$2:G$121))</f>
        <v>21971.25</v>
      </c>
      <c r="F3" s="11">
        <f>SUMPRODUCT((Data!$C$2:$C$121=$A3)*(Data!$B$2:$B$121=Dashboard!$B$17)*(Data!H$2:H$121))</f>
        <v>7087.5</v>
      </c>
      <c r="G3" s="11">
        <f>SUMPRODUCT((Data!$C$2:$C$121=$A3)*(Data!$B$2:$B$121=Dashboard!$B$17)*(Data!I$2:I$121))</f>
        <v>8044.0684631999993</v>
      </c>
      <c r="I3" s="4">
        <f ca="1">OFFSET(A3,0,CHOOSE(Dashboard!$D$17,1,3,5),1,1)</f>
        <v>7087.5</v>
      </c>
      <c r="J3" s="4">
        <f ca="1">OFFSET(B3,0,CHOOSE(Dashboard!$D$17,1,3,5),1,1)</f>
        <v>8044.0684631999993</v>
      </c>
      <c r="O3" s="8">
        <f t="shared" ca="1" si="0"/>
        <v>40940</v>
      </c>
      <c r="P3" s="4">
        <f t="shared" ref="P3:P25" ca="1" si="2">OFFSET($I$1,IF(ROW()-1&gt;$N$1,NA(),ROW()-1),0,1,1)</f>
        <v>7087.5</v>
      </c>
      <c r="Q3" s="4">
        <f t="shared" ca="1" si="1"/>
        <v>8044.0684631999993</v>
      </c>
      <c r="R3" s="52">
        <f t="shared" ref="R3:R25" ca="1" si="3">IF(ISERROR(P3),"",P3/1000)</f>
        <v>7.0875000000000004</v>
      </c>
    </row>
    <row r="4" spans="1:18" x14ac:dyDescent="0.2">
      <c r="A4" s="10">
        <v>40969</v>
      </c>
      <c r="B4" s="11">
        <f>SUMPRODUCT((Data!$C$2:$C$121=$A4)*(Data!$B$2:$B$121=Dashboard!$B$17)*(Data!D$2:D$121))</f>
        <v>14932.5</v>
      </c>
      <c r="C4" s="11">
        <f>SUMPRODUCT((Data!$C$2:$C$121=$A4)*(Data!$B$2:$B$121=Dashboard!$B$17)*(Data!E$2:E$121))</f>
        <v>13840.534633561878</v>
      </c>
      <c r="D4" s="11">
        <f>SUMPRODUCT((Data!$C$2:$C$121=$A4)*(Data!$B$2:$B$121=Dashboard!$B$17)*(Data!F$2:F$121))</f>
        <v>21041.25</v>
      </c>
      <c r="E4" s="11">
        <f>SUMPRODUCT((Data!$C$2:$C$121=$A4)*(Data!$B$2:$B$121=Dashboard!$B$17)*(Data!G$2:G$121))</f>
        <v>18937.125</v>
      </c>
      <c r="F4" s="11">
        <f>SUMPRODUCT((Data!$C$2:$C$121=$A4)*(Data!$B$2:$B$121=Dashboard!$B$17)*(Data!H$2:H$121))</f>
        <v>6108.75</v>
      </c>
      <c r="G4" s="11">
        <f>SUMPRODUCT((Data!$C$2:$C$121=$A4)*(Data!$B$2:$B$121=Dashboard!$B$17)*(Data!I$2:I$121))</f>
        <v>5096.590366438124</v>
      </c>
      <c r="I4" s="4">
        <f ca="1">OFFSET(A4,0,CHOOSE(Dashboard!$D$17,1,3,5),1,1)</f>
        <v>6108.75</v>
      </c>
      <c r="J4" s="4">
        <f ca="1">OFFSET(B4,0,CHOOSE(Dashboard!$D$17,1,3,5),1,1)</f>
        <v>5096.590366438124</v>
      </c>
      <c r="O4" s="8">
        <f t="shared" ca="1" si="0"/>
        <v>40969</v>
      </c>
      <c r="P4" s="4">
        <f t="shared" ca="1" si="2"/>
        <v>6108.75</v>
      </c>
      <c r="Q4" s="4">
        <f t="shared" ca="1" si="1"/>
        <v>5096.590366438124</v>
      </c>
      <c r="R4" s="52">
        <f t="shared" ca="1" si="3"/>
        <v>6.1087499999999997</v>
      </c>
    </row>
    <row r="5" spans="1:18" x14ac:dyDescent="0.2">
      <c r="A5" s="10">
        <v>41000</v>
      </c>
      <c r="B5" s="11">
        <f>SUMPRODUCT((Data!$C$2:$C$121=$A5)*(Data!$B$2:$B$121=Dashboard!$B$17)*(Data!D$2:D$121))</f>
        <v>13818.75</v>
      </c>
      <c r="C5" s="11">
        <f>SUMPRODUCT((Data!$C$2:$C$121=$A5)*(Data!$B$2:$B$121=Dashboard!$B$17)*(Data!E$2:E$121))</f>
        <v>12395.341123171875</v>
      </c>
      <c r="D5" s="11">
        <f>SUMPRODUCT((Data!$C$2:$C$121=$A5)*(Data!$B$2:$B$121=Dashboard!$B$17)*(Data!F$2:F$121))</f>
        <v>19471.875</v>
      </c>
      <c r="E5" s="11">
        <f>SUMPRODUCT((Data!$C$2:$C$121=$A5)*(Data!$B$2:$B$121=Dashboard!$B$17)*(Data!G$2:G$121))</f>
        <v>17524.6875</v>
      </c>
      <c r="F5" s="11">
        <f>SUMPRODUCT((Data!$C$2:$C$121=$A5)*(Data!$B$2:$B$121=Dashboard!$B$17)*(Data!H$2:H$121))</f>
        <v>5653.125</v>
      </c>
      <c r="G5" s="11">
        <f>SUMPRODUCT((Data!$C$2:$C$121=$A5)*(Data!$B$2:$B$121=Dashboard!$B$17)*(Data!I$2:I$121))</f>
        <v>5129.3463768281254</v>
      </c>
      <c r="I5" s="4">
        <f ca="1">OFFSET(A5,0,CHOOSE(Dashboard!$D$17,1,3,5),1,1)</f>
        <v>5653.125</v>
      </c>
      <c r="J5" s="4">
        <f ca="1">OFFSET(B5,0,CHOOSE(Dashboard!$D$17,1,3,5),1,1)</f>
        <v>5129.3463768281254</v>
      </c>
      <c r="O5" s="8">
        <f t="shared" ca="1" si="0"/>
        <v>41000</v>
      </c>
      <c r="P5" s="4">
        <f t="shared" ca="1" si="2"/>
        <v>5653.125</v>
      </c>
      <c r="Q5" s="4">
        <f t="shared" ca="1" si="1"/>
        <v>5129.3463768281254</v>
      </c>
      <c r="R5" s="52">
        <f t="shared" ca="1" si="3"/>
        <v>5.6531250000000002</v>
      </c>
    </row>
    <row r="6" spans="1:18" x14ac:dyDescent="0.2">
      <c r="A6" s="10">
        <v>41030</v>
      </c>
      <c r="B6" s="11">
        <f>SUMPRODUCT((Data!$C$2:$C$121=$A6)*(Data!$B$2:$B$121=Dashboard!$B$17)*(Data!D$2:D$121))</f>
        <v>11642.6875</v>
      </c>
      <c r="C6" s="11">
        <f>SUMPRODUCT((Data!$C$2:$C$121=$A6)*(Data!$B$2:$B$121=Dashboard!$B$17)*(Data!E$2:E$121))</f>
        <v>10060.465023152654</v>
      </c>
      <c r="D6" s="11">
        <f>SUMPRODUCT((Data!$C$2:$C$121=$A6)*(Data!$B$2:$B$121=Dashboard!$B$17)*(Data!F$2:F$121))</f>
        <v>16983.625</v>
      </c>
      <c r="E6" s="11">
        <f>SUMPRODUCT((Data!$C$2:$C$121=$A6)*(Data!$B$2:$B$121=Dashboard!$B$17)*(Data!G$2:G$121))</f>
        <v>15733.625</v>
      </c>
      <c r="F6" s="11">
        <f>SUMPRODUCT((Data!$C$2:$C$121=$A6)*(Data!$B$2:$B$121=Dashboard!$B$17)*(Data!H$2:H$121))</f>
        <v>5340.9375</v>
      </c>
      <c r="G6" s="11">
        <f>SUMPRODUCT((Data!$C$2:$C$121=$A6)*(Data!$B$2:$B$121=Dashboard!$B$17)*(Data!I$2:I$121))</f>
        <v>5673.1599768473434</v>
      </c>
      <c r="I6" s="4">
        <f ca="1">OFFSET(A6,0,CHOOSE(Dashboard!$D$17,1,3,5),1,1)</f>
        <v>5340.9375</v>
      </c>
      <c r="J6" s="4">
        <f ca="1">OFFSET(B6,0,CHOOSE(Dashboard!$D$17,1,3,5),1,1)</f>
        <v>5673.1599768473434</v>
      </c>
      <c r="O6" s="8">
        <f t="shared" ca="1" si="0"/>
        <v>41030</v>
      </c>
      <c r="P6" s="4">
        <f t="shared" ca="1" si="2"/>
        <v>5340.9375</v>
      </c>
      <c r="Q6" s="4">
        <f t="shared" ca="1" si="1"/>
        <v>5673.1599768473434</v>
      </c>
      <c r="R6" s="52">
        <f t="shared" ca="1" si="3"/>
        <v>5.3409374999999999</v>
      </c>
    </row>
    <row r="7" spans="1:18" x14ac:dyDescent="0.2">
      <c r="A7" s="10">
        <v>41061</v>
      </c>
      <c r="B7" s="11">
        <f>SUMPRODUCT((Data!$C$2:$C$121=$A7)*(Data!$B$2:$B$121=Dashboard!$B$17)*(Data!D$2:D$121))</f>
        <v>13500.75</v>
      </c>
      <c r="C7" s="11">
        <f>SUMPRODUCT((Data!$C$2:$C$121=$A7)*(Data!$B$2:$B$121=Dashboard!$B$17)*(Data!E$2:E$121))</f>
        <v>12432.648922547502</v>
      </c>
      <c r="D7" s="11">
        <f>SUMPRODUCT((Data!$C$2:$C$121=$A7)*(Data!$B$2:$B$121=Dashboard!$B$17)*(Data!F$2:F$121))</f>
        <v>21162</v>
      </c>
      <c r="E7" s="11">
        <f>SUMPRODUCT((Data!$C$2:$C$121=$A7)*(Data!$B$2:$B$121=Dashboard!$B$17)*(Data!G$2:G$121))</f>
        <v>18999.099999999999</v>
      </c>
      <c r="F7" s="11">
        <f>SUMPRODUCT((Data!$C$2:$C$121=$A7)*(Data!$B$2:$B$121=Dashboard!$B$17)*(Data!H$2:H$121))</f>
        <v>7661.25</v>
      </c>
      <c r="G7" s="11">
        <f>SUMPRODUCT((Data!$C$2:$C$121=$A7)*(Data!$B$2:$B$121=Dashboard!$B$17)*(Data!I$2:I$121))</f>
        <v>6566.4510774525006</v>
      </c>
      <c r="I7" s="4">
        <f ca="1">OFFSET(A7,0,CHOOSE(Dashboard!$D$17,1,3,5),1,1)</f>
        <v>7661.25</v>
      </c>
      <c r="J7" s="4">
        <f ca="1">OFFSET(B7,0,CHOOSE(Dashboard!$D$17,1,3,5),1,1)</f>
        <v>6566.4510774525006</v>
      </c>
      <c r="O7" s="8">
        <f t="shared" ca="1" si="0"/>
        <v>41061</v>
      </c>
      <c r="P7" s="4">
        <f t="shared" ca="1" si="2"/>
        <v>7661.25</v>
      </c>
      <c r="Q7" s="4">
        <f t="shared" ca="1" si="1"/>
        <v>6566.4510774525006</v>
      </c>
      <c r="R7" s="52">
        <f t="shared" ca="1" si="3"/>
        <v>7.6612499999999999</v>
      </c>
    </row>
    <row r="8" spans="1:18" x14ac:dyDescent="0.2">
      <c r="A8" s="10">
        <v>41091</v>
      </c>
      <c r="B8" s="11">
        <f>SUMPRODUCT((Data!$C$2:$C$121=$A8)*(Data!$B$2:$B$121=Dashboard!$B$17)*(Data!D$2:D$121))</f>
        <v>14660.6875</v>
      </c>
      <c r="C8" s="11">
        <f>SUMPRODUCT((Data!$C$2:$C$121=$A8)*(Data!$B$2:$B$121=Dashboard!$B$17)*(Data!E$2:E$121))</f>
        <v>12878.964097628907</v>
      </c>
      <c r="D8" s="11">
        <f>SUMPRODUCT((Data!$C$2:$C$121=$A8)*(Data!$B$2:$B$121=Dashboard!$B$17)*(Data!F$2:F$121))</f>
        <v>20693.5</v>
      </c>
      <c r="E8" s="11">
        <f>SUMPRODUCT((Data!$C$2:$C$121=$A8)*(Data!$B$2:$B$121=Dashboard!$B$17)*(Data!G$2:G$121))</f>
        <v>18624.150000000001</v>
      </c>
      <c r="F8" s="11">
        <f>SUMPRODUCT((Data!$C$2:$C$121=$A8)*(Data!$B$2:$B$121=Dashboard!$B$17)*(Data!H$2:H$121))</f>
        <v>6032.8125</v>
      </c>
      <c r="G8" s="11">
        <f>SUMPRODUCT((Data!$C$2:$C$121=$A8)*(Data!$B$2:$B$121=Dashboard!$B$17)*(Data!I$2:I$121))</f>
        <v>5745.185902371094</v>
      </c>
      <c r="I8" s="4">
        <f ca="1">OFFSET(A8,0,CHOOSE(Dashboard!$D$17,1,3,5),1,1)</f>
        <v>6032.8125</v>
      </c>
      <c r="J8" s="4">
        <f ca="1">OFFSET(B8,0,CHOOSE(Dashboard!$D$17,1,3,5),1,1)</f>
        <v>5745.185902371094</v>
      </c>
      <c r="O8" s="8">
        <f t="shared" ca="1" si="0"/>
        <v>41091</v>
      </c>
      <c r="P8" s="4">
        <f t="shared" ca="1" si="2"/>
        <v>6032.8125</v>
      </c>
      <c r="Q8" s="4">
        <f t="shared" ca="1" si="1"/>
        <v>5745.185902371094</v>
      </c>
      <c r="R8" s="52">
        <f t="shared" ca="1" si="3"/>
        <v>6.0328125000000004</v>
      </c>
    </row>
    <row r="9" spans="1:18" x14ac:dyDescent="0.2">
      <c r="A9" s="10">
        <v>41122</v>
      </c>
      <c r="B9" s="11">
        <f>SUMPRODUCT((Data!$C$2:$C$121=$A9)*(Data!$B$2:$B$121=Dashboard!$B$17)*(Data!D$2:D$121))</f>
        <v>14955.75</v>
      </c>
      <c r="C9" s="11">
        <f>SUMPRODUCT((Data!$C$2:$C$121=$A9)*(Data!$B$2:$B$121=Dashboard!$B$17)*(Data!E$2:E$121))</f>
        <v>12963.127931563751</v>
      </c>
      <c r="D9" s="11">
        <f>SUMPRODUCT((Data!$C$2:$C$121=$A9)*(Data!$B$2:$B$121=Dashboard!$B$17)*(Data!F$2:F$121))</f>
        <v>22414.5</v>
      </c>
      <c r="E9" s="11">
        <f>SUMPRODUCT((Data!$C$2:$C$121=$A9)*(Data!$B$2:$B$121=Dashboard!$B$17)*(Data!G$2:G$121))</f>
        <v>19685.050000000003</v>
      </c>
      <c r="F9" s="11">
        <f>SUMPRODUCT((Data!$C$2:$C$121=$A9)*(Data!$B$2:$B$121=Dashboard!$B$17)*(Data!H$2:H$121))</f>
        <v>7458.75</v>
      </c>
      <c r="G9" s="11">
        <f>SUMPRODUCT((Data!$C$2:$C$121=$A9)*(Data!$B$2:$B$121=Dashboard!$B$17)*(Data!I$2:I$121))</f>
        <v>6721.9220684362499</v>
      </c>
      <c r="I9" s="4">
        <f ca="1">OFFSET(A9,0,CHOOSE(Dashboard!$D$17,1,3,5),1,1)</f>
        <v>7458.75</v>
      </c>
      <c r="J9" s="4">
        <f ca="1">OFFSET(B9,0,CHOOSE(Dashboard!$D$17,1,3,5),1,1)</f>
        <v>6721.9220684362499</v>
      </c>
      <c r="O9" s="8">
        <f t="shared" ca="1" si="0"/>
        <v>41122</v>
      </c>
      <c r="P9" s="4">
        <f t="shared" ca="1" si="2"/>
        <v>7458.75</v>
      </c>
      <c r="Q9" s="4">
        <f t="shared" ca="1" si="1"/>
        <v>6721.9220684362499</v>
      </c>
      <c r="R9" s="52">
        <f t="shared" ca="1" si="3"/>
        <v>7.4587500000000002</v>
      </c>
    </row>
    <row r="10" spans="1:18" x14ac:dyDescent="0.2">
      <c r="A10" s="10">
        <v>41153</v>
      </c>
      <c r="B10" s="11">
        <f>SUMPRODUCT((Data!$C$2:$C$121=$A10)*(Data!$B$2:$B$121=Dashboard!$B$17)*(Data!D$2:D$121))</f>
        <v>18332.875</v>
      </c>
      <c r="C10" s="11">
        <f>SUMPRODUCT((Data!$C$2:$C$121=$A10)*(Data!$B$2:$B$121=Dashboard!$B$17)*(Data!E$2:E$121))</f>
        <v>14856.165390246242</v>
      </c>
      <c r="D10" s="11">
        <f>SUMPRODUCT((Data!$C$2:$C$121=$A10)*(Data!$B$2:$B$121=Dashboard!$B$17)*(Data!F$2:F$121))</f>
        <v>25832.6875</v>
      </c>
      <c r="E10" s="11">
        <f>SUMPRODUCT((Data!$C$2:$C$121=$A10)*(Data!$B$2:$B$121=Dashboard!$B$17)*(Data!G$2:G$121))</f>
        <v>23249.418749999997</v>
      </c>
      <c r="F10" s="11">
        <f>SUMPRODUCT((Data!$C$2:$C$121=$A10)*(Data!$B$2:$B$121=Dashboard!$B$17)*(Data!H$2:H$121))</f>
        <v>7499.8125</v>
      </c>
      <c r="G10" s="11">
        <f>SUMPRODUCT((Data!$C$2:$C$121=$A10)*(Data!$B$2:$B$121=Dashboard!$B$17)*(Data!I$2:I$121))</f>
        <v>8393.2533597537567</v>
      </c>
      <c r="I10" s="4">
        <f ca="1">OFFSET(A10,0,CHOOSE(Dashboard!$D$17,1,3,5),1,1)</f>
        <v>7499.8125</v>
      </c>
      <c r="J10" s="4">
        <f ca="1">OFFSET(B10,0,CHOOSE(Dashboard!$D$17,1,3,5),1,1)</f>
        <v>8393.2533597537567</v>
      </c>
      <c r="O10" s="8">
        <f t="shared" ca="1" si="0"/>
        <v>41153</v>
      </c>
      <c r="P10" s="4">
        <f t="shared" ca="1" si="2"/>
        <v>7499.8125</v>
      </c>
      <c r="Q10" s="4">
        <f t="shared" ca="1" si="1"/>
        <v>8393.2533597537567</v>
      </c>
      <c r="R10" s="52">
        <f t="shared" ca="1" si="3"/>
        <v>7.4998125</v>
      </c>
    </row>
    <row r="11" spans="1:18" x14ac:dyDescent="0.2">
      <c r="A11" s="10">
        <v>41183</v>
      </c>
      <c r="B11" s="11">
        <f>SUMPRODUCT((Data!$C$2:$C$121=$A11)*(Data!$B$2:$B$121=Dashboard!$B$17)*(Data!D$2:D$121))</f>
        <v>15812.39</v>
      </c>
      <c r="C11" s="11">
        <f>SUMPRODUCT((Data!$C$2:$C$121=$A11)*(Data!$B$2:$B$121=Dashboard!$B$17)*(Data!E$2:E$121))</f>
        <v>13400.964134207999</v>
      </c>
      <c r="D11" s="11">
        <f>SUMPRODUCT((Data!$C$2:$C$121=$A11)*(Data!$B$2:$B$121=Dashboard!$B$17)*(Data!F$2:F$121))</f>
        <v>22281.095000000001</v>
      </c>
      <c r="E11" s="11">
        <f>SUMPRODUCT((Data!$C$2:$C$121=$A11)*(Data!$B$2:$B$121=Dashboard!$B$17)*(Data!G$2:G$121))</f>
        <v>20052.985500000003</v>
      </c>
      <c r="F11" s="11">
        <f>SUMPRODUCT((Data!$C$2:$C$121=$A11)*(Data!$B$2:$B$121=Dashboard!$B$17)*(Data!H$2:H$121))</f>
        <v>6468.7049999999999</v>
      </c>
      <c r="G11" s="11">
        <f>SUMPRODUCT((Data!$C$2:$C$121=$A11)*(Data!$B$2:$B$121=Dashboard!$B$17)*(Data!I$2:I$121))</f>
        <v>6652.0213657919994</v>
      </c>
      <c r="I11" s="4">
        <f ca="1">OFFSET(A11,0,CHOOSE(Dashboard!$D$17,1,3,5),1,1)</f>
        <v>6468.7049999999999</v>
      </c>
      <c r="J11" s="4">
        <f ca="1">OFFSET(B11,0,CHOOSE(Dashboard!$D$17,1,3,5),1,1)</f>
        <v>6652.0213657919994</v>
      </c>
      <c r="O11" s="8">
        <f t="shared" ca="1" si="0"/>
        <v>41183</v>
      </c>
      <c r="P11" s="4">
        <f t="shared" ca="1" si="2"/>
        <v>6468.7049999999999</v>
      </c>
      <c r="Q11" s="4">
        <f t="shared" ca="1" si="1"/>
        <v>6652.0213657919994</v>
      </c>
      <c r="R11" s="52">
        <f t="shared" ca="1" si="3"/>
        <v>6.4687049999999999</v>
      </c>
    </row>
    <row r="12" spans="1:18" x14ac:dyDescent="0.2">
      <c r="A12" s="10">
        <v>41214</v>
      </c>
      <c r="B12" s="11">
        <f>SUMPRODUCT((Data!$C$2:$C$121=$A12)*(Data!$B$2:$B$121=Dashboard!$B$17)*(Data!D$2:D$121))</f>
        <v>18147.030000000002</v>
      </c>
      <c r="C12" s="11">
        <f>SUMPRODUCT((Data!$C$2:$C$121=$A12)*(Data!$B$2:$B$121=Dashboard!$B$17)*(Data!E$2:E$121))</f>
        <v>15112.727113330577</v>
      </c>
      <c r="D12" s="11">
        <f>SUMPRODUCT((Data!$C$2:$C$121=$A12)*(Data!$B$2:$B$121=Dashboard!$B$17)*(Data!F$2:F$121))</f>
        <v>25570.814999999999</v>
      </c>
      <c r="E12" s="11">
        <f>SUMPRODUCT((Data!$C$2:$C$121=$A12)*(Data!$B$2:$B$121=Dashboard!$B$17)*(Data!G$2:G$121))</f>
        <v>23013.733499999998</v>
      </c>
      <c r="F12" s="11">
        <f>SUMPRODUCT((Data!$C$2:$C$121=$A12)*(Data!$B$2:$B$121=Dashboard!$B$17)*(Data!H$2:H$121))</f>
        <v>7423.7849999999999</v>
      </c>
      <c r="G12" s="11">
        <f>SUMPRODUCT((Data!$C$2:$C$121=$A12)*(Data!$B$2:$B$121=Dashboard!$B$17)*(Data!I$2:I$121))</f>
        <v>7901.0063866694245</v>
      </c>
      <c r="I12" s="4">
        <f ca="1">OFFSET(A12,0,CHOOSE(Dashboard!$D$17,1,3,5),1,1)</f>
        <v>7423.7849999999999</v>
      </c>
      <c r="J12" s="4">
        <f ca="1">OFFSET(B12,0,CHOOSE(Dashboard!$D$17,1,3,5),1,1)</f>
        <v>7901.0063866694245</v>
      </c>
      <c r="O12" s="8">
        <f t="shared" ca="1" si="0"/>
        <v>41214</v>
      </c>
      <c r="P12" s="4">
        <f t="shared" ca="1" si="2"/>
        <v>7423.7849999999999</v>
      </c>
      <c r="Q12" s="4">
        <f t="shared" ca="1" si="1"/>
        <v>7901.0063866694245</v>
      </c>
      <c r="R12" s="52">
        <f t="shared" ca="1" si="3"/>
        <v>7.4237849999999996</v>
      </c>
    </row>
    <row r="13" spans="1:18" x14ac:dyDescent="0.2">
      <c r="A13" s="10">
        <v>41244</v>
      </c>
      <c r="B13" s="11">
        <f>SUMPRODUCT((Data!$C$2:$C$121=$A13)*(Data!$B$2:$B$121=Dashboard!$B$17)*(Data!D$2:D$121))</f>
        <v>18764.239999999998</v>
      </c>
      <c r="C13" s="11">
        <f>SUMPRODUCT((Data!$C$2:$C$121=$A13)*(Data!$B$2:$B$121=Dashboard!$B$17)*(Data!E$2:E$121))</f>
        <v>16118.274411770622</v>
      </c>
      <c r="D13" s="11">
        <f>SUMPRODUCT((Data!$C$2:$C$121=$A13)*(Data!$B$2:$B$121=Dashboard!$B$17)*(Data!F$2:F$121))</f>
        <v>26440.52</v>
      </c>
      <c r="E13" s="11">
        <f>SUMPRODUCT((Data!$C$2:$C$121=$A13)*(Data!$B$2:$B$121=Dashboard!$B$17)*(Data!G$2:G$121))</f>
        <v>23796.468000000004</v>
      </c>
      <c r="F13" s="11">
        <f>SUMPRODUCT((Data!$C$2:$C$121=$A13)*(Data!$B$2:$B$121=Dashboard!$B$17)*(Data!H$2:H$121))</f>
        <v>7676.28</v>
      </c>
      <c r="G13" s="11">
        <f>SUMPRODUCT((Data!$C$2:$C$121=$A13)*(Data!$B$2:$B$121=Dashboard!$B$17)*(Data!I$2:I$121))</f>
        <v>7678.1935882293765</v>
      </c>
      <c r="I13" s="4">
        <f ca="1">OFFSET(A13,0,CHOOSE(Dashboard!$D$17,1,3,5),1,1)</f>
        <v>7676.28</v>
      </c>
      <c r="J13" s="4">
        <f ca="1">OFFSET(B13,0,CHOOSE(Dashboard!$D$17,1,3,5),1,1)</f>
        <v>7678.1935882293765</v>
      </c>
      <c r="O13" s="8">
        <f t="shared" ca="1" si="0"/>
        <v>41244</v>
      </c>
      <c r="P13" s="4">
        <f t="shared" ca="1" si="2"/>
        <v>7676.28</v>
      </c>
      <c r="Q13" s="4">
        <f t="shared" ca="1" si="1"/>
        <v>7678.1935882293765</v>
      </c>
      <c r="R13" s="52">
        <f t="shared" ca="1" si="3"/>
        <v>7.6762799999999993</v>
      </c>
    </row>
    <row r="14" spans="1:18" x14ac:dyDescent="0.2">
      <c r="A14" s="10">
        <v>41275</v>
      </c>
      <c r="B14" s="11">
        <f>SUMPRODUCT((Data!$C$2:$C$121=$A14)*(Data!$B$2:$B$121=Dashboard!$B$17)*(Data!D$2:D$121))</f>
        <v>14973.452500000001</v>
      </c>
      <c r="C14" s="11">
        <f>SUMPRODUCT((Data!$C$2:$C$121=$A14)*(Data!$B$2:$B$121=Dashboard!$B$17)*(Data!E$2:E$121))</f>
        <v>12603.928026110243</v>
      </c>
      <c r="D14" s="11">
        <f>SUMPRODUCT((Data!$C$2:$C$121=$A14)*(Data!$B$2:$B$121=Dashboard!$B$17)*(Data!F$2:F$121))</f>
        <v>21296.02</v>
      </c>
      <c r="E14" s="11">
        <f>SUMPRODUCT((Data!$C$2:$C$121=$A14)*(Data!$B$2:$B$121=Dashboard!$B$17)*(Data!G$2:G$121))</f>
        <v>19283.317999999999</v>
      </c>
      <c r="F14" s="11">
        <f>SUMPRODUCT((Data!$C$2:$C$121=$A14)*(Data!$B$2:$B$121=Dashboard!$B$17)*(Data!H$2:H$121))</f>
        <v>6322.5675000000001</v>
      </c>
      <c r="G14" s="11">
        <f>SUMPRODUCT((Data!$C$2:$C$121=$A14)*(Data!$B$2:$B$121=Dashboard!$B$17)*(Data!I$2:I$121))</f>
        <v>6679.3899738897553</v>
      </c>
      <c r="I14" s="4">
        <f ca="1">OFFSET(A14,0,CHOOSE(Dashboard!$D$17,1,3,5),1,1)</f>
        <v>6322.5675000000001</v>
      </c>
      <c r="J14" s="4">
        <f ca="1">OFFSET(B14,0,CHOOSE(Dashboard!$D$17,1,3,5),1,1)</f>
        <v>6679.3899738897553</v>
      </c>
      <c r="O14" s="8" t="e">
        <f t="shared" ca="1" si="0"/>
        <v>#N/A</v>
      </c>
      <c r="P14" s="4" t="e">
        <f t="shared" ca="1" si="2"/>
        <v>#N/A</v>
      </c>
      <c r="Q14" s="4" t="e">
        <f t="shared" ca="1" si="1"/>
        <v>#N/A</v>
      </c>
      <c r="R14" s="52" t="str">
        <f t="shared" ca="1" si="3"/>
        <v/>
      </c>
    </row>
    <row r="15" spans="1:18" x14ac:dyDescent="0.2">
      <c r="A15" s="10">
        <v>41306</v>
      </c>
      <c r="B15" s="11">
        <f>SUMPRODUCT((Data!$C$2:$C$121=$A15)*(Data!$B$2:$B$121=Dashboard!$B$17)*(Data!D$2:D$121))</f>
        <v>18281.607499999998</v>
      </c>
      <c r="C15" s="11">
        <f>SUMPRODUCT((Data!$C$2:$C$121=$A15)*(Data!$B$2:$B$121=Dashboard!$B$17)*(Data!E$2:E$121))</f>
        <v>19552.589450520736</v>
      </c>
      <c r="D15" s="11">
        <f>SUMPRODUCT((Data!$C$2:$C$121=$A15)*(Data!$B$2:$B$121=Dashboard!$B$17)*(Data!F$2:F$121))</f>
        <v>26336.539999999997</v>
      </c>
      <c r="E15" s="11">
        <f>SUMPRODUCT((Data!$C$2:$C$121=$A15)*(Data!$B$2:$B$121=Dashboard!$B$17)*(Data!G$2:G$121))</f>
        <v>28336.7745</v>
      </c>
      <c r="F15" s="11">
        <f>SUMPRODUCT((Data!$C$2:$C$121=$A15)*(Data!$B$2:$B$121=Dashboard!$B$17)*(Data!H$2:H$121))</f>
        <v>8054.932499999999</v>
      </c>
      <c r="G15" s="11">
        <f>SUMPRODUCT((Data!$C$2:$C$121=$A15)*(Data!$B$2:$B$121=Dashboard!$B$17)*(Data!I$2:I$121))</f>
        <v>8784.1850494792616</v>
      </c>
      <c r="I15" s="4">
        <f ca="1">OFFSET(A15,0,CHOOSE(Dashboard!$D$17,1,3,5),1,1)</f>
        <v>8054.932499999999</v>
      </c>
      <c r="J15" s="4">
        <f ca="1">OFFSET(B15,0,CHOOSE(Dashboard!$D$17,1,3,5),1,1)</f>
        <v>8784.1850494792616</v>
      </c>
      <c r="O15" s="8" t="e">
        <f t="shared" ca="1" si="0"/>
        <v>#N/A</v>
      </c>
      <c r="P15" s="4" t="e">
        <f t="shared" ca="1" si="2"/>
        <v>#N/A</v>
      </c>
      <c r="Q15" s="4" t="e">
        <f t="shared" ca="1" si="1"/>
        <v>#N/A</v>
      </c>
      <c r="R15" s="52" t="str">
        <f t="shared" ca="1" si="3"/>
        <v/>
      </c>
    </row>
    <row r="16" spans="1:18" x14ac:dyDescent="0.2">
      <c r="A16" s="10">
        <v>41334</v>
      </c>
      <c r="B16" s="11">
        <f>SUMPRODUCT((Data!$C$2:$C$121=$A16)*(Data!$B$2:$B$121=Dashboard!$B$17)*(Data!D$2:D$121))</f>
        <v>16360.873000000001</v>
      </c>
      <c r="C16" s="11">
        <f>SUMPRODUCT((Data!$C$2:$C$121=$A16)*(Data!$B$2:$B$121=Dashboard!$B$17)*(Data!E$2:E$121))</f>
        <v>15076.704299232999</v>
      </c>
      <c r="D16" s="11">
        <f>SUMPRODUCT((Data!$C$2:$C$121=$A16)*(Data!$B$2:$B$121=Dashboard!$B$17)*(Data!F$2:F$121))</f>
        <v>23440.916499999999</v>
      </c>
      <c r="E16" s="11">
        <f>SUMPRODUCT((Data!$C$2:$C$121=$A16)*(Data!$B$2:$B$121=Dashboard!$B$17)*(Data!G$2:G$121))</f>
        <v>21943.224849999999</v>
      </c>
      <c r="F16" s="11">
        <f>SUMPRODUCT((Data!$C$2:$C$121=$A16)*(Data!$B$2:$B$121=Dashboard!$B$17)*(Data!H$2:H$121))</f>
        <v>7080.0434999999998</v>
      </c>
      <c r="G16" s="11">
        <f>SUMPRODUCT((Data!$C$2:$C$121=$A16)*(Data!$B$2:$B$121=Dashboard!$B$17)*(Data!I$2:I$121))</f>
        <v>6866.5205507669998</v>
      </c>
      <c r="I16" s="4">
        <f ca="1">OFFSET(A16,0,CHOOSE(Dashboard!$D$17,1,3,5),1,1)</f>
        <v>7080.0434999999998</v>
      </c>
      <c r="J16" s="4">
        <f ca="1">OFFSET(B16,0,CHOOSE(Dashboard!$D$17,1,3,5),1,1)</f>
        <v>6866.5205507669998</v>
      </c>
      <c r="O16" s="8" t="e">
        <f t="shared" ca="1" si="0"/>
        <v>#N/A</v>
      </c>
      <c r="P16" s="4" t="e">
        <f t="shared" ca="1" si="2"/>
        <v>#N/A</v>
      </c>
      <c r="Q16" s="4" t="e">
        <f t="shared" ca="1" si="1"/>
        <v>#N/A</v>
      </c>
      <c r="R16" s="52" t="str">
        <f t="shared" ca="1" si="3"/>
        <v/>
      </c>
    </row>
    <row r="17" spans="1:18" x14ac:dyDescent="0.2">
      <c r="A17" s="10">
        <v>41365</v>
      </c>
      <c r="B17" s="11">
        <f>SUMPRODUCT((Data!$C$2:$C$121=$A17)*(Data!$B$2:$B$121=Dashboard!$B$17)*(Data!D$2:D$121))</f>
        <v>18074.940999999999</v>
      </c>
      <c r="C17" s="11">
        <f>SUMPRODUCT((Data!$C$2:$C$121=$A17)*(Data!$B$2:$B$121=Dashboard!$B$17)*(Data!E$2:E$121))</f>
        <v>15137.874395620109</v>
      </c>
      <c r="D17" s="11">
        <f>SUMPRODUCT((Data!$C$2:$C$121=$A17)*(Data!$B$2:$B$121=Dashboard!$B$17)*(Data!F$2:F$121))</f>
        <v>25720.985499999999</v>
      </c>
      <c r="E17" s="11">
        <f>SUMPRODUCT((Data!$C$2:$C$121=$A17)*(Data!$B$2:$B$121=Dashboard!$B$17)*(Data!G$2:G$121))</f>
        <v>23361.286949999998</v>
      </c>
      <c r="F17" s="11">
        <f>SUMPRODUCT((Data!$C$2:$C$121=$A17)*(Data!$B$2:$B$121=Dashboard!$B$17)*(Data!H$2:H$121))</f>
        <v>7646.0444999999991</v>
      </c>
      <c r="G17" s="11">
        <f>SUMPRODUCT((Data!$C$2:$C$121=$A17)*(Data!$B$2:$B$121=Dashboard!$B$17)*(Data!I$2:I$121))</f>
        <v>8223.4125543798891</v>
      </c>
      <c r="I17" s="4">
        <f ca="1">OFFSET(A17,0,CHOOSE(Dashboard!$D$17,1,3,5),1,1)</f>
        <v>7646.0444999999991</v>
      </c>
      <c r="J17" s="4">
        <f ca="1">OFFSET(B17,0,CHOOSE(Dashboard!$D$17,1,3,5),1,1)</f>
        <v>8223.4125543798891</v>
      </c>
      <c r="O17" s="8" t="e">
        <f t="shared" ca="1" si="0"/>
        <v>#N/A</v>
      </c>
      <c r="P17" s="4" t="e">
        <f t="shared" ca="1" si="2"/>
        <v>#N/A</v>
      </c>
      <c r="Q17" s="4" t="e">
        <f t="shared" ca="1" si="1"/>
        <v>#N/A</v>
      </c>
      <c r="R17" s="52" t="str">
        <f t="shared" ca="1" si="3"/>
        <v/>
      </c>
    </row>
    <row r="18" spans="1:18" x14ac:dyDescent="0.2">
      <c r="A18" s="10">
        <v>41395</v>
      </c>
      <c r="B18" s="11">
        <f>SUMPRODUCT((Data!$C$2:$C$121=$A18)*(Data!$B$2:$B$121=Dashboard!$B$17)*(Data!D$2:D$121))</f>
        <v>20243.817999999999</v>
      </c>
      <c r="C18" s="11">
        <f>SUMPRODUCT((Data!$C$2:$C$121=$A18)*(Data!$B$2:$B$121=Dashboard!$B$17)*(Data!E$2:E$121))</f>
        <v>17546.513523443624</v>
      </c>
      <c r="D18" s="11">
        <f>SUMPRODUCT((Data!$C$2:$C$121=$A18)*(Data!$B$2:$B$121=Dashboard!$B$17)*(Data!F$2:F$121))</f>
        <v>28798.376500000002</v>
      </c>
      <c r="E18" s="11">
        <f>SUMPRODUCT((Data!$C$2:$C$121=$A18)*(Data!$B$2:$B$121=Dashboard!$B$17)*(Data!G$2:G$121))</f>
        <v>26428.238850000002</v>
      </c>
      <c r="F18" s="11">
        <f>SUMPRODUCT((Data!$C$2:$C$121=$A18)*(Data!$B$2:$B$121=Dashboard!$B$17)*(Data!H$2:H$121))</f>
        <v>8554.5584999999992</v>
      </c>
      <c r="G18" s="11">
        <f>SUMPRODUCT((Data!$C$2:$C$121=$A18)*(Data!$B$2:$B$121=Dashboard!$B$17)*(Data!I$2:I$121))</f>
        <v>8881.7253265563741</v>
      </c>
      <c r="I18" s="4">
        <f ca="1">OFFSET(A18,0,CHOOSE(Dashboard!$D$17,1,3,5),1,1)</f>
        <v>8554.5584999999992</v>
      </c>
      <c r="J18" s="4">
        <f ca="1">OFFSET(B18,0,CHOOSE(Dashboard!$D$17,1,3,5),1,1)</f>
        <v>8881.7253265563741</v>
      </c>
      <c r="O18" s="8" t="e">
        <f t="shared" ca="1" si="0"/>
        <v>#N/A</v>
      </c>
      <c r="P18" s="4" t="e">
        <f t="shared" ca="1" si="2"/>
        <v>#N/A</v>
      </c>
      <c r="Q18" s="4" t="e">
        <f t="shared" ca="1" si="1"/>
        <v>#N/A</v>
      </c>
      <c r="R18" s="52" t="str">
        <f t="shared" ca="1" si="3"/>
        <v/>
      </c>
    </row>
    <row r="19" spans="1:18" x14ac:dyDescent="0.2">
      <c r="A19" s="10">
        <v>41426</v>
      </c>
      <c r="B19" s="11">
        <f>SUMPRODUCT((Data!$C$2:$C$121=$A19)*(Data!$B$2:$B$121=Dashboard!$B$17)*(Data!D$2:D$121))</f>
        <v>18818.058000000001</v>
      </c>
      <c r="C19" s="11">
        <f>SUMPRODUCT((Data!$C$2:$C$121=$A19)*(Data!$B$2:$B$121=Dashboard!$B$17)*(Data!E$2:E$121))</f>
        <v>15314.32622305786</v>
      </c>
      <c r="D19" s="11">
        <f>SUMPRODUCT((Data!$C$2:$C$121=$A19)*(Data!$B$2:$B$121=Dashboard!$B$17)*(Data!F$2:F$121))</f>
        <v>26674.914000000001</v>
      </c>
      <c r="E19" s="11">
        <f>SUMPRODUCT((Data!$C$2:$C$121=$A19)*(Data!$B$2:$B$121=Dashboard!$B$17)*(Data!G$2:G$121))</f>
        <v>23909.422599999998</v>
      </c>
      <c r="F19" s="11">
        <f>SUMPRODUCT((Data!$C$2:$C$121=$A19)*(Data!$B$2:$B$121=Dashboard!$B$17)*(Data!H$2:H$121))</f>
        <v>7856.8559999999998</v>
      </c>
      <c r="G19" s="11">
        <f>SUMPRODUCT((Data!$C$2:$C$121=$A19)*(Data!$B$2:$B$121=Dashboard!$B$17)*(Data!I$2:I$121))</f>
        <v>8595.096376942136</v>
      </c>
      <c r="I19" s="4">
        <f ca="1">OFFSET(A19,0,CHOOSE(Dashboard!$D$17,1,3,5),1,1)</f>
        <v>7856.8559999999998</v>
      </c>
      <c r="J19" s="4">
        <f ca="1">OFFSET(B19,0,CHOOSE(Dashboard!$D$17,1,3,5),1,1)</f>
        <v>8595.096376942136</v>
      </c>
      <c r="O19" s="8" t="e">
        <f t="shared" ca="1" si="0"/>
        <v>#N/A</v>
      </c>
      <c r="P19" s="4" t="e">
        <f t="shared" ca="1" si="2"/>
        <v>#N/A</v>
      </c>
      <c r="Q19" s="4" t="e">
        <f t="shared" ca="1" si="1"/>
        <v>#N/A</v>
      </c>
      <c r="R19" s="52" t="str">
        <f t="shared" ca="1" si="3"/>
        <v/>
      </c>
    </row>
    <row r="20" spans="1:18" x14ac:dyDescent="0.2">
      <c r="A20" s="10">
        <v>41456</v>
      </c>
      <c r="B20" s="11">
        <f>SUMPRODUCT((Data!$C$2:$C$121=$A20)*(Data!$B$2:$B$121=Dashboard!$B$17)*(Data!D$2:D$121))</f>
        <v>22282.436000000002</v>
      </c>
      <c r="C20" s="11">
        <f>SUMPRODUCT((Data!$C$2:$C$121=$A20)*(Data!$B$2:$B$121=Dashboard!$B$17)*(Data!E$2:E$121))</f>
        <v>19266.064793664231</v>
      </c>
      <c r="D20" s="11">
        <f>SUMPRODUCT((Data!$C$2:$C$121=$A20)*(Data!$B$2:$B$121=Dashboard!$B$17)*(Data!F$2:F$121))</f>
        <v>31397.977999999999</v>
      </c>
      <c r="E20" s="11">
        <f>SUMPRODUCT((Data!$C$2:$C$121=$A20)*(Data!$B$2:$B$121=Dashboard!$B$17)*(Data!G$2:G$121))</f>
        <v>28258.180199999999</v>
      </c>
      <c r="F20" s="11">
        <f>SUMPRODUCT((Data!$C$2:$C$121=$A20)*(Data!$B$2:$B$121=Dashboard!$B$17)*(Data!H$2:H$121))</f>
        <v>9115.5419999999995</v>
      </c>
      <c r="G20" s="11">
        <f>SUMPRODUCT((Data!$C$2:$C$121=$A20)*(Data!$B$2:$B$121=Dashboard!$B$17)*(Data!I$2:I$121))</f>
        <v>8992.1154063357662</v>
      </c>
      <c r="I20" s="4">
        <f ca="1">OFFSET(A20,0,CHOOSE(Dashboard!$D$17,1,3,5),1,1)</f>
        <v>9115.5419999999995</v>
      </c>
      <c r="J20" s="4">
        <f ca="1">OFFSET(B20,0,CHOOSE(Dashboard!$D$17,1,3,5),1,1)</f>
        <v>8992.1154063357662</v>
      </c>
      <c r="O20" s="8" t="e">
        <f t="shared" ca="1" si="0"/>
        <v>#N/A</v>
      </c>
      <c r="P20" s="4" t="e">
        <f t="shared" ca="1" si="2"/>
        <v>#N/A</v>
      </c>
      <c r="Q20" s="4" t="e">
        <f t="shared" ca="1" si="1"/>
        <v>#N/A</v>
      </c>
      <c r="R20" s="52" t="str">
        <f t="shared" ca="1" si="3"/>
        <v/>
      </c>
    </row>
    <row r="21" spans="1:18" x14ac:dyDescent="0.2">
      <c r="A21" s="10">
        <v>41487</v>
      </c>
      <c r="B21" s="11">
        <f>SUMPRODUCT((Data!$C$2:$C$121=$A21)*(Data!$B$2:$B$121=Dashboard!$B$17)*(Data!D$2:D$121))</f>
        <v>13336.125</v>
      </c>
      <c r="C21" s="11">
        <f>SUMPRODUCT((Data!$C$2:$C$121=$A21)*(Data!$B$2:$B$121=Dashboard!$B$17)*(Data!E$2:E$121))</f>
        <v>10870.577347139155</v>
      </c>
      <c r="D21" s="11">
        <f>SUMPRODUCT((Data!$C$2:$C$121=$A21)*(Data!$B$2:$B$121=Dashboard!$B$17)*(Data!F$2:F$121))</f>
        <v>18791.8125</v>
      </c>
      <c r="E21" s="11">
        <f>SUMPRODUCT((Data!$C$2:$C$121=$A21)*(Data!$B$2:$B$121=Dashboard!$B$17)*(Data!G$2:G$121))</f>
        <v>16912.631249999999</v>
      </c>
      <c r="F21" s="11">
        <f>SUMPRODUCT((Data!$C$2:$C$121=$A21)*(Data!$B$2:$B$121=Dashboard!$B$17)*(Data!H$2:H$121))</f>
        <v>5455.6875</v>
      </c>
      <c r="G21" s="11">
        <f>SUMPRODUCT((Data!$C$2:$C$121=$A21)*(Data!$B$2:$B$121=Dashboard!$B$17)*(Data!I$2:I$121))</f>
        <v>6042.0539028608446</v>
      </c>
      <c r="I21" s="4">
        <f ca="1">OFFSET(A21,0,CHOOSE(Dashboard!$D$17,1,3,5),1,1)</f>
        <v>5455.6875</v>
      </c>
      <c r="J21" s="4">
        <f ca="1">OFFSET(B21,0,CHOOSE(Dashboard!$D$17,1,3,5),1,1)</f>
        <v>6042.0539028608446</v>
      </c>
      <c r="O21" s="8" t="e">
        <f t="shared" ca="1" si="0"/>
        <v>#N/A</v>
      </c>
      <c r="P21" s="4" t="e">
        <f t="shared" ca="1" si="2"/>
        <v>#N/A</v>
      </c>
      <c r="Q21" s="4" t="e">
        <f t="shared" ca="1" si="1"/>
        <v>#N/A</v>
      </c>
      <c r="R21" s="52" t="str">
        <f t="shared" ca="1" si="3"/>
        <v/>
      </c>
    </row>
    <row r="22" spans="1:18" x14ac:dyDescent="0.2">
      <c r="A22" s="10">
        <v>41518</v>
      </c>
      <c r="B22" s="11">
        <f>SUMPRODUCT((Data!$C$2:$C$121=$A22)*(Data!$B$2:$B$121=Dashboard!$B$17)*(Data!D$2:D$121))</f>
        <v>14692.7</v>
      </c>
      <c r="C22" s="11">
        <f>SUMPRODUCT((Data!$C$2:$C$121=$A22)*(Data!$B$2:$B$121=Dashboard!$B$17)*(Data!E$2:E$121))</f>
        <v>12049.51638384</v>
      </c>
      <c r="D22" s="11">
        <f>SUMPRODUCT((Data!$C$2:$C$121=$A22)*(Data!$B$2:$B$121=Dashboard!$B$17)*(Data!F$2:F$121))</f>
        <v>20703.349999999999</v>
      </c>
      <c r="E22" s="11">
        <f>SUMPRODUCT((Data!$C$2:$C$121=$A22)*(Data!$B$2:$B$121=Dashboard!$B$17)*(Data!G$2:G$121))</f>
        <v>18633.014999999999</v>
      </c>
      <c r="F22" s="11">
        <f>SUMPRODUCT((Data!$C$2:$C$121=$A22)*(Data!$B$2:$B$121=Dashboard!$B$17)*(Data!H$2:H$121))</f>
        <v>6010.65</v>
      </c>
      <c r="G22" s="11">
        <f>SUMPRODUCT((Data!$C$2:$C$121=$A22)*(Data!$B$2:$B$121=Dashboard!$B$17)*(Data!I$2:I$121))</f>
        <v>6583.49861616</v>
      </c>
      <c r="I22" s="4">
        <f ca="1">OFFSET(A22,0,CHOOSE(Dashboard!$D$17,1,3,5),1,1)</f>
        <v>6010.65</v>
      </c>
      <c r="J22" s="4">
        <f ca="1">OFFSET(B22,0,CHOOSE(Dashboard!$D$17,1,3,5),1,1)</f>
        <v>6583.49861616</v>
      </c>
      <c r="O22" s="8" t="e">
        <f t="shared" ca="1" si="0"/>
        <v>#N/A</v>
      </c>
      <c r="P22" s="4" t="e">
        <f t="shared" ca="1" si="2"/>
        <v>#N/A</v>
      </c>
      <c r="Q22" s="4" t="e">
        <f t="shared" ca="1" si="1"/>
        <v>#N/A</v>
      </c>
      <c r="R22" s="52" t="str">
        <f t="shared" ca="1" si="3"/>
        <v/>
      </c>
    </row>
    <row r="23" spans="1:18" x14ac:dyDescent="0.2">
      <c r="A23" s="10">
        <v>41548</v>
      </c>
      <c r="B23" s="11">
        <f>SUMPRODUCT((Data!$C$2:$C$121=$A23)*(Data!$B$2:$B$121=Dashboard!$B$17)*(Data!D$2:D$121))</f>
        <v>15338.400000000001</v>
      </c>
      <c r="C23" s="11">
        <f>SUMPRODUCT((Data!$C$2:$C$121=$A23)*(Data!$B$2:$B$121=Dashboard!$B$17)*(Data!E$2:E$121))</f>
        <v>13768.221162328875</v>
      </c>
      <c r="D23" s="11">
        <f>SUMPRODUCT((Data!$C$2:$C$121=$A23)*(Data!$B$2:$B$121=Dashboard!$B$17)*(Data!F$2:F$121))</f>
        <v>21613.200000000001</v>
      </c>
      <c r="E23" s="11">
        <f>SUMPRODUCT((Data!$C$2:$C$121=$A23)*(Data!$B$2:$B$121=Dashboard!$B$17)*(Data!G$2:G$121))</f>
        <v>19451.88</v>
      </c>
      <c r="F23" s="11">
        <f>SUMPRODUCT((Data!$C$2:$C$121=$A23)*(Data!$B$2:$B$121=Dashboard!$B$17)*(Data!H$2:H$121))</f>
        <v>6274.8</v>
      </c>
      <c r="G23" s="11">
        <f>SUMPRODUCT((Data!$C$2:$C$121=$A23)*(Data!$B$2:$B$121=Dashboard!$B$17)*(Data!I$2:I$121))</f>
        <v>5683.6588376711243</v>
      </c>
      <c r="I23" s="4">
        <f ca="1">OFFSET(A23,0,CHOOSE(Dashboard!$D$17,1,3,5),1,1)</f>
        <v>6274.8</v>
      </c>
      <c r="J23" s="4">
        <f ca="1">OFFSET(B23,0,CHOOSE(Dashboard!$D$17,1,3,5),1,1)</f>
        <v>5683.6588376711243</v>
      </c>
      <c r="O23" s="8" t="e">
        <f t="shared" ca="1" si="0"/>
        <v>#N/A</v>
      </c>
      <c r="P23" s="4" t="e">
        <f t="shared" ca="1" si="2"/>
        <v>#N/A</v>
      </c>
      <c r="Q23" s="4" t="e">
        <f t="shared" ca="1" si="1"/>
        <v>#N/A</v>
      </c>
      <c r="R23" s="52" t="str">
        <f t="shared" ca="1" si="3"/>
        <v/>
      </c>
    </row>
    <row r="24" spans="1:18" x14ac:dyDescent="0.2">
      <c r="A24" s="10">
        <v>41579</v>
      </c>
      <c r="B24" s="11">
        <f>SUMPRODUCT((Data!$C$2:$C$121=$A24)*(Data!$B$2:$B$121=Dashboard!$B$17)*(Data!D$2:D$121))</f>
        <v>13914.45</v>
      </c>
      <c r="C24" s="11">
        <f>SUMPRODUCT((Data!$C$2:$C$121=$A24)*(Data!$B$2:$B$121=Dashboard!$B$17)*(Data!E$2:E$121))</f>
        <v>12047.007524146873</v>
      </c>
      <c r="D24" s="11">
        <f>SUMPRODUCT((Data!$C$2:$C$121=$A24)*(Data!$B$2:$B$121=Dashboard!$B$17)*(Data!F$2:F$121))</f>
        <v>19606.724999999999</v>
      </c>
      <c r="E24" s="11">
        <f>SUMPRODUCT((Data!$C$2:$C$121=$A24)*(Data!$B$2:$B$121=Dashboard!$B$17)*(Data!G$2:G$121))</f>
        <v>17646.052499999998</v>
      </c>
      <c r="F24" s="11">
        <f>SUMPRODUCT((Data!$C$2:$C$121=$A24)*(Data!$B$2:$B$121=Dashboard!$B$17)*(Data!H$2:H$121))</f>
        <v>5692.2749999999996</v>
      </c>
      <c r="G24" s="11">
        <f>SUMPRODUCT((Data!$C$2:$C$121=$A24)*(Data!$B$2:$B$121=Dashboard!$B$17)*(Data!I$2:I$121))</f>
        <v>5599.0449758531249</v>
      </c>
      <c r="I24" s="4">
        <f ca="1">OFFSET(A24,0,CHOOSE(Dashboard!$D$17,1,3,5),1,1)</f>
        <v>5692.2749999999996</v>
      </c>
      <c r="J24" s="4">
        <f ca="1">OFFSET(B24,0,CHOOSE(Dashboard!$D$17,1,3,5),1,1)</f>
        <v>5599.0449758531249</v>
      </c>
      <c r="O24" s="8" t="e">
        <f t="shared" ca="1" si="0"/>
        <v>#N/A</v>
      </c>
      <c r="P24" s="4" t="e">
        <f t="shared" ca="1" si="2"/>
        <v>#N/A</v>
      </c>
      <c r="Q24" s="4" t="e">
        <f t="shared" ca="1" si="1"/>
        <v>#N/A</v>
      </c>
      <c r="R24" s="52" t="str">
        <f t="shared" ca="1" si="3"/>
        <v/>
      </c>
    </row>
    <row r="25" spans="1:18" x14ac:dyDescent="0.2">
      <c r="A25" s="10">
        <v>41609</v>
      </c>
      <c r="B25" s="11">
        <f>SUMPRODUCT((Data!$C$2:$C$121=$A25)*(Data!$B$2:$B$121=Dashboard!$B$17)*(Data!D$2:D$121))</f>
        <v>13333.387500000001</v>
      </c>
      <c r="C25" s="11">
        <f>SUMPRODUCT((Data!$C$2:$C$121=$A25)*(Data!$B$2:$B$121=Dashboard!$B$17)*(Data!E$2:E$121))</f>
        <v>11786.415344137906</v>
      </c>
      <c r="D25" s="11">
        <f>SUMPRODUCT((Data!$C$2:$C$121=$A25)*(Data!$B$2:$B$121=Dashboard!$B$17)*(Data!F$2:F$121))</f>
        <v>19365.974999999999</v>
      </c>
      <c r="E25" s="11">
        <f>SUMPRODUCT((Data!$C$2:$C$121=$A25)*(Data!$B$2:$B$121=Dashboard!$B$17)*(Data!G$2:G$121))</f>
        <v>17877.739999999998</v>
      </c>
      <c r="F25" s="11">
        <f>SUMPRODUCT((Data!$C$2:$C$121=$A25)*(Data!$B$2:$B$121=Dashboard!$B$17)*(Data!H$2:H$121))</f>
        <v>6032.5874999999996</v>
      </c>
      <c r="G25" s="11">
        <f>SUMPRODUCT((Data!$C$2:$C$121=$A25)*(Data!$B$2:$B$121=Dashboard!$B$17)*(Data!I$2:I$121))</f>
        <v>6091.3246558620931</v>
      </c>
      <c r="I25" s="4">
        <f ca="1">OFFSET(A25,0,CHOOSE(Dashboard!$D$17,1,3,5),1,1)</f>
        <v>6032.5874999999996</v>
      </c>
      <c r="J25" s="4">
        <f ca="1">OFFSET(B25,0,CHOOSE(Dashboard!$D$17,1,3,5),1,1)</f>
        <v>6091.3246558620931</v>
      </c>
      <c r="O25" s="8" t="e">
        <f t="shared" ca="1" si="0"/>
        <v>#N/A</v>
      </c>
      <c r="P25" s="4" t="e">
        <f t="shared" ca="1" si="2"/>
        <v>#N/A</v>
      </c>
      <c r="Q25" s="4" t="e">
        <f t="shared" ca="1" si="1"/>
        <v>#N/A</v>
      </c>
      <c r="R25" s="52" t="str">
        <f t="shared" ca="1" si="3"/>
        <v/>
      </c>
    </row>
    <row r="26" spans="1:18" x14ac:dyDescent="0.2">
      <c r="L26">
        <v>12</v>
      </c>
    </row>
    <row r="27" spans="1:18" x14ac:dyDescent="0.2">
      <c r="A27" s="45" t="s">
        <v>27</v>
      </c>
      <c r="B27" s="45" t="s">
        <v>61</v>
      </c>
      <c r="C27" s="45" t="s">
        <v>60</v>
      </c>
      <c r="D27" s="45" t="s">
        <v>64</v>
      </c>
    </row>
    <row r="28" spans="1:18" x14ac:dyDescent="0.2">
      <c r="A28" t="str">
        <f>$A$1</f>
        <v>Group</v>
      </c>
      <c r="B28" t="str">
        <f ca="1">OFFSET(HR!$C$1,MATCH(A28,HR!$A$2:$A$21,0),0,1,1)</f>
        <v>London</v>
      </c>
      <c r="C28">
        <f ca="1">SUMIF(HR!$C$2:$C$21,B28,HR!$D$2:$D$21)</f>
        <v>216</v>
      </c>
      <c r="D28">
        <f ca="1">SUMIF(HR!$C$2:$C$21,B28,HR!$E$2:$E$21)</f>
        <v>1952</v>
      </c>
    </row>
    <row r="29" spans="1:18" x14ac:dyDescent="0.2">
      <c r="A29" t="str">
        <f>$A$1</f>
        <v>Group</v>
      </c>
      <c r="B29" t="str">
        <f ca="1">OFFSET(HR!$C$1,MATCH(A29,HR!$A$2:$A$21,0)+1,0,1,1)</f>
        <v>Cardiff</v>
      </c>
      <c r="C29">
        <f ca="1">SUMIF(HR!$C$2:$C$21,B29,HR!$D$2:$D$21)</f>
        <v>116</v>
      </c>
      <c r="D29">
        <f ca="1">SUMIF(HR!$C$2:$C$21,B29,HR!$E$2:$E$21)</f>
        <v>472</v>
      </c>
    </row>
    <row r="30" spans="1:18" x14ac:dyDescent="0.2">
      <c r="A30" t="str">
        <f>$A$1</f>
        <v>Group</v>
      </c>
      <c r="B30" t="str">
        <f ca="1">OFFSET(HR!$C$1,MATCH(A30,HR!$A$2:$A$21,0)+2,0,1,1)</f>
        <v>Manchester</v>
      </c>
      <c r="C30">
        <f ca="1">SUMIF(HR!$C$2:$C$21,B30,HR!$D$2:$D$21)</f>
        <v>110</v>
      </c>
      <c r="D30">
        <f ca="1">SUMIF(HR!$C$2:$C$21,B30,HR!$E$2:$E$21)</f>
        <v>866</v>
      </c>
    </row>
    <row r="31" spans="1:18" x14ac:dyDescent="0.2">
      <c r="A31" t="str">
        <f>$A$1</f>
        <v>Group</v>
      </c>
      <c r="B31" t="str">
        <f ca="1">OFFSET(HR!$C$1,MATCH(A31,HR!$A$2:$A$21,0)+3,0,1,1)</f>
        <v>Belfast</v>
      </c>
      <c r="C31">
        <f ca="1">SUMIF(HR!$C$2:$C$21,B31,HR!$D$2:$D$21)</f>
        <v>88</v>
      </c>
      <c r="D31">
        <f ca="1">SUMIF(HR!$C$2:$C$21,B31,HR!$E$2:$E$21)</f>
        <v>368</v>
      </c>
    </row>
    <row r="32" spans="1:18" x14ac:dyDescent="0.2">
      <c r="H32" s="65">
        <v>0.12</v>
      </c>
    </row>
    <row r="33" spans="1:8" x14ac:dyDescent="0.2">
      <c r="H33" s="65">
        <v>0.12</v>
      </c>
    </row>
    <row r="34" spans="1:8" x14ac:dyDescent="0.2">
      <c r="A34" s="45" t="s">
        <v>27</v>
      </c>
      <c r="B34" s="45" t="s">
        <v>63</v>
      </c>
      <c r="C34" s="45" t="s">
        <v>62</v>
      </c>
      <c r="H34" s="65">
        <v>0.12</v>
      </c>
    </row>
    <row r="35" spans="1:8" x14ac:dyDescent="0.2">
      <c r="A35" t="str">
        <f>$A$1</f>
        <v>Group</v>
      </c>
      <c r="B35" s="1" t="str">
        <f>INDEX(Projects!$C$2:$C$26,MATCH(C35,Projects!$D$2:$D$26,0),1)</f>
        <v>Project 1</v>
      </c>
      <c r="C35" s="4">
        <f t="array" ref="C35">LARGE(IF(Projects!$A$2:$A$26=A35,Projects!$D$2:$D$26),ROW(A1))</f>
        <v>1851.8970000000002</v>
      </c>
      <c r="H35" s="65">
        <v>0.12</v>
      </c>
    </row>
    <row r="36" spans="1:8" x14ac:dyDescent="0.2">
      <c r="A36" t="str">
        <f>$A$1</f>
        <v>Group</v>
      </c>
      <c r="B36" s="1" t="str">
        <f>INDEX(Projects!$C$2:$C$26,MATCH(C36,Projects!$D$2:$D$26,0),1)</f>
        <v>Project 3</v>
      </c>
      <c r="C36" s="4">
        <f t="array" ref="C36">LARGE(IF(Projects!$A$2:$A$26=A36,Projects!$D$2:$D$26),ROW(A2))</f>
        <v>1586.9754000000003</v>
      </c>
      <c r="H36" s="65">
        <v>0.12</v>
      </c>
    </row>
    <row r="37" spans="1:8" x14ac:dyDescent="0.2">
      <c r="A37" t="str">
        <f>$A$1</f>
        <v>Group</v>
      </c>
      <c r="B37" s="1" t="str">
        <f>INDEX(Projects!$C$2:$C$26,MATCH(C37,Projects!$D$2:$D$26,0),1)</f>
        <v>Project 4</v>
      </c>
      <c r="C37" s="4">
        <f t="array" ref="C37">LARGE(IF(Projects!$A$2:$A$26=A37,Projects!$D$2:$D$26),ROW(A3))</f>
        <v>1526.35625</v>
      </c>
      <c r="H37" s="65">
        <v>0.12</v>
      </c>
    </row>
    <row r="38" spans="1:8" x14ac:dyDescent="0.2">
      <c r="A38" t="str">
        <f>$A$1</f>
        <v>Group</v>
      </c>
      <c r="B38" s="1" t="str">
        <f>INDEX(Projects!$C$2:$C$26,MATCH(C38,Projects!$D$2:$D$26,0),1)</f>
        <v>Project 5</v>
      </c>
      <c r="C38" s="4">
        <f t="array" ref="C38">LARGE(IF(Projects!$A$2:$A$26=A38,Projects!$D$2:$D$26),ROW(A4))</f>
        <v>1456</v>
      </c>
      <c r="H38" s="65">
        <v>-0.05</v>
      </c>
    </row>
    <row r="39" spans="1:8" x14ac:dyDescent="0.2">
      <c r="A39" t="str">
        <f>$A$1</f>
        <v>Group</v>
      </c>
      <c r="B39" s="1" t="str">
        <f>INDEX(Projects!$C$2:$C$26,MATCH(C39,Projects!$D$2:$D$26,0),1)</f>
        <v>Project 2</v>
      </c>
      <c r="C39" s="4">
        <f t="array" ref="C39">LARGE(IF(Projects!$A$2:$A$26=A39,Projects!$D$2:$D$26),ROW(A5))</f>
        <v>1338.7725</v>
      </c>
      <c r="H39" s="65">
        <v>0.12</v>
      </c>
    </row>
    <row r="40" spans="1:8" x14ac:dyDescent="0.2">
      <c r="H40" s="65">
        <v>0.12</v>
      </c>
    </row>
    <row r="41" spans="1:8" x14ac:dyDescent="0.2">
      <c r="H41" s="65">
        <v>0.12</v>
      </c>
    </row>
    <row r="42" spans="1:8" x14ac:dyDescent="0.2">
      <c r="H42" s="65">
        <v>0.12</v>
      </c>
    </row>
    <row r="43" spans="1:8" x14ac:dyDescent="0.2">
      <c r="A43" t="str">
        <f>$A$1</f>
        <v>Group</v>
      </c>
      <c r="B43" t="s">
        <v>104</v>
      </c>
      <c r="C43">
        <f>SUMIFS(HR!$C$25:$C$49,HR!$A$25:$A$49,$A43,HR!$B$25:$B$49,$B43)</f>
        <v>520</v>
      </c>
    </row>
    <row r="44" spans="1:8" x14ac:dyDescent="0.2">
      <c r="A44" t="str">
        <f t="shared" ref="A44:A47" si="4">$A$1</f>
        <v>Group</v>
      </c>
      <c r="B44" t="s">
        <v>105</v>
      </c>
      <c r="C44">
        <f>SUMIFS(HR!$C$25:$C$49,HR!$A$25:$A$49,$A44,HR!$B$25:$B$49,$B44)</f>
        <v>499</v>
      </c>
    </row>
    <row r="45" spans="1:8" x14ac:dyDescent="0.2">
      <c r="A45" t="str">
        <f t="shared" si="4"/>
        <v>Group</v>
      </c>
      <c r="B45" t="s">
        <v>106</v>
      </c>
      <c r="C45">
        <f>SUMIFS(HR!$C$25:$C$49,HR!$A$25:$A$49,$A45,HR!$B$25:$B$49,$B45)</f>
        <v>490</v>
      </c>
    </row>
    <row r="46" spans="1:8" x14ac:dyDescent="0.2">
      <c r="A46" t="str">
        <f t="shared" si="4"/>
        <v>Group</v>
      </c>
      <c r="B46" t="s">
        <v>107</v>
      </c>
      <c r="C46">
        <f>SUMIFS(HR!$C$25:$C$49,HR!$A$25:$A$49,$A46,HR!$B$25:$B$49,$B46)</f>
        <v>478</v>
      </c>
    </row>
    <row r="47" spans="1:8" x14ac:dyDescent="0.2">
      <c r="A47" t="str">
        <f t="shared" si="4"/>
        <v>Group</v>
      </c>
      <c r="B47" t="s">
        <v>108</v>
      </c>
      <c r="C47">
        <f>SUMIFS(HR!$C$25:$C$49,HR!$A$25:$A$49,$A47,HR!$B$25:$B$49,$B47)</f>
        <v>477</v>
      </c>
    </row>
    <row r="50" spans="1:14" x14ac:dyDescent="0.2">
      <c r="A50" s="45" t="s">
        <v>27</v>
      </c>
      <c r="B50" s="45" t="s">
        <v>22</v>
      </c>
      <c r="C50" s="45" t="s">
        <v>111</v>
      </c>
      <c r="D50" s="45" t="s">
        <v>112</v>
      </c>
      <c r="E50" s="45" t="s">
        <v>134</v>
      </c>
      <c r="F50" s="45" t="s">
        <v>135</v>
      </c>
    </row>
    <row r="51" spans="1:14" x14ac:dyDescent="0.2">
      <c r="A51" t="str">
        <f>$A$1</f>
        <v>Group</v>
      </c>
      <c r="B51" t="s">
        <v>94</v>
      </c>
      <c r="C51" s="51">
        <f>SUMIFS(HR!$C$53:$C$67,HR!$A$53:$A$67,$A51,HR!$B$53:$B$67,$B51)</f>
        <v>0.3</v>
      </c>
      <c r="D51" s="51">
        <f>1-C51</f>
        <v>0.7</v>
      </c>
      <c r="E51" s="4">
        <f>SUMIFS(HR!D$53:D$67,HR!$A$53:$A$67,$A51,HR!$B$53:$B$67,$B51)</f>
        <v>78</v>
      </c>
      <c r="F51" s="4">
        <f>SUMIFS(HR!E$53:E$67,HR!$A$53:$A$67,$A51,HR!$B$53:$B$67,$B51)</f>
        <v>77</v>
      </c>
    </row>
    <row r="52" spans="1:14" x14ac:dyDescent="0.2">
      <c r="A52" t="str">
        <f t="shared" ref="A52:A53" si="5">$A$1</f>
        <v>Group</v>
      </c>
      <c r="B52" t="s">
        <v>109</v>
      </c>
      <c r="C52" s="51">
        <f>SUMIFS(HR!$C$53:$C$67,HR!$A$53:$A$67,$A52,HR!$B$53:$B$67,$B52)</f>
        <v>0.68249999999999988</v>
      </c>
      <c r="D52" s="51">
        <f t="shared" ref="D52:D53" si="6">1-C52</f>
        <v>0.31750000000000012</v>
      </c>
      <c r="E52" s="4">
        <f>SUMIFS(HR!D$53:D$67,HR!$A$53:$A$67,$A52,HR!$B$53:$B$67,$B52)</f>
        <v>59</v>
      </c>
      <c r="F52" s="4">
        <f>SUMIFS(HR!E$53:E$67,HR!$A$53:$A$67,$A52,HR!$B$53:$B$67,$B52)</f>
        <v>43</v>
      </c>
    </row>
    <row r="53" spans="1:14" x14ac:dyDescent="0.2">
      <c r="A53" t="str">
        <f t="shared" si="5"/>
        <v>Group</v>
      </c>
      <c r="B53" t="s">
        <v>110</v>
      </c>
      <c r="C53" s="51">
        <f>SUMIFS(HR!$C$53:$C$67,HR!$A$53:$A$67,$A53,HR!$B$53:$B$67,$B53)</f>
        <v>0.4325</v>
      </c>
      <c r="D53" s="51">
        <f t="shared" si="6"/>
        <v>0.5675</v>
      </c>
      <c r="E53" s="4">
        <f>SUMIFS(HR!D$53:D$67,HR!$A$53:$A$67,$A53,HR!$B$53:$B$67,$B53)</f>
        <v>82</v>
      </c>
      <c r="F53" s="4">
        <f>SUMIFS(HR!E$53:E$67,HR!$A$53:$A$67,$A53,HR!$B$53:$B$67,$B53)</f>
        <v>85</v>
      </c>
    </row>
    <row r="56" spans="1:14" x14ac:dyDescent="0.2">
      <c r="A56" s="45" t="s">
        <v>27</v>
      </c>
      <c r="B56" s="45" t="s">
        <v>115</v>
      </c>
      <c r="C56" s="45" t="s">
        <v>114</v>
      </c>
    </row>
    <row r="57" spans="1:14" x14ac:dyDescent="0.2">
      <c r="A57" t="str">
        <f>A1</f>
        <v>Group</v>
      </c>
      <c r="B57" t="s">
        <v>113</v>
      </c>
      <c r="C57" s="52">
        <f>SUMIFS(Profit!C29:C33,Profit!A29:A33,Calcs!A57)/1000000</f>
        <v>13.429402</v>
      </c>
    </row>
    <row r="58" spans="1:14" x14ac:dyDescent="0.2">
      <c r="C58" s="52"/>
    </row>
    <row r="59" spans="1:14" x14ac:dyDescent="0.2">
      <c r="C59" s="52"/>
    </row>
    <row r="60" spans="1:14" x14ac:dyDescent="0.2">
      <c r="A60" s="45" t="s">
        <v>27</v>
      </c>
      <c r="B60" s="45" t="s">
        <v>116</v>
      </c>
      <c r="C60" s="45" t="s">
        <v>120</v>
      </c>
      <c r="D60" s="45" t="s">
        <v>136</v>
      </c>
      <c r="E60" s="45" t="s">
        <v>137</v>
      </c>
      <c r="F60" s="45" t="s">
        <v>138</v>
      </c>
      <c r="G60" s="45" t="s">
        <v>139</v>
      </c>
    </row>
    <row r="61" spans="1:14" x14ac:dyDescent="0.2">
      <c r="A61" s="1" t="str">
        <f>$A$1</f>
        <v>Group</v>
      </c>
      <c r="C61">
        <f>SUMIFS(HR!C$71:C$75,HR!$A$71:$A$75,$A61)</f>
        <v>81</v>
      </c>
      <c r="D61">
        <f>SUMIFS(HR!D$71:D$75,HR!$A$71:$A$75,$A61)</f>
        <v>30</v>
      </c>
      <c r="E61">
        <f>SUMIFS(HR!E$71:E$75,HR!$A$71:$A$75,$A61)</f>
        <v>140</v>
      </c>
      <c r="F61">
        <f>SUMIFS(HR!F$71:F$75,HR!$A$71:$A$75,$A61)</f>
        <v>31</v>
      </c>
      <c r="G61">
        <f>SUMIFS(HR!G$71:G$75,HR!$A$71:$A$75,$A61)</f>
        <v>27</v>
      </c>
    </row>
    <row r="62" spans="1:14" x14ac:dyDescent="0.2">
      <c r="A62" s="1"/>
    </row>
    <row r="63" spans="1:14" x14ac:dyDescent="0.2">
      <c r="A63" s="1"/>
    </row>
    <row r="64" spans="1:14" x14ac:dyDescent="0.2">
      <c r="A64" s="45" t="s">
        <v>27</v>
      </c>
      <c r="B64" s="45" t="s">
        <v>115</v>
      </c>
      <c r="C64" s="53" t="s">
        <v>5</v>
      </c>
      <c r="D64" s="53" t="s">
        <v>4</v>
      </c>
      <c r="E64" s="53" t="s">
        <v>3</v>
      </c>
      <c r="F64" s="53" t="s">
        <v>2</v>
      </c>
      <c r="G64" s="53" t="s">
        <v>1</v>
      </c>
      <c r="H64" s="53" t="s">
        <v>0</v>
      </c>
      <c r="I64" s="53" t="s">
        <v>24</v>
      </c>
      <c r="J64" s="53" t="s">
        <v>20</v>
      </c>
      <c r="K64" s="53" t="s">
        <v>16</v>
      </c>
      <c r="L64" s="53" t="s">
        <v>12</v>
      </c>
      <c r="M64" s="53" t="s">
        <v>8</v>
      </c>
      <c r="N64" s="53" t="s">
        <v>6</v>
      </c>
    </row>
    <row r="65" spans="1:14" x14ac:dyDescent="0.2">
      <c r="A65" t="str">
        <f>$A$1</f>
        <v>Group</v>
      </c>
      <c r="B65" t="s">
        <v>118</v>
      </c>
      <c r="C65">
        <f>SUMIFS(HR!C$79:C$88,HR!$A$79:$A$88,$A65,HR!$B$79:$B$88,$B65)</f>
        <v>-25</v>
      </c>
      <c r="D65">
        <f>SUMIFS(HR!D$79:D$88,HR!$A$79:$A$88,$A65,HR!$B$79:$B$88,$B65)</f>
        <v>-14</v>
      </c>
      <c r="E65">
        <f>SUMIFS(HR!E$79:E$88,HR!$A$79:$A$88,$A65,HR!$B$79:$B$88,$B65)</f>
        <v>-14</v>
      </c>
      <c r="F65">
        <f>SUMIFS(HR!F$79:F$88,HR!$A$79:$A$88,$A65,HR!$B$79:$B$88,$B65)</f>
        <v>-11</v>
      </c>
      <c r="G65">
        <f>SUMIFS(HR!G$79:G$88,HR!$A$79:$A$88,$A65,HR!$B$79:$B$88,$B65)</f>
        <v>-11</v>
      </c>
      <c r="H65">
        <f>SUMIFS(HR!H$79:H$88,HR!$A$79:$A$88,$A65,HR!$B$79:$B$88,$B65)</f>
        <v>-9</v>
      </c>
      <c r="I65">
        <f>SUMIFS(HR!I$79:I$88,HR!$A$79:$A$88,$A65,HR!$B$79:$B$88,$B65)</f>
        <v>-15</v>
      </c>
      <c r="J65">
        <f>SUMIFS(HR!J$79:J$88,HR!$A$79:$A$88,$A65,HR!$B$79:$B$88,$B65)</f>
        <v>-4</v>
      </c>
      <c r="K65">
        <f>SUMIFS(HR!K$79:K$88,HR!$A$79:$A$88,$A65,HR!$B$79:$B$88,$B65)</f>
        <v>-7</v>
      </c>
      <c r="L65">
        <f>SUMIFS(HR!L$79:L$88,HR!$A$79:$A$88,$A65,HR!$B$79:$B$88,$B65)</f>
        <v>-1</v>
      </c>
      <c r="M65">
        <f>SUMIFS(HR!M$79:M$88,HR!$A$79:$A$88,$A65,HR!$B$79:$B$88,$B65)</f>
        <v>-3</v>
      </c>
      <c r="N65">
        <f>SUMIFS(HR!N$79:N$88,HR!$A$79:$A$88,$A65,HR!$B$79:$B$88,$B65)</f>
        <v>-14</v>
      </c>
    </row>
    <row r="66" spans="1:14" x14ac:dyDescent="0.2">
      <c r="A66" t="str">
        <f>$A$1</f>
        <v>Group</v>
      </c>
      <c r="B66" t="s">
        <v>119</v>
      </c>
      <c r="C66">
        <f>SUMIFS(HR!C$79:C$88,HR!$A$79:$A$88,$A66,HR!$B$79:$B$88,$B66)</f>
        <v>19</v>
      </c>
      <c r="D66">
        <f>SUMIFS(HR!D$79:D$88,HR!$A$79:$A$88,$A66,HR!$B$79:$B$88,$B66)</f>
        <v>34</v>
      </c>
      <c r="E66">
        <f>SUMIFS(HR!E$79:E$88,HR!$A$79:$A$88,$A66,HR!$B$79:$B$88,$B66)</f>
        <v>16</v>
      </c>
      <c r="F66">
        <f>SUMIFS(HR!F$79:F$88,HR!$A$79:$A$88,$A66,HR!$B$79:$B$88,$B66)</f>
        <v>13</v>
      </c>
      <c r="G66">
        <f>SUMIFS(HR!G$79:G$88,HR!$A$79:$A$88,$A66,HR!$B$79:$B$88,$B66)</f>
        <v>14</v>
      </c>
      <c r="H66">
        <f>SUMIFS(HR!H$79:H$88,HR!$A$79:$A$88,$A66,HR!$B$79:$B$88,$B66)</f>
        <v>22</v>
      </c>
      <c r="I66">
        <f>SUMIFS(HR!I$79:I$88,HR!$A$79:$A$88,$A66,HR!$B$79:$B$88,$B66)</f>
        <v>33</v>
      </c>
      <c r="J66">
        <f>SUMIFS(HR!J$79:J$88,HR!$A$79:$A$88,$A66,HR!$B$79:$B$88,$B66)</f>
        <v>45</v>
      </c>
      <c r="K66">
        <f>SUMIFS(HR!K$79:K$88,HR!$A$79:$A$88,$A66,HR!$B$79:$B$88,$B66)</f>
        <v>25</v>
      </c>
      <c r="L66">
        <f>SUMIFS(HR!L$79:L$88,HR!$A$79:$A$88,$A66,HR!$B$79:$B$88,$B66)</f>
        <v>28</v>
      </c>
      <c r="M66">
        <f>SUMIFS(HR!M$79:M$88,HR!$A$79:$A$88,$A66,HR!$B$79:$B$88,$B66)</f>
        <v>26</v>
      </c>
      <c r="N66">
        <f>SUMIFS(HR!N$79:N$88,HR!$A$79:$A$88,$A66,HR!$B$79:$B$88,$B66)</f>
        <v>16</v>
      </c>
    </row>
    <row r="69" spans="1:14" x14ac:dyDescent="0.2">
      <c r="H69" t="s">
        <v>130</v>
      </c>
    </row>
    <row r="70" spans="1:14" x14ac:dyDescent="0.2">
      <c r="A70" t="s">
        <v>22</v>
      </c>
      <c r="B70" t="s">
        <v>127</v>
      </c>
      <c r="C70">
        <f>Profit!C36</f>
        <v>16.920000000000002</v>
      </c>
      <c r="D70">
        <f>Profit!D36</f>
        <v>17.43</v>
      </c>
      <c r="E70" t="str">
        <f>IF(D70&gt;C70,H69,H70)&amp;TEXT((D70-C70)/C70,"0.0%")</f>
        <v>▲3.0%</v>
      </c>
      <c r="F70" t="str">
        <f>Profit!D36&amp;" "&amp;E70&amp;" on Prior Period"</f>
        <v>17.43 ▲3.0% on Prior Period</v>
      </c>
      <c r="H70" t="s">
        <v>131</v>
      </c>
    </row>
    <row r="73" spans="1:14" x14ac:dyDescent="0.2">
      <c r="A73" s="45" t="s">
        <v>27</v>
      </c>
      <c r="B73" s="45" t="s">
        <v>126</v>
      </c>
      <c r="C73" s="45" t="s">
        <v>100</v>
      </c>
      <c r="D73" s="45" t="s">
        <v>101</v>
      </c>
    </row>
    <row r="74" spans="1:14" x14ac:dyDescent="0.2">
      <c r="A74" s="59" t="str">
        <f>$A$1</f>
        <v>Group</v>
      </c>
      <c r="B74" s="7" t="s">
        <v>121</v>
      </c>
      <c r="C74" s="4">
        <f>SUMIFS(Exp!D$2:D$26,Exp!$A$2:$A$26,$A74,Exp!$B$2:$B$26,$B74)</f>
        <v>4177918.6399999997</v>
      </c>
      <c r="D74" s="4">
        <f>SUMIFS(Exp!E$2:E$26,Exp!$A$2:$A$26,$A74,Exp!$B$2:$B$26,$B74)</f>
        <v>5736630.6799999997</v>
      </c>
    </row>
    <row r="75" spans="1:14" x14ac:dyDescent="0.2">
      <c r="A75" s="59" t="str">
        <f t="shared" ref="A75:A78" si="7">$A$1</f>
        <v>Group</v>
      </c>
      <c r="B75" s="7" t="s">
        <v>122</v>
      </c>
      <c r="C75" s="4">
        <f>SUMIFS(Exp!D$2:D$26,Exp!$A$2:$A$26,$A75,Exp!$B$2:$B$26,$B75)</f>
        <v>5555463.8399999999</v>
      </c>
      <c r="D75" s="4">
        <f>SUMIFS(Exp!E$2:E$26,Exp!$A$2:$A$26,$A75,Exp!$B$2:$B$26,$B75)</f>
        <v>5090555.72</v>
      </c>
    </row>
    <row r="76" spans="1:14" x14ac:dyDescent="0.2">
      <c r="A76" s="59" t="str">
        <f t="shared" si="7"/>
        <v>Group</v>
      </c>
      <c r="B76" s="7" t="s">
        <v>123</v>
      </c>
      <c r="C76" s="4">
        <f>SUMIFS(Exp!D$2:D$26,Exp!$A$2:$A$26,$A76,Exp!$B$2:$B$26,$B76)</f>
        <v>5072623.24</v>
      </c>
      <c r="D76" s="4">
        <f>SUMIFS(Exp!E$2:E$26,Exp!$A$2:$A$26,$A76,Exp!$B$2:$B$26,$B76)</f>
        <v>5119987.84</v>
      </c>
    </row>
    <row r="77" spans="1:14" x14ac:dyDescent="0.2">
      <c r="A77" s="59" t="str">
        <f t="shared" si="7"/>
        <v>Group</v>
      </c>
      <c r="B77" s="7" t="s">
        <v>124</v>
      </c>
      <c r="C77" s="4">
        <f>SUMIFS(Exp!D$2:D$26,Exp!$A$2:$A$26,$A77,Exp!$B$2:$B$26,$B77)</f>
        <v>4651385.5159999998</v>
      </c>
      <c r="D77" s="4">
        <f>SUMIFS(Exp!E$2:E$26,Exp!$A$2:$A$26,$A77,Exp!$B$2:$B$26,$B77)</f>
        <v>5203613.8</v>
      </c>
    </row>
    <row r="78" spans="1:14" x14ac:dyDescent="0.2">
      <c r="A78" s="59" t="str">
        <f t="shared" si="7"/>
        <v>Group</v>
      </c>
      <c r="B78" s="7" t="s">
        <v>109</v>
      </c>
      <c r="C78" s="4">
        <f>SUMIFS(Exp!D$2:D$26,Exp!$A$2:$A$26,$A78,Exp!$B$2:$B$26,$B78)</f>
        <v>5118600.7639999986</v>
      </c>
      <c r="D78" s="4">
        <f>SUMIFS(Exp!E$2:E$26,Exp!$A$2:$A$26,$A78,Exp!$B$2:$B$26,$B78)</f>
        <v>5565045.96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2D050"/>
  </sheetPr>
  <dimension ref="A1:I358"/>
  <sheetViews>
    <sheetView workbookViewId="0">
      <selection activeCell="O25" sqref="O25"/>
    </sheetView>
  </sheetViews>
  <sheetFormatPr defaultRowHeight="12.75" x14ac:dyDescent="0.2"/>
  <cols>
    <col min="2" max="2" width="10" customWidth="1"/>
    <col min="3" max="3" width="11.7109375" bestFit="1" customWidth="1"/>
    <col min="5" max="5" width="12" bestFit="1" customWidth="1"/>
    <col min="7" max="7" width="11.7109375" customWidth="1"/>
  </cols>
  <sheetData>
    <row r="1" spans="1:9" x14ac:dyDescent="0.2">
      <c r="A1" s="45" t="s">
        <v>27</v>
      </c>
      <c r="B1" s="45" t="s">
        <v>88</v>
      </c>
      <c r="C1" s="45" t="s">
        <v>97</v>
      </c>
      <c r="D1" s="45" t="s">
        <v>89</v>
      </c>
      <c r="E1" s="45" t="s">
        <v>96</v>
      </c>
      <c r="F1" s="49" t="s">
        <v>90</v>
      </c>
      <c r="G1" s="49" t="s">
        <v>86</v>
      </c>
      <c r="H1" s="49" t="s">
        <v>87</v>
      </c>
      <c r="I1" s="49" t="s">
        <v>87</v>
      </c>
    </row>
    <row r="2" spans="1:9" x14ac:dyDescent="0.2">
      <c r="A2" s="1" t="str">
        <f>Calcs!$A$1</f>
        <v>Group</v>
      </c>
      <c r="B2" s="7" t="s">
        <v>98</v>
      </c>
      <c r="C2" s="42">
        <f>SUMIFS(Profit!C$2:C$26,Profit!$A$2:$A$26,$A2,Profit!$B$2:$B$26,$B2)</f>
        <v>0.06</v>
      </c>
      <c r="D2" s="42">
        <f>SUMIFS(Profit!D$2:D$26,Profit!$A$2:$A$26,$A2,Profit!$B$2:$B$26,$B2)</f>
        <v>0.22</v>
      </c>
      <c r="E2" s="50">
        <f>SUMIFS(Profit!E$2:E$26,Profit!$A$2:$A$26,$A2,Profit!$B$2:$B$26,$B2)</f>
        <v>88000</v>
      </c>
      <c r="F2" s="42">
        <f>C2</f>
        <v>0.06</v>
      </c>
      <c r="G2" s="42">
        <f>F2+E2/$E$7</f>
        <v>0.33672955974842766</v>
      </c>
      <c r="H2" s="42">
        <f>D2</f>
        <v>0.22</v>
      </c>
      <c r="I2" s="42">
        <f>H2</f>
        <v>0.22</v>
      </c>
    </row>
    <row r="3" spans="1:9" x14ac:dyDescent="0.2">
      <c r="A3" s="1" t="str">
        <f>Calcs!$A$1</f>
        <v>Group</v>
      </c>
      <c r="B3" s="7" t="s">
        <v>91</v>
      </c>
      <c r="C3" s="42">
        <f>SUMIFS(Profit!C$2:C$26,Profit!$A$2:$A$26,$A3,Profit!$B$2:$B$26,$B3)</f>
        <v>0</v>
      </c>
      <c r="D3" s="42">
        <f>SUMIFS(Profit!D$2:D$26,Profit!$A$2:$A$26,$A3,Profit!$B$2:$B$26,$B3)</f>
        <v>0.31</v>
      </c>
      <c r="E3" s="50">
        <f>SUMIFS(Profit!E$2:E$26,Profit!$A$2:$A$26,$A3,Profit!$B$2:$B$26,$B3)</f>
        <v>83000</v>
      </c>
      <c r="F3" s="42">
        <f>C3</f>
        <v>0</v>
      </c>
      <c r="G3" s="42">
        <f>F3+E3/$E$7</f>
        <v>0.2610062893081761</v>
      </c>
      <c r="H3" s="42">
        <f>D3</f>
        <v>0.31</v>
      </c>
      <c r="I3" s="42">
        <f>H3</f>
        <v>0.31</v>
      </c>
    </row>
    <row r="4" spans="1:9" x14ac:dyDescent="0.2">
      <c r="A4" s="1" t="str">
        <f>Calcs!$A$1</f>
        <v>Group</v>
      </c>
      <c r="B4" s="7" t="s">
        <v>92</v>
      </c>
      <c r="C4" s="42">
        <f>SUMIFS(Profit!C$2:C$26,Profit!$A$2:$A$26,$A4,Profit!$B$2:$B$26,$B4)</f>
        <v>-0.03</v>
      </c>
      <c r="D4" s="42">
        <f>SUMIFS(Profit!D$2:D$26,Profit!$A$2:$A$26,$A4,Profit!$B$2:$B$26,$B4)</f>
        <v>9.5000000000000001E-2</v>
      </c>
      <c r="E4" s="50">
        <f>SUMIFS(Profit!E$2:E$26,Profit!$A$2:$A$26,$A4,Profit!$B$2:$B$26,$B4)</f>
        <v>48000</v>
      </c>
      <c r="F4" s="42">
        <f>C4</f>
        <v>-0.03</v>
      </c>
      <c r="G4" s="42">
        <f>F4+E4/$E$7</f>
        <v>0.12094339622641509</v>
      </c>
      <c r="H4" s="42">
        <f>D4</f>
        <v>9.5000000000000001E-2</v>
      </c>
      <c r="I4" s="42">
        <f>H4</f>
        <v>9.5000000000000001E-2</v>
      </c>
    </row>
    <row r="5" spans="1:9" x14ac:dyDescent="0.2">
      <c r="A5" s="1" t="str">
        <f>Calcs!$A$1</f>
        <v>Group</v>
      </c>
      <c r="B5" s="7" t="s">
        <v>93</v>
      </c>
      <c r="C5" s="42">
        <f>SUMIFS(Profit!C$2:C$26,Profit!$A$2:$A$26,$A5,Profit!$B$2:$B$26,$B5)</f>
        <v>0.15</v>
      </c>
      <c r="D5" s="42">
        <f>SUMIFS(Profit!D$2:D$26,Profit!$A$2:$A$26,$A5,Profit!$B$2:$B$26,$B5)</f>
        <v>0.16</v>
      </c>
      <c r="E5" s="50">
        <f>SUMIFS(Profit!E$2:E$26,Profit!$A$2:$A$26,$A5,Profit!$B$2:$B$26,$B5)</f>
        <v>65000</v>
      </c>
      <c r="F5" s="42">
        <f>C5</f>
        <v>0.15</v>
      </c>
      <c r="G5" s="42">
        <f>F5+E5/$E$7</f>
        <v>0.35440251572327042</v>
      </c>
      <c r="H5" s="42">
        <f>D5</f>
        <v>0.16</v>
      </c>
      <c r="I5" s="42">
        <f>H5</f>
        <v>0.16</v>
      </c>
    </row>
    <row r="6" spans="1:9" x14ac:dyDescent="0.2">
      <c r="A6" s="1" t="str">
        <f>Calcs!$A$1</f>
        <v>Group</v>
      </c>
      <c r="B6" s="7" t="s">
        <v>94</v>
      </c>
      <c r="C6" s="42">
        <f>SUMIFS(Profit!C$2:C$26,Profit!$A$2:$A$26,$A6,Profit!$B$2:$B$26,$B6)</f>
        <v>-0.06</v>
      </c>
      <c r="D6" s="42">
        <f>SUMIFS(Profit!D$2:D$26,Profit!$A$2:$A$26,$A6,Profit!$B$2:$B$26,$B6)</f>
        <v>0.21</v>
      </c>
      <c r="E6" s="50">
        <f>SUMIFS(Profit!E$2:E$26,Profit!$A$2:$A$26,$A6,Profit!$B$2:$B$26,$B6)</f>
        <v>34000</v>
      </c>
      <c r="F6" s="42">
        <f>C6</f>
        <v>-0.06</v>
      </c>
      <c r="G6" s="42">
        <f>F6+E6/$E$7</f>
        <v>4.6918238993710698E-2</v>
      </c>
      <c r="H6" s="42">
        <f>D6</f>
        <v>0.21</v>
      </c>
      <c r="I6" s="42">
        <f>H6</f>
        <v>0.21</v>
      </c>
    </row>
    <row r="7" spans="1:9" ht="15.75" x14ac:dyDescent="0.25">
      <c r="B7" s="39" t="s">
        <v>95</v>
      </c>
      <c r="C7" s="40"/>
      <c r="D7" s="40"/>
      <c r="E7" s="41">
        <f>SUM(E2:E6)</f>
        <v>318000</v>
      </c>
      <c r="F7" s="40"/>
      <c r="G7" s="40"/>
      <c r="H7" s="40"/>
      <c r="I7" s="40"/>
    </row>
    <row r="10" spans="1:9" x14ac:dyDescent="0.2">
      <c r="A10" s="1" t="s">
        <v>18</v>
      </c>
    </row>
    <row r="11" spans="1:9" x14ac:dyDescent="0.2">
      <c r="A11" s="1" t="s">
        <v>14</v>
      </c>
    </row>
    <row r="12" spans="1:9" x14ac:dyDescent="0.2">
      <c r="A12" s="1" t="s">
        <v>10</v>
      </c>
    </row>
    <row r="13" spans="1:9" x14ac:dyDescent="0.2">
      <c r="A13" s="1" t="s">
        <v>7</v>
      </c>
    </row>
    <row r="18" spans="1:4" x14ac:dyDescent="0.2">
      <c r="A18" s="45" t="s">
        <v>27</v>
      </c>
      <c r="B18" s="45" t="s">
        <v>99</v>
      </c>
      <c r="C18" s="45" t="s">
        <v>101</v>
      </c>
      <c r="D18" s="45" t="s">
        <v>100</v>
      </c>
    </row>
    <row r="19" spans="1:4" x14ac:dyDescent="0.2">
      <c r="A19" t="str">
        <f>Calcs!$A$28</f>
        <v>Group</v>
      </c>
      <c r="B19" s="37">
        <v>36892</v>
      </c>
      <c r="C19" s="7">
        <f>SUMIFS(Sales!C$2:C$1701,Sales!$A$2:$A$1701,$A19,Sales!$B$2:$B$1701,$B19)</f>
        <v>128</v>
      </c>
      <c r="D19" s="7">
        <f>SUMIFS(Sales!D$2:D$1701,Sales!$A$2:$A$1701,$A19,Sales!$B$2:$B$1701,$B19)</f>
        <v>75</v>
      </c>
    </row>
    <row r="20" spans="1:4" x14ac:dyDescent="0.2">
      <c r="A20" t="str">
        <f>Calcs!$A$28</f>
        <v>Group</v>
      </c>
      <c r="B20" s="37">
        <v>36893</v>
      </c>
      <c r="C20" s="7">
        <f>SUMIFS(Sales!C$2:C$1701,Sales!$A$2:$A$1701,$A20,Sales!$B$2:$B$1701,$B20)</f>
        <v>126</v>
      </c>
      <c r="D20" s="7">
        <f>SUMIFS(Sales!D$2:D$1701,Sales!$A$2:$A$1701,$A20,Sales!$B$2:$B$1701,$B20)</f>
        <v>78</v>
      </c>
    </row>
    <row r="21" spans="1:4" x14ac:dyDescent="0.2">
      <c r="A21" t="str">
        <f>Calcs!$A$28</f>
        <v>Group</v>
      </c>
      <c r="B21" s="37">
        <v>36894</v>
      </c>
      <c r="C21" s="7">
        <f>SUMIFS(Sales!C$2:C$1701,Sales!$A$2:$A$1701,$A21,Sales!$B$2:$B$1701,$B21)</f>
        <v>142</v>
      </c>
      <c r="D21" s="7">
        <f>SUMIFS(Sales!D$2:D$1701,Sales!$A$2:$A$1701,$A21,Sales!$B$2:$B$1701,$B21)</f>
        <v>83</v>
      </c>
    </row>
    <row r="22" spans="1:4" x14ac:dyDescent="0.2">
      <c r="A22" t="str">
        <f>Calcs!$A$28</f>
        <v>Group</v>
      </c>
      <c r="B22" s="37">
        <v>36895</v>
      </c>
      <c r="C22" s="7">
        <f>SUMIFS(Sales!C$2:C$1701,Sales!$A$2:$A$1701,$A22,Sales!$B$2:$B$1701,$B22)</f>
        <v>125</v>
      </c>
      <c r="D22" s="7">
        <f>SUMIFS(Sales!D$2:D$1701,Sales!$A$2:$A$1701,$A22,Sales!$B$2:$B$1701,$B22)</f>
        <v>63</v>
      </c>
    </row>
    <row r="23" spans="1:4" x14ac:dyDescent="0.2">
      <c r="A23" t="str">
        <f>Calcs!$A$28</f>
        <v>Group</v>
      </c>
      <c r="B23" s="37">
        <v>36896</v>
      </c>
      <c r="C23" s="7">
        <f>SUMIFS(Sales!C$2:C$1701,Sales!$A$2:$A$1701,$A23,Sales!$B$2:$B$1701,$B23)</f>
        <v>142</v>
      </c>
      <c r="D23" s="7">
        <f>SUMIFS(Sales!D$2:D$1701,Sales!$A$2:$A$1701,$A23,Sales!$B$2:$B$1701,$B23)</f>
        <v>71</v>
      </c>
    </row>
    <row r="24" spans="1:4" x14ac:dyDescent="0.2">
      <c r="A24" t="str">
        <f>Calcs!$A$28</f>
        <v>Group</v>
      </c>
      <c r="B24" s="37">
        <v>36897</v>
      </c>
      <c r="C24" s="7">
        <f>SUMIFS(Sales!C$2:C$1701,Sales!$A$2:$A$1701,$A24,Sales!$B$2:$B$1701,$B24)</f>
        <v>123</v>
      </c>
      <c r="D24" s="7">
        <f>SUMIFS(Sales!D$2:D$1701,Sales!$A$2:$A$1701,$A24,Sales!$B$2:$B$1701,$B24)</f>
        <v>72</v>
      </c>
    </row>
    <row r="25" spans="1:4" x14ac:dyDescent="0.2">
      <c r="A25" t="str">
        <f>Calcs!$A$28</f>
        <v>Group</v>
      </c>
      <c r="B25" s="37">
        <v>36898</v>
      </c>
      <c r="C25" s="7">
        <f>SUMIFS(Sales!C$2:C$1701,Sales!$A$2:$A$1701,$A25,Sales!$B$2:$B$1701,$B25)</f>
        <v>129</v>
      </c>
      <c r="D25" s="7">
        <f>SUMIFS(Sales!D$2:D$1701,Sales!$A$2:$A$1701,$A25,Sales!$B$2:$B$1701,$B25)</f>
        <v>67</v>
      </c>
    </row>
    <row r="26" spans="1:4" x14ac:dyDescent="0.2">
      <c r="A26" t="str">
        <f>Calcs!$A$28</f>
        <v>Group</v>
      </c>
      <c r="B26" s="37">
        <v>36899</v>
      </c>
      <c r="C26" s="7">
        <f>SUMIFS(Sales!C$2:C$1701,Sales!$A$2:$A$1701,$A26,Sales!$B$2:$B$1701,$B26)</f>
        <v>140</v>
      </c>
      <c r="D26" s="7">
        <f>SUMIFS(Sales!D$2:D$1701,Sales!$A$2:$A$1701,$A26,Sales!$B$2:$B$1701,$B26)</f>
        <v>79</v>
      </c>
    </row>
    <row r="27" spans="1:4" x14ac:dyDescent="0.2">
      <c r="A27" t="str">
        <f>Calcs!$A$28</f>
        <v>Group</v>
      </c>
      <c r="B27" s="37">
        <v>36900</v>
      </c>
      <c r="C27" s="7">
        <f>SUMIFS(Sales!C$2:C$1701,Sales!$A$2:$A$1701,$A27,Sales!$B$2:$B$1701,$B27)</f>
        <v>137</v>
      </c>
      <c r="D27" s="7">
        <f>SUMIFS(Sales!D$2:D$1701,Sales!$A$2:$A$1701,$A27,Sales!$B$2:$B$1701,$B27)</f>
        <v>87</v>
      </c>
    </row>
    <row r="28" spans="1:4" x14ac:dyDescent="0.2">
      <c r="A28" t="str">
        <f>Calcs!$A$28</f>
        <v>Group</v>
      </c>
      <c r="B28" s="37">
        <v>36901</v>
      </c>
      <c r="C28" s="7">
        <f>SUMIFS(Sales!C$2:C$1701,Sales!$A$2:$A$1701,$A28,Sales!$B$2:$B$1701,$B28)</f>
        <v>135</v>
      </c>
      <c r="D28" s="7">
        <f>SUMIFS(Sales!D$2:D$1701,Sales!$A$2:$A$1701,$A28,Sales!$B$2:$B$1701,$B28)</f>
        <v>78</v>
      </c>
    </row>
    <row r="29" spans="1:4" x14ac:dyDescent="0.2">
      <c r="A29" t="str">
        <f>Calcs!$A$28</f>
        <v>Group</v>
      </c>
      <c r="B29" s="37">
        <v>36902</v>
      </c>
      <c r="C29" s="7">
        <f>SUMIFS(Sales!C$2:C$1701,Sales!$A$2:$A$1701,$A29,Sales!$B$2:$B$1701,$B29)</f>
        <v>144</v>
      </c>
      <c r="D29" s="7">
        <f>SUMIFS(Sales!D$2:D$1701,Sales!$A$2:$A$1701,$A29,Sales!$B$2:$B$1701,$B29)</f>
        <v>64</v>
      </c>
    </row>
    <row r="30" spans="1:4" x14ac:dyDescent="0.2">
      <c r="A30" t="str">
        <f>Calcs!$A$28</f>
        <v>Group</v>
      </c>
      <c r="B30" s="37">
        <v>36903</v>
      </c>
      <c r="C30" s="7">
        <f>SUMIFS(Sales!C$2:C$1701,Sales!$A$2:$A$1701,$A30,Sales!$B$2:$B$1701,$B30)</f>
        <v>113</v>
      </c>
      <c r="D30" s="7">
        <f>SUMIFS(Sales!D$2:D$1701,Sales!$A$2:$A$1701,$A30,Sales!$B$2:$B$1701,$B30)</f>
        <v>64</v>
      </c>
    </row>
    <row r="31" spans="1:4" x14ac:dyDescent="0.2">
      <c r="A31" t="str">
        <f>Calcs!$A$28</f>
        <v>Group</v>
      </c>
      <c r="B31" s="37">
        <v>36904</v>
      </c>
      <c r="C31" s="7">
        <f>SUMIFS(Sales!C$2:C$1701,Sales!$A$2:$A$1701,$A31,Sales!$B$2:$B$1701,$B31)</f>
        <v>118</v>
      </c>
      <c r="D31" s="7">
        <f>SUMIFS(Sales!D$2:D$1701,Sales!$A$2:$A$1701,$A31,Sales!$B$2:$B$1701,$B31)</f>
        <v>99</v>
      </c>
    </row>
    <row r="32" spans="1:4" x14ac:dyDescent="0.2">
      <c r="A32" t="str">
        <f>Calcs!$A$28</f>
        <v>Group</v>
      </c>
      <c r="B32" s="37">
        <v>36905</v>
      </c>
      <c r="C32" s="7">
        <f>SUMIFS(Sales!C$2:C$1701,Sales!$A$2:$A$1701,$A32,Sales!$B$2:$B$1701,$B32)</f>
        <v>151</v>
      </c>
      <c r="D32" s="7">
        <f>SUMIFS(Sales!D$2:D$1701,Sales!$A$2:$A$1701,$A32,Sales!$B$2:$B$1701,$B32)</f>
        <v>67</v>
      </c>
    </row>
    <row r="33" spans="1:4" x14ac:dyDescent="0.2">
      <c r="A33" t="str">
        <f>Calcs!$A$28</f>
        <v>Group</v>
      </c>
      <c r="B33" s="37">
        <v>36906</v>
      </c>
      <c r="C33" s="7">
        <f>SUMIFS(Sales!C$2:C$1701,Sales!$A$2:$A$1701,$A33,Sales!$B$2:$B$1701,$B33)</f>
        <v>135</v>
      </c>
      <c r="D33" s="7">
        <f>SUMIFS(Sales!D$2:D$1701,Sales!$A$2:$A$1701,$A33,Sales!$B$2:$B$1701,$B33)</f>
        <v>68</v>
      </c>
    </row>
    <row r="34" spans="1:4" x14ac:dyDescent="0.2">
      <c r="A34" t="str">
        <f>Calcs!$A$28</f>
        <v>Group</v>
      </c>
      <c r="B34" s="37">
        <v>36907</v>
      </c>
      <c r="C34" s="7">
        <f>SUMIFS(Sales!C$2:C$1701,Sales!$A$2:$A$1701,$A34,Sales!$B$2:$B$1701,$B34)</f>
        <v>147</v>
      </c>
      <c r="D34" s="7">
        <f>SUMIFS(Sales!D$2:D$1701,Sales!$A$2:$A$1701,$A34,Sales!$B$2:$B$1701,$B34)</f>
        <v>70</v>
      </c>
    </row>
    <row r="35" spans="1:4" x14ac:dyDescent="0.2">
      <c r="A35" t="str">
        <f>Calcs!$A$28</f>
        <v>Group</v>
      </c>
      <c r="B35" s="37">
        <v>36908</v>
      </c>
      <c r="C35" s="7">
        <f>SUMIFS(Sales!C$2:C$1701,Sales!$A$2:$A$1701,$A35,Sales!$B$2:$B$1701,$B35)</f>
        <v>136</v>
      </c>
      <c r="D35" s="7">
        <f>SUMIFS(Sales!D$2:D$1701,Sales!$A$2:$A$1701,$A35,Sales!$B$2:$B$1701,$B35)</f>
        <v>85</v>
      </c>
    </row>
    <row r="36" spans="1:4" x14ac:dyDescent="0.2">
      <c r="A36" t="str">
        <f>Calcs!$A$28</f>
        <v>Group</v>
      </c>
      <c r="B36" s="37">
        <v>36909</v>
      </c>
      <c r="C36" s="7">
        <f>SUMIFS(Sales!C$2:C$1701,Sales!$A$2:$A$1701,$A36,Sales!$B$2:$B$1701,$B36)</f>
        <v>131</v>
      </c>
      <c r="D36" s="7">
        <f>SUMIFS(Sales!D$2:D$1701,Sales!$A$2:$A$1701,$A36,Sales!$B$2:$B$1701,$B36)</f>
        <v>83</v>
      </c>
    </row>
    <row r="37" spans="1:4" x14ac:dyDescent="0.2">
      <c r="A37" t="str">
        <f>Calcs!$A$28</f>
        <v>Group</v>
      </c>
      <c r="B37" s="37">
        <v>36910</v>
      </c>
      <c r="C37" s="7">
        <f>SUMIFS(Sales!C$2:C$1701,Sales!$A$2:$A$1701,$A37,Sales!$B$2:$B$1701,$B37)</f>
        <v>129</v>
      </c>
      <c r="D37" s="7">
        <f>SUMIFS(Sales!D$2:D$1701,Sales!$A$2:$A$1701,$A37,Sales!$B$2:$B$1701,$B37)</f>
        <v>65</v>
      </c>
    </row>
    <row r="38" spans="1:4" x14ac:dyDescent="0.2">
      <c r="A38" t="str">
        <f>Calcs!$A$28</f>
        <v>Group</v>
      </c>
      <c r="B38" s="37">
        <v>36911</v>
      </c>
      <c r="C38" s="7">
        <f>SUMIFS(Sales!C$2:C$1701,Sales!$A$2:$A$1701,$A38,Sales!$B$2:$B$1701,$B38)</f>
        <v>129</v>
      </c>
      <c r="D38" s="7">
        <f>SUMIFS(Sales!D$2:D$1701,Sales!$A$2:$A$1701,$A38,Sales!$B$2:$B$1701,$B38)</f>
        <v>70</v>
      </c>
    </row>
    <row r="39" spans="1:4" x14ac:dyDescent="0.2">
      <c r="A39" t="str">
        <f>Calcs!$A$28</f>
        <v>Group</v>
      </c>
      <c r="B39" s="37">
        <v>36912</v>
      </c>
      <c r="C39" s="7">
        <f>SUMIFS(Sales!C$2:C$1701,Sales!$A$2:$A$1701,$A39,Sales!$B$2:$B$1701,$B39)</f>
        <v>144</v>
      </c>
      <c r="D39" s="7">
        <f>SUMIFS(Sales!D$2:D$1701,Sales!$A$2:$A$1701,$A39,Sales!$B$2:$B$1701,$B39)</f>
        <v>61</v>
      </c>
    </row>
    <row r="40" spans="1:4" x14ac:dyDescent="0.2">
      <c r="A40" t="str">
        <f>Calcs!$A$28</f>
        <v>Group</v>
      </c>
      <c r="B40" s="37">
        <v>36913</v>
      </c>
      <c r="C40" s="7">
        <f>SUMIFS(Sales!C$2:C$1701,Sales!$A$2:$A$1701,$A40,Sales!$B$2:$B$1701,$B40)</f>
        <v>125</v>
      </c>
      <c r="D40" s="7">
        <f>SUMIFS(Sales!D$2:D$1701,Sales!$A$2:$A$1701,$A40,Sales!$B$2:$B$1701,$B40)</f>
        <v>86</v>
      </c>
    </row>
    <row r="41" spans="1:4" x14ac:dyDescent="0.2">
      <c r="A41" t="str">
        <f>Calcs!$A$28</f>
        <v>Group</v>
      </c>
      <c r="B41" s="37">
        <v>36914</v>
      </c>
      <c r="C41" s="7">
        <f>SUMIFS(Sales!C$2:C$1701,Sales!$A$2:$A$1701,$A41,Sales!$B$2:$B$1701,$B41)</f>
        <v>134</v>
      </c>
      <c r="D41" s="7">
        <f>SUMIFS(Sales!D$2:D$1701,Sales!$A$2:$A$1701,$A41,Sales!$B$2:$B$1701,$B41)</f>
        <v>73</v>
      </c>
    </row>
    <row r="42" spans="1:4" x14ac:dyDescent="0.2">
      <c r="A42" t="str">
        <f>Calcs!$A$28</f>
        <v>Group</v>
      </c>
      <c r="B42" s="37">
        <v>36915</v>
      </c>
      <c r="C42" s="7">
        <f>SUMIFS(Sales!C$2:C$1701,Sales!$A$2:$A$1701,$A42,Sales!$B$2:$B$1701,$B42)</f>
        <v>130</v>
      </c>
      <c r="D42" s="7">
        <f>SUMIFS(Sales!D$2:D$1701,Sales!$A$2:$A$1701,$A42,Sales!$B$2:$B$1701,$B42)</f>
        <v>71</v>
      </c>
    </row>
    <row r="43" spans="1:4" x14ac:dyDescent="0.2">
      <c r="A43" t="str">
        <f>Calcs!$A$28</f>
        <v>Group</v>
      </c>
      <c r="B43" s="37">
        <v>36916</v>
      </c>
      <c r="C43" s="7">
        <f>SUMIFS(Sales!C$2:C$1701,Sales!$A$2:$A$1701,$A43,Sales!$B$2:$B$1701,$B43)</f>
        <v>146</v>
      </c>
      <c r="D43" s="7">
        <f>SUMIFS(Sales!D$2:D$1701,Sales!$A$2:$A$1701,$A43,Sales!$B$2:$B$1701,$B43)</f>
        <v>74</v>
      </c>
    </row>
    <row r="44" spans="1:4" x14ac:dyDescent="0.2">
      <c r="A44" t="str">
        <f>Calcs!$A$28</f>
        <v>Group</v>
      </c>
      <c r="B44" s="37">
        <v>36917</v>
      </c>
      <c r="C44" s="7">
        <f>SUMIFS(Sales!C$2:C$1701,Sales!$A$2:$A$1701,$A44,Sales!$B$2:$B$1701,$B44)</f>
        <v>134</v>
      </c>
      <c r="D44" s="7">
        <f>SUMIFS(Sales!D$2:D$1701,Sales!$A$2:$A$1701,$A44,Sales!$B$2:$B$1701,$B44)</f>
        <v>73</v>
      </c>
    </row>
    <row r="45" spans="1:4" x14ac:dyDescent="0.2">
      <c r="A45" t="str">
        <f>Calcs!$A$28</f>
        <v>Group</v>
      </c>
      <c r="B45" s="37">
        <v>36918</v>
      </c>
      <c r="C45" s="7">
        <f>SUMIFS(Sales!C$2:C$1701,Sales!$A$2:$A$1701,$A45,Sales!$B$2:$B$1701,$B45)</f>
        <v>133</v>
      </c>
      <c r="D45" s="7">
        <f>SUMIFS(Sales!D$2:D$1701,Sales!$A$2:$A$1701,$A45,Sales!$B$2:$B$1701,$B45)</f>
        <v>82</v>
      </c>
    </row>
    <row r="46" spans="1:4" x14ac:dyDescent="0.2">
      <c r="A46" t="str">
        <f>Calcs!$A$28</f>
        <v>Group</v>
      </c>
      <c r="B46" s="37">
        <v>36919</v>
      </c>
      <c r="C46" s="7">
        <f>SUMIFS(Sales!C$2:C$1701,Sales!$A$2:$A$1701,$A46,Sales!$B$2:$B$1701,$B46)</f>
        <v>138</v>
      </c>
      <c r="D46" s="7">
        <f>SUMIFS(Sales!D$2:D$1701,Sales!$A$2:$A$1701,$A46,Sales!$B$2:$B$1701,$B46)</f>
        <v>77</v>
      </c>
    </row>
    <row r="47" spans="1:4" x14ac:dyDescent="0.2">
      <c r="A47" t="str">
        <f>Calcs!$A$28</f>
        <v>Group</v>
      </c>
      <c r="B47" s="37">
        <v>36920</v>
      </c>
      <c r="C47" s="7">
        <f>SUMIFS(Sales!C$2:C$1701,Sales!$A$2:$A$1701,$A47,Sales!$B$2:$B$1701,$B47)</f>
        <v>128</v>
      </c>
      <c r="D47" s="7">
        <f>SUMIFS(Sales!D$2:D$1701,Sales!$A$2:$A$1701,$A47,Sales!$B$2:$B$1701,$B47)</f>
        <v>70</v>
      </c>
    </row>
    <row r="48" spans="1:4" x14ac:dyDescent="0.2">
      <c r="A48" t="str">
        <f>Calcs!$A$28</f>
        <v>Group</v>
      </c>
      <c r="B48" s="37">
        <v>36921</v>
      </c>
      <c r="C48" s="7">
        <f>SUMIFS(Sales!C$2:C$1701,Sales!$A$2:$A$1701,$A48,Sales!$B$2:$B$1701,$B48)</f>
        <v>136</v>
      </c>
      <c r="D48" s="7">
        <f>SUMIFS(Sales!D$2:D$1701,Sales!$A$2:$A$1701,$A48,Sales!$B$2:$B$1701,$B48)</f>
        <v>59</v>
      </c>
    </row>
    <row r="49" spans="1:4" x14ac:dyDescent="0.2">
      <c r="A49" t="str">
        <f>Calcs!$A$28</f>
        <v>Group</v>
      </c>
      <c r="B49" s="37">
        <v>36922</v>
      </c>
      <c r="C49" s="7">
        <f>SUMIFS(Sales!C$2:C$1701,Sales!$A$2:$A$1701,$A49,Sales!$B$2:$B$1701,$B49)</f>
        <v>112</v>
      </c>
      <c r="D49" s="7">
        <f>SUMIFS(Sales!D$2:D$1701,Sales!$A$2:$A$1701,$A49,Sales!$B$2:$B$1701,$B49)</f>
        <v>86</v>
      </c>
    </row>
    <row r="50" spans="1:4" x14ac:dyDescent="0.2">
      <c r="A50" t="str">
        <f>Calcs!$A$28</f>
        <v>Group</v>
      </c>
      <c r="B50" s="37">
        <v>36923</v>
      </c>
      <c r="C50" s="7">
        <f>SUMIFS(Sales!C$2:C$1701,Sales!$A$2:$A$1701,$A50,Sales!$B$2:$B$1701,$B50)</f>
        <v>122</v>
      </c>
      <c r="D50" s="7">
        <f>SUMIFS(Sales!D$2:D$1701,Sales!$A$2:$A$1701,$A50,Sales!$B$2:$B$1701,$B50)</f>
        <v>63</v>
      </c>
    </row>
    <row r="51" spans="1:4" x14ac:dyDescent="0.2">
      <c r="A51" t="str">
        <f>Calcs!$A$28</f>
        <v>Group</v>
      </c>
      <c r="B51" s="37">
        <v>36924</v>
      </c>
      <c r="C51" s="7">
        <f>SUMIFS(Sales!C$2:C$1701,Sales!$A$2:$A$1701,$A51,Sales!$B$2:$B$1701,$B51)</f>
        <v>129</v>
      </c>
      <c r="D51" s="7">
        <f>SUMIFS(Sales!D$2:D$1701,Sales!$A$2:$A$1701,$A51,Sales!$B$2:$B$1701,$B51)</f>
        <v>76</v>
      </c>
    </row>
    <row r="52" spans="1:4" x14ac:dyDescent="0.2">
      <c r="A52" t="str">
        <f>Calcs!$A$28</f>
        <v>Group</v>
      </c>
      <c r="B52" s="37">
        <v>36925</v>
      </c>
      <c r="C52" s="7">
        <f>SUMIFS(Sales!C$2:C$1701,Sales!$A$2:$A$1701,$A52,Sales!$B$2:$B$1701,$B52)</f>
        <v>134</v>
      </c>
      <c r="D52" s="7">
        <f>SUMIFS(Sales!D$2:D$1701,Sales!$A$2:$A$1701,$A52,Sales!$B$2:$B$1701,$B52)</f>
        <v>59</v>
      </c>
    </row>
    <row r="53" spans="1:4" x14ac:dyDescent="0.2">
      <c r="A53" t="str">
        <f>Calcs!$A$28</f>
        <v>Group</v>
      </c>
      <c r="B53" s="37">
        <v>36926</v>
      </c>
      <c r="C53" s="7">
        <f>SUMIFS(Sales!C$2:C$1701,Sales!$A$2:$A$1701,$A53,Sales!$B$2:$B$1701,$B53)</f>
        <v>128</v>
      </c>
      <c r="D53" s="7">
        <f>SUMIFS(Sales!D$2:D$1701,Sales!$A$2:$A$1701,$A53,Sales!$B$2:$B$1701,$B53)</f>
        <v>61</v>
      </c>
    </row>
    <row r="54" spans="1:4" x14ac:dyDescent="0.2">
      <c r="A54" t="str">
        <f>Calcs!$A$28</f>
        <v>Group</v>
      </c>
      <c r="B54" s="37">
        <v>36927</v>
      </c>
      <c r="C54" s="7">
        <f>SUMIFS(Sales!C$2:C$1701,Sales!$A$2:$A$1701,$A54,Sales!$B$2:$B$1701,$B54)</f>
        <v>148</v>
      </c>
      <c r="D54" s="7">
        <f>SUMIFS(Sales!D$2:D$1701,Sales!$A$2:$A$1701,$A54,Sales!$B$2:$B$1701,$B54)</f>
        <v>68</v>
      </c>
    </row>
    <row r="55" spans="1:4" x14ac:dyDescent="0.2">
      <c r="A55" t="str">
        <f>Calcs!$A$28</f>
        <v>Group</v>
      </c>
      <c r="B55" s="37">
        <v>36928</v>
      </c>
      <c r="C55" s="7">
        <f>SUMIFS(Sales!C$2:C$1701,Sales!$A$2:$A$1701,$A55,Sales!$B$2:$B$1701,$B55)</f>
        <v>137</v>
      </c>
      <c r="D55" s="7">
        <f>SUMIFS(Sales!D$2:D$1701,Sales!$A$2:$A$1701,$A55,Sales!$B$2:$B$1701,$B55)</f>
        <v>50</v>
      </c>
    </row>
    <row r="56" spans="1:4" x14ac:dyDescent="0.2">
      <c r="A56" t="str">
        <f>Calcs!$A$28</f>
        <v>Group</v>
      </c>
      <c r="B56" s="37">
        <v>36929</v>
      </c>
      <c r="C56" s="7">
        <f>SUMIFS(Sales!C$2:C$1701,Sales!$A$2:$A$1701,$A56,Sales!$B$2:$B$1701,$B56)</f>
        <v>117</v>
      </c>
      <c r="D56" s="7">
        <f>SUMIFS(Sales!D$2:D$1701,Sales!$A$2:$A$1701,$A56,Sales!$B$2:$B$1701,$B56)</f>
        <v>86</v>
      </c>
    </row>
    <row r="57" spans="1:4" x14ac:dyDescent="0.2">
      <c r="A57" t="str">
        <f>Calcs!$A$28</f>
        <v>Group</v>
      </c>
      <c r="B57" s="37">
        <v>36930</v>
      </c>
      <c r="C57" s="7">
        <f>SUMIFS(Sales!C$2:C$1701,Sales!$A$2:$A$1701,$A57,Sales!$B$2:$B$1701,$B57)</f>
        <v>144</v>
      </c>
      <c r="D57" s="7">
        <f>SUMIFS(Sales!D$2:D$1701,Sales!$A$2:$A$1701,$A57,Sales!$B$2:$B$1701,$B57)</f>
        <v>82</v>
      </c>
    </row>
    <row r="58" spans="1:4" x14ac:dyDescent="0.2">
      <c r="A58" t="str">
        <f>Calcs!$A$28</f>
        <v>Group</v>
      </c>
      <c r="B58" s="37">
        <v>36931</v>
      </c>
      <c r="C58" s="7">
        <f>SUMIFS(Sales!C$2:C$1701,Sales!$A$2:$A$1701,$A58,Sales!$B$2:$B$1701,$B58)</f>
        <v>141</v>
      </c>
      <c r="D58" s="7">
        <f>SUMIFS(Sales!D$2:D$1701,Sales!$A$2:$A$1701,$A58,Sales!$B$2:$B$1701,$B58)</f>
        <v>78</v>
      </c>
    </row>
    <row r="59" spans="1:4" x14ac:dyDescent="0.2">
      <c r="A59" t="str">
        <f>Calcs!$A$28</f>
        <v>Group</v>
      </c>
      <c r="B59" s="37">
        <v>36932</v>
      </c>
      <c r="C59" s="7">
        <f>SUMIFS(Sales!C$2:C$1701,Sales!$A$2:$A$1701,$A59,Sales!$B$2:$B$1701,$B59)</f>
        <v>145</v>
      </c>
      <c r="D59" s="7">
        <f>SUMIFS(Sales!D$2:D$1701,Sales!$A$2:$A$1701,$A59,Sales!$B$2:$B$1701,$B59)</f>
        <v>74</v>
      </c>
    </row>
    <row r="60" spans="1:4" x14ac:dyDescent="0.2">
      <c r="A60" t="str">
        <f>Calcs!$A$28</f>
        <v>Group</v>
      </c>
      <c r="B60" s="37">
        <v>36933</v>
      </c>
      <c r="C60" s="7">
        <f>SUMIFS(Sales!C$2:C$1701,Sales!$A$2:$A$1701,$A60,Sales!$B$2:$B$1701,$B60)</f>
        <v>123</v>
      </c>
      <c r="D60" s="7">
        <f>SUMIFS(Sales!D$2:D$1701,Sales!$A$2:$A$1701,$A60,Sales!$B$2:$B$1701,$B60)</f>
        <v>63</v>
      </c>
    </row>
    <row r="61" spans="1:4" x14ac:dyDescent="0.2">
      <c r="A61" t="str">
        <f>Calcs!$A$28</f>
        <v>Group</v>
      </c>
      <c r="B61" s="37">
        <v>36934</v>
      </c>
      <c r="C61" s="7">
        <f>SUMIFS(Sales!C$2:C$1701,Sales!$A$2:$A$1701,$A61,Sales!$B$2:$B$1701,$B61)</f>
        <v>125</v>
      </c>
      <c r="D61" s="7">
        <f>SUMIFS(Sales!D$2:D$1701,Sales!$A$2:$A$1701,$A61,Sales!$B$2:$B$1701,$B61)</f>
        <v>80</v>
      </c>
    </row>
    <row r="62" spans="1:4" x14ac:dyDescent="0.2">
      <c r="A62" t="str">
        <f>Calcs!$A$28</f>
        <v>Group</v>
      </c>
      <c r="B62" s="37">
        <v>36935</v>
      </c>
      <c r="C62" s="7">
        <f>SUMIFS(Sales!C$2:C$1701,Sales!$A$2:$A$1701,$A62,Sales!$B$2:$B$1701,$B62)</f>
        <v>137</v>
      </c>
      <c r="D62" s="7">
        <f>SUMIFS(Sales!D$2:D$1701,Sales!$A$2:$A$1701,$A62,Sales!$B$2:$B$1701,$B62)</f>
        <v>80</v>
      </c>
    </row>
    <row r="63" spans="1:4" x14ac:dyDescent="0.2">
      <c r="A63" t="str">
        <f>Calcs!$A$28</f>
        <v>Group</v>
      </c>
      <c r="B63" s="37">
        <v>36936</v>
      </c>
      <c r="C63" s="7">
        <f>SUMIFS(Sales!C$2:C$1701,Sales!$A$2:$A$1701,$A63,Sales!$B$2:$B$1701,$B63)</f>
        <v>134</v>
      </c>
      <c r="D63" s="7">
        <f>SUMIFS(Sales!D$2:D$1701,Sales!$A$2:$A$1701,$A63,Sales!$B$2:$B$1701,$B63)</f>
        <v>98</v>
      </c>
    </row>
    <row r="64" spans="1:4" x14ac:dyDescent="0.2">
      <c r="A64" t="str">
        <f>Calcs!$A$28</f>
        <v>Group</v>
      </c>
      <c r="B64" s="37">
        <v>36937</v>
      </c>
      <c r="C64" s="7">
        <f>SUMIFS(Sales!C$2:C$1701,Sales!$A$2:$A$1701,$A64,Sales!$B$2:$B$1701,$B64)</f>
        <v>130</v>
      </c>
      <c r="D64" s="7">
        <f>SUMIFS(Sales!D$2:D$1701,Sales!$A$2:$A$1701,$A64,Sales!$B$2:$B$1701,$B64)</f>
        <v>78</v>
      </c>
    </row>
    <row r="65" spans="1:4" x14ac:dyDescent="0.2">
      <c r="A65" t="str">
        <f>Calcs!$A$28</f>
        <v>Group</v>
      </c>
      <c r="B65" s="37">
        <v>36938</v>
      </c>
      <c r="C65" s="7">
        <f>SUMIFS(Sales!C$2:C$1701,Sales!$A$2:$A$1701,$A65,Sales!$B$2:$B$1701,$B65)</f>
        <v>133</v>
      </c>
      <c r="D65" s="7">
        <f>SUMIFS(Sales!D$2:D$1701,Sales!$A$2:$A$1701,$A65,Sales!$B$2:$B$1701,$B65)</f>
        <v>65</v>
      </c>
    </row>
    <row r="66" spans="1:4" x14ac:dyDescent="0.2">
      <c r="A66" t="str">
        <f>Calcs!$A$28</f>
        <v>Group</v>
      </c>
      <c r="B66" s="37">
        <v>36939</v>
      </c>
      <c r="C66" s="7">
        <f>SUMIFS(Sales!C$2:C$1701,Sales!$A$2:$A$1701,$A66,Sales!$B$2:$B$1701,$B66)</f>
        <v>141</v>
      </c>
      <c r="D66" s="7">
        <f>SUMIFS(Sales!D$2:D$1701,Sales!$A$2:$A$1701,$A66,Sales!$B$2:$B$1701,$B66)</f>
        <v>101</v>
      </c>
    </row>
    <row r="67" spans="1:4" x14ac:dyDescent="0.2">
      <c r="A67" t="str">
        <f>Calcs!$A$28</f>
        <v>Group</v>
      </c>
      <c r="B67" s="37">
        <v>36940</v>
      </c>
      <c r="C67" s="7">
        <f>SUMIFS(Sales!C$2:C$1701,Sales!$A$2:$A$1701,$A67,Sales!$B$2:$B$1701,$B67)</f>
        <v>123</v>
      </c>
      <c r="D67" s="7">
        <f>SUMIFS(Sales!D$2:D$1701,Sales!$A$2:$A$1701,$A67,Sales!$B$2:$B$1701,$B67)</f>
        <v>99</v>
      </c>
    </row>
    <row r="68" spans="1:4" x14ac:dyDescent="0.2">
      <c r="A68" t="str">
        <f>Calcs!$A$28</f>
        <v>Group</v>
      </c>
      <c r="B68" s="37">
        <v>36941</v>
      </c>
      <c r="C68" s="7">
        <f>SUMIFS(Sales!C$2:C$1701,Sales!$A$2:$A$1701,$A68,Sales!$B$2:$B$1701,$B68)</f>
        <v>143</v>
      </c>
      <c r="D68" s="7">
        <f>SUMIFS(Sales!D$2:D$1701,Sales!$A$2:$A$1701,$A68,Sales!$B$2:$B$1701,$B68)</f>
        <v>88</v>
      </c>
    </row>
    <row r="69" spans="1:4" x14ac:dyDescent="0.2">
      <c r="A69" t="str">
        <f>Calcs!$A$28</f>
        <v>Group</v>
      </c>
      <c r="B69" s="37">
        <v>36942</v>
      </c>
      <c r="C69" s="7">
        <f>SUMIFS(Sales!C$2:C$1701,Sales!$A$2:$A$1701,$A69,Sales!$B$2:$B$1701,$B69)</f>
        <v>118</v>
      </c>
      <c r="D69" s="7">
        <f>SUMIFS(Sales!D$2:D$1701,Sales!$A$2:$A$1701,$A69,Sales!$B$2:$B$1701,$B69)</f>
        <v>88</v>
      </c>
    </row>
    <row r="70" spans="1:4" x14ac:dyDescent="0.2">
      <c r="A70" t="str">
        <f>Calcs!$A$28</f>
        <v>Group</v>
      </c>
      <c r="B70" s="37">
        <v>36943</v>
      </c>
      <c r="C70" s="7">
        <f>SUMIFS(Sales!C$2:C$1701,Sales!$A$2:$A$1701,$A70,Sales!$B$2:$B$1701,$B70)</f>
        <v>141</v>
      </c>
      <c r="D70" s="7">
        <f>SUMIFS(Sales!D$2:D$1701,Sales!$A$2:$A$1701,$A70,Sales!$B$2:$B$1701,$B70)</f>
        <v>77</v>
      </c>
    </row>
    <row r="71" spans="1:4" x14ac:dyDescent="0.2">
      <c r="A71" t="str">
        <f>Calcs!$A$28</f>
        <v>Group</v>
      </c>
      <c r="B71" s="37">
        <v>36944</v>
      </c>
      <c r="C71" s="7">
        <f>SUMIFS(Sales!C$2:C$1701,Sales!$A$2:$A$1701,$A71,Sales!$B$2:$B$1701,$B71)</f>
        <v>121</v>
      </c>
      <c r="D71" s="7">
        <f>SUMIFS(Sales!D$2:D$1701,Sales!$A$2:$A$1701,$A71,Sales!$B$2:$B$1701,$B71)</f>
        <v>73</v>
      </c>
    </row>
    <row r="72" spans="1:4" x14ac:dyDescent="0.2">
      <c r="A72" t="str">
        <f>Calcs!$A$28</f>
        <v>Group</v>
      </c>
      <c r="B72" s="37">
        <v>36945</v>
      </c>
      <c r="C72" s="7">
        <f>SUMIFS(Sales!C$2:C$1701,Sales!$A$2:$A$1701,$A72,Sales!$B$2:$B$1701,$B72)</f>
        <v>113</v>
      </c>
      <c r="D72" s="7">
        <f>SUMIFS(Sales!D$2:D$1701,Sales!$A$2:$A$1701,$A72,Sales!$B$2:$B$1701,$B72)</f>
        <v>69</v>
      </c>
    </row>
    <row r="73" spans="1:4" x14ac:dyDescent="0.2">
      <c r="A73" t="str">
        <f>Calcs!$A$28</f>
        <v>Group</v>
      </c>
      <c r="B73" s="37">
        <v>36946</v>
      </c>
      <c r="C73" s="7">
        <f>SUMIFS(Sales!C$2:C$1701,Sales!$A$2:$A$1701,$A73,Sales!$B$2:$B$1701,$B73)</f>
        <v>128</v>
      </c>
      <c r="D73" s="7">
        <f>SUMIFS(Sales!D$2:D$1701,Sales!$A$2:$A$1701,$A73,Sales!$B$2:$B$1701,$B73)</f>
        <v>87</v>
      </c>
    </row>
    <row r="74" spans="1:4" x14ac:dyDescent="0.2">
      <c r="A74" t="str">
        <f>Calcs!$A$28</f>
        <v>Group</v>
      </c>
      <c r="B74" s="37">
        <v>36947</v>
      </c>
      <c r="C74" s="7">
        <f>SUMIFS(Sales!C$2:C$1701,Sales!$A$2:$A$1701,$A74,Sales!$B$2:$B$1701,$B74)</f>
        <v>138</v>
      </c>
      <c r="D74" s="7">
        <f>SUMIFS(Sales!D$2:D$1701,Sales!$A$2:$A$1701,$A74,Sales!$B$2:$B$1701,$B74)</f>
        <v>47</v>
      </c>
    </row>
    <row r="75" spans="1:4" x14ac:dyDescent="0.2">
      <c r="A75" t="str">
        <f>Calcs!$A$28</f>
        <v>Group</v>
      </c>
      <c r="B75" s="37">
        <v>36948</v>
      </c>
      <c r="C75" s="7">
        <f>SUMIFS(Sales!C$2:C$1701,Sales!$A$2:$A$1701,$A75,Sales!$B$2:$B$1701,$B75)</f>
        <v>116</v>
      </c>
      <c r="D75" s="7">
        <f>SUMIFS(Sales!D$2:D$1701,Sales!$A$2:$A$1701,$A75,Sales!$B$2:$B$1701,$B75)</f>
        <v>78</v>
      </c>
    </row>
    <row r="76" spans="1:4" x14ac:dyDescent="0.2">
      <c r="A76" t="str">
        <f>Calcs!$A$28</f>
        <v>Group</v>
      </c>
      <c r="B76" s="37">
        <v>36949</v>
      </c>
      <c r="C76" s="7">
        <f>SUMIFS(Sales!C$2:C$1701,Sales!$A$2:$A$1701,$A76,Sales!$B$2:$B$1701,$B76)</f>
        <v>150</v>
      </c>
      <c r="D76" s="7">
        <f>SUMIFS(Sales!D$2:D$1701,Sales!$A$2:$A$1701,$A76,Sales!$B$2:$B$1701,$B76)</f>
        <v>72</v>
      </c>
    </row>
    <row r="77" spans="1:4" x14ac:dyDescent="0.2">
      <c r="A77" t="str">
        <f>Calcs!$A$28</f>
        <v>Group</v>
      </c>
      <c r="B77" s="37">
        <v>36950</v>
      </c>
      <c r="C77" s="7">
        <f>SUMIFS(Sales!C$2:C$1701,Sales!$A$2:$A$1701,$A77,Sales!$B$2:$B$1701,$B77)</f>
        <v>119</v>
      </c>
      <c r="D77" s="7">
        <f>SUMIFS(Sales!D$2:D$1701,Sales!$A$2:$A$1701,$A77,Sales!$B$2:$B$1701,$B77)</f>
        <v>87</v>
      </c>
    </row>
    <row r="78" spans="1:4" x14ac:dyDescent="0.2">
      <c r="A78" t="str">
        <f>Calcs!$A$28</f>
        <v>Group</v>
      </c>
      <c r="B78" s="37">
        <v>36951</v>
      </c>
      <c r="C78" s="7">
        <f>SUMIFS(Sales!C$2:C$1701,Sales!$A$2:$A$1701,$A78,Sales!$B$2:$B$1701,$B78)</f>
        <v>145</v>
      </c>
      <c r="D78" s="7">
        <f>SUMIFS(Sales!D$2:D$1701,Sales!$A$2:$A$1701,$A78,Sales!$B$2:$B$1701,$B78)</f>
        <v>76</v>
      </c>
    </row>
    <row r="79" spans="1:4" x14ac:dyDescent="0.2">
      <c r="A79" t="str">
        <f>Calcs!$A$28</f>
        <v>Group</v>
      </c>
      <c r="B79" s="37">
        <v>36952</v>
      </c>
      <c r="C79" s="7">
        <f>SUMIFS(Sales!C$2:C$1701,Sales!$A$2:$A$1701,$A79,Sales!$B$2:$B$1701,$B79)</f>
        <v>127</v>
      </c>
      <c r="D79" s="7">
        <f>SUMIFS(Sales!D$2:D$1701,Sales!$A$2:$A$1701,$A79,Sales!$B$2:$B$1701,$B79)</f>
        <v>91</v>
      </c>
    </row>
    <row r="80" spans="1:4" x14ac:dyDescent="0.2">
      <c r="A80" t="str">
        <f>Calcs!$A$28</f>
        <v>Group</v>
      </c>
      <c r="B80" s="37">
        <v>36953</v>
      </c>
      <c r="C80" s="7">
        <f>SUMIFS(Sales!C$2:C$1701,Sales!$A$2:$A$1701,$A80,Sales!$B$2:$B$1701,$B80)</f>
        <v>130</v>
      </c>
      <c r="D80" s="7">
        <f>SUMIFS(Sales!D$2:D$1701,Sales!$A$2:$A$1701,$A80,Sales!$B$2:$B$1701,$B80)</f>
        <v>68</v>
      </c>
    </row>
    <row r="81" spans="1:4" x14ac:dyDescent="0.2">
      <c r="A81" t="str">
        <f>Calcs!$A$28</f>
        <v>Group</v>
      </c>
      <c r="B81" s="37">
        <v>36954</v>
      </c>
      <c r="C81" s="7">
        <f>SUMIFS(Sales!C$2:C$1701,Sales!$A$2:$A$1701,$A81,Sales!$B$2:$B$1701,$B81)</f>
        <v>126</v>
      </c>
      <c r="D81" s="7">
        <f>SUMIFS(Sales!D$2:D$1701,Sales!$A$2:$A$1701,$A81,Sales!$B$2:$B$1701,$B81)</f>
        <v>90</v>
      </c>
    </row>
    <row r="82" spans="1:4" x14ac:dyDescent="0.2">
      <c r="A82" t="str">
        <f>Calcs!$A$28</f>
        <v>Group</v>
      </c>
      <c r="B82" s="37">
        <v>36955</v>
      </c>
      <c r="C82" s="7">
        <f>SUMIFS(Sales!C$2:C$1701,Sales!$A$2:$A$1701,$A82,Sales!$B$2:$B$1701,$B82)</f>
        <v>119</v>
      </c>
      <c r="D82" s="7">
        <f>SUMIFS(Sales!D$2:D$1701,Sales!$A$2:$A$1701,$A82,Sales!$B$2:$B$1701,$B82)</f>
        <v>59</v>
      </c>
    </row>
    <row r="83" spans="1:4" x14ac:dyDescent="0.2">
      <c r="A83" t="str">
        <f>Calcs!$A$28</f>
        <v>Group</v>
      </c>
      <c r="B83" s="37">
        <v>36956</v>
      </c>
      <c r="C83" s="7">
        <f>SUMIFS(Sales!C$2:C$1701,Sales!$A$2:$A$1701,$A83,Sales!$B$2:$B$1701,$B83)</f>
        <v>115</v>
      </c>
      <c r="D83" s="7">
        <f>SUMIFS(Sales!D$2:D$1701,Sales!$A$2:$A$1701,$A83,Sales!$B$2:$B$1701,$B83)</f>
        <v>70</v>
      </c>
    </row>
    <row r="84" spans="1:4" x14ac:dyDescent="0.2">
      <c r="A84" t="str">
        <f>Calcs!$A$28</f>
        <v>Group</v>
      </c>
      <c r="B84" s="37">
        <v>36957</v>
      </c>
      <c r="C84" s="7">
        <f>SUMIFS(Sales!C$2:C$1701,Sales!$A$2:$A$1701,$A84,Sales!$B$2:$B$1701,$B84)</f>
        <v>128</v>
      </c>
      <c r="D84" s="7">
        <f>SUMIFS(Sales!D$2:D$1701,Sales!$A$2:$A$1701,$A84,Sales!$B$2:$B$1701,$B84)</f>
        <v>78</v>
      </c>
    </row>
    <row r="85" spans="1:4" x14ac:dyDescent="0.2">
      <c r="A85" t="str">
        <f>Calcs!$A$28</f>
        <v>Group</v>
      </c>
      <c r="B85" s="37">
        <v>36958</v>
      </c>
      <c r="C85" s="7">
        <f>SUMIFS(Sales!C$2:C$1701,Sales!$A$2:$A$1701,$A85,Sales!$B$2:$B$1701,$B85)</f>
        <v>135</v>
      </c>
      <c r="D85" s="7">
        <f>SUMIFS(Sales!D$2:D$1701,Sales!$A$2:$A$1701,$A85,Sales!$B$2:$B$1701,$B85)</f>
        <v>76</v>
      </c>
    </row>
    <row r="86" spans="1:4" x14ac:dyDescent="0.2">
      <c r="A86" t="str">
        <f>Calcs!$A$28</f>
        <v>Group</v>
      </c>
      <c r="B86" s="37">
        <v>36959</v>
      </c>
      <c r="C86" s="7">
        <f>SUMIFS(Sales!C$2:C$1701,Sales!$A$2:$A$1701,$A86,Sales!$B$2:$B$1701,$B86)</f>
        <v>123</v>
      </c>
      <c r="D86" s="7">
        <f>SUMIFS(Sales!D$2:D$1701,Sales!$A$2:$A$1701,$A86,Sales!$B$2:$B$1701,$B86)</f>
        <v>64</v>
      </c>
    </row>
    <row r="87" spans="1:4" x14ac:dyDescent="0.2">
      <c r="A87" t="str">
        <f>Calcs!$A$28</f>
        <v>Group</v>
      </c>
      <c r="B87" s="37">
        <v>36960</v>
      </c>
      <c r="C87" s="7">
        <f>SUMIFS(Sales!C$2:C$1701,Sales!$A$2:$A$1701,$A87,Sales!$B$2:$B$1701,$B87)</f>
        <v>124</v>
      </c>
      <c r="D87" s="7">
        <f>SUMIFS(Sales!D$2:D$1701,Sales!$A$2:$A$1701,$A87,Sales!$B$2:$B$1701,$B87)</f>
        <v>79</v>
      </c>
    </row>
    <row r="88" spans="1:4" x14ac:dyDescent="0.2">
      <c r="A88" t="str">
        <f>Calcs!$A$28</f>
        <v>Group</v>
      </c>
      <c r="B88" s="37">
        <v>36961</v>
      </c>
      <c r="C88" s="7">
        <f>SUMIFS(Sales!C$2:C$1701,Sales!$A$2:$A$1701,$A88,Sales!$B$2:$B$1701,$B88)</f>
        <v>145</v>
      </c>
      <c r="D88" s="7">
        <f>SUMIFS(Sales!D$2:D$1701,Sales!$A$2:$A$1701,$A88,Sales!$B$2:$B$1701,$B88)</f>
        <v>80</v>
      </c>
    </row>
    <row r="89" spans="1:4" x14ac:dyDescent="0.2">
      <c r="A89" t="str">
        <f>Calcs!$A$28</f>
        <v>Group</v>
      </c>
      <c r="B89" s="37">
        <v>36962</v>
      </c>
      <c r="C89" s="7">
        <f>SUMIFS(Sales!C$2:C$1701,Sales!$A$2:$A$1701,$A89,Sales!$B$2:$B$1701,$B89)</f>
        <v>135</v>
      </c>
      <c r="D89" s="7">
        <f>SUMIFS(Sales!D$2:D$1701,Sales!$A$2:$A$1701,$A89,Sales!$B$2:$B$1701,$B89)</f>
        <v>79</v>
      </c>
    </row>
    <row r="90" spans="1:4" x14ac:dyDescent="0.2">
      <c r="A90" t="str">
        <f>Calcs!$A$28</f>
        <v>Group</v>
      </c>
      <c r="B90" s="37">
        <v>36963</v>
      </c>
      <c r="C90" s="7">
        <f>SUMIFS(Sales!C$2:C$1701,Sales!$A$2:$A$1701,$A90,Sales!$B$2:$B$1701,$B90)</f>
        <v>125</v>
      </c>
      <c r="D90" s="7">
        <f>SUMIFS(Sales!D$2:D$1701,Sales!$A$2:$A$1701,$A90,Sales!$B$2:$B$1701,$B90)</f>
        <v>73</v>
      </c>
    </row>
    <row r="91" spans="1:4" x14ac:dyDescent="0.2">
      <c r="A91" t="str">
        <f>Calcs!$A$28</f>
        <v>Group</v>
      </c>
      <c r="B91" s="37">
        <v>36964</v>
      </c>
      <c r="C91" s="7">
        <f>SUMIFS(Sales!C$2:C$1701,Sales!$A$2:$A$1701,$A91,Sales!$B$2:$B$1701,$B91)</f>
        <v>118</v>
      </c>
      <c r="D91" s="7">
        <f>SUMIFS(Sales!D$2:D$1701,Sales!$A$2:$A$1701,$A91,Sales!$B$2:$B$1701,$B91)</f>
        <v>90</v>
      </c>
    </row>
    <row r="92" spans="1:4" x14ac:dyDescent="0.2">
      <c r="A92" t="str">
        <f>Calcs!$A$28</f>
        <v>Group</v>
      </c>
      <c r="B92" s="37">
        <v>36965</v>
      </c>
      <c r="C92" s="7">
        <f>SUMIFS(Sales!C$2:C$1701,Sales!$A$2:$A$1701,$A92,Sales!$B$2:$B$1701,$B92)</f>
        <v>117</v>
      </c>
      <c r="D92" s="7">
        <f>SUMIFS(Sales!D$2:D$1701,Sales!$A$2:$A$1701,$A92,Sales!$B$2:$B$1701,$B92)</f>
        <v>57</v>
      </c>
    </row>
    <row r="93" spans="1:4" x14ac:dyDescent="0.2">
      <c r="A93" t="str">
        <f>Calcs!$A$28</f>
        <v>Group</v>
      </c>
      <c r="B93" s="37">
        <v>36966</v>
      </c>
      <c r="C93" s="7">
        <f>SUMIFS(Sales!C$2:C$1701,Sales!$A$2:$A$1701,$A93,Sales!$B$2:$B$1701,$B93)</f>
        <v>145</v>
      </c>
      <c r="D93" s="7">
        <f>SUMIFS(Sales!D$2:D$1701,Sales!$A$2:$A$1701,$A93,Sales!$B$2:$B$1701,$B93)</f>
        <v>69</v>
      </c>
    </row>
    <row r="94" spans="1:4" x14ac:dyDescent="0.2">
      <c r="A94" t="str">
        <f>Calcs!$A$28</f>
        <v>Group</v>
      </c>
      <c r="B94" s="37">
        <v>36967</v>
      </c>
      <c r="C94" s="7">
        <f>SUMIFS(Sales!C$2:C$1701,Sales!$A$2:$A$1701,$A94,Sales!$B$2:$B$1701,$B94)</f>
        <v>149</v>
      </c>
      <c r="D94" s="7">
        <f>SUMIFS(Sales!D$2:D$1701,Sales!$A$2:$A$1701,$A94,Sales!$B$2:$B$1701,$B94)</f>
        <v>80</v>
      </c>
    </row>
    <row r="95" spans="1:4" x14ac:dyDescent="0.2">
      <c r="A95" t="str">
        <f>Calcs!$A$28</f>
        <v>Group</v>
      </c>
      <c r="B95" s="37">
        <v>36968</v>
      </c>
      <c r="C95" s="7">
        <f>SUMIFS(Sales!C$2:C$1701,Sales!$A$2:$A$1701,$A95,Sales!$B$2:$B$1701,$B95)</f>
        <v>123</v>
      </c>
      <c r="D95" s="7">
        <f>SUMIFS(Sales!D$2:D$1701,Sales!$A$2:$A$1701,$A95,Sales!$B$2:$B$1701,$B95)</f>
        <v>79</v>
      </c>
    </row>
    <row r="96" spans="1:4" x14ac:dyDescent="0.2">
      <c r="A96" t="str">
        <f>Calcs!$A$28</f>
        <v>Group</v>
      </c>
      <c r="B96" s="37">
        <v>36969</v>
      </c>
      <c r="C96" s="7">
        <f>SUMIFS(Sales!C$2:C$1701,Sales!$A$2:$A$1701,$A96,Sales!$B$2:$B$1701,$B96)</f>
        <v>125</v>
      </c>
      <c r="D96" s="7">
        <f>SUMIFS(Sales!D$2:D$1701,Sales!$A$2:$A$1701,$A96,Sales!$B$2:$B$1701,$B96)</f>
        <v>59</v>
      </c>
    </row>
    <row r="97" spans="1:4" x14ac:dyDescent="0.2">
      <c r="A97" t="str">
        <f>Calcs!$A$28</f>
        <v>Group</v>
      </c>
      <c r="B97" s="37">
        <v>36970</v>
      </c>
      <c r="C97" s="7">
        <f>SUMIFS(Sales!C$2:C$1701,Sales!$A$2:$A$1701,$A97,Sales!$B$2:$B$1701,$B97)</f>
        <v>126</v>
      </c>
      <c r="D97" s="7">
        <f>SUMIFS(Sales!D$2:D$1701,Sales!$A$2:$A$1701,$A97,Sales!$B$2:$B$1701,$B97)</f>
        <v>80</v>
      </c>
    </row>
    <row r="98" spans="1:4" x14ac:dyDescent="0.2">
      <c r="A98" t="str">
        <f>Calcs!$A$28</f>
        <v>Group</v>
      </c>
      <c r="B98" s="37">
        <v>36971</v>
      </c>
      <c r="C98" s="7">
        <f>SUMIFS(Sales!C$2:C$1701,Sales!$A$2:$A$1701,$A98,Sales!$B$2:$B$1701,$B98)</f>
        <v>113</v>
      </c>
      <c r="D98" s="7">
        <f>SUMIFS(Sales!D$2:D$1701,Sales!$A$2:$A$1701,$A98,Sales!$B$2:$B$1701,$B98)</f>
        <v>68</v>
      </c>
    </row>
    <row r="99" spans="1:4" x14ac:dyDescent="0.2">
      <c r="A99" t="str">
        <f>Calcs!$A$28</f>
        <v>Group</v>
      </c>
      <c r="B99" s="37">
        <v>36972</v>
      </c>
      <c r="C99" s="7">
        <f>SUMIFS(Sales!C$2:C$1701,Sales!$A$2:$A$1701,$A99,Sales!$B$2:$B$1701,$B99)</f>
        <v>138</v>
      </c>
      <c r="D99" s="7">
        <f>SUMIFS(Sales!D$2:D$1701,Sales!$A$2:$A$1701,$A99,Sales!$B$2:$B$1701,$B99)</f>
        <v>54</v>
      </c>
    </row>
    <row r="100" spans="1:4" x14ac:dyDescent="0.2">
      <c r="A100" t="str">
        <f>Calcs!$A$28</f>
        <v>Group</v>
      </c>
      <c r="B100" s="37">
        <v>36973</v>
      </c>
      <c r="C100" s="7">
        <f>SUMIFS(Sales!C$2:C$1701,Sales!$A$2:$A$1701,$A100,Sales!$B$2:$B$1701,$B100)</f>
        <v>110</v>
      </c>
      <c r="D100" s="7">
        <f>SUMIFS(Sales!D$2:D$1701,Sales!$A$2:$A$1701,$A100,Sales!$B$2:$B$1701,$B100)</f>
        <v>79</v>
      </c>
    </row>
    <row r="101" spans="1:4" x14ac:dyDescent="0.2">
      <c r="A101" t="str">
        <f>Calcs!$A$28</f>
        <v>Group</v>
      </c>
      <c r="B101" s="37">
        <v>36974</v>
      </c>
      <c r="C101" s="7">
        <f>SUMIFS(Sales!C$2:C$1701,Sales!$A$2:$A$1701,$A101,Sales!$B$2:$B$1701,$B101)</f>
        <v>135</v>
      </c>
      <c r="D101" s="7">
        <f>SUMIFS(Sales!D$2:D$1701,Sales!$A$2:$A$1701,$A101,Sales!$B$2:$B$1701,$B101)</f>
        <v>87</v>
      </c>
    </row>
    <row r="102" spans="1:4" x14ac:dyDescent="0.2">
      <c r="A102" t="str">
        <f>Calcs!$A$28</f>
        <v>Group</v>
      </c>
      <c r="B102" s="37">
        <v>36975</v>
      </c>
      <c r="C102" s="7">
        <f>SUMIFS(Sales!C$2:C$1701,Sales!$A$2:$A$1701,$A102,Sales!$B$2:$B$1701,$B102)</f>
        <v>140</v>
      </c>
      <c r="D102" s="7">
        <f>SUMIFS(Sales!D$2:D$1701,Sales!$A$2:$A$1701,$A102,Sales!$B$2:$B$1701,$B102)</f>
        <v>98</v>
      </c>
    </row>
    <row r="103" spans="1:4" x14ac:dyDescent="0.2">
      <c r="A103" t="str">
        <f>Calcs!$A$28</f>
        <v>Group</v>
      </c>
      <c r="B103" s="37">
        <v>36976</v>
      </c>
      <c r="C103" s="7">
        <f>SUMIFS(Sales!C$2:C$1701,Sales!$A$2:$A$1701,$A103,Sales!$B$2:$B$1701,$B103)</f>
        <v>145</v>
      </c>
      <c r="D103" s="7">
        <f>SUMIFS(Sales!D$2:D$1701,Sales!$A$2:$A$1701,$A103,Sales!$B$2:$B$1701,$B103)</f>
        <v>69</v>
      </c>
    </row>
    <row r="104" spans="1:4" x14ac:dyDescent="0.2">
      <c r="A104" t="str">
        <f>Calcs!$A$28</f>
        <v>Group</v>
      </c>
      <c r="B104" s="37">
        <v>36977</v>
      </c>
      <c r="C104" s="7">
        <f>SUMIFS(Sales!C$2:C$1701,Sales!$A$2:$A$1701,$A104,Sales!$B$2:$B$1701,$B104)</f>
        <v>121</v>
      </c>
      <c r="D104" s="7">
        <f>SUMIFS(Sales!D$2:D$1701,Sales!$A$2:$A$1701,$A104,Sales!$B$2:$B$1701,$B104)</f>
        <v>68</v>
      </c>
    </row>
    <row r="105" spans="1:4" x14ac:dyDescent="0.2">
      <c r="A105" t="str">
        <f>Calcs!$A$28</f>
        <v>Group</v>
      </c>
      <c r="B105" s="37">
        <v>36978</v>
      </c>
      <c r="C105" s="7">
        <f>SUMIFS(Sales!C$2:C$1701,Sales!$A$2:$A$1701,$A105,Sales!$B$2:$B$1701,$B105)</f>
        <v>118</v>
      </c>
      <c r="D105" s="7">
        <f>SUMIFS(Sales!D$2:D$1701,Sales!$A$2:$A$1701,$A105,Sales!$B$2:$B$1701,$B105)</f>
        <v>83</v>
      </c>
    </row>
    <row r="106" spans="1:4" x14ac:dyDescent="0.2">
      <c r="A106" t="str">
        <f>Calcs!$A$28</f>
        <v>Group</v>
      </c>
      <c r="B106" s="37">
        <v>36979</v>
      </c>
      <c r="C106" s="7">
        <f>SUMIFS(Sales!C$2:C$1701,Sales!$A$2:$A$1701,$A106,Sales!$B$2:$B$1701,$B106)</f>
        <v>128</v>
      </c>
      <c r="D106" s="7">
        <f>SUMIFS(Sales!D$2:D$1701,Sales!$A$2:$A$1701,$A106,Sales!$B$2:$B$1701,$B106)</f>
        <v>84</v>
      </c>
    </row>
    <row r="107" spans="1:4" x14ac:dyDescent="0.2">
      <c r="A107" t="str">
        <f>Calcs!$A$28</f>
        <v>Group</v>
      </c>
      <c r="B107" s="37">
        <v>36980</v>
      </c>
      <c r="C107" s="7">
        <f>SUMIFS(Sales!C$2:C$1701,Sales!$A$2:$A$1701,$A107,Sales!$B$2:$B$1701,$B107)</f>
        <v>123</v>
      </c>
      <c r="D107" s="7">
        <f>SUMIFS(Sales!D$2:D$1701,Sales!$A$2:$A$1701,$A107,Sales!$B$2:$B$1701,$B107)</f>
        <v>83</v>
      </c>
    </row>
    <row r="108" spans="1:4" x14ac:dyDescent="0.2">
      <c r="A108" t="str">
        <f>Calcs!$A$28</f>
        <v>Group</v>
      </c>
      <c r="B108" s="37">
        <v>36981</v>
      </c>
      <c r="C108" s="7">
        <f>SUMIFS(Sales!C$2:C$1701,Sales!$A$2:$A$1701,$A108,Sales!$B$2:$B$1701,$B108)</f>
        <v>115</v>
      </c>
      <c r="D108" s="7">
        <f>SUMIFS(Sales!D$2:D$1701,Sales!$A$2:$A$1701,$A108,Sales!$B$2:$B$1701,$B108)</f>
        <v>76</v>
      </c>
    </row>
    <row r="109" spans="1:4" x14ac:dyDescent="0.2">
      <c r="A109" t="str">
        <f>Calcs!$A$28</f>
        <v>Group</v>
      </c>
      <c r="B109" s="37">
        <v>36982</v>
      </c>
      <c r="C109" s="7">
        <f>SUMIFS(Sales!C$2:C$1701,Sales!$A$2:$A$1701,$A109,Sales!$B$2:$B$1701,$B109)</f>
        <v>142</v>
      </c>
      <c r="D109" s="7">
        <f>SUMIFS(Sales!D$2:D$1701,Sales!$A$2:$A$1701,$A109,Sales!$B$2:$B$1701,$B109)</f>
        <v>64</v>
      </c>
    </row>
    <row r="110" spans="1:4" x14ac:dyDescent="0.2">
      <c r="A110" t="str">
        <f>Calcs!$A$28</f>
        <v>Group</v>
      </c>
      <c r="B110" s="37">
        <v>36983</v>
      </c>
      <c r="C110" s="7">
        <f>SUMIFS(Sales!C$2:C$1701,Sales!$A$2:$A$1701,$A110,Sales!$B$2:$B$1701,$B110)</f>
        <v>134</v>
      </c>
      <c r="D110" s="7">
        <f>SUMIFS(Sales!D$2:D$1701,Sales!$A$2:$A$1701,$A110,Sales!$B$2:$B$1701,$B110)</f>
        <v>79</v>
      </c>
    </row>
    <row r="111" spans="1:4" x14ac:dyDescent="0.2">
      <c r="A111" t="str">
        <f>Calcs!$A$28</f>
        <v>Group</v>
      </c>
      <c r="B111" s="37">
        <v>36984</v>
      </c>
      <c r="C111" s="7">
        <f>SUMIFS(Sales!C$2:C$1701,Sales!$A$2:$A$1701,$A111,Sales!$B$2:$B$1701,$B111)</f>
        <v>140</v>
      </c>
      <c r="D111" s="7">
        <f>SUMIFS(Sales!D$2:D$1701,Sales!$A$2:$A$1701,$A111,Sales!$B$2:$B$1701,$B111)</f>
        <v>71</v>
      </c>
    </row>
    <row r="112" spans="1:4" x14ac:dyDescent="0.2">
      <c r="A112" t="str">
        <f>Calcs!$A$28</f>
        <v>Group</v>
      </c>
      <c r="B112" s="37">
        <v>36985</v>
      </c>
      <c r="C112" s="7">
        <f>SUMIFS(Sales!C$2:C$1701,Sales!$A$2:$A$1701,$A112,Sales!$B$2:$B$1701,$B112)</f>
        <v>132</v>
      </c>
      <c r="D112" s="7">
        <f>SUMIFS(Sales!D$2:D$1701,Sales!$A$2:$A$1701,$A112,Sales!$B$2:$B$1701,$B112)</f>
        <v>71</v>
      </c>
    </row>
    <row r="113" spans="1:4" x14ac:dyDescent="0.2">
      <c r="A113" t="str">
        <f>Calcs!$A$28</f>
        <v>Group</v>
      </c>
      <c r="B113" s="37">
        <v>36986</v>
      </c>
      <c r="C113" s="7">
        <f>SUMIFS(Sales!C$2:C$1701,Sales!$A$2:$A$1701,$A113,Sales!$B$2:$B$1701,$B113)</f>
        <v>123</v>
      </c>
      <c r="D113" s="7">
        <f>SUMIFS(Sales!D$2:D$1701,Sales!$A$2:$A$1701,$A113,Sales!$B$2:$B$1701,$B113)</f>
        <v>77</v>
      </c>
    </row>
    <row r="114" spans="1:4" x14ac:dyDescent="0.2">
      <c r="A114" t="str">
        <f>Calcs!$A$28</f>
        <v>Group</v>
      </c>
      <c r="B114" s="37">
        <v>36987</v>
      </c>
      <c r="C114" s="7">
        <f>SUMIFS(Sales!C$2:C$1701,Sales!$A$2:$A$1701,$A114,Sales!$B$2:$B$1701,$B114)</f>
        <v>138</v>
      </c>
      <c r="D114" s="7">
        <f>SUMIFS(Sales!D$2:D$1701,Sales!$A$2:$A$1701,$A114,Sales!$B$2:$B$1701,$B114)</f>
        <v>71</v>
      </c>
    </row>
    <row r="115" spans="1:4" x14ac:dyDescent="0.2">
      <c r="A115" t="str">
        <f>Calcs!$A$28</f>
        <v>Group</v>
      </c>
      <c r="B115" s="37">
        <v>36988</v>
      </c>
      <c r="C115" s="7">
        <f>SUMIFS(Sales!C$2:C$1701,Sales!$A$2:$A$1701,$A115,Sales!$B$2:$B$1701,$B115)</f>
        <v>120</v>
      </c>
      <c r="D115" s="7">
        <f>SUMIFS(Sales!D$2:D$1701,Sales!$A$2:$A$1701,$A115,Sales!$B$2:$B$1701,$B115)</f>
        <v>67</v>
      </c>
    </row>
    <row r="116" spans="1:4" x14ac:dyDescent="0.2">
      <c r="A116" t="str">
        <f>Calcs!$A$28</f>
        <v>Group</v>
      </c>
      <c r="B116" s="37">
        <v>36989</v>
      </c>
      <c r="C116" s="7">
        <f>SUMIFS(Sales!C$2:C$1701,Sales!$A$2:$A$1701,$A116,Sales!$B$2:$B$1701,$B116)</f>
        <v>118</v>
      </c>
      <c r="D116" s="7">
        <f>SUMIFS(Sales!D$2:D$1701,Sales!$A$2:$A$1701,$A116,Sales!$B$2:$B$1701,$B116)</f>
        <v>85</v>
      </c>
    </row>
    <row r="117" spans="1:4" x14ac:dyDescent="0.2">
      <c r="A117" t="str">
        <f>Calcs!$A$28</f>
        <v>Group</v>
      </c>
      <c r="B117" s="37">
        <v>36990</v>
      </c>
      <c r="C117" s="7">
        <f>SUMIFS(Sales!C$2:C$1701,Sales!$A$2:$A$1701,$A117,Sales!$B$2:$B$1701,$B117)</f>
        <v>141</v>
      </c>
      <c r="D117" s="7">
        <f>SUMIFS(Sales!D$2:D$1701,Sales!$A$2:$A$1701,$A117,Sales!$B$2:$B$1701,$B117)</f>
        <v>81</v>
      </c>
    </row>
    <row r="118" spans="1:4" x14ac:dyDescent="0.2">
      <c r="A118" t="str">
        <f>Calcs!$A$28</f>
        <v>Group</v>
      </c>
      <c r="B118" s="37">
        <v>36991</v>
      </c>
      <c r="C118" s="7">
        <f>SUMIFS(Sales!C$2:C$1701,Sales!$A$2:$A$1701,$A118,Sales!$B$2:$B$1701,$B118)</f>
        <v>130</v>
      </c>
      <c r="D118" s="7">
        <f>SUMIFS(Sales!D$2:D$1701,Sales!$A$2:$A$1701,$A118,Sales!$B$2:$B$1701,$B118)</f>
        <v>82</v>
      </c>
    </row>
    <row r="119" spans="1:4" x14ac:dyDescent="0.2">
      <c r="A119" t="str">
        <f>Calcs!$A$28</f>
        <v>Group</v>
      </c>
      <c r="B119" s="37">
        <v>36992</v>
      </c>
      <c r="C119" s="7">
        <f>SUMIFS(Sales!C$2:C$1701,Sales!$A$2:$A$1701,$A119,Sales!$B$2:$B$1701,$B119)</f>
        <v>133</v>
      </c>
      <c r="D119" s="7">
        <f>SUMIFS(Sales!D$2:D$1701,Sales!$A$2:$A$1701,$A119,Sales!$B$2:$B$1701,$B119)</f>
        <v>77</v>
      </c>
    </row>
    <row r="120" spans="1:4" x14ac:dyDescent="0.2">
      <c r="A120" t="str">
        <f>Calcs!$A$28</f>
        <v>Group</v>
      </c>
      <c r="B120" s="37">
        <v>36993</v>
      </c>
      <c r="C120" s="7">
        <f>SUMIFS(Sales!C$2:C$1701,Sales!$A$2:$A$1701,$A120,Sales!$B$2:$B$1701,$B120)</f>
        <v>136</v>
      </c>
      <c r="D120" s="7">
        <f>SUMIFS(Sales!D$2:D$1701,Sales!$A$2:$A$1701,$A120,Sales!$B$2:$B$1701,$B120)</f>
        <v>85</v>
      </c>
    </row>
    <row r="121" spans="1:4" x14ac:dyDescent="0.2">
      <c r="A121" t="str">
        <f>Calcs!$A$28</f>
        <v>Group</v>
      </c>
      <c r="B121" s="37">
        <v>36994</v>
      </c>
      <c r="C121" s="7">
        <f>SUMIFS(Sales!C$2:C$1701,Sales!$A$2:$A$1701,$A121,Sales!$B$2:$B$1701,$B121)</f>
        <v>131</v>
      </c>
      <c r="D121" s="7">
        <f>SUMIFS(Sales!D$2:D$1701,Sales!$A$2:$A$1701,$A121,Sales!$B$2:$B$1701,$B121)</f>
        <v>83</v>
      </c>
    </row>
    <row r="122" spans="1:4" x14ac:dyDescent="0.2">
      <c r="A122" t="str">
        <f>Calcs!$A$28</f>
        <v>Group</v>
      </c>
      <c r="B122" s="37">
        <v>36995</v>
      </c>
      <c r="C122" s="7">
        <f>SUMIFS(Sales!C$2:C$1701,Sales!$A$2:$A$1701,$A122,Sales!$B$2:$B$1701,$B122)</f>
        <v>107</v>
      </c>
      <c r="D122" s="7">
        <f>SUMIFS(Sales!D$2:D$1701,Sales!$A$2:$A$1701,$A122,Sales!$B$2:$B$1701,$B122)</f>
        <v>66</v>
      </c>
    </row>
    <row r="123" spans="1:4" x14ac:dyDescent="0.2">
      <c r="A123" t="str">
        <f>Calcs!$A$28</f>
        <v>Group</v>
      </c>
      <c r="B123" s="37">
        <v>36996</v>
      </c>
      <c r="C123" s="7">
        <f>SUMIFS(Sales!C$2:C$1701,Sales!$A$2:$A$1701,$A123,Sales!$B$2:$B$1701,$B123)</f>
        <v>128</v>
      </c>
      <c r="D123" s="7">
        <f>SUMIFS(Sales!D$2:D$1701,Sales!$A$2:$A$1701,$A123,Sales!$B$2:$B$1701,$B123)</f>
        <v>87</v>
      </c>
    </row>
    <row r="124" spans="1:4" x14ac:dyDescent="0.2">
      <c r="A124" t="str">
        <f>Calcs!$A$28</f>
        <v>Group</v>
      </c>
      <c r="B124" s="37">
        <v>36997</v>
      </c>
      <c r="C124" s="7">
        <f>SUMIFS(Sales!C$2:C$1701,Sales!$A$2:$A$1701,$A124,Sales!$B$2:$B$1701,$B124)</f>
        <v>118</v>
      </c>
      <c r="D124" s="7">
        <f>SUMIFS(Sales!D$2:D$1701,Sales!$A$2:$A$1701,$A124,Sales!$B$2:$B$1701,$B124)</f>
        <v>72</v>
      </c>
    </row>
    <row r="125" spans="1:4" x14ac:dyDescent="0.2">
      <c r="A125" t="str">
        <f>Calcs!$A$28</f>
        <v>Group</v>
      </c>
      <c r="B125" s="37">
        <v>36998</v>
      </c>
      <c r="C125" s="7">
        <f>SUMIFS(Sales!C$2:C$1701,Sales!$A$2:$A$1701,$A125,Sales!$B$2:$B$1701,$B125)</f>
        <v>136</v>
      </c>
      <c r="D125" s="7">
        <f>SUMIFS(Sales!D$2:D$1701,Sales!$A$2:$A$1701,$A125,Sales!$B$2:$B$1701,$B125)</f>
        <v>60</v>
      </c>
    </row>
    <row r="126" spans="1:4" x14ac:dyDescent="0.2">
      <c r="A126" t="str">
        <f>Calcs!$A$28</f>
        <v>Group</v>
      </c>
      <c r="B126" s="37">
        <v>36999</v>
      </c>
      <c r="C126" s="7">
        <f>SUMIFS(Sales!C$2:C$1701,Sales!$A$2:$A$1701,$A126,Sales!$B$2:$B$1701,$B126)</f>
        <v>126</v>
      </c>
      <c r="D126" s="7">
        <f>SUMIFS(Sales!D$2:D$1701,Sales!$A$2:$A$1701,$A126,Sales!$B$2:$B$1701,$B126)</f>
        <v>83</v>
      </c>
    </row>
    <row r="127" spans="1:4" x14ac:dyDescent="0.2">
      <c r="A127" t="str">
        <f>Calcs!$A$28</f>
        <v>Group</v>
      </c>
      <c r="B127" s="37">
        <v>37000</v>
      </c>
      <c r="C127" s="7">
        <f>SUMIFS(Sales!C$2:C$1701,Sales!$A$2:$A$1701,$A127,Sales!$B$2:$B$1701,$B127)</f>
        <v>125</v>
      </c>
      <c r="D127" s="7">
        <f>SUMIFS(Sales!D$2:D$1701,Sales!$A$2:$A$1701,$A127,Sales!$B$2:$B$1701,$B127)</f>
        <v>66</v>
      </c>
    </row>
    <row r="128" spans="1:4" x14ac:dyDescent="0.2">
      <c r="A128" t="str">
        <f>Calcs!$A$28</f>
        <v>Group</v>
      </c>
      <c r="B128" s="37">
        <v>37001</v>
      </c>
      <c r="C128" s="7">
        <f>SUMIFS(Sales!C$2:C$1701,Sales!$A$2:$A$1701,$A128,Sales!$B$2:$B$1701,$B128)</f>
        <v>131</v>
      </c>
      <c r="D128" s="7">
        <f>SUMIFS(Sales!D$2:D$1701,Sales!$A$2:$A$1701,$A128,Sales!$B$2:$B$1701,$B128)</f>
        <v>85</v>
      </c>
    </row>
    <row r="129" spans="1:4" x14ac:dyDescent="0.2">
      <c r="A129" t="str">
        <f>Calcs!$A$28</f>
        <v>Group</v>
      </c>
      <c r="B129" s="37">
        <v>37002</v>
      </c>
      <c r="C129" s="7">
        <f>SUMIFS(Sales!C$2:C$1701,Sales!$A$2:$A$1701,$A129,Sales!$B$2:$B$1701,$B129)</f>
        <v>131</v>
      </c>
      <c r="D129" s="7">
        <f>SUMIFS(Sales!D$2:D$1701,Sales!$A$2:$A$1701,$A129,Sales!$B$2:$B$1701,$B129)</f>
        <v>62</v>
      </c>
    </row>
    <row r="130" spans="1:4" x14ac:dyDescent="0.2">
      <c r="A130" t="str">
        <f>Calcs!$A$28</f>
        <v>Group</v>
      </c>
      <c r="B130" s="37">
        <v>37003</v>
      </c>
      <c r="C130" s="7">
        <f>SUMIFS(Sales!C$2:C$1701,Sales!$A$2:$A$1701,$A130,Sales!$B$2:$B$1701,$B130)</f>
        <v>115</v>
      </c>
      <c r="D130" s="7">
        <f>SUMIFS(Sales!D$2:D$1701,Sales!$A$2:$A$1701,$A130,Sales!$B$2:$B$1701,$B130)</f>
        <v>68</v>
      </c>
    </row>
    <row r="131" spans="1:4" x14ac:dyDescent="0.2">
      <c r="A131" t="str">
        <f>Calcs!$A$28</f>
        <v>Group</v>
      </c>
      <c r="B131" s="37">
        <v>37004</v>
      </c>
      <c r="C131" s="7">
        <f>SUMIFS(Sales!C$2:C$1701,Sales!$A$2:$A$1701,$A131,Sales!$B$2:$B$1701,$B131)</f>
        <v>152</v>
      </c>
      <c r="D131" s="7">
        <f>SUMIFS(Sales!D$2:D$1701,Sales!$A$2:$A$1701,$A131,Sales!$B$2:$B$1701,$B131)</f>
        <v>85</v>
      </c>
    </row>
    <row r="132" spans="1:4" x14ac:dyDescent="0.2">
      <c r="A132" t="str">
        <f>Calcs!$A$28</f>
        <v>Group</v>
      </c>
      <c r="B132" s="37">
        <v>37005</v>
      </c>
      <c r="C132" s="7">
        <f>SUMIFS(Sales!C$2:C$1701,Sales!$A$2:$A$1701,$A132,Sales!$B$2:$B$1701,$B132)</f>
        <v>152</v>
      </c>
      <c r="D132" s="7">
        <f>SUMIFS(Sales!D$2:D$1701,Sales!$A$2:$A$1701,$A132,Sales!$B$2:$B$1701,$B132)</f>
        <v>76</v>
      </c>
    </row>
    <row r="133" spans="1:4" x14ac:dyDescent="0.2">
      <c r="A133" t="str">
        <f>Calcs!$A$28</f>
        <v>Group</v>
      </c>
      <c r="B133" s="37">
        <v>37006</v>
      </c>
      <c r="C133" s="7">
        <f>SUMIFS(Sales!C$2:C$1701,Sales!$A$2:$A$1701,$A133,Sales!$B$2:$B$1701,$B133)</f>
        <v>131</v>
      </c>
      <c r="D133" s="7">
        <f>SUMIFS(Sales!D$2:D$1701,Sales!$A$2:$A$1701,$A133,Sales!$B$2:$B$1701,$B133)</f>
        <v>83</v>
      </c>
    </row>
    <row r="134" spans="1:4" x14ac:dyDescent="0.2">
      <c r="A134" t="str">
        <f>Calcs!$A$28</f>
        <v>Group</v>
      </c>
      <c r="B134" s="37">
        <v>37007</v>
      </c>
      <c r="C134" s="7">
        <f>SUMIFS(Sales!C$2:C$1701,Sales!$A$2:$A$1701,$A134,Sales!$B$2:$B$1701,$B134)</f>
        <v>137</v>
      </c>
      <c r="D134" s="7">
        <f>SUMIFS(Sales!D$2:D$1701,Sales!$A$2:$A$1701,$A134,Sales!$B$2:$B$1701,$B134)</f>
        <v>96</v>
      </c>
    </row>
    <row r="135" spans="1:4" x14ac:dyDescent="0.2">
      <c r="A135" t="str">
        <f>Calcs!$A$28</f>
        <v>Group</v>
      </c>
      <c r="B135" s="37">
        <v>37008</v>
      </c>
      <c r="C135" s="7">
        <f>SUMIFS(Sales!C$2:C$1701,Sales!$A$2:$A$1701,$A135,Sales!$B$2:$B$1701,$B135)</f>
        <v>125</v>
      </c>
      <c r="D135" s="7">
        <f>SUMIFS(Sales!D$2:D$1701,Sales!$A$2:$A$1701,$A135,Sales!$B$2:$B$1701,$B135)</f>
        <v>78</v>
      </c>
    </row>
    <row r="136" spans="1:4" x14ac:dyDescent="0.2">
      <c r="A136" t="str">
        <f>Calcs!$A$28</f>
        <v>Group</v>
      </c>
      <c r="B136" s="37">
        <v>37009</v>
      </c>
      <c r="C136" s="7">
        <f>SUMIFS(Sales!C$2:C$1701,Sales!$A$2:$A$1701,$A136,Sales!$B$2:$B$1701,$B136)</f>
        <v>117</v>
      </c>
      <c r="D136" s="7">
        <f>SUMIFS(Sales!D$2:D$1701,Sales!$A$2:$A$1701,$A136,Sales!$B$2:$B$1701,$B136)</f>
        <v>88</v>
      </c>
    </row>
    <row r="137" spans="1:4" x14ac:dyDescent="0.2">
      <c r="A137" t="str">
        <f>Calcs!$A$28</f>
        <v>Group</v>
      </c>
      <c r="B137" s="37">
        <v>37010</v>
      </c>
      <c r="C137" s="7">
        <f>SUMIFS(Sales!C$2:C$1701,Sales!$A$2:$A$1701,$A137,Sales!$B$2:$B$1701,$B137)</f>
        <v>132</v>
      </c>
      <c r="D137" s="7">
        <f>SUMIFS(Sales!D$2:D$1701,Sales!$A$2:$A$1701,$A137,Sales!$B$2:$B$1701,$B137)</f>
        <v>68</v>
      </c>
    </row>
    <row r="138" spans="1:4" x14ac:dyDescent="0.2">
      <c r="A138" t="str">
        <f>Calcs!$A$28</f>
        <v>Group</v>
      </c>
      <c r="B138" s="37">
        <v>37011</v>
      </c>
      <c r="C138" s="7">
        <f>SUMIFS(Sales!C$2:C$1701,Sales!$A$2:$A$1701,$A138,Sales!$B$2:$B$1701,$B138)</f>
        <v>116</v>
      </c>
      <c r="D138" s="7">
        <f>SUMIFS(Sales!D$2:D$1701,Sales!$A$2:$A$1701,$A138,Sales!$B$2:$B$1701,$B138)</f>
        <v>81</v>
      </c>
    </row>
    <row r="139" spans="1:4" x14ac:dyDescent="0.2">
      <c r="A139" t="str">
        <f>Calcs!$A$28</f>
        <v>Group</v>
      </c>
      <c r="B139" s="37">
        <v>37012</v>
      </c>
      <c r="C139" s="7">
        <f>SUMIFS(Sales!C$2:C$1701,Sales!$A$2:$A$1701,$A139,Sales!$B$2:$B$1701,$B139)</f>
        <v>141</v>
      </c>
      <c r="D139" s="7">
        <f>SUMIFS(Sales!D$2:D$1701,Sales!$A$2:$A$1701,$A139,Sales!$B$2:$B$1701,$B139)</f>
        <v>85</v>
      </c>
    </row>
    <row r="140" spans="1:4" x14ac:dyDescent="0.2">
      <c r="A140" t="str">
        <f>Calcs!$A$28</f>
        <v>Group</v>
      </c>
      <c r="B140" s="37">
        <v>37013</v>
      </c>
      <c r="C140" s="7">
        <f>SUMIFS(Sales!C$2:C$1701,Sales!$A$2:$A$1701,$A140,Sales!$B$2:$B$1701,$B140)</f>
        <v>119</v>
      </c>
      <c r="D140" s="7">
        <f>SUMIFS(Sales!D$2:D$1701,Sales!$A$2:$A$1701,$A140,Sales!$B$2:$B$1701,$B140)</f>
        <v>55</v>
      </c>
    </row>
    <row r="141" spans="1:4" x14ac:dyDescent="0.2">
      <c r="A141" t="str">
        <f>Calcs!$A$28</f>
        <v>Group</v>
      </c>
      <c r="B141" s="37">
        <v>37014</v>
      </c>
      <c r="C141" s="7">
        <f>SUMIFS(Sales!C$2:C$1701,Sales!$A$2:$A$1701,$A141,Sales!$B$2:$B$1701,$B141)</f>
        <v>119</v>
      </c>
      <c r="D141" s="7">
        <f>SUMIFS(Sales!D$2:D$1701,Sales!$A$2:$A$1701,$A141,Sales!$B$2:$B$1701,$B141)</f>
        <v>72</v>
      </c>
    </row>
    <row r="142" spans="1:4" x14ac:dyDescent="0.2">
      <c r="A142" t="str">
        <f>Calcs!$A$28</f>
        <v>Group</v>
      </c>
      <c r="B142" s="37">
        <v>37015</v>
      </c>
      <c r="C142" s="7">
        <f>SUMIFS(Sales!C$2:C$1701,Sales!$A$2:$A$1701,$A142,Sales!$B$2:$B$1701,$B142)</f>
        <v>127</v>
      </c>
      <c r="D142" s="7">
        <f>SUMIFS(Sales!D$2:D$1701,Sales!$A$2:$A$1701,$A142,Sales!$B$2:$B$1701,$B142)</f>
        <v>83</v>
      </c>
    </row>
    <row r="143" spans="1:4" x14ac:dyDescent="0.2">
      <c r="A143" t="str">
        <f>Calcs!$A$28</f>
        <v>Group</v>
      </c>
      <c r="B143" s="37">
        <v>37016</v>
      </c>
      <c r="C143" s="7">
        <f>SUMIFS(Sales!C$2:C$1701,Sales!$A$2:$A$1701,$A143,Sales!$B$2:$B$1701,$B143)</f>
        <v>123</v>
      </c>
      <c r="D143" s="7">
        <f>SUMIFS(Sales!D$2:D$1701,Sales!$A$2:$A$1701,$A143,Sales!$B$2:$B$1701,$B143)</f>
        <v>63</v>
      </c>
    </row>
    <row r="144" spans="1:4" x14ac:dyDescent="0.2">
      <c r="A144" t="str">
        <f>Calcs!$A$28</f>
        <v>Group</v>
      </c>
      <c r="B144" s="37">
        <v>37017</v>
      </c>
      <c r="C144" s="7">
        <f>SUMIFS(Sales!C$2:C$1701,Sales!$A$2:$A$1701,$A144,Sales!$B$2:$B$1701,$B144)</f>
        <v>109</v>
      </c>
      <c r="D144" s="7">
        <f>SUMIFS(Sales!D$2:D$1701,Sales!$A$2:$A$1701,$A144,Sales!$B$2:$B$1701,$B144)</f>
        <v>93</v>
      </c>
    </row>
    <row r="145" spans="1:4" x14ac:dyDescent="0.2">
      <c r="A145" t="str">
        <f>Calcs!$A$28</f>
        <v>Group</v>
      </c>
      <c r="B145" s="37">
        <v>37018</v>
      </c>
      <c r="C145" s="7">
        <f>SUMIFS(Sales!C$2:C$1701,Sales!$A$2:$A$1701,$A145,Sales!$B$2:$B$1701,$B145)</f>
        <v>132</v>
      </c>
      <c r="D145" s="7">
        <f>SUMIFS(Sales!D$2:D$1701,Sales!$A$2:$A$1701,$A145,Sales!$B$2:$B$1701,$B145)</f>
        <v>62</v>
      </c>
    </row>
    <row r="146" spans="1:4" x14ac:dyDescent="0.2">
      <c r="A146" t="str">
        <f>Calcs!$A$28</f>
        <v>Group</v>
      </c>
      <c r="B146" s="37">
        <v>37019</v>
      </c>
      <c r="C146" s="7">
        <f>SUMIFS(Sales!C$2:C$1701,Sales!$A$2:$A$1701,$A146,Sales!$B$2:$B$1701,$B146)</f>
        <v>147</v>
      </c>
      <c r="D146" s="7">
        <f>SUMIFS(Sales!D$2:D$1701,Sales!$A$2:$A$1701,$A146,Sales!$B$2:$B$1701,$B146)</f>
        <v>85</v>
      </c>
    </row>
    <row r="147" spans="1:4" x14ac:dyDescent="0.2">
      <c r="A147" t="str">
        <f>Calcs!$A$28</f>
        <v>Group</v>
      </c>
      <c r="B147" s="37">
        <v>37020</v>
      </c>
      <c r="C147" s="7">
        <f>SUMIFS(Sales!C$2:C$1701,Sales!$A$2:$A$1701,$A147,Sales!$B$2:$B$1701,$B147)</f>
        <v>120</v>
      </c>
      <c r="D147" s="7">
        <f>SUMIFS(Sales!D$2:D$1701,Sales!$A$2:$A$1701,$A147,Sales!$B$2:$B$1701,$B147)</f>
        <v>78</v>
      </c>
    </row>
    <row r="148" spans="1:4" x14ac:dyDescent="0.2">
      <c r="A148" t="str">
        <f>Calcs!$A$28</f>
        <v>Group</v>
      </c>
      <c r="B148" s="37">
        <v>37021</v>
      </c>
      <c r="C148" s="7">
        <f>SUMIFS(Sales!C$2:C$1701,Sales!$A$2:$A$1701,$A148,Sales!$B$2:$B$1701,$B148)</f>
        <v>113</v>
      </c>
      <c r="D148" s="7">
        <f>SUMIFS(Sales!D$2:D$1701,Sales!$A$2:$A$1701,$A148,Sales!$B$2:$B$1701,$B148)</f>
        <v>74</v>
      </c>
    </row>
    <row r="149" spans="1:4" x14ac:dyDescent="0.2">
      <c r="A149" t="str">
        <f>Calcs!$A$28</f>
        <v>Group</v>
      </c>
      <c r="B149" s="37">
        <v>37022</v>
      </c>
      <c r="C149" s="7">
        <f>SUMIFS(Sales!C$2:C$1701,Sales!$A$2:$A$1701,$A149,Sales!$B$2:$B$1701,$B149)</f>
        <v>133</v>
      </c>
      <c r="D149" s="7">
        <f>SUMIFS(Sales!D$2:D$1701,Sales!$A$2:$A$1701,$A149,Sales!$B$2:$B$1701,$B149)</f>
        <v>89</v>
      </c>
    </row>
    <row r="150" spans="1:4" x14ac:dyDescent="0.2">
      <c r="A150" t="str">
        <f>Calcs!$A$28</f>
        <v>Group</v>
      </c>
      <c r="B150" s="37">
        <v>37023</v>
      </c>
      <c r="C150" s="7">
        <f>SUMIFS(Sales!C$2:C$1701,Sales!$A$2:$A$1701,$A150,Sales!$B$2:$B$1701,$B150)</f>
        <v>125</v>
      </c>
      <c r="D150" s="7">
        <f>SUMIFS(Sales!D$2:D$1701,Sales!$A$2:$A$1701,$A150,Sales!$B$2:$B$1701,$B150)</f>
        <v>67</v>
      </c>
    </row>
    <row r="151" spans="1:4" x14ac:dyDescent="0.2">
      <c r="A151" t="str">
        <f>Calcs!$A$28</f>
        <v>Group</v>
      </c>
      <c r="B151" s="37">
        <v>37024</v>
      </c>
      <c r="C151" s="7">
        <f>SUMIFS(Sales!C$2:C$1701,Sales!$A$2:$A$1701,$A151,Sales!$B$2:$B$1701,$B151)</f>
        <v>120</v>
      </c>
      <c r="D151" s="7">
        <f>SUMIFS(Sales!D$2:D$1701,Sales!$A$2:$A$1701,$A151,Sales!$B$2:$B$1701,$B151)</f>
        <v>78</v>
      </c>
    </row>
    <row r="152" spans="1:4" x14ac:dyDescent="0.2">
      <c r="A152" t="str">
        <f>Calcs!$A$28</f>
        <v>Group</v>
      </c>
      <c r="B152" s="37">
        <v>37025</v>
      </c>
      <c r="C152" s="7">
        <f>SUMIFS(Sales!C$2:C$1701,Sales!$A$2:$A$1701,$A152,Sales!$B$2:$B$1701,$B152)</f>
        <v>106</v>
      </c>
      <c r="D152" s="7">
        <f>SUMIFS(Sales!D$2:D$1701,Sales!$A$2:$A$1701,$A152,Sales!$B$2:$B$1701,$B152)</f>
        <v>77</v>
      </c>
    </row>
    <row r="153" spans="1:4" x14ac:dyDescent="0.2">
      <c r="A153" t="str">
        <f>Calcs!$A$28</f>
        <v>Group</v>
      </c>
      <c r="B153" s="37">
        <v>37026</v>
      </c>
      <c r="C153" s="7">
        <f>SUMIFS(Sales!C$2:C$1701,Sales!$A$2:$A$1701,$A153,Sales!$B$2:$B$1701,$B153)</f>
        <v>111</v>
      </c>
      <c r="D153" s="7">
        <f>SUMIFS(Sales!D$2:D$1701,Sales!$A$2:$A$1701,$A153,Sales!$B$2:$B$1701,$B153)</f>
        <v>67</v>
      </c>
    </row>
    <row r="154" spans="1:4" x14ac:dyDescent="0.2">
      <c r="A154" t="str">
        <f>Calcs!$A$28</f>
        <v>Group</v>
      </c>
      <c r="B154" s="37">
        <v>37027</v>
      </c>
      <c r="C154" s="7">
        <f>SUMIFS(Sales!C$2:C$1701,Sales!$A$2:$A$1701,$A154,Sales!$B$2:$B$1701,$B154)</f>
        <v>133</v>
      </c>
      <c r="D154" s="7">
        <f>SUMIFS(Sales!D$2:D$1701,Sales!$A$2:$A$1701,$A154,Sales!$B$2:$B$1701,$B154)</f>
        <v>83</v>
      </c>
    </row>
    <row r="155" spans="1:4" x14ac:dyDescent="0.2">
      <c r="A155" t="str">
        <f>Calcs!$A$28</f>
        <v>Group</v>
      </c>
      <c r="B155" s="37">
        <v>37028</v>
      </c>
      <c r="C155" s="7">
        <f>SUMIFS(Sales!C$2:C$1701,Sales!$A$2:$A$1701,$A155,Sales!$B$2:$B$1701,$B155)</f>
        <v>140</v>
      </c>
      <c r="D155" s="7">
        <f>SUMIFS(Sales!D$2:D$1701,Sales!$A$2:$A$1701,$A155,Sales!$B$2:$B$1701,$B155)</f>
        <v>63</v>
      </c>
    </row>
    <row r="156" spans="1:4" x14ac:dyDescent="0.2">
      <c r="A156" t="str">
        <f>Calcs!$A$28</f>
        <v>Group</v>
      </c>
      <c r="B156" s="37">
        <v>37029</v>
      </c>
      <c r="C156" s="7">
        <f>SUMIFS(Sales!C$2:C$1701,Sales!$A$2:$A$1701,$A156,Sales!$B$2:$B$1701,$B156)</f>
        <v>127</v>
      </c>
      <c r="D156" s="7">
        <f>SUMIFS(Sales!D$2:D$1701,Sales!$A$2:$A$1701,$A156,Sales!$B$2:$B$1701,$B156)</f>
        <v>90</v>
      </c>
    </row>
    <row r="157" spans="1:4" x14ac:dyDescent="0.2">
      <c r="A157" t="str">
        <f>Calcs!$A$28</f>
        <v>Group</v>
      </c>
      <c r="B157" s="37">
        <v>37030</v>
      </c>
      <c r="C157" s="7">
        <f>SUMIFS(Sales!C$2:C$1701,Sales!$A$2:$A$1701,$A157,Sales!$B$2:$B$1701,$B157)</f>
        <v>133</v>
      </c>
      <c r="D157" s="7">
        <f>SUMIFS(Sales!D$2:D$1701,Sales!$A$2:$A$1701,$A157,Sales!$B$2:$B$1701,$B157)</f>
        <v>69</v>
      </c>
    </row>
    <row r="158" spans="1:4" x14ac:dyDescent="0.2">
      <c r="A158" t="str">
        <f>Calcs!$A$28</f>
        <v>Group</v>
      </c>
      <c r="B158" s="37">
        <v>37031</v>
      </c>
      <c r="C158" s="7">
        <f>SUMIFS(Sales!C$2:C$1701,Sales!$A$2:$A$1701,$A158,Sales!$B$2:$B$1701,$B158)</f>
        <v>134</v>
      </c>
      <c r="D158" s="7">
        <f>SUMIFS(Sales!D$2:D$1701,Sales!$A$2:$A$1701,$A158,Sales!$B$2:$B$1701,$B158)</f>
        <v>89</v>
      </c>
    </row>
    <row r="159" spans="1:4" x14ac:dyDescent="0.2">
      <c r="A159" t="str">
        <f>Calcs!$A$28</f>
        <v>Group</v>
      </c>
      <c r="B159" s="37">
        <v>37032</v>
      </c>
      <c r="C159" s="7">
        <f>SUMIFS(Sales!C$2:C$1701,Sales!$A$2:$A$1701,$A159,Sales!$B$2:$B$1701,$B159)</f>
        <v>136</v>
      </c>
      <c r="D159" s="7">
        <f>SUMIFS(Sales!D$2:D$1701,Sales!$A$2:$A$1701,$A159,Sales!$B$2:$B$1701,$B159)</f>
        <v>76</v>
      </c>
    </row>
    <row r="160" spans="1:4" x14ac:dyDescent="0.2">
      <c r="A160" t="str">
        <f>Calcs!$A$28</f>
        <v>Group</v>
      </c>
      <c r="B160" s="37">
        <v>37033</v>
      </c>
      <c r="C160" s="7">
        <f>SUMIFS(Sales!C$2:C$1701,Sales!$A$2:$A$1701,$A160,Sales!$B$2:$B$1701,$B160)</f>
        <v>139</v>
      </c>
      <c r="D160" s="7">
        <f>SUMIFS(Sales!D$2:D$1701,Sales!$A$2:$A$1701,$A160,Sales!$B$2:$B$1701,$B160)</f>
        <v>79</v>
      </c>
    </row>
    <row r="161" spans="1:4" x14ac:dyDescent="0.2">
      <c r="A161" t="str">
        <f>Calcs!$A$28</f>
        <v>Group</v>
      </c>
      <c r="B161" s="37">
        <v>37034</v>
      </c>
      <c r="C161" s="7">
        <f>SUMIFS(Sales!C$2:C$1701,Sales!$A$2:$A$1701,$A161,Sales!$B$2:$B$1701,$B161)</f>
        <v>150</v>
      </c>
      <c r="D161" s="7">
        <f>SUMIFS(Sales!D$2:D$1701,Sales!$A$2:$A$1701,$A161,Sales!$B$2:$B$1701,$B161)</f>
        <v>72</v>
      </c>
    </row>
    <row r="162" spans="1:4" x14ac:dyDescent="0.2">
      <c r="A162" t="str">
        <f>Calcs!$A$28</f>
        <v>Group</v>
      </c>
      <c r="B162" s="37">
        <v>37035</v>
      </c>
      <c r="C162" s="7">
        <f>SUMIFS(Sales!C$2:C$1701,Sales!$A$2:$A$1701,$A162,Sales!$B$2:$B$1701,$B162)</f>
        <v>123</v>
      </c>
      <c r="D162" s="7">
        <f>SUMIFS(Sales!D$2:D$1701,Sales!$A$2:$A$1701,$A162,Sales!$B$2:$B$1701,$B162)</f>
        <v>62</v>
      </c>
    </row>
    <row r="163" spans="1:4" x14ac:dyDescent="0.2">
      <c r="A163" t="str">
        <f>Calcs!$A$28</f>
        <v>Group</v>
      </c>
      <c r="B163" s="37">
        <v>37036</v>
      </c>
      <c r="C163" s="7">
        <f>SUMIFS(Sales!C$2:C$1701,Sales!$A$2:$A$1701,$A163,Sales!$B$2:$B$1701,$B163)</f>
        <v>134</v>
      </c>
      <c r="D163" s="7">
        <f>SUMIFS(Sales!D$2:D$1701,Sales!$A$2:$A$1701,$A163,Sales!$B$2:$B$1701,$B163)</f>
        <v>76</v>
      </c>
    </row>
    <row r="164" spans="1:4" x14ac:dyDescent="0.2">
      <c r="A164" t="str">
        <f>Calcs!$A$28</f>
        <v>Group</v>
      </c>
      <c r="B164" s="37">
        <v>37037</v>
      </c>
      <c r="C164" s="7">
        <f>SUMIFS(Sales!C$2:C$1701,Sales!$A$2:$A$1701,$A164,Sales!$B$2:$B$1701,$B164)</f>
        <v>143</v>
      </c>
      <c r="D164" s="7">
        <f>SUMIFS(Sales!D$2:D$1701,Sales!$A$2:$A$1701,$A164,Sales!$B$2:$B$1701,$B164)</f>
        <v>79</v>
      </c>
    </row>
    <row r="165" spans="1:4" x14ac:dyDescent="0.2">
      <c r="A165" t="str">
        <f>Calcs!$A$28</f>
        <v>Group</v>
      </c>
      <c r="B165" s="37">
        <v>37038</v>
      </c>
      <c r="C165" s="7">
        <f>SUMIFS(Sales!C$2:C$1701,Sales!$A$2:$A$1701,$A165,Sales!$B$2:$B$1701,$B165)</f>
        <v>132</v>
      </c>
      <c r="D165" s="7">
        <f>SUMIFS(Sales!D$2:D$1701,Sales!$A$2:$A$1701,$A165,Sales!$B$2:$B$1701,$B165)</f>
        <v>94</v>
      </c>
    </row>
    <row r="166" spans="1:4" x14ac:dyDescent="0.2">
      <c r="A166" t="str">
        <f>Calcs!$A$28</f>
        <v>Group</v>
      </c>
      <c r="B166" s="37">
        <v>37039</v>
      </c>
      <c r="C166" s="7">
        <f>SUMIFS(Sales!C$2:C$1701,Sales!$A$2:$A$1701,$A166,Sales!$B$2:$B$1701,$B166)</f>
        <v>137</v>
      </c>
      <c r="D166" s="7">
        <f>SUMIFS(Sales!D$2:D$1701,Sales!$A$2:$A$1701,$A166,Sales!$B$2:$B$1701,$B166)</f>
        <v>89</v>
      </c>
    </row>
    <row r="167" spans="1:4" x14ac:dyDescent="0.2">
      <c r="A167" t="str">
        <f>Calcs!$A$28</f>
        <v>Group</v>
      </c>
      <c r="B167" s="37">
        <v>37040</v>
      </c>
      <c r="C167" s="7">
        <f>SUMIFS(Sales!C$2:C$1701,Sales!$A$2:$A$1701,$A167,Sales!$B$2:$B$1701,$B167)</f>
        <v>147</v>
      </c>
      <c r="D167" s="7">
        <f>SUMIFS(Sales!D$2:D$1701,Sales!$A$2:$A$1701,$A167,Sales!$B$2:$B$1701,$B167)</f>
        <v>74</v>
      </c>
    </row>
    <row r="168" spans="1:4" x14ac:dyDescent="0.2">
      <c r="A168" t="str">
        <f>Calcs!$A$28</f>
        <v>Group</v>
      </c>
      <c r="B168" s="37">
        <v>37041</v>
      </c>
      <c r="C168" s="7">
        <f>SUMIFS(Sales!C$2:C$1701,Sales!$A$2:$A$1701,$A168,Sales!$B$2:$B$1701,$B168)</f>
        <v>111</v>
      </c>
      <c r="D168" s="7">
        <f>SUMIFS(Sales!D$2:D$1701,Sales!$A$2:$A$1701,$A168,Sales!$B$2:$B$1701,$B168)</f>
        <v>85</v>
      </c>
    </row>
    <row r="169" spans="1:4" x14ac:dyDescent="0.2">
      <c r="A169" t="str">
        <f>Calcs!$A$28</f>
        <v>Group</v>
      </c>
      <c r="B169" s="37">
        <v>37042</v>
      </c>
      <c r="C169" s="7">
        <f>SUMIFS(Sales!C$2:C$1701,Sales!$A$2:$A$1701,$A169,Sales!$B$2:$B$1701,$B169)</f>
        <v>145</v>
      </c>
      <c r="D169" s="7">
        <f>SUMIFS(Sales!D$2:D$1701,Sales!$A$2:$A$1701,$A169,Sales!$B$2:$B$1701,$B169)</f>
        <v>82</v>
      </c>
    </row>
    <row r="170" spans="1:4" x14ac:dyDescent="0.2">
      <c r="A170" t="str">
        <f>Calcs!$A$28</f>
        <v>Group</v>
      </c>
      <c r="B170" s="37">
        <v>37043</v>
      </c>
      <c r="C170" s="7">
        <f>SUMIFS(Sales!C$2:C$1701,Sales!$A$2:$A$1701,$A170,Sales!$B$2:$B$1701,$B170)</f>
        <v>116</v>
      </c>
      <c r="D170" s="7">
        <f>SUMIFS(Sales!D$2:D$1701,Sales!$A$2:$A$1701,$A170,Sales!$B$2:$B$1701,$B170)</f>
        <v>63</v>
      </c>
    </row>
    <row r="171" spans="1:4" x14ac:dyDescent="0.2">
      <c r="A171" t="str">
        <f>Calcs!$A$28</f>
        <v>Group</v>
      </c>
      <c r="B171" s="37">
        <v>37044</v>
      </c>
      <c r="C171" s="7">
        <f>SUMIFS(Sales!C$2:C$1701,Sales!$A$2:$A$1701,$A171,Sales!$B$2:$B$1701,$B171)</f>
        <v>110</v>
      </c>
      <c r="D171" s="7">
        <f>SUMIFS(Sales!D$2:D$1701,Sales!$A$2:$A$1701,$A171,Sales!$B$2:$B$1701,$B171)</f>
        <v>78</v>
      </c>
    </row>
    <row r="172" spans="1:4" x14ac:dyDescent="0.2">
      <c r="A172" t="str">
        <f>Calcs!$A$28</f>
        <v>Group</v>
      </c>
      <c r="B172" s="37">
        <v>37045</v>
      </c>
      <c r="C172" s="7">
        <f>SUMIFS(Sales!C$2:C$1701,Sales!$A$2:$A$1701,$A172,Sales!$B$2:$B$1701,$B172)</f>
        <v>116</v>
      </c>
      <c r="D172" s="7">
        <f>SUMIFS(Sales!D$2:D$1701,Sales!$A$2:$A$1701,$A172,Sales!$B$2:$B$1701,$B172)</f>
        <v>77</v>
      </c>
    </row>
    <row r="173" spans="1:4" x14ac:dyDescent="0.2">
      <c r="A173" t="str">
        <f>Calcs!$A$28</f>
        <v>Group</v>
      </c>
      <c r="B173" s="37">
        <v>37046</v>
      </c>
      <c r="C173" s="7">
        <f>SUMIFS(Sales!C$2:C$1701,Sales!$A$2:$A$1701,$A173,Sales!$B$2:$B$1701,$B173)</f>
        <v>126</v>
      </c>
      <c r="D173" s="7">
        <f>SUMIFS(Sales!D$2:D$1701,Sales!$A$2:$A$1701,$A173,Sales!$B$2:$B$1701,$B173)</f>
        <v>79</v>
      </c>
    </row>
    <row r="174" spans="1:4" x14ac:dyDescent="0.2">
      <c r="A174" t="str">
        <f>Calcs!$A$28</f>
        <v>Group</v>
      </c>
      <c r="B174" s="37">
        <v>37047</v>
      </c>
      <c r="C174" s="7">
        <f>SUMIFS(Sales!C$2:C$1701,Sales!$A$2:$A$1701,$A174,Sales!$B$2:$B$1701,$B174)</f>
        <v>113</v>
      </c>
      <c r="D174" s="7">
        <f>SUMIFS(Sales!D$2:D$1701,Sales!$A$2:$A$1701,$A174,Sales!$B$2:$B$1701,$B174)</f>
        <v>83</v>
      </c>
    </row>
    <row r="175" spans="1:4" x14ac:dyDescent="0.2">
      <c r="A175" t="str">
        <f>Calcs!$A$28</f>
        <v>Group</v>
      </c>
      <c r="B175" s="37">
        <v>37048</v>
      </c>
      <c r="C175" s="7">
        <f>SUMIFS(Sales!C$2:C$1701,Sales!$A$2:$A$1701,$A175,Sales!$B$2:$B$1701,$B175)</f>
        <v>119</v>
      </c>
      <c r="D175" s="7">
        <f>SUMIFS(Sales!D$2:D$1701,Sales!$A$2:$A$1701,$A175,Sales!$B$2:$B$1701,$B175)</f>
        <v>53</v>
      </c>
    </row>
    <row r="176" spans="1:4" x14ac:dyDescent="0.2">
      <c r="A176" t="str">
        <f>Calcs!$A$28</f>
        <v>Group</v>
      </c>
      <c r="B176" s="37">
        <v>37049</v>
      </c>
      <c r="C176" s="7">
        <f>SUMIFS(Sales!C$2:C$1701,Sales!$A$2:$A$1701,$A176,Sales!$B$2:$B$1701,$B176)</f>
        <v>119</v>
      </c>
      <c r="D176" s="7">
        <f>SUMIFS(Sales!D$2:D$1701,Sales!$A$2:$A$1701,$A176,Sales!$B$2:$B$1701,$B176)</f>
        <v>78</v>
      </c>
    </row>
    <row r="177" spans="1:4" x14ac:dyDescent="0.2">
      <c r="A177" t="str">
        <f>Calcs!$A$28</f>
        <v>Group</v>
      </c>
      <c r="B177" s="37">
        <v>37050</v>
      </c>
      <c r="C177" s="7">
        <f>SUMIFS(Sales!C$2:C$1701,Sales!$A$2:$A$1701,$A177,Sales!$B$2:$B$1701,$B177)</f>
        <v>111</v>
      </c>
      <c r="D177" s="7">
        <f>SUMIFS(Sales!D$2:D$1701,Sales!$A$2:$A$1701,$A177,Sales!$B$2:$B$1701,$B177)</f>
        <v>85</v>
      </c>
    </row>
    <row r="178" spans="1:4" x14ac:dyDescent="0.2">
      <c r="A178" t="str">
        <f>Calcs!$A$28</f>
        <v>Group</v>
      </c>
      <c r="B178" s="37">
        <v>37051</v>
      </c>
      <c r="C178" s="7">
        <f>SUMIFS(Sales!C$2:C$1701,Sales!$A$2:$A$1701,$A178,Sales!$B$2:$B$1701,$B178)</f>
        <v>119</v>
      </c>
      <c r="D178" s="7">
        <f>SUMIFS(Sales!D$2:D$1701,Sales!$A$2:$A$1701,$A178,Sales!$B$2:$B$1701,$B178)</f>
        <v>59</v>
      </c>
    </row>
    <row r="179" spans="1:4" x14ac:dyDescent="0.2">
      <c r="A179" t="str">
        <f>Calcs!$A$28</f>
        <v>Group</v>
      </c>
      <c r="B179" s="37">
        <v>37052</v>
      </c>
      <c r="C179" s="7">
        <f>SUMIFS(Sales!C$2:C$1701,Sales!$A$2:$A$1701,$A179,Sales!$B$2:$B$1701,$B179)</f>
        <v>130</v>
      </c>
      <c r="D179" s="7">
        <f>SUMIFS(Sales!D$2:D$1701,Sales!$A$2:$A$1701,$A179,Sales!$B$2:$B$1701,$B179)</f>
        <v>82</v>
      </c>
    </row>
    <row r="180" spans="1:4" x14ac:dyDescent="0.2">
      <c r="A180" t="str">
        <f>Calcs!$A$28</f>
        <v>Group</v>
      </c>
      <c r="B180" s="37">
        <v>37053</v>
      </c>
      <c r="C180" s="7">
        <f>SUMIFS(Sales!C$2:C$1701,Sales!$A$2:$A$1701,$A180,Sales!$B$2:$B$1701,$B180)</f>
        <v>140</v>
      </c>
      <c r="D180" s="7">
        <f>SUMIFS(Sales!D$2:D$1701,Sales!$A$2:$A$1701,$A180,Sales!$B$2:$B$1701,$B180)</f>
        <v>62</v>
      </c>
    </row>
    <row r="181" spans="1:4" x14ac:dyDescent="0.2">
      <c r="A181" t="str">
        <f>Calcs!$A$28</f>
        <v>Group</v>
      </c>
      <c r="B181" s="37">
        <v>37054</v>
      </c>
      <c r="C181" s="7">
        <f>SUMIFS(Sales!C$2:C$1701,Sales!$A$2:$A$1701,$A181,Sales!$B$2:$B$1701,$B181)</f>
        <v>135</v>
      </c>
      <c r="D181" s="7">
        <f>SUMIFS(Sales!D$2:D$1701,Sales!$A$2:$A$1701,$A181,Sales!$B$2:$B$1701,$B181)</f>
        <v>82</v>
      </c>
    </row>
    <row r="182" spans="1:4" x14ac:dyDescent="0.2">
      <c r="A182" t="str">
        <f>Calcs!$A$28</f>
        <v>Group</v>
      </c>
      <c r="B182" s="37">
        <v>37055</v>
      </c>
      <c r="C182" s="7">
        <f>SUMIFS(Sales!C$2:C$1701,Sales!$A$2:$A$1701,$A182,Sales!$B$2:$B$1701,$B182)</f>
        <v>137</v>
      </c>
      <c r="D182" s="7">
        <f>SUMIFS(Sales!D$2:D$1701,Sales!$A$2:$A$1701,$A182,Sales!$B$2:$B$1701,$B182)</f>
        <v>77</v>
      </c>
    </row>
    <row r="183" spans="1:4" x14ac:dyDescent="0.2">
      <c r="A183" t="str">
        <f>Calcs!$A$28</f>
        <v>Group</v>
      </c>
      <c r="B183" s="37">
        <v>37056</v>
      </c>
      <c r="C183" s="7">
        <f>SUMIFS(Sales!C$2:C$1701,Sales!$A$2:$A$1701,$A183,Sales!$B$2:$B$1701,$B183)</f>
        <v>126</v>
      </c>
      <c r="D183" s="7">
        <f>SUMIFS(Sales!D$2:D$1701,Sales!$A$2:$A$1701,$A183,Sales!$B$2:$B$1701,$B183)</f>
        <v>96</v>
      </c>
    </row>
    <row r="184" spans="1:4" x14ac:dyDescent="0.2">
      <c r="A184" t="str">
        <f>Calcs!$A$28</f>
        <v>Group</v>
      </c>
      <c r="B184" s="37">
        <v>37057</v>
      </c>
      <c r="C184" s="7">
        <f>SUMIFS(Sales!C$2:C$1701,Sales!$A$2:$A$1701,$A184,Sales!$B$2:$B$1701,$B184)</f>
        <v>127</v>
      </c>
      <c r="D184" s="7">
        <f>SUMIFS(Sales!D$2:D$1701,Sales!$A$2:$A$1701,$A184,Sales!$B$2:$B$1701,$B184)</f>
        <v>76</v>
      </c>
    </row>
    <row r="185" spans="1:4" x14ac:dyDescent="0.2">
      <c r="A185" t="str">
        <f>Calcs!$A$28</f>
        <v>Group</v>
      </c>
      <c r="B185" s="37">
        <v>37058</v>
      </c>
      <c r="C185" s="7">
        <f>SUMIFS(Sales!C$2:C$1701,Sales!$A$2:$A$1701,$A185,Sales!$B$2:$B$1701,$B185)</f>
        <v>127</v>
      </c>
      <c r="D185" s="7">
        <f>SUMIFS(Sales!D$2:D$1701,Sales!$A$2:$A$1701,$A185,Sales!$B$2:$B$1701,$B185)</f>
        <v>84</v>
      </c>
    </row>
    <row r="186" spans="1:4" x14ac:dyDescent="0.2">
      <c r="A186" t="str">
        <f>Calcs!$A$28</f>
        <v>Group</v>
      </c>
      <c r="B186" s="37">
        <v>37059</v>
      </c>
      <c r="C186" s="7">
        <f>SUMIFS(Sales!C$2:C$1701,Sales!$A$2:$A$1701,$A186,Sales!$B$2:$B$1701,$B186)</f>
        <v>109</v>
      </c>
      <c r="D186" s="7">
        <f>SUMIFS(Sales!D$2:D$1701,Sales!$A$2:$A$1701,$A186,Sales!$B$2:$B$1701,$B186)</f>
        <v>92</v>
      </c>
    </row>
    <row r="187" spans="1:4" x14ac:dyDescent="0.2">
      <c r="A187" t="str">
        <f>Calcs!$A$28</f>
        <v>Group</v>
      </c>
      <c r="B187" s="37">
        <v>37060</v>
      </c>
      <c r="C187" s="7">
        <f>SUMIFS(Sales!C$2:C$1701,Sales!$A$2:$A$1701,$A187,Sales!$B$2:$B$1701,$B187)</f>
        <v>141</v>
      </c>
      <c r="D187" s="7">
        <f>SUMIFS(Sales!D$2:D$1701,Sales!$A$2:$A$1701,$A187,Sales!$B$2:$B$1701,$B187)</f>
        <v>80</v>
      </c>
    </row>
    <row r="188" spans="1:4" x14ac:dyDescent="0.2">
      <c r="A188" t="str">
        <f>Calcs!$A$28</f>
        <v>Group</v>
      </c>
      <c r="B188" s="37">
        <v>37061</v>
      </c>
      <c r="C188" s="7">
        <f>SUMIFS(Sales!C$2:C$1701,Sales!$A$2:$A$1701,$A188,Sales!$B$2:$B$1701,$B188)</f>
        <v>149</v>
      </c>
      <c r="D188" s="7">
        <f>SUMIFS(Sales!D$2:D$1701,Sales!$A$2:$A$1701,$A188,Sales!$B$2:$B$1701,$B188)</f>
        <v>95</v>
      </c>
    </row>
    <row r="189" spans="1:4" x14ac:dyDescent="0.2">
      <c r="A189" t="str">
        <f>Calcs!$A$28</f>
        <v>Group</v>
      </c>
      <c r="B189" s="37">
        <v>37062</v>
      </c>
      <c r="C189" s="7">
        <f>SUMIFS(Sales!C$2:C$1701,Sales!$A$2:$A$1701,$A189,Sales!$B$2:$B$1701,$B189)</f>
        <v>149</v>
      </c>
      <c r="D189" s="7">
        <f>SUMIFS(Sales!D$2:D$1701,Sales!$A$2:$A$1701,$A189,Sales!$B$2:$B$1701,$B189)</f>
        <v>72</v>
      </c>
    </row>
    <row r="190" spans="1:4" x14ac:dyDescent="0.2">
      <c r="A190" t="str">
        <f>Calcs!$A$28</f>
        <v>Group</v>
      </c>
      <c r="B190" s="37">
        <v>37063</v>
      </c>
      <c r="C190" s="7">
        <f>SUMIFS(Sales!C$2:C$1701,Sales!$A$2:$A$1701,$A190,Sales!$B$2:$B$1701,$B190)</f>
        <v>121</v>
      </c>
      <c r="D190" s="7">
        <f>SUMIFS(Sales!D$2:D$1701,Sales!$A$2:$A$1701,$A190,Sales!$B$2:$B$1701,$B190)</f>
        <v>81</v>
      </c>
    </row>
    <row r="191" spans="1:4" x14ac:dyDescent="0.2">
      <c r="A191" t="str">
        <f>Calcs!$A$28</f>
        <v>Group</v>
      </c>
      <c r="B191" s="37">
        <v>37064</v>
      </c>
      <c r="C191" s="7">
        <f>SUMIFS(Sales!C$2:C$1701,Sales!$A$2:$A$1701,$A191,Sales!$B$2:$B$1701,$B191)</f>
        <v>112</v>
      </c>
      <c r="D191" s="7">
        <f>SUMIFS(Sales!D$2:D$1701,Sales!$A$2:$A$1701,$A191,Sales!$B$2:$B$1701,$B191)</f>
        <v>70</v>
      </c>
    </row>
    <row r="192" spans="1:4" x14ac:dyDescent="0.2">
      <c r="A192" t="str">
        <f>Calcs!$A$28</f>
        <v>Group</v>
      </c>
      <c r="B192" s="37">
        <v>37065</v>
      </c>
      <c r="C192" s="7">
        <f>SUMIFS(Sales!C$2:C$1701,Sales!$A$2:$A$1701,$A192,Sales!$B$2:$B$1701,$B192)</f>
        <v>132</v>
      </c>
      <c r="D192" s="7">
        <f>SUMIFS(Sales!D$2:D$1701,Sales!$A$2:$A$1701,$A192,Sales!$B$2:$B$1701,$B192)</f>
        <v>95</v>
      </c>
    </row>
    <row r="193" spans="1:4" x14ac:dyDescent="0.2">
      <c r="A193" t="str">
        <f>Calcs!$A$28</f>
        <v>Group</v>
      </c>
      <c r="B193" s="37">
        <v>37066</v>
      </c>
      <c r="C193" s="7">
        <f>SUMIFS(Sales!C$2:C$1701,Sales!$A$2:$A$1701,$A193,Sales!$B$2:$B$1701,$B193)</f>
        <v>127</v>
      </c>
      <c r="D193" s="7">
        <f>SUMIFS(Sales!D$2:D$1701,Sales!$A$2:$A$1701,$A193,Sales!$B$2:$B$1701,$B193)</f>
        <v>72</v>
      </c>
    </row>
    <row r="194" spans="1:4" x14ac:dyDescent="0.2">
      <c r="A194" t="str">
        <f>Calcs!$A$28</f>
        <v>Group</v>
      </c>
      <c r="B194" s="37">
        <v>37067</v>
      </c>
      <c r="C194" s="7">
        <f>SUMIFS(Sales!C$2:C$1701,Sales!$A$2:$A$1701,$A194,Sales!$B$2:$B$1701,$B194)</f>
        <v>127</v>
      </c>
      <c r="D194" s="7">
        <f>SUMIFS(Sales!D$2:D$1701,Sales!$A$2:$A$1701,$A194,Sales!$B$2:$B$1701,$B194)</f>
        <v>82</v>
      </c>
    </row>
    <row r="195" spans="1:4" x14ac:dyDescent="0.2">
      <c r="A195" t="str">
        <f>Calcs!$A$28</f>
        <v>Group</v>
      </c>
      <c r="B195" s="37">
        <v>37068</v>
      </c>
      <c r="C195" s="7">
        <f>SUMIFS(Sales!C$2:C$1701,Sales!$A$2:$A$1701,$A195,Sales!$B$2:$B$1701,$B195)</f>
        <v>136</v>
      </c>
      <c r="D195" s="7">
        <f>SUMIFS(Sales!D$2:D$1701,Sales!$A$2:$A$1701,$A195,Sales!$B$2:$B$1701,$B195)</f>
        <v>71</v>
      </c>
    </row>
    <row r="196" spans="1:4" x14ac:dyDescent="0.2">
      <c r="A196" t="str">
        <f>Calcs!$A$28</f>
        <v>Group</v>
      </c>
      <c r="B196" s="37">
        <v>37069</v>
      </c>
      <c r="C196" s="7">
        <f>SUMIFS(Sales!C$2:C$1701,Sales!$A$2:$A$1701,$A196,Sales!$B$2:$B$1701,$B196)</f>
        <v>131</v>
      </c>
      <c r="D196" s="7">
        <f>SUMIFS(Sales!D$2:D$1701,Sales!$A$2:$A$1701,$A196,Sales!$B$2:$B$1701,$B196)</f>
        <v>90</v>
      </c>
    </row>
    <row r="197" spans="1:4" x14ac:dyDescent="0.2">
      <c r="A197" t="str">
        <f>Calcs!$A$28</f>
        <v>Group</v>
      </c>
      <c r="B197" s="37">
        <v>37070</v>
      </c>
      <c r="C197" s="7">
        <f>SUMIFS(Sales!C$2:C$1701,Sales!$A$2:$A$1701,$A197,Sales!$B$2:$B$1701,$B197)</f>
        <v>126</v>
      </c>
      <c r="D197" s="7">
        <f>SUMIFS(Sales!D$2:D$1701,Sales!$A$2:$A$1701,$A197,Sales!$B$2:$B$1701,$B197)</f>
        <v>79</v>
      </c>
    </row>
    <row r="198" spans="1:4" x14ac:dyDescent="0.2">
      <c r="A198" t="str">
        <f>Calcs!$A$28</f>
        <v>Group</v>
      </c>
      <c r="B198" s="37">
        <v>37071</v>
      </c>
      <c r="C198" s="7">
        <f>SUMIFS(Sales!C$2:C$1701,Sales!$A$2:$A$1701,$A198,Sales!$B$2:$B$1701,$B198)</f>
        <v>132</v>
      </c>
      <c r="D198" s="7">
        <f>SUMIFS(Sales!D$2:D$1701,Sales!$A$2:$A$1701,$A198,Sales!$B$2:$B$1701,$B198)</f>
        <v>81</v>
      </c>
    </row>
    <row r="199" spans="1:4" x14ac:dyDescent="0.2">
      <c r="A199" t="str">
        <f>Calcs!$A$28</f>
        <v>Group</v>
      </c>
      <c r="B199" s="37">
        <v>37072</v>
      </c>
      <c r="C199" s="7">
        <f>SUMIFS(Sales!C$2:C$1701,Sales!$A$2:$A$1701,$A199,Sales!$B$2:$B$1701,$B199)</f>
        <v>139</v>
      </c>
      <c r="D199" s="7">
        <f>SUMIFS(Sales!D$2:D$1701,Sales!$A$2:$A$1701,$A199,Sales!$B$2:$B$1701,$B199)</f>
        <v>64</v>
      </c>
    </row>
    <row r="200" spans="1:4" x14ac:dyDescent="0.2">
      <c r="A200" t="str">
        <f>Calcs!$A$28</f>
        <v>Group</v>
      </c>
      <c r="B200" s="37">
        <v>37073</v>
      </c>
      <c r="C200" s="7">
        <f>SUMIFS(Sales!C$2:C$1701,Sales!$A$2:$A$1701,$A200,Sales!$B$2:$B$1701,$B200)</f>
        <v>135</v>
      </c>
      <c r="D200" s="7">
        <f>SUMIFS(Sales!D$2:D$1701,Sales!$A$2:$A$1701,$A200,Sales!$B$2:$B$1701,$B200)</f>
        <v>61</v>
      </c>
    </row>
    <row r="201" spans="1:4" x14ac:dyDescent="0.2">
      <c r="A201" t="str">
        <f>Calcs!$A$28</f>
        <v>Group</v>
      </c>
      <c r="B201" s="37">
        <v>37074</v>
      </c>
      <c r="C201" s="7">
        <f>SUMIFS(Sales!C$2:C$1701,Sales!$A$2:$A$1701,$A201,Sales!$B$2:$B$1701,$B201)</f>
        <v>151</v>
      </c>
      <c r="D201" s="7">
        <f>SUMIFS(Sales!D$2:D$1701,Sales!$A$2:$A$1701,$A201,Sales!$B$2:$B$1701,$B201)</f>
        <v>87</v>
      </c>
    </row>
    <row r="202" spans="1:4" x14ac:dyDescent="0.2">
      <c r="A202" t="str">
        <f>Calcs!$A$28</f>
        <v>Group</v>
      </c>
      <c r="B202" s="37">
        <v>37075</v>
      </c>
      <c r="C202" s="7">
        <f>SUMIFS(Sales!C$2:C$1701,Sales!$A$2:$A$1701,$A202,Sales!$B$2:$B$1701,$B202)</f>
        <v>129</v>
      </c>
      <c r="D202" s="7">
        <f>SUMIFS(Sales!D$2:D$1701,Sales!$A$2:$A$1701,$A202,Sales!$B$2:$B$1701,$B202)</f>
        <v>96</v>
      </c>
    </row>
    <row r="203" spans="1:4" x14ac:dyDescent="0.2">
      <c r="A203" t="str">
        <f>Calcs!$A$28</f>
        <v>Group</v>
      </c>
      <c r="B203" s="37">
        <v>37076</v>
      </c>
      <c r="C203" s="7">
        <f>SUMIFS(Sales!C$2:C$1701,Sales!$A$2:$A$1701,$A203,Sales!$B$2:$B$1701,$B203)</f>
        <v>143</v>
      </c>
      <c r="D203" s="7">
        <f>SUMIFS(Sales!D$2:D$1701,Sales!$A$2:$A$1701,$A203,Sales!$B$2:$B$1701,$B203)</f>
        <v>76</v>
      </c>
    </row>
    <row r="204" spans="1:4" x14ac:dyDescent="0.2">
      <c r="A204" t="str">
        <f>Calcs!$A$28</f>
        <v>Group</v>
      </c>
      <c r="B204" s="37">
        <v>37077</v>
      </c>
      <c r="C204" s="7">
        <f>SUMIFS(Sales!C$2:C$1701,Sales!$A$2:$A$1701,$A204,Sales!$B$2:$B$1701,$B204)</f>
        <v>128</v>
      </c>
      <c r="D204" s="7">
        <f>SUMIFS(Sales!D$2:D$1701,Sales!$A$2:$A$1701,$A204,Sales!$B$2:$B$1701,$B204)</f>
        <v>81</v>
      </c>
    </row>
    <row r="205" spans="1:4" x14ac:dyDescent="0.2">
      <c r="A205" t="str">
        <f>Calcs!$A$28</f>
        <v>Group</v>
      </c>
      <c r="B205" s="37">
        <v>37078</v>
      </c>
      <c r="C205" s="7">
        <f>SUMIFS(Sales!C$2:C$1701,Sales!$A$2:$A$1701,$A205,Sales!$B$2:$B$1701,$B205)</f>
        <v>129</v>
      </c>
      <c r="D205" s="7">
        <f>SUMIFS(Sales!D$2:D$1701,Sales!$A$2:$A$1701,$A205,Sales!$B$2:$B$1701,$B205)</f>
        <v>65</v>
      </c>
    </row>
    <row r="206" spans="1:4" x14ac:dyDescent="0.2">
      <c r="A206" t="str">
        <f>Calcs!$A$28</f>
        <v>Group</v>
      </c>
      <c r="B206" s="37">
        <v>37079</v>
      </c>
      <c r="C206" s="7">
        <f>SUMIFS(Sales!C$2:C$1701,Sales!$A$2:$A$1701,$A206,Sales!$B$2:$B$1701,$B206)</f>
        <v>138</v>
      </c>
      <c r="D206" s="7">
        <f>SUMIFS(Sales!D$2:D$1701,Sales!$A$2:$A$1701,$A206,Sales!$B$2:$B$1701,$B206)</f>
        <v>87</v>
      </c>
    </row>
    <row r="207" spans="1:4" x14ac:dyDescent="0.2">
      <c r="A207" t="str">
        <f>Calcs!$A$28</f>
        <v>Group</v>
      </c>
      <c r="B207" s="37">
        <v>37080</v>
      </c>
      <c r="C207" s="7">
        <f>SUMIFS(Sales!C$2:C$1701,Sales!$A$2:$A$1701,$A207,Sales!$B$2:$B$1701,$B207)</f>
        <v>128</v>
      </c>
      <c r="D207" s="7">
        <f>SUMIFS(Sales!D$2:D$1701,Sales!$A$2:$A$1701,$A207,Sales!$B$2:$B$1701,$B207)</f>
        <v>67</v>
      </c>
    </row>
    <row r="208" spans="1:4" x14ac:dyDescent="0.2">
      <c r="A208" t="str">
        <f>Calcs!$A$28</f>
        <v>Group</v>
      </c>
      <c r="B208" s="37">
        <v>37081</v>
      </c>
      <c r="C208" s="7">
        <f>SUMIFS(Sales!C$2:C$1701,Sales!$A$2:$A$1701,$A208,Sales!$B$2:$B$1701,$B208)</f>
        <v>116</v>
      </c>
      <c r="D208" s="7">
        <f>SUMIFS(Sales!D$2:D$1701,Sales!$A$2:$A$1701,$A208,Sales!$B$2:$B$1701,$B208)</f>
        <v>87</v>
      </c>
    </row>
    <row r="209" spans="1:4" x14ac:dyDescent="0.2">
      <c r="A209" t="str">
        <f>Calcs!$A$28</f>
        <v>Group</v>
      </c>
      <c r="B209" s="37">
        <v>37082</v>
      </c>
      <c r="C209" s="7">
        <f>SUMIFS(Sales!C$2:C$1701,Sales!$A$2:$A$1701,$A209,Sales!$B$2:$B$1701,$B209)</f>
        <v>117</v>
      </c>
      <c r="D209" s="7">
        <f>SUMIFS(Sales!D$2:D$1701,Sales!$A$2:$A$1701,$A209,Sales!$B$2:$B$1701,$B209)</f>
        <v>85</v>
      </c>
    </row>
    <row r="210" spans="1:4" x14ac:dyDescent="0.2">
      <c r="A210" t="str">
        <f>Calcs!$A$28</f>
        <v>Group</v>
      </c>
      <c r="B210" s="37">
        <v>37083</v>
      </c>
      <c r="C210" s="7">
        <f>SUMIFS(Sales!C$2:C$1701,Sales!$A$2:$A$1701,$A210,Sales!$B$2:$B$1701,$B210)</f>
        <v>110</v>
      </c>
      <c r="D210" s="7">
        <f>SUMIFS(Sales!D$2:D$1701,Sales!$A$2:$A$1701,$A210,Sales!$B$2:$B$1701,$B210)</f>
        <v>58</v>
      </c>
    </row>
    <row r="211" spans="1:4" x14ac:dyDescent="0.2">
      <c r="A211" t="str">
        <f>Calcs!$A$28</f>
        <v>Group</v>
      </c>
      <c r="B211" s="37">
        <v>37084</v>
      </c>
      <c r="C211" s="7">
        <f>SUMIFS(Sales!C$2:C$1701,Sales!$A$2:$A$1701,$A211,Sales!$B$2:$B$1701,$B211)</f>
        <v>125</v>
      </c>
      <c r="D211" s="7">
        <f>SUMIFS(Sales!D$2:D$1701,Sales!$A$2:$A$1701,$A211,Sales!$B$2:$B$1701,$B211)</f>
        <v>71</v>
      </c>
    </row>
    <row r="212" spans="1:4" x14ac:dyDescent="0.2">
      <c r="A212" t="str">
        <f>Calcs!$A$28</f>
        <v>Group</v>
      </c>
      <c r="B212" s="37">
        <v>37085</v>
      </c>
      <c r="C212" s="7">
        <f>SUMIFS(Sales!C$2:C$1701,Sales!$A$2:$A$1701,$A212,Sales!$B$2:$B$1701,$B212)</f>
        <v>140</v>
      </c>
      <c r="D212" s="7">
        <f>SUMIFS(Sales!D$2:D$1701,Sales!$A$2:$A$1701,$A212,Sales!$B$2:$B$1701,$B212)</f>
        <v>85</v>
      </c>
    </row>
    <row r="213" spans="1:4" x14ac:dyDescent="0.2">
      <c r="A213" t="str">
        <f>Calcs!$A$28</f>
        <v>Group</v>
      </c>
      <c r="B213" s="37">
        <v>37086</v>
      </c>
      <c r="C213" s="7">
        <f>SUMIFS(Sales!C$2:C$1701,Sales!$A$2:$A$1701,$A213,Sales!$B$2:$B$1701,$B213)</f>
        <v>143</v>
      </c>
      <c r="D213" s="7">
        <f>SUMIFS(Sales!D$2:D$1701,Sales!$A$2:$A$1701,$A213,Sales!$B$2:$B$1701,$B213)</f>
        <v>68</v>
      </c>
    </row>
    <row r="214" spans="1:4" x14ac:dyDescent="0.2">
      <c r="A214" t="str">
        <f>Calcs!$A$28</f>
        <v>Group</v>
      </c>
      <c r="B214" s="37">
        <v>37087</v>
      </c>
      <c r="C214" s="7">
        <f>SUMIFS(Sales!C$2:C$1701,Sales!$A$2:$A$1701,$A214,Sales!$B$2:$B$1701,$B214)</f>
        <v>126</v>
      </c>
      <c r="D214" s="7">
        <f>SUMIFS(Sales!D$2:D$1701,Sales!$A$2:$A$1701,$A214,Sales!$B$2:$B$1701,$B214)</f>
        <v>79</v>
      </c>
    </row>
    <row r="215" spans="1:4" x14ac:dyDescent="0.2">
      <c r="A215" t="str">
        <f>Calcs!$A$28</f>
        <v>Group</v>
      </c>
      <c r="B215" s="37">
        <v>37088</v>
      </c>
      <c r="C215" s="7">
        <f>SUMIFS(Sales!C$2:C$1701,Sales!$A$2:$A$1701,$A215,Sales!$B$2:$B$1701,$B215)</f>
        <v>134</v>
      </c>
      <c r="D215" s="7">
        <f>SUMIFS(Sales!D$2:D$1701,Sales!$A$2:$A$1701,$A215,Sales!$B$2:$B$1701,$B215)</f>
        <v>70</v>
      </c>
    </row>
    <row r="216" spans="1:4" x14ac:dyDescent="0.2">
      <c r="A216" t="str">
        <f>Calcs!$A$28</f>
        <v>Group</v>
      </c>
      <c r="B216" s="37">
        <v>37089</v>
      </c>
      <c r="C216" s="7">
        <f>SUMIFS(Sales!C$2:C$1701,Sales!$A$2:$A$1701,$A216,Sales!$B$2:$B$1701,$B216)</f>
        <v>136</v>
      </c>
      <c r="D216" s="7">
        <f>SUMIFS(Sales!D$2:D$1701,Sales!$A$2:$A$1701,$A216,Sales!$B$2:$B$1701,$B216)</f>
        <v>81</v>
      </c>
    </row>
    <row r="217" spans="1:4" x14ac:dyDescent="0.2">
      <c r="A217" t="str">
        <f>Calcs!$A$28</f>
        <v>Group</v>
      </c>
      <c r="B217" s="37">
        <v>37090</v>
      </c>
      <c r="C217" s="7">
        <f>SUMIFS(Sales!C$2:C$1701,Sales!$A$2:$A$1701,$A217,Sales!$B$2:$B$1701,$B217)</f>
        <v>130</v>
      </c>
      <c r="D217" s="7">
        <f>SUMIFS(Sales!D$2:D$1701,Sales!$A$2:$A$1701,$A217,Sales!$B$2:$B$1701,$B217)</f>
        <v>78</v>
      </c>
    </row>
    <row r="218" spans="1:4" x14ac:dyDescent="0.2">
      <c r="A218" t="str">
        <f>Calcs!$A$28</f>
        <v>Group</v>
      </c>
      <c r="B218" s="37">
        <v>37091</v>
      </c>
      <c r="C218" s="7">
        <f>SUMIFS(Sales!C$2:C$1701,Sales!$A$2:$A$1701,$A218,Sales!$B$2:$B$1701,$B218)</f>
        <v>120</v>
      </c>
      <c r="D218" s="7">
        <f>SUMIFS(Sales!D$2:D$1701,Sales!$A$2:$A$1701,$A218,Sales!$B$2:$B$1701,$B218)</f>
        <v>101</v>
      </c>
    </row>
    <row r="219" spans="1:4" x14ac:dyDescent="0.2">
      <c r="A219" t="str">
        <f>Calcs!$A$28</f>
        <v>Group</v>
      </c>
      <c r="B219" s="37">
        <v>37092</v>
      </c>
      <c r="C219" s="7">
        <f>SUMIFS(Sales!C$2:C$1701,Sales!$A$2:$A$1701,$A219,Sales!$B$2:$B$1701,$B219)</f>
        <v>108</v>
      </c>
      <c r="D219" s="7">
        <f>SUMIFS(Sales!D$2:D$1701,Sales!$A$2:$A$1701,$A219,Sales!$B$2:$B$1701,$B219)</f>
        <v>77</v>
      </c>
    </row>
    <row r="220" spans="1:4" x14ac:dyDescent="0.2">
      <c r="A220" t="str">
        <f>Calcs!$A$28</f>
        <v>Group</v>
      </c>
      <c r="B220" s="37">
        <v>37093</v>
      </c>
      <c r="C220" s="7">
        <f>SUMIFS(Sales!C$2:C$1701,Sales!$A$2:$A$1701,$A220,Sales!$B$2:$B$1701,$B220)</f>
        <v>128</v>
      </c>
      <c r="D220" s="7">
        <f>SUMIFS(Sales!D$2:D$1701,Sales!$A$2:$A$1701,$A220,Sales!$B$2:$B$1701,$B220)</f>
        <v>89</v>
      </c>
    </row>
    <row r="221" spans="1:4" x14ac:dyDescent="0.2">
      <c r="A221" t="str">
        <f>Calcs!$A$28</f>
        <v>Group</v>
      </c>
      <c r="B221" s="37">
        <v>37094</v>
      </c>
      <c r="C221" s="7">
        <f>SUMIFS(Sales!C$2:C$1701,Sales!$A$2:$A$1701,$A221,Sales!$B$2:$B$1701,$B221)</f>
        <v>124</v>
      </c>
      <c r="D221" s="7">
        <f>SUMIFS(Sales!D$2:D$1701,Sales!$A$2:$A$1701,$A221,Sales!$B$2:$B$1701,$B221)</f>
        <v>81</v>
      </c>
    </row>
    <row r="222" spans="1:4" x14ac:dyDescent="0.2">
      <c r="A222" t="str">
        <f>Calcs!$A$28</f>
        <v>Group</v>
      </c>
      <c r="B222" s="37">
        <v>37095</v>
      </c>
      <c r="C222" s="7">
        <f>SUMIFS(Sales!C$2:C$1701,Sales!$A$2:$A$1701,$A222,Sales!$B$2:$B$1701,$B222)</f>
        <v>116</v>
      </c>
      <c r="D222" s="7">
        <f>SUMIFS(Sales!D$2:D$1701,Sales!$A$2:$A$1701,$A222,Sales!$B$2:$B$1701,$B222)</f>
        <v>69</v>
      </c>
    </row>
    <row r="223" spans="1:4" x14ac:dyDescent="0.2">
      <c r="A223" t="str">
        <f>Calcs!$A$28</f>
        <v>Group</v>
      </c>
      <c r="B223" s="37">
        <v>37096</v>
      </c>
      <c r="C223" s="7">
        <f>SUMIFS(Sales!C$2:C$1701,Sales!$A$2:$A$1701,$A223,Sales!$B$2:$B$1701,$B223)</f>
        <v>141</v>
      </c>
      <c r="D223" s="7">
        <f>SUMIFS(Sales!D$2:D$1701,Sales!$A$2:$A$1701,$A223,Sales!$B$2:$B$1701,$B223)</f>
        <v>80</v>
      </c>
    </row>
    <row r="224" spans="1:4" x14ac:dyDescent="0.2">
      <c r="A224" t="str">
        <f>Calcs!$A$28</f>
        <v>Group</v>
      </c>
      <c r="B224" s="37">
        <v>37097</v>
      </c>
      <c r="C224" s="7">
        <f>SUMIFS(Sales!C$2:C$1701,Sales!$A$2:$A$1701,$A224,Sales!$B$2:$B$1701,$B224)</f>
        <v>146</v>
      </c>
      <c r="D224" s="7">
        <f>SUMIFS(Sales!D$2:D$1701,Sales!$A$2:$A$1701,$A224,Sales!$B$2:$B$1701,$B224)</f>
        <v>66</v>
      </c>
    </row>
    <row r="225" spans="1:4" x14ac:dyDescent="0.2">
      <c r="A225" t="str">
        <f>Calcs!$A$28</f>
        <v>Group</v>
      </c>
      <c r="B225" s="37">
        <v>37098</v>
      </c>
      <c r="C225" s="7">
        <f>SUMIFS(Sales!C$2:C$1701,Sales!$A$2:$A$1701,$A225,Sales!$B$2:$B$1701,$B225)</f>
        <v>137</v>
      </c>
      <c r="D225" s="7">
        <f>SUMIFS(Sales!D$2:D$1701,Sales!$A$2:$A$1701,$A225,Sales!$B$2:$B$1701,$B225)</f>
        <v>82</v>
      </c>
    </row>
    <row r="226" spans="1:4" x14ac:dyDescent="0.2">
      <c r="A226" t="str">
        <f>Calcs!$A$28</f>
        <v>Group</v>
      </c>
      <c r="B226" s="37">
        <v>37099</v>
      </c>
      <c r="C226" s="7">
        <f>SUMIFS(Sales!C$2:C$1701,Sales!$A$2:$A$1701,$A226,Sales!$B$2:$B$1701,$B226)</f>
        <v>127</v>
      </c>
      <c r="D226" s="7">
        <f>SUMIFS(Sales!D$2:D$1701,Sales!$A$2:$A$1701,$A226,Sales!$B$2:$B$1701,$B226)</f>
        <v>68</v>
      </c>
    </row>
    <row r="227" spans="1:4" x14ac:dyDescent="0.2">
      <c r="A227" t="str">
        <f>Calcs!$A$28</f>
        <v>Group</v>
      </c>
      <c r="B227" s="37">
        <v>37100</v>
      </c>
      <c r="C227" s="7">
        <f>SUMIFS(Sales!C$2:C$1701,Sales!$A$2:$A$1701,$A227,Sales!$B$2:$B$1701,$B227)</f>
        <v>113</v>
      </c>
      <c r="D227" s="7">
        <f>SUMIFS(Sales!D$2:D$1701,Sales!$A$2:$A$1701,$A227,Sales!$B$2:$B$1701,$B227)</f>
        <v>79</v>
      </c>
    </row>
    <row r="228" spans="1:4" x14ac:dyDescent="0.2">
      <c r="A228" t="str">
        <f>Calcs!$A$28</f>
        <v>Group</v>
      </c>
      <c r="B228" s="37">
        <v>37101</v>
      </c>
      <c r="C228" s="7">
        <f>SUMIFS(Sales!C$2:C$1701,Sales!$A$2:$A$1701,$A228,Sales!$B$2:$B$1701,$B228)</f>
        <v>137</v>
      </c>
      <c r="D228" s="7">
        <f>SUMIFS(Sales!D$2:D$1701,Sales!$A$2:$A$1701,$A228,Sales!$B$2:$B$1701,$B228)</f>
        <v>92</v>
      </c>
    </row>
    <row r="229" spans="1:4" x14ac:dyDescent="0.2">
      <c r="A229" t="str">
        <f>Calcs!$A$28</f>
        <v>Group</v>
      </c>
      <c r="B229" s="37">
        <v>37102</v>
      </c>
      <c r="C229" s="7">
        <f>SUMIFS(Sales!C$2:C$1701,Sales!$A$2:$A$1701,$A229,Sales!$B$2:$B$1701,$B229)</f>
        <v>125</v>
      </c>
      <c r="D229" s="7">
        <f>SUMIFS(Sales!D$2:D$1701,Sales!$A$2:$A$1701,$A229,Sales!$B$2:$B$1701,$B229)</f>
        <v>73</v>
      </c>
    </row>
    <row r="230" spans="1:4" x14ac:dyDescent="0.2">
      <c r="A230" t="str">
        <f>Calcs!$A$28</f>
        <v>Group</v>
      </c>
      <c r="B230" s="37">
        <v>37103</v>
      </c>
      <c r="C230" s="7">
        <f>SUMIFS(Sales!C$2:C$1701,Sales!$A$2:$A$1701,$A230,Sales!$B$2:$B$1701,$B230)</f>
        <v>131</v>
      </c>
      <c r="D230" s="7">
        <f>SUMIFS(Sales!D$2:D$1701,Sales!$A$2:$A$1701,$A230,Sales!$B$2:$B$1701,$B230)</f>
        <v>90</v>
      </c>
    </row>
    <row r="231" spans="1:4" x14ac:dyDescent="0.2">
      <c r="A231" t="str">
        <f>Calcs!$A$28</f>
        <v>Group</v>
      </c>
      <c r="B231" s="37">
        <v>37104</v>
      </c>
      <c r="C231" s="7">
        <f>SUMIFS(Sales!C$2:C$1701,Sales!$A$2:$A$1701,$A231,Sales!$B$2:$B$1701,$B231)</f>
        <v>121</v>
      </c>
      <c r="D231" s="7">
        <f>SUMIFS(Sales!D$2:D$1701,Sales!$A$2:$A$1701,$A231,Sales!$B$2:$B$1701,$B231)</f>
        <v>93</v>
      </c>
    </row>
    <row r="232" spans="1:4" x14ac:dyDescent="0.2">
      <c r="A232" t="str">
        <f>Calcs!$A$28</f>
        <v>Group</v>
      </c>
      <c r="B232" s="37">
        <v>37105</v>
      </c>
      <c r="C232" s="7">
        <f>SUMIFS(Sales!C$2:C$1701,Sales!$A$2:$A$1701,$A232,Sales!$B$2:$B$1701,$B232)</f>
        <v>129</v>
      </c>
      <c r="D232" s="7">
        <f>SUMIFS(Sales!D$2:D$1701,Sales!$A$2:$A$1701,$A232,Sales!$B$2:$B$1701,$B232)</f>
        <v>81</v>
      </c>
    </row>
    <row r="233" spans="1:4" x14ac:dyDescent="0.2">
      <c r="A233" t="str">
        <f>Calcs!$A$28</f>
        <v>Group</v>
      </c>
      <c r="B233" s="37">
        <v>37106</v>
      </c>
      <c r="C233" s="7">
        <f>SUMIFS(Sales!C$2:C$1701,Sales!$A$2:$A$1701,$A233,Sales!$B$2:$B$1701,$B233)</f>
        <v>128</v>
      </c>
      <c r="D233" s="7">
        <f>SUMIFS(Sales!D$2:D$1701,Sales!$A$2:$A$1701,$A233,Sales!$B$2:$B$1701,$B233)</f>
        <v>85</v>
      </c>
    </row>
    <row r="234" spans="1:4" x14ac:dyDescent="0.2">
      <c r="A234" t="str">
        <f>Calcs!$A$28</f>
        <v>Group</v>
      </c>
      <c r="B234" s="37">
        <v>37107</v>
      </c>
      <c r="C234" s="7">
        <f>SUMIFS(Sales!C$2:C$1701,Sales!$A$2:$A$1701,$A234,Sales!$B$2:$B$1701,$B234)</f>
        <v>121</v>
      </c>
      <c r="D234" s="7">
        <f>SUMIFS(Sales!D$2:D$1701,Sales!$A$2:$A$1701,$A234,Sales!$B$2:$B$1701,$B234)</f>
        <v>66</v>
      </c>
    </row>
    <row r="235" spans="1:4" x14ac:dyDescent="0.2">
      <c r="A235" t="str">
        <f>Calcs!$A$28</f>
        <v>Group</v>
      </c>
      <c r="B235" s="37">
        <v>37108</v>
      </c>
      <c r="C235" s="7">
        <f>SUMIFS(Sales!C$2:C$1701,Sales!$A$2:$A$1701,$A235,Sales!$B$2:$B$1701,$B235)</f>
        <v>144</v>
      </c>
      <c r="D235" s="7">
        <f>SUMIFS(Sales!D$2:D$1701,Sales!$A$2:$A$1701,$A235,Sales!$B$2:$B$1701,$B235)</f>
        <v>58</v>
      </c>
    </row>
    <row r="236" spans="1:4" x14ac:dyDescent="0.2">
      <c r="A236" t="str">
        <f>Calcs!$A$28</f>
        <v>Group</v>
      </c>
      <c r="B236" s="37">
        <v>37109</v>
      </c>
      <c r="C236" s="7">
        <f>SUMIFS(Sales!C$2:C$1701,Sales!$A$2:$A$1701,$A236,Sales!$B$2:$B$1701,$B236)</f>
        <v>128</v>
      </c>
      <c r="D236" s="7">
        <f>SUMIFS(Sales!D$2:D$1701,Sales!$A$2:$A$1701,$A236,Sales!$B$2:$B$1701,$B236)</f>
        <v>74</v>
      </c>
    </row>
    <row r="237" spans="1:4" x14ac:dyDescent="0.2">
      <c r="A237" t="str">
        <f>Calcs!$A$28</f>
        <v>Group</v>
      </c>
      <c r="B237" s="37">
        <v>37110</v>
      </c>
      <c r="C237" s="7">
        <f>SUMIFS(Sales!C$2:C$1701,Sales!$A$2:$A$1701,$A237,Sales!$B$2:$B$1701,$B237)</f>
        <v>128</v>
      </c>
      <c r="D237" s="7">
        <f>SUMIFS(Sales!D$2:D$1701,Sales!$A$2:$A$1701,$A237,Sales!$B$2:$B$1701,$B237)</f>
        <v>93</v>
      </c>
    </row>
    <row r="238" spans="1:4" x14ac:dyDescent="0.2">
      <c r="A238" t="str">
        <f>Calcs!$A$28</f>
        <v>Group</v>
      </c>
      <c r="B238" s="37">
        <v>37111</v>
      </c>
      <c r="C238" s="7">
        <f>SUMIFS(Sales!C$2:C$1701,Sales!$A$2:$A$1701,$A238,Sales!$B$2:$B$1701,$B238)</f>
        <v>143</v>
      </c>
      <c r="D238" s="7">
        <f>SUMIFS(Sales!D$2:D$1701,Sales!$A$2:$A$1701,$A238,Sales!$B$2:$B$1701,$B238)</f>
        <v>75</v>
      </c>
    </row>
    <row r="239" spans="1:4" x14ac:dyDescent="0.2">
      <c r="A239" t="str">
        <f>Calcs!$A$28</f>
        <v>Group</v>
      </c>
      <c r="B239" s="37">
        <v>37112</v>
      </c>
      <c r="C239" s="7">
        <f>SUMIFS(Sales!C$2:C$1701,Sales!$A$2:$A$1701,$A239,Sales!$B$2:$B$1701,$B239)</f>
        <v>147</v>
      </c>
      <c r="D239" s="7">
        <f>SUMIFS(Sales!D$2:D$1701,Sales!$A$2:$A$1701,$A239,Sales!$B$2:$B$1701,$B239)</f>
        <v>94</v>
      </c>
    </row>
    <row r="240" spans="1:4" x14ac:dyDescent="0.2">
      <c r="A240" t="str">
        <f>Calcs!$A$28</f>
        <v>Group</v>
      </c>
      <c r="B240" s="37">
        <v>37113</v>
      </c>
      <c r="C240" s="7">
        <f>SUMIFS(Sales!C$2:C$1701,Sales!$A$2:$A$1701,$A240,Sales!$B$2:$B$1701,$B240)</f>
        <v>132</v>
      </c>
      <c r="D240" s="7">
        <f>SUMIFS(Sales!D$2:D$1701,Sales!$A$2:$A$1701,$A240,Sales!$B$2:$B$1701,$B240)</f>
        <v>85</v>
      </c>
    </row>
    <row r="241" spans="1:4" x14ac:dyDescent="0.2">
      <c r="A241" t="str">
        <f>Calcs!$A$28</f>
        <v>Group</v>
      </c>
      <c r="B241" s="37">
        <v>37114</v>
      </c>
      <c r="C241" s="7">
        <f>SUMIFS(Sales!C$2:C$1701,Sales!$A$2:$A$1701,$A241,Sales!$B$2:$B$1701,$B241)</f>
        <v>125</v>
      </c>
      <c r="D241" s="7">
        <f>SUMIFS(Sales!D$2:D$1701,Sales!$A$2:$A$1701,$A241,Sales!$B$2:$B$1701,$B241)</f>
        <v>59</v>
      </c>
    </row>
    <row r="242" spans="1:4" x14ac:dyDescent="0.2">
      <c r="A242" t="str">
        <f>Calcs!$A$28</f>
        <v>Group</v>
      </c>
      <c r="B242" s="37">
        <v>37115</v>
      </c>
      <c r="C242" s="7">
        <f>SUMIFS(Sales!C$2:C$1701,Sales!$A$2:$A$1701,$A242,Sales!$B$2:$B$1701,$B242)</f>
        <v>139</v>
      </c>
      <c r="D242" s="7">
        <f>SUMIFS(Sales!D$2:D$1701,Sales!$A$2:$A$1701,$A242,Sales!$B$2:$B$1701,$B242)</f>
        <v>81</v>
      </c>
    </row>
    <row r="243" spans="1:4" x14ac:dyDescent="0.2">
      <c r="A243" t="str">
        <f>Calcs!$A$28</f>
        <v>Group</v>
      </c>
      <c r="B243" s="37">
        <v>37116</v>
      </c>
      <c r="C243" s="7">
        <f>SUMIFS(Sales!C$2:C$1701,Sales!$A$2:$A$1701,$A243,Sales!$B$2:$B$1701,$B243)</f>
        <v>126</v>
      </c>
      <c r="D243" s="7">
        <f>SUMIFS(Sales!D$2:D$1701,Sales!$A$2:$A$1701,$A243,Sales!$B$2:$B$1701,$B243)</f>
        <v>65</v>
      </c>
    </row>
    <row r="244" spans="1:4" x14ac:dyDescent="0.2">
      <c r="A244" t="str">
        <f>Calcs!$A$28</f>
        <v>Group</v>
      </c>
      <c r="B244" s="37">
        <v>37117</v>
      </c>
      <c r="C244" s="7">
        <f>SUMIFS(Sales!C$2:C$1701,Sales!$A$2:$A$1701,$A244,Sales!$B$2:$B$1701,$B244)</f>
        <v>134</v>
      </c>
      <c r="D244" s="7">
        <f>SUMIFS(Sales!D$2:D$1701,Sales!$A$2:$A$1701,$A244,Sales!$B$2:$B$1701,$B244)</f>
        <v>70</v>
      </c>
    </row>
    <row r="245" spans="1:4" x14ac:dyDescent="0.2">
      <c r="A245" t="str">
        <f>Calcs!$A$28</f>
        <v>Group</v>
      </c>
      <c r="B245" s="37">
        <v>37118</v>
      </c>
      <c r="C245" s="7">
        <f>SUMIFS(Sales!C$2:C$1701,Sales!$A$2:$A$1701,$A245,Sales!$B$2:$B$1701,$B245)</f>
        <v>144</v>
      </c>
      <c r="D245" s="7">
        <f>SUMIFS(Sales!D$2:D$1701,Sales!$A$2:$A$1701,$A245,Sales!$B$2:$B$1701,$B245)</f>
        <v>67</v>
      </c>
    </row>
    <row r="246" spans="1:4" x14ac:dyDescent="0.2">
      <c r="A246" t="str">
        <f>Calcs!$A$28</f>
        <v>Group</v>
      </c>
      <c r="B246" s="37">
        <v>37119</v>
      </c>
      <c r="C246" s="7">
        <f>SUMIFS(Sales!C$2:C$1701,Sales!$A$2:$A$1701,$A246,Sales!$B$2:$B$1701,$B246)</f>
        <v>128</v>
      </c>
      <c r="D246" s="7">
        <f>SUMIFS(Sales!D$2:D$1701,Sales!$A$2:$A$1701,$A246,Sales!$B$2:$B$1701,$B246)</f>
        <v>73</v>
      </c>
    </row>
    <row r="247" spans="1:4" x14ac:dyDescent="0.2">
      <c r="A247" t="str">
        <f>Calcs!$A$28</f>
        <v>Group</v>
      </c>
      <c r="B247" s="37">
        <v>37120</v>
      </c>
      <c r="C247" s="7">
        <f>SUMIFS(Sales!C$2:C$1701,Sales!$A$2:$A$1701,$A247,Sales!$B$2:$B$1701,$B247)</f>
        <v>150</v>
      </c>
      <c r="D247" s="7">
        <f>SUMIFS(Sales!D$2:D$1701,Sales!$A$2:$A$1701,$A247,Sales!$B$2:$B$1701,$B247)</f>
        <v>58</v>
      </c>
    </row>
    <row r="248" spans="1:4" x14ac:dyDescent="0.2">
      <c r="A248" t="str">
        <f>Calcs!$A$28</f>
        <v>Group</v>
      </c>
      <c r="B248" s="37">
        <v>37121</v>
      </c>
      <c r="C248" s="7">
        <f>SUMIFS(Sales!C$2:C$1701,Sales!$A$2:$A$1701,$A248,Sales!$B$2:$B$1701,$B248)</f>
        <v>118</v>
      </c>
      <c r="D248" s="7">
        <f>SUMIFS(Sales!D$2:D$1701,Sales!$A$2:$A$1701,$A248,Sales!$B$2:$B$1701,$B248)</f>
        <v>58</v>
      </c>
    </row>
    <row r="249" spans="1:4" x14ac:dyDescent="0.2">
      <c r="A249" t="str">
        <f>Calcs!$A$28</f>
        <v>Group</v>
      </c>
      <c r="B249" s="37">
        <v>37122</v>
      </c>
      <c r="C249" s="7">
        <f>SUMIFS(Sales!C$2:C$1701,Sales!$A$2:$A$1701,$A249,Sales!$B$2:$B$1701,$B249)</f>
        <v>130</v>
      </c>
      <c r="D249" s="7">
        <f>SUMIFS(Sales!D$2:D$1701,Sales!$A$2:$A$1701,$A249,Sales!$B$2:$B$1701,$B249)</f>
        <v>80</v>
      </c>
    </row>
    <row r="250" spans="1:4" x14ac:dyDescent="0.2">
      <c r="A250" t="str">
        <f>Calcs!$A$28</f>
        <v>Group</v>
      </c>
      <c r="B250" s="37">
        <v>37123</v>
      </c>
      <c r="C250" s="7">
        <f>SUMIFS(Sales!C$2:C$1701,Sales!$A$2:$A$1701,$A250,Sales!$B$2:$B$1701,$B250)</f>
        <v>112</v>
      </c>
      <c r="D250" s="7">
        <f>SUMIFS(Sales!D$2:D$1701,Sales!$A$2:$A$1701,$A250,Sales!$B$2:$B$1701,$B250)</f>
        <v>67</v>
      </c>
    </row>
    <row r="251" spans="1:4" x14ac:dyDescent="0.2">
      <c r="A251" t="str">
        <f>Calcs!$A$28</f>
        <v>Group</v>
      </c>
      <c r="B251" s="37">
        <v>37124</v>
      </c>
      <c r="C251" s="7">
        <f>SUMIFS(Sales!C$2:C$1701,Sales!$A$2:$A$1701,$A251,Sales!$B$2:$B$1701,$B251)</f>
        <v>122</v>
      </c>
      <c r="D251" s="7">
        <f>SUMIFS(Sales!D$2:D$1701,Sales!$A$2:$A$1701,$A251,Sales!$B$2:$B$1701,$B251)</f>
        <v>64</v>
      </c>
    </row>
    <row r="252" spans="1:4" x14ac:dyDescent="0.2">
      <c r="A252" t="str">
        <f>Calcs!$A$28</f>
        <v>Group</v>
      </c>
      <c r="B252" s="37">
        <v>37125</v>
      </c>
      <c r="C252" s="7">
        <f>SUMIFS(Sales!C$2:C$1701,Sales!$A$2:$A$1701,$A252,Sales!$B$2:$B$1701,$B252)</f>
        <v>136</v>
      </c>
      <c r="D252" s="7">
        <f>SUMIFS(Sales!D$2:D$1701,Sales!$A$2:$A$1701,$A252,Sales!$B$2:$B$1701,$B252)</f>
        <v>82</v>
      </c>
    </row>
    <row r="253" spans="1:4" x14ac:dyDescent="0.2">
      <c r="A253" t="str">
        <f>Calcs!$A$28</f>
        <v>Group</v>
      </c>
      <c r="B253" s="37">
        <v>37126</v>
      </c>
      <c r="C253" s="7">
        <f>SUMIFS(Sales!C$2:C$1701,Sales!$A$2:$A$1701,$A253,Sales!$B$2:$B$1701,$B253)</f>
        <v>125</v>
      </c>
      <c r="D253" s="7">
        <f>SUMIFS(Sales!D$2:D$1701,Sales!$A$2:$A$1701,$A253,Sales!$B$2:$B$1701,$B253)</f>
        <v>70</v>
      </c>
    </row>
    <row r="254" spans="1:4" x14ac:dyDescent="0.2">
      <c r="A254" t="str">
        <f>Calcs!$A$28</f>
        <v>Group</v>
      </c>
      <c r="B254" s="37">
        <v>37127</v>
      </c>
      <c r="C254" s="7">
        <f>SUMIFS(Sales!C$2:C$1701,Sales!$A$2:$A$1701,$A254,Sales!$B$2:$B$1701,$B254)</f>
        <v>119</v>
      </c>
      <c r="D254" s="7">
        <f>SUMIFS(Sales!D$2:D$1701,Sales!$A$2:$A$1701,$A254,Sales!$B$2:$B$1701,$B254)</f>
        <v>68</v>
      </c>
    </row>
    <row r="255" spans="1:4" x14ac:dyDescent="0.2">
      <c r="A255" t="str">
        <f>Calcs!$A$28</f>
        <v>Group</v>
      </c>
      <c r="B255" s="37">
        <v>37128</v>
      </c>
      <c r="C255" s="7">
        <f>SUMIFS(Sales!C$2:C$1701,Sales!$A$2:$A$1701,$A255,Sales!$B$2:$B$1701,$B255)</f>
        <v>121</v>
      </c>
      <c r="D255" s="7">
        <f>SUMIFS(Sales!D$2:D$1701,Sales!$A$2:$A$1701,$A255,Sales!$B$2:$B$1701,$B255)</f>
        <v>50</v>
      </c>
    </row>
    <row r="256" spans="1:4" x14ac:dyDescent="0.2">
      <c r="A256" t="str">
        <f>Calcs!$A$28</f>
        <v>Group</v>
      </c>
      <c r="B256" s="37">
        <v>37129</v>
      </c>
      <c r="C256" s="7">
        <f>SUMIFS(Sales!C$2:C$1701,Sales!$A$2:$A$1701,$A256,Sales!$B$2:$B$1701,$B256)</f>
        <v>119</v>
      </c>
      <c r="D256" s="7">
        <f>SUMIFS(Sales!D$2:D$1701,Sales!$A$2:$A$1701,$A256,Sales!$B$2:$B$1701,$B256)</f>
        <v>82</v>
      </c>
    </row>
    <row r="257" spans="1:4" x14ac:dyDescent="0.2">
      <c r="A257" t="str">
        <f>Calcs!$A$28</f>
        <v>Group</v>
      </c>
      <c r="B257" s="37">
        <v>37130</v>
      </c>
      <c r="C257" s="7">
        <f>SUMIFS(Sales!C$2:C$1701,Sales!$A$2:$A$1701,$A257,Sales!$B$2:$B$1701,$B257)</f>
        <v>131</v>
      </c>
      <c r="D257" s="7">
        <f>SUMIFS(Sales!D$2:D$1701,Sales!$A$2:$A$1701,$A257,Sales!$B$2:$B$1701,$B257)</f>
        <v>79</v>
      </c>
    </row>
    <row r="258" spans="1:4" x14ac:dyDescent="0.2">
      <c r="A258" t="str">
        <f>Calcs!$A$28</f>
        <v>Group</v>
      </c>
      <c r="B258" s="37">
        <v>37131</v>
      </c>
      <c r="C258" s="7">
        <f>SUMIFS(Sales!C$2:C$1701,Sales!$A$2:$A$1701,$A258,Sales!$B$2:$B$1701,$B258)</f>
        <v>137</v>
      </c>
      <c r="D258" s="7">
        <f>SUMIFS(Sales!D$2:D$1701,Sales!$A$2:$A$1701,$A258,Sales!$B$2:$B$1701,$B258)</f>
        <v>81</v>
      </c>
    </row>
    <row r="259" spans="1:4" x14ac:dyDescent="0.2">
      <c r="A259" t="str">
        <f>Calcs!$A$28</f>
        <v>Group</v>
      </c>
      <c r="B259" s="37">
        <v>37132</v>
      </c>
      <c r="C259" s="7">
        <f>SUMIFS(Sales!C$2:C$1701,Sales!$A$2:$A$1701,$A259,Sales!$B$2:$B$1701,$B259)</f>
        <v>128</v>
      </c>
      <c r="D259" s="7">
        <f>SUMIFS(Sales!D$2:D$1701,Sales!$A$2:$A$1701,$A259,Sales!$B$2:$B$1701,$B259)</f>
        <v>85</v>
      </c>
    </row>
    <row r="260" spans="1:4" x14ac:dyDescent="0.2">
      <c r="A260" t="str">
        <f>Calcs!$A$28</f>
        <v>Group</v>
      </c>
      <c r="B260" s="37">
        <v>37133</v>
      </c>
      <c r="C260" s="7">
        <f>SUMIFS(Sales!C$2:C$1701,Sales!$A$2:$A$1701,$A260,Sales!$B$2:$B$1701,$B260)</f>
        <v>113</v>
      </c>
      <c r="D260" s="7">
        <f>SUMIFS(Sales!D$2:D$1701,Sales!$A$2:$A$1701,$A260,Sales!$B$2:$B$1701,$B260)</f>
        <v>84</v>
      </c>
    </row>
    <row r="261" spans="1:4" x14ac:dyDescent="0.2">
      <c r="A261" t="str">
        <f>Calcs!$A$28</f>
        <v>Group</v>
      </c>
      <c r="B261" s="37">
        <v>37134</v>
      </c>
      <c r="C261" s="7">
        <f>SUMIFS(Sales!C$2:C$1701,Sales!$A$2:$A$1701,$A261,Sales!$B$2:$B$1701,$B261)</f>
        <v>142</v>
      </c>
      <c r="D261" s="7">
        <f>SUMIFS(Sales!D$2:D$1701,Sales!$A$2:$A$1701,$A261,Sales!$B$2:$B$1701,$B261)</f>
        <v>94</v>
      </c>
    </row>
    <row r="262" spans="1:4" x14ac:dyDescent="0.2">
      <c r="A262" t="str">
        <f>Calcs!$A$28</f>
        <v>Group</v>
      </c>
      <c r="B262" s="37">
        <v>37135</v>
      </c>
      <c r="C262" s="7">
        <f>SUMIFS(Sales!C$2:C$1701,Sales!$A$2:$A$1701,$A262,Sales!$B$2:$B$1701,$B262)</f>
        <v>132</v>
      </c>
      <c r="D262" s="7">
        <f>SUMIFS(Sales!D$2:D$1701,Sales!$A$2:$A$1701,$A262,Sales!$B$2:$B$1701,$B262)</f>
        <v>81</v>
      </c>
    </row>
    <row r="263" spans="1:4" x14ac:dyDescent="0.2">
      <c r="A263" t="str">
        <f>Calcs!$A$28</f>
        <v>Group</v>
      </c>
      <c r="B263" s="37">
        <v>37136</v>
      </c>
      <c r="C263" s="7">
        <f>SUMIFS(Sales!C$2:C$1701,Sales!$A$2:$A$1701,$A263,Sales!$B$2:$B$1701,$B263)</f>
        <v>119</v>
      </c>
      <c r="D263" s="7">
        <f>SUMIFS(Sales!D$2:D$1701,Sales!$A$2:$A$1701,$A263,Sales!$B$2:$B$1701,$B263)</f>
        <v>80</v>
      </c>
    </row>
    <row r="264" spans="1:4" x14ac:dyDescent="0.2">
      <c r="A264" t="str">
        <f>Calcs!$A$28</f>
        <v>Group</v>
      </c>
      <c r="B264" s="37">
        <v>37137</v>
      </c>
      <c r="C264" s="7">
        <f>SUMIFS(Sales!C$2:C$1701,Sales!$A$2:$A$1701,$A264,Sales!$B$2:$B$1701,$B264)</f>
        <v>129</v>
      </c>
      <c r="D264" s="7">
        <f>SUMIFS(Sales!D$2:D$1701,Sales!$A$2:$A$1701,$A264,Sales!$B$2:$B$1701,$B264)</f>
        <v>71</v>
      </c>
    </row>
    <row r="265" spans="1:4" x14ac:dyDescent="0.2">
      <c r="A265" t="str">
        <f>Calcs!$A$28</f>
        <v>Group</v>
      </c>
      <c r="B265" s="37">
        <v>37138</v>
      </c>
      <c r="C265" s="7">
        <f>SUMIFS(Sales!C$2:C$1701,Sales!$A$2:$A$1701,$A265,Sales!$B$2:$B$1701,$B265)</f>
        <v>141</v>
      </c>
      <c r="D265" s="7">
        <f>SUMIFS(Sales!D$2:D$1701,Sales!$A$2:$A$1701,$A265,Sales!$B$2:$B$1701,$B265)</f>
        <v>86</v>
      </c>
    </row>
    <row r="266" spans="1:4" x14ac:dyDescent="0.2">
      <c r="A266" t="str">
        <f>Calcs!$A$28</f>
        <v>Group</v>
      </c>
      <c r="B266" s="37">
        <v>37139</v>
      </c>
      <c r="C266" s="7">
        <f>SUMIFS(Sales!C$2:C$1701,Sales!$A$2:$A$1701,$A266,Sales!$B$2:$B$1701,$B266)</f>
        <v>117</v>
      </c>
      <c r="D266" s="7">
        <f>SUMIFS(Sales!D$2:D$1701,Sales!$A$2:$A$1701,$A266,Sales!$B$2:$B$1701,$B266)</f>
        <v>95</v>
      </c>
    </row>
    <row r="267" spans="1:4" x14ac:dyDescent="0.2">
      <c r="A267" t="str">
        <f>Calcs!$A$28</f>
        <v>Group</v>
      </c>
      <c r="B267" s="37">
        <v>37140</v>
      </c>
      <c r="C267" s="7">
        <f>SUMIFS(Sales!C$2:C$1701,Sales!$A$2:$A$1701,$A267,Sales!$B$2:$B$1701,$B267)</f>
        <v>142</v>
      </c>
      <c r="D267" s="7">
        <f>SUMIFS(Sales!D$2:D$1701,Sales!$A$2:$A$1701,$A267,Sales!$B$2:$B$1701,$B267)</f>
        <v>76</v>
      </c>
    </row>
    <row r="268" spans="1:4" x14ac:dyDescent="0.2">
      <c r="A268" t="str">
        <f>Calcs!$A$28</f>
        <v>Group</v>
      </c>
      <c r="B268" s="37">
        <v>37141</v>
      </c>
      <c r="C268" s="7">
        <f>SUMIFS(Sales!C$2:C$1701,Sales!$A$2:$A$1701,$A268,Sales!$B$2:$B$1701,$B268)</f>
        <v>127</v>
      </c>
      <c r="D268" s="7">
        <f>SUMIFS(Sales!D$2:D$1701,Sales!$A$2:$A$1701,$A268,Sales!$B$2:$B$1701,$B268)</f>
        <v>84</v>
      </c>
    </row>
    <row r="269" spans="1:4" x14ac:dyDescent="0.2">
      <c r="A269" t="str">
        <f>Calcs!$A$28</f>
        <v>Group</v>
      </c>
      <c r="B269" s="37">
        <v>37142</v>
      </c>
      <c r="C269" s="7">
        <f>SUMIFS(Sales!C$2:C$1701,Sales!$A$2:$A$1701,$A269,Sales!$B$2:$B$1701,$B269)</f>
        <v>135</v>
      </c>
      <c r="D269" s="7">
        <f>SUMIFS(Sales!D$2:D$1701,Sales!$A$2:$A$1701,$A269,Sales!$B$2:$B$1701,$B269)</f>
        <v>68</v>
      </c>
    </row>
    <row r="270" spans="1:4" x14ac:dyDescent="0.2">
      <c r="A270" t="str">
        <f>Calcs!$A$28</f>
        <v>Group</v>
      </c>
      <c r="B270" s="37">
        <v>37143</v>
      </c>
      <c r="C270" s="7">
        <f>SUMIFS(Sales!C$2:C$1701,Sales!$A$2:$A$1701,$A270,Sales!$B$2:$B$1701,$B270)</f>
        <v>110</v>
      </c>
      <c r="D270" s="7">
        <f>SUMIFS(Sales!D$2:D$1701,Sales!$A$2:$A$1701,$A270,Sales!$B$2:$B$1701,$B270)</f>
        <v>73</v>
      </c>
    </row>
    <row r="271" spans="1:4" x14ac:dyDescent="0.2">
      <c r="A271" t="str">
        <f>Calcs!$A$28</f>
        <v>Group</v>
      </c>
      <c r="B271" s="37">
        <v>37144</v>
      </c>
      <c r="C271" s="7">
        <f>SUMIFS(Sales!C$2:C$1701,Sales!$A$2:$A$1701,$A271,Sales!$B$2:$B$1701,$B271)</f>
        <v>144</v>
      </c>
      <c r="D271" s="7">
        <f>SUMIFS(Sales!D$2:D$1701,Sales!$A$2:$A$1701,$A271,Sales!$B$2:$B$1701,$B271)</f>
        <v>77</v>
      </c>
    </row>
    <row r="272" spans="1:4" x14ac:dyDescent="0.2">
      <c r="A272" t="str">
        <f>Calcs!$A$28</f>
        <v>Group</v>
      </c>
      <c r="B272" s="37">
        <v>37145</v>
      </c>
      <c r="C272" s="7">
        <f>SUMIFS(Sales!C$2:C$1701,Sales!$A$2:$A$1701,$A272,Sales!$B$2:$B$1701,$B272)</f>
        <v>145</v>
      </c>
      <c r="D272" s="7">
        <f>SUMIFS(Sales!D$2:D$1701,Sales!$A$2:$A$1701,$A272,Sales!$B$2:$B$1701,$B272)</f>
        <v>68</v>
      </c>
    </row>
    <row r="273" spans="1:4" x14ac:dyDescent="0.2">
      <c r="A273" t="str">
        <f>Calcs!$A$28</f>
        <v>Group</v>
      </c>
      <c r="B273" s="37">
        <v>37146</v>
      </c>
      <c r="C273" s="7">
        <f>SUMIFS(Sales!C$2:C$1701,Sales!$A$2:$A$1701,$A273,Sales!$B$2:$B$1701,$B273)</f>
        <v>134</v>
      </c>
      <c r="D273" s="7">
        <f>SUMIFS(Sales!D$2:D$1701,Sales!$A$2:$A$1701,$A273,Sales!$B$2:$B$1701,$B273)</f>
        <v>89</v>
      </c>
    </row>
    <row r="274" spans="1:4" x14ac:dyDescent="0.2">
      <c r="A274" t="str">
        <f>Calcs!$A$28</f>
        <v>Group</v>
      </c>
      <c r="B274" s="37">
        <v>37147</v>
      </c>
      <c r="C274" s="7">
        <f>SUMIFS(Sales!C$2:C$1701,Sales!$A$2:$A$1701,$A274,Sales!$B$2:$B$1701,$B274)</f>
        <v>121</v>
      </c>
      <c r="D274" s="7">
        <f>SUMIFS(Sales!D$2:D$1701,Sales!$A$2:$A$1701,$A274,Sales!$B$2:$B$1701,$B274)</f>
        <v>84</v>
      </c>
    </row>
    <row r="275" spans="1:4" x14ac:dyDescent="0.2">
      <c r="A275" t="str">
        <f>Calcs!$A$28</f>
        <v>Group</v>
      </c>
      <c r="B275" s="37">
        <v>37148</v>
      </c>
      <c r="C275" s="7">
        <f>SUMIFS(Sales!C$2:C$1701,Sales!$A$2:$A$1701,$A275,Sales!$B$2:$B$1701,$B275)</f>
        <v>135</v>
      </c>
      <c r="D275" s="7">
        <f>SUMIFS(Sales!D$2:D$1701,Sales!$A$2:$A$1701,$A275,Sales!$B$2:$B$1701,$B275)</f>
        <v>98</v>
      </c>
    </row>
    <row r="276" spans="1:4" x14ac:dyDescent="0.2">
      <c r="A276" t="str">
        <f>Calcs!$A$28</f>
        <v>Group</v>
      </c>
      <c r="B276" s="37">
        <v>37149</v>
      </c>
      <c r="C276" s="7">
        <f>SUMIFS(Sales!C$2:C$1701,Sales!$A$2:$A$1701,$A276,Sales!$B$2:$B$1701,$B276)</f>
        <v>135</v>
      </c>
      <c r="D276" s="7">
        <f>SUMIFS(Sales!D$2:D$1701,Sales!$A$2:$A$1701,$A276,Sales!$B$2:$B$1701,$B276)</f>
        <v>48</v>
      </c>
    </row>
    <row r="277" spans="1:4" x14ac:dyDescent="0.2">
      <c r="A277" t="str">
        <f>Calcs!$A$28</f>
        <v>Group</v>
      </c>
      <c r="B277" s="37">
        <v>37150</v>
      </c>
      <c r="C277" s="7">
        <f>SUMIFS(Sales!C$2:C$1701,Sales!$A$2:$A$1701,$A277,Sales!$B$2:$B$1701,$B277)</f>
        <v>123</v>
      </c>
      <c r="D277" s="7">
        <f>SUMIFS(Sales!D$2:D$1701,Sales!$A$2:$A$1701,$A277,Sales!$B$2:$B$1701,$B277)</f>
        <v>76</v>
      </c>
    </row>
    <row r="278" spans="1:4" x14ac:dyDescent="0.2">
      <c r="A278" t="str">
        <f>Calcs!$A$28</f>
        <v>Group</v>
      </c>
      <c r="B278" s="37">
        <v>37151</v>
      </c>
      <c r="C278" s="7">
        <f>SUMIFS(Sales!C$2:C$1701,Sales!$A$2:$A$1701,$A278,Sales!$B$2:$B$1701,$B278)</f>
        <v>125</v>
      </c>
      <c r="D278" s="7">
        <f>SUMIFS(Sales!D$2:D$1701,Sales!$A$2:$A$1701,$A278,Sales!$B$2:$B$1701,$B278)</f>
        <v>64</v>
      </c>
    </row>
    <row r="279" spans="1:4" x14ac:dyDescent="0.2">
      <c r="A279" t="str">
        <f>Calcs!$A$28</f>
        <v>Group</v>
      </c>
      <c r="B279" s="37">
        <v>37152</v>
      </c>
      <c r="C279" s="7">
        <f>SUMIFS(Sales!C$2:C$1701,Sales!$A$2:$A$1701,$A279,Sales!$B$2:$B$1701,$B279)</f>
        <v>115</v>
      </c>
      <c r="D279" s="7">
        <f>SUMIFS(Sales!D$2:D$1701,Sales!$A$2:$A$1701,$A279,Sales!$B$2:$B$1701,$B279)</f>
        <v>77</v>
      </c>
    </row>
    <row r="280" spans="1:4" x14ac:dyDescent="0.2">
      <c r="A280" t="str">
        <f>Calcs!$A$28</f>
        <v>Group</v>
      </c>
      <c r="B280" s="37">
        <v>37153</v>
      </c>
      <c r="C280" s="7">
        <f>SUMIFS(Sales!C$2:C$1701,Sales!$A$2:$A$1701,$A280,Sales!$B$2:$B$1701,$B280)</f>
        <v>136</v>
      </c>
      <c r="D280" s="7">
        <f>SUMIFS(Sales!D$2:D$1701,Sales!$A$2:$A$1701,$A280,Sales!$B$2:$B$1701,$B280)</f>
        <v>77</v>
      </c>
    </row>
    <row r="281" spans="1:4" x14ac:dyDescent="0.2">
      <c r="A281" t="str">
        <f>Calcs!$A$28</f>
        <v>Group</v>
      </c>
      <c r="B281" s="37">
        <v>37154</v>
      </c>
      <c r="C281" s="7">
        <f>SUMIFS(Sales!C$2:C$1701,Sales!$A$2:$A$1701,$A281,Sales!$B$2:$B$1701,$B281)</f>
        <v>130</v>
      </c>
      <c r="D281" s="7">
        <f>SUMIFS(Sales!D$2:D$1701,Sales!$A$2:$A$1701,$A281,Sales!$B$2:$B$1701,$B281)</f>
        <v>67</v>
      </c>
    </row>
    <row r="282" spans="1:4" x14ac:dyDescent="0.2">
      <c r="A282" t="str">
        <f>Calcs!$A$28</f>
        <v>Group</v>
      </c>
      <c r="B282" s="37">
        <v>37155</v>
      </c>
      <c r="C282" s="7">
        <f>SUMIFS(Sales!C$2:C$1701,Sales!$A$2:$A$1701,$A282,Sales!$B$2:$B$1701,$B282)</f>
        <v>127</v>
      </c>
      <c r="D282" s="7">
        <f>SUMIFS(Sales!D$2:D$1701,Sales!$A$2:$A$1701,$A282,Sales!$B$2:$B$1701,$B282)</f>
        <v>65</v>
      </c>
    </row>
    <row r="283" spans="1:4" x14ac:dyDescent="0.2">
      <c r="A283" t="str">
        <f>Calcs!$A$28</f>
        <v>Group</v>
      </c>
      <c r="B283" s="37">
        <v>37156</v>
      </c>
      <c r="C283" s="7">
        <f>SUMIFS(Sales!C$2:C$1701,Sales!$A$2:$A$1701,$A283,Sales!$B$2:$B$1701,$B283)</f>
        <v>122</v>
      </c>
      <c r="D283" s="7">
        <f>SUMIFS(Sales!D$2:D$1701,Sales!$A$2:$A$1701,$A283,Sales!$B$2:$B$1701,$B283)</f>
        <v>71</v>
      </c>
    </row>
    <row r="284" spans="1:4" x14ac:dyDescent="0.2">
      <c r="A284" t="str">
        <f>Calcs!$A$28</f>
        <v>Group</v>
      </c>
      <c r="B284" s="37">
        <v>37157</v>
      </c>
      <c r="C284" s="7">
        <f>SUMIFS(Sales!C$2:C$1701,Sales!$A$2:$A$1701,$A284,Sales!$B$2:$B$1701,$B284)</f>
        <v>146</v>
      </c>
      <c r="D284" s="7">
        <f>SUMIFS(Sales!D$2:D$1701,Sales!$A$2:$A$1701,$A284,Sales!$B$2:$B$1701,$B284)</f>
        <v>79</v>
      </c>
    </row>
    <row r="285" spans="1:4" x14ac:dyDescent="0.2">
      <c r="A285" t="str">
        <f>Calcs!$A$28</f>
        <v>Group</v>
      </c>
      <c r="B285" s="37">
        <v>37158</v>
      </c>
      <c r="C285" s="7">
        <f>SUMIFS(Sales!C$2:C$1701,Sales!$A$2:$A$1701,$A285,Sales!$B$2:$B$1701,$B285)</f>
        <v>117</v>
      </c>
      <c r="D285" s="7">
        <f>SUMIFS(Sales!D$2:D$1701,Sales!$A$2:$A$1701,$A285,Sales!$B$2:$B$1701,$B285)</f>
        <v>79</v>
      </c>
    </row>
    <row r="286" spans="1:4" x14ac:dyDescent="0.2">
      <c r="A286" t="str">
        <f>Calcs!$A$28</f>
        <v>Group</v>
      </c>
      <c r="B286" s="37">
        <v>37159</v>
      </c>
      <c r="C286" s="7">
        <f>SUMIFS(Sales!C$2:C$1701,Sales!$A$2:$A$1701,$A286,Sales!$B$2:$B$1701,$B286)</f>
        <v>137</v>
      </c>
      <c r="D286" s="7">
        <f>SUMIFS(Sales!D$2:D$1701,Sales!$A$2:$A$1701,$A286,Sales!$B$2:$B$1701,$B286)</f>
        <v>61</v>
      </c>
    </row>
    <row r="287" spans="1:4" x14ac:dyDescent="0.2">
      <c r="A287" t="str">
        <f>Calcs!$A$28</f>
        <v>Group</v>
      </c>
      <c r="B287" s="37">
        <v>37160</v>
      </c>
      <c r="C287" s="7">
        <f>SUMIFS(Sales!C$2:C$1701,Sales!$A$2:$A$1701,$A287,Sales!$B$2:$B$1701,$B287)</f>
        <v>123</v>
      </c>
      <c r="D287" s="7">
        <f>SUMIFS(Sales!D$2:D$1701,Sales!$A$2:$A$1701,$A287,Sales!$B$2:$B$1701,$B287)</f>
        <v>81</v>
      </c>
    </row>
    <row r="288" spans="1:4" x14ac:dyDescent="0.2">
      <c r="A288" t="str">
        <f>Calcs!$A$28</f>
        <v>Group</v>
      </c>
      <c r="B288" s="37">
        <v>37161</v>
      </c>
      <c r="C288" s="7">
        <f>SUMIFS(Sales!C$2:C$1701,Sales!$A$2:$A$1701,$A288,Sales!$B$2:$B$1701,$B288)</f>
        <v>153</v>
      </c>
      <c r="D288" s="7">
        <f>SUMIFS(Sales!D$2:D$1701,Sales!$A$2:$A$1701,$A288,Sales!$B$2:$B$1701,$B288)</f>
        <v>70</v>
      </c>
    </row>
    <row r="289" spans="1:4" x14ac:dyDescent="0.2">
      <c r="A289" t="str">
        <f>Calcs!$A$28</f>
        <v>Group</v>
      </c>
      <c r="B289" s="37">
        <v>37162</v>
      </c>
      <c r="C289" s="7">
        <f>SUMIFS(Sales!C$2:C$1701,Sales!$A$2:$A$1701,$A289,Sales!$B$2:$B$1701,$B289)</f>
        <v>120</v>
      </c>
      <c r="D289" s="7">
        <f>SUMIFS(Sales!D$2:D$1701,Sales!$A$2:$A$1701,$A289,Sales!$B$2:$B$1701,$B289)</f>
        <v>59</v>
      </c>
    </row>
    <row r="290" spans="1:4" x14ac:dyDescent="0.2">
      <c r="A290" t="str">
        <f>Calcs!$A$28</f>
        <v>Group</v>
      </c>
      <c r="B290" s="37">
        <v>37163</v>
      </c>
      <c r="C290" s="7">
        <f>SUMIFS(Sales!C$2:C$1701,Sales!$A$2:$A$1701,$A290,Sales!$B$2:$B$1701,$B290)</f>
        <v>129</v>
      </c>
      <c r="D290" s="7">
        <f>SUMIFS(Sales!D$2:D$1701,Sales!$A$2:$A$1701,$A290,Sales!$B$2:$B$1701,$B290)</f>
        <v>90</v>
      </c>
    </row>
    <row r="291" spans="1:4" x14ac:dyDescent="0.2">
      <c r="A291" t="str">
        <f>Calcs!$A$28</f>
        <v>Group</v>
      </c>
      <c r="B291" s="37">
        <v>37164</v>
      </c>
      <c r="C291" s="7">
        <f>SUMIFS(Sales!C$2:C$1701,Sales!$A$2:$A$1701,$A291,Sales!$B$2:$B$1701,$B291)</f>
        <v>130</v>
      </c>
      <c r="D291" s="7">
        <f>SUMIFS(Sales!D$2:D$1701,Sales!$A$2:$A$1701,$A291,Sales!$B$2:$B$1701,$B291)</f>
        <v>85</v>
      </c>
    </row>
    <row r="292" spans="1:4" x14ac:dyDescent="0.2">
      <c r="A292" t="str">
        <f>Calcs!$A$28</f>
        <v>Group</v>
      </c>
      <c r="B292" s="37">
        <v>37165</v>
      </c>
      <c r="C292" s="7">
        <f>SUMIFS(Sales!C$2:C$1701,Sales!$A$2:$A$1701,$A292,Sales!$B$2:$B$1701,$B292)</f>
        <v>128</v>
      </c>
      <c r="D292" s="7">
        <f>SUMIFS(Sales!D$2:D$1701,Sales!$A$2:$A$1701,$A292,Sales!$B$2:$B$1701,$B292)</f>
        <v>96</v>
      </c>
    </row>
    <row r="293" spans="1:4" x14ac:dyDescent="0.2">
      <c r="A293" t="str">
        <f>Calcs!$A$28</f>
        <v>Group</v>
      </c>
      <c r="B293" s="37">
        <v>37166</v>
      </c>
      <c r="C293" s="7">
        <f>SUMIFS(Sales!C$2:C$1701,Sales!$A$2:$A$1701,$A293,Sales!$B$2:$B$1701,$B293)</f>
        <v>134</v>
      </c>
      <c r="D293" s="7">
        <f>SUMIFS(Sales!D$2:D$1701,Sales!$A$2:$A$1701,$A293,Sales!$B$2:$B$1701,$B293)</f>
        <v>67</v>
      </c>
    </row>
    <row r="294" spans="1:4" x14ac:dyDescent="0.2">
      <c r="A294" t="str">
        <f>Calcs!$A$28</f>
        <v>Group</v>
      </c>
      <c r="B294" s="37">
        <v>37167</v>
      </c>
      <c r="C294" s="7">
        <f>SUMIFS(Sales!C$2:C$1701,Sales!$A$2:$A$1701,$A294,Sales!$B$2:$B$1701,$B294)</f>
        <v>128</v>
      </c>
      <c r="D294" s="7">
        <f>SUMIFS(Sales!D$2:D$1701,Sales!$A$2:$A$1701,$A294,Sales!$B$2:$B$1701,$B294)</f>
        <v>91</v>
      </c>
    </row>
    <row r="295" spans="1:4" x14ac:dyDescent="0.2">
      <c r="A295" t="str">
        <f>Calcs!$A$28</f>
        <v>Group</v>
      </c>
      <c r="B295" s="37">
        <v>37168</v>
      </c>
      <c r="C295" s="7">
        <f>SUMIFS(Sales!C$2:C$1701,Sales!$A$2:$A$1701,$A295,Sales!$B$2:$B$1701,$B295)</f>
        <v>136</v>
      </c>
      <c r="D295" s="7">
        <f>SUMIFS(Sales!D$2:D$1701,Sales!$A$2:$A$1701,$A295,Sales!$B$2:$B$1701,$B295)</f>
        <v>79</v>
      </c>
    </row>
    <row r="296" spans="1:4" x14ac:dyDescent="0.2">
      <c r="A296" t="str">
        <f>Calcs!$A$28</f>
        <v>Group</v>
      </c>
      <c r="B296" s="37">
        <v>37169</v>
      </c>
      <c r="C296" s="7">
        <f>SUMIFS(Sales!C$2:C$1701,Sales!$A$2:$A$1701,$A296,Sales!$B$2:$B$1701,$B296)</f>
        <v>130</v>
      </c>
      <c r="D296" s="7">
        <f>SUMIFS(Sales!D$2:D$1701,Sales!$A$2:$A$1701,$A296,Sales!$B$2:$B$1701,$B296)</f>
        <v>67</v>
      </c>
    </row>
    <row r="297" spans="1:4" x14ac:dyDescent="0.2">
      <c r="A297" t="str">
        <f>Calcs!$A$28</f>
        <v>Group</v>
      </c>
      <c r="B297" s="37">
        <v>37170</v>
      </c>
      <c r="C297" s="7">
        <f>SUMIFS(Sales!C$2:C$1701,Sales!$A$2:$A$1701,$A297,Sales!$B$2:$B$1701,$B297)</f>
        <v>156</v>
      </c>
      <c r="D297" s="7">
        <f>SUMIFS(Sales!D$2:D$1701,Sales!$A$2:$A$1701,$A297,Sales!$B$2:$B$1701,$B297)</f>
        <v>74</v>
      </c>
    </row>
    <row r="298" spans="1:4" x14ac:dyDescent="0.2">
      <c r="A298" t="str">
        <f>Calcs!$A$28</f>
        <v>Group</v>
      </c>
      <c r="B298" s="37">
        <v>37171</v>
      </c>
      <c r="C298" s="7">
        <f>SUMIFS(Sales!C$2:C$1701,Sales!$A$2:$A$1701,$A298,Sales!$B$2:$B$1701,$B298)</f>
        <v>122</v>
      </c>
      <c r="D298" s="7">
        <f>SUMIFS(Sales!D$2:D$1701,Sales!$A$2:$A$1701,$A298,Sales!$B$2:$B$1701,$B298)</f>
        <v>66</v>
      </c>
    </row>
    <row r="299" spans="1:4" x14ac:dyDescent="0.2">
      <c r="A299" t="str">
        <f>Calcs!$A$28</f>
        <v>Group</v>
      </c>
      <c r="B299" s="37">
        <v>37172</v>
      </c>
      <c r="C299" s="7">
        <f>SUMIFS(Sales!C$2:C$1701,Sales!$A$2:$A$1701,$A299,Sales!$B$2:$B$1701,$B299)</f>
        <v>125</v>
      </c>
      <c r="D299" s="7">
        <f>SUMIFS(Sales!D$2:D$1701,Sales!$A$2:$A$1701,$A299,Sales!$B$2:$B$1701,$B299)</f>
        <v>99</v>
      </c>
    </row>
    <row r="300" spans="1:4" x14ac:dyDescent="0.2">
      <c r="A300" t="str">
        <f>Calcs!$A$28</f>
        <v>Group</v>
      </c>
      <c r="B300" s="37">
        <v>37173</v>
      </c>
      <c r="C300" s="7">
        <f>SUMIFS(Sales!C$2:C$1701,Sales!$A$2:$A$1701,$A300,Sales!$B$2:$B$1701,$B300)</f>
        <v>116</v>
      </c>
      <c r="D300" s="7">
        <f>SUMIFS(Sales!D$2:D$1701,Sales!$A$2:$A$1701,$A300,Sales!$B$2:$B$1701,$B300)</f>
        <v>87</v>
      </c>
    </row>
    <row r="301" spans="1:4" x14ac:dyDescent="0.2">
      <c r="A301" t="str">
        <f>Calcs!$A$28</f>
        <v>Group</v>
      </c>
      <c r="B301" s="37">
        <v>37174</v>
      </c>
      <c r="C301" s="7">
        <f>SUMIFS(Sales!C$2:C$1701,Sales!$A$2:$A$1701,$A301,Sales!$B$2:$B$1701,$B301)</f>
        <v>160</v>
      </c>
      <c r="D301" s="7">
        <f>SUMIFS(Sales!D$2:D$1701,Sales!$A$2:$A$1701,$A301,Sales!$B$2:$B$1701,$B301)</f>
        <v>68</v>
      </c>
    </row>
    <row r="302" spans="1:4" x14ac:dyDescent="0.2">
      <c r="A302" t="str">
        <f>Calcs!$A$28</f>
        <v>Group</v>
      </c>
      <c r="B302" s="37">
        <v>37175</v>
      </c>
      <c r="C302" s="7">
        <f>SUMIFS(Sales!C$2:C$1701,Sales!$A$2:$A$1701,$A302,Sales!$B$2:$B$1701,$B302)</f>
        <v>135</v>
      </c>
      <c r="D302" s="7">
        <f>SUMIFS(Sales!D$2:D$1701,Sales!$A$2:$A$1701,$A302,Sales!$B$2:$B$1701,$B302)</f>
        <v>68</v>
      </c>
    </row>
    <row r="303" spans="1:4" x14ac:dyDescent="0.2">
      <c r="A303" t="str">
        <f>Calcs!$A$28</f>
        <v>Group</v>
      </c>
      <c r="B303" s="37">
        <v>37176</v>
      </c>
      <c r="C303" s="7">
        <f>SUMIFS(Sales!C$2:C$1701,Sales!$A$2:$A$1701,$A303,Sales!$B$2:$B$1701,$B303)</f>
        <v>139</v>
      </c>
      <c r="D303" s="7">
        <f>SUMIFS(Sales!D$2:D$1701,Sales!$A$2:$A$1701,$A303,Sales!$B$2:$B$1701,$B303)</f>
        <v>64</v>
      </c>
    </row>
    <row r="304" spans="1:4" x14ac:dyDescent="0.2">
      <c r="A304" t="str">
        <f>Calcs!$A$28</f>
        <v>Group</v>
      </c>
      <c r="B304" s="37">
        <v>37177</v>
      </c>
      <c r="C304" s="7">
        <f>SUMIFS(Sales!C$2:C$1701,Sales!$A$2:$A$1701,$A304,Sales!$B$2:$B$1701,$B304)</f>
        <v>117</v>
      </c>
      <c r="D304" s="7">
        <f>SUMIFS(Sales!D$2:D$1701,Sales!$A$2:$A$1701,$A304,Sales!$B$2:$B$1701,$B304)</f>
        <v>90</v>
      </c>
    </row>
    <row r="305" spans="1:4" x14ac:dyDescent="0.2">
      <c r="A305" t="str">
        <f>Calcs!$A$28</f>
        <v>Group</v>
      </c>
      <c r="B305" s="37">
        <v>37178</v>
      </c>
      <c r="C305" s="7">
        <f>SUMIFS(Sales!C$2:C$1701,Sales!$A$2:$A$1701,$A305,Sales!$B$2:$B$1701,$B305)</f>
        <v>137</v>
      </c>
      <c r="D305" s="7">
        <f>SUMIFS(Sales!D$2:D$1701,Sales!$A$2:$A$1701,$A305,Sales!$B$2:$B$1701,$B305)</f>
        <v>81</v>
      </c>
    </row>
    <row r="306" spans="1:4" x14ac:dyDescent="0.2">
      <c r="A306" t="str">
        <f>Calcs!$A$28</f>
        <v>Group</v>
      </c>
      <c r="B306" s="37">
        <v>37179</v>
      </c>
      <c r="C306" s="7">
        <f>SUMIFS(Sales!C$2:C$1701,Sales!$A$2:$A$1701,$A306,Sales!$B$2:$B$1701,$B306)</f>
        <v>108</v>
      </c>
      <c r="D306" s="7">
        <f>SUMIFS(Sales!D$2:D$1701,Sales!$A$2:$A$1701,$A306,Sales!$B$2:$B$1701,$B306)</f>
        <v>95</v>
      </c>
    </row>
    <row r="307" spans="1:4" x14ac:dyDescent="0.2">
      <c r="A307" t="str">
        <f>Calcs!$A$28</f>
        <v>Group</v>
      </c>
      <c r="B307" s="37">
        <v>37180</v>
      </c>
      <c r="C307" s="7">
        <f>SUMIFS(Sales!C$2:C$1701,Sales!$A$2:$A$1701,$A307,Sales!$B$2:$B$1701,$B307)</f>
        <v>153</v>
      </c>
      <c r="D307" s="7">
        <f>SUMIFS(Sales!D$2:D$1701,Sales!$A$2:$A$1701,$A307,Sales!$B$2:$B$1701,$B307)</f>
        <v>72</v>
      </c>
    </row>
    <row r="308" spans="1:4" x14ac:dyDescent="0.2">
      <c r="A308" t="str">
        <f>Calcs!$A$28</f>
        <v>Group</v>
      </c>
      <c r="B308" s="37">
        <v>37181</v>
      </c>
      <c r="C308" s="7">
        <f>SUMIFS(Sales!C$2:C$1701,Sales!$A$2:$A$1701,$A308,Sales!$B$2:$B$1701,$B308)</f>
        <v>126</v>
      </c>
      <c r="D308" s="7">
        <f>SUMIFS(Sales!D$2:D$1701,Sales!$A$2:$A$1701,$A308,Sales!$B$2:$B$1701,$B308)</f>
        <v>82</v>
      </c>
    </row>
    <row r="309" spans="1:4" x14ac:dyDescent="0.2">
      <c r="A309" t="str">
        <f>Calcs!$A$28</f>
        <v>Group</v>
      </c>
      <c r="B309" s="37">
        <v>37182</v>
      </c>
      <c r="C309" s="7">
        <f>SUMIFS(Sales!C$2:C$1701,Sales!$A$2:$A$1701,$A309,Sales!$B$2:$B$1701,$B309)</f>
        <v>118</v>
      </c>
      <c r="D309" s="7">
        <f>SUMIFS(Sales!D$2:D$1701,Sales!$A$2:$A$1701,$A309,Sales!$B$2:$B$1701,$B309)</f>
        <v>74</v>
      </c>
    </row>
    <row r="310" spans="1:4" x14ac:dyDescent="0.2">
      <c r="A310" t="str">
        <f>Calcs!$A$28</f>
        <v>Group</v>
      </c>
      <c r="B310" s="37">
        <v>37183</v>
      </c>
      <c r="C310" s="7">
        <f>SUMIFS(Sales!C$2:C$1701,Sales!$A$2:$A$1701,$A310,Sales!$B$2:$B$1701,$B310)</f>
        <v>130</v>
      </c>
      <c r="D310" s="7">
        <f>SUMIFS(Sales!D$2:D$1701,Sales!$A$2:$A$1701,$A310,Sales!$B$2:$B$1701,$B310)</f>
        <v>63</v>
      </c>
    </row>
    <row r="311" spans="1:4" x14ac:dyDescent="0.2">
      <c r="A311" t="str">
        <f>Calcs!$A$28</f>
        <v>Group</v>
      </c>
      <c r="B311" s="37">
        <v>37184</v>
      </c>
      <c r="C311" s="7">
        <f>SUMIFS(Sales!C$2:C$1701,Sales!$A$2:$A$1701,$A311,Sales!$B$2:$B$1701,$B311)</f>
        <v>103</v>
      </c>
      <c r="D311" s="7">
        <f>SUMIFS(Sales!D$2:D$1701,Sales!$A$2:$A$1701,$A311,Sales!$B$2:$B$1701,$B311)</f>
        <v>64</v>
      </c>
    </row>
    <row r="312" spans="1:4" x14ac:dyDescent="0.2">
      <c r="A312" t="str">
        <f>Calcs!$A$28</f>
        <v>Group</v>
      </c>
      <c r="B312" s="37">
        <v>37185</v>
      </c>
      <c r="C312" s="7">
        <f>SUMIFS(Sales!C$2:C$1701,Sales!$A$2:$A$1701,$A312,Sales!$B$2:$B$1701,$B312)</f>
        <v>129</v>
      </c>
      <c r="D312" s="7">
        <f>SUMIFS(Sales!D$2:D$1701,Sales!$A$2:$A$1701,$A312,Sales!$B$2:$B$1701,$B312)</f>
        <v>78</v>
      </c>
    </row>
    <row r="313" spans="1:4" x14ac:dyDescent="0.2">
      <c r="A313" t="str">
        <f>Calcs!$A$28</f>
        <v>Group</v>
      </c>
      <c r="B313" s="37">
        <v>37186</v>
      </c>
      <c r="C313" s="7">
        <f>SUMIFS(Sales!C$2:C$1701,Sales!$A$2:$A$1701,$A313,Sales!$B$2:$B$1701,$B313)</f>
        <v>112</v>
      </c>
      <c r="D313" s="7">
        <f>SUMIFS(Sales!D$2:D$1701,Sales!$A$2:$A$1701,$A313,Sales!$B$2:$B$1701,$B313)</f>
        <v>66</v>
      </c>
    </row>
    <row r="314" spans="1:4" x14ac:dyDescent="0.2">
      <c r="A314" t="str">
        <f>Calcs!$A$28</f>
        <v>Group</v>
      </c>
      <c r="B314" s="37">
        <v>37187</v>
      </c>
      <c r="C314" s="7">
        <f>SUMIFS(Sales!C$2:C$1701,Sales!$A$2:$A$1701,$A314,Sales!$B$2:$B$1701,$B314)</f>
        <v>139</v>
      </c>
      <c r="D314" s="7">
        <f>SUMIFS(Sales!D$2:D$1701,Sales!$A$2:$A$1701,$A314,Sales!$B$2:$B$1701,$B314)</f>
        <v>76</v>
      </c>
    </row>
    <row r="315" spans="1:4" x14ac:dyDescent="0.2">
      <c r="A315" t="str">
        <f>Calcs!$A$28</f>
        <v>Group</v>
      </c>
      <c r="B315" s="37">
        <v>37188</v>
      </c>
      <c r="C315" s="7">
        <f>SUMIFS(Sales!C$2:C$1701,Sales!$A$2:$A$1701,$A315,Sales!$B$2:$B$1701,$B315)</f>
        <v>112</v>
      </c>
      <c r="D315" s="7">
        <f>SUMIFS(Sales!D$2:D$1701,Sales!$A$2:$A$1701,$A315,Sales!$B$2:$B$1701,$B315)</f>
        <v>73</v>
      </c>
    </row>
    <row r="316" spans="1:4" x14ac:dyDescent="0.2">
      <c r="A316" t="str">
        <f>Calcs!$A$28</f>
        <v>Group</v>
      </c>
      <c r="B316" s="37">
        <v>37189</v>
      </c>
      <c r="C316" s="7">
        <f>SUMIFS(Sales!C$2:C$1701,Sales!$A$2:$A$1701,$A316,Sales!$B$2:$B$1701,$B316)</f>
        <v>122</v>
      </c>
      <c r="D316" s="7">
        <f>SUMIFS(Sales!D$2:D$1701,Sales!$A$2:$A$1701,$A316,Sales!$B$2:$B$1701,$B316)</f>
        <v>66</v>
      </c>
    </row>
    <row r="317" spans="1:4" x14ac:dyDescent="0.2">
      <c r="A317" t="str">
        <f>Calcs!$A$28</f>
        <v>Group</v>
      </c>
      <c r="B317" s="37">
        <v>37190</v>
      </c>
      <c r="C317" s="7">
        <f>SUMIFS(Sales!C$2:C$1701,Sales!$A$2:$A$1701,$A317,Sales!$B$2:$B$1701,$B317)</f>
        <v>139</v>
      </c>
      <c r="D317" s="7">
        <f>SUMIFS(Sales!D$2:D$1701,Sales!$A$2:$A$1701,$A317,Sales!$B$2:$B$1701,$B317)</f>
        <v>86</v>
      </c>
    </row>
    <row r="318" spans="1:4" x14ac:dyDescent="0.2">
      <c r="A318" t="str">
        <f>Calcs!$A$28</f>
        <v>Group</v>
      </c>
      <c r="B318" s="37">
        <v>37191</v>
      </c>
      <c r="C318" s="7">
        <f>SUMIFS(Sales!C$2:C$1701,Sales!$A$2:$A$1701,$A318,Sales!$B$2:$B$1701,$B318)</f>
        <v>154</v>
      </c>
      <c r="D318" s="7">
        <f>SUMIFS(Sales!D$2:D$1701,Sales!$A$2:$A$1701,$A318,Sales!$B$2:$B$1701,$B318)</f>
        <v>84</v>
      </c>
    </row>
    <row r="319" spans="1:4" x14ac:dyDescent="0.2">
      <c r="A319" t="str">
        <f>Calcs!$A$28</f>
        <v>Group</v>
      </c>
      <c r="B319" s="37">
        <v>37192</v>
      </c>
      <c r="C319" s="7">
        <f>SUMIFS(Sales!C$2:C$1701,Sales!$A$2:$A$1701,$A319,Sales!$B$2:$B$1701,$B319)</f>
        <v>138</v>
      </c>
      <c r="D319" s="7">
        <f>SUMIFS(Sales!D$2:D$1701,Sales!$A$2:$A$1701,$A319,Sales!$B$2:$B$1701,$B319)</f>
        <v>78</v>
      </c>
    </row>
    <row r="320" spans="1:4" x14ac:dyDescent="0.2">
      <c r="A320" t="str">
        <f>Calcs!$A$28</f>
        <v>Group</v>
      </c>
      <c r="B320" s="37">
        <v>37193</v>
      </c>
      <c r="C320" s="7">
        <f>SUMIFS(Sales!C$2:C$1701,Sales!$A$2:$A$1701,$A320,Sales!$B$2:$B$1701,$B320)</f>
        <v>139</v>
      </c>
      <c r="D320" s="7">
        <f>SUMIFS(Sales!D$2:D$1701,Sales!$A$2:$A$1701,$A320,Sales!$B$2:$B$1701,$B320)</f>
        <v>95</v>
      </c>
    </row>
    <row r="321" spans="1:4" x14ac:dyDescent="0.2">
      <c r="A321" t="str">
        <f>Calcs!$A$28</f>
        <v>Group</v>
      </c>
      <c r="B321" s="37">
        <v>37194</v>
      </c>
      <c r="C321" s="7">
        <f>SUMIFS(Sales!C$2:C$1701,Sales!$A$2:$A$1701,$A321,Sales!$B$2:$B$1701,$B321)</f>
        <v>112</v>
      </c>
      <c r="D321" s="7">
        <f>SUMIFS(Sales!D$2:D$1701,Sales!$A$2:$A$1701,$A321,Sales!$B$2:$B$1701,$B321)</f>
        <v>69</v>
      </c>
    </row>
    <row r="322" spans="1:4" x14ac:dyDescent="0.2">
      <c r="A322" t="str">
        <f>Calcs!$A$28</f>
        <v>Group</v>
      </c>
      <c r="B322" s="37">
        <v>37195</v>
      </c>
      <c r="C322" s="7">
        <f>SUMIFS(Sales!C$2:C$1701,Sales!$A$2:$A$1701,$A322,Sales!$B$2:$B$1701,$B322)</f>
        <v>117</v>
      </c>
      <c r="D322" s="7">
        <f>SUMIFS(Sales!D$2:D$1701,Sales!$A$2:$A$1701,$A322,Sales!$B$2:$B$1701,$B322)</f>
        <v>90</v>
      </c>
    </row>
    <row r="323" spans="1:4" x14ac:dyDescent="0.2">
      <c r="A323" t="str">
        <f>Calcs!$A$28</f>
        <v>Group</v>
      </c>
      <c r="B323" s="37">
        <v>37196</v>
      </c>
      <c r="C323" s="7">
        <f>SUMIFS(Sales!C$2:C$1701,Sales!$A$2:$A$1701,$A323,Sales!$B$2:$B$1701,$B323)</f>
        <v>118</v>
      </c>
      <c r="D323" s="7">
        <f>SUMIFS(Sales!D$2:D$1701,Sales!$A$2:$A$1701,$A323,Sales!$B$2:$B$1701,$B323)</f>
        <v>86</v>
      </c>
    </row>
    <row r="324" spans="1:4" x14ac:dyDescent="0.2">
      <c r="A324" t="str">
        <f>Calcs!$A$28</f>
        <v>Group</v>
      </c>
      <c r="B324" s="37">
        <v>37197</v>
      </c>
      <c r="C324" s="7">
        <f>SUMIFS(Sales!C$2:C$1701,Sales!$A$2:$A$1701,$A324,Sales!$B$2:$B$1701,$B324)</f>
        <v>119</v>
      </c>
      <c r="D324" s="7">
        <f>SUMIFS(Sales!D$2:D$1701,Sales!$A$2:$A$1701,$A324,Sales!$B$2:$B$1701,$B324)</f>
        <v>78</v>
      </c>
    </row>
    <row r="325" spans="1:4" x14ac:dyDescent="0.2">
      <c r="A325" t="str">
        <f>Calcs!$A$28</f>
        <v>Group</v>
      </c>
      <c r="B325" s="37">
        <v>37198</v>
      </c>
      <c r="C325" s="7">
        <f>SUMIFS(Sales!C$2:C$1701,Sales!$A$2:$A$1701,$A325,Sales!$B$2:$B$1701,$B325)</f>
        <v>137</v>
      </c>
      <c r="D325" s="7">
        <f>SUMIFS(Sales!D$2:D$1701,Sales!$A$2:$A$1701,$A325,Sales!$B$2:$B$1701,$B325)</f>
        <v>78</v>
      </c>
    </row>
    <row r="326" spans="1:4" x14ac:dyDescent="0.2">
      <c r="A326" t="str">
        <f>Calcs!$A$28</f>
        <v>Group</v>
      </c>
      <c r="B326" s="37">
        <v>37199</v>
      </c>
      <c r="C326" s="7">
        <f>SUMIFS(Sales!C$2:C$1701,Sales!$A$2:$A$1701,$A326,Sales!$B$2:$B$1701,$B326)</f>
        <v>129</v>
      </c>
      <c r="D326" s="7">
        <f>SUMIFS(Sales!D$2:D$1701,Sales!$A$2:$A$1701,$A326,Sales!$B$2:$B$1701,$B326)</f>
        <v>90</v>
      </c>
    </row>
    <row r="327" spans="1:4" x14ac:dyDescent="0.2">
      <c r="A327" t="str">
        <f>Calcs!$A$28</f>
        <v>Group</v>
      </c>
      <c r="B327" s="37">
        <v>37200</v>
      </c>
      <c r="C327" s="7">
        <f>SUMIFS(Sales!C$2:C$1701,Sales!$A$2:$A$1701,$A327,Sales!$B$2:$B$1701,$B327)</f>
        <v>129</v>
      </c>
      <c r="D327" s="7">
        <f>SUMIFS(Sales!D$2:D$1701,Sales!$A$2:$A$1701,$A327,Sales!$B$2:$B$1701,$B327)</f>
        <v>71</v>
      </c>
    </row>
    <row r="328" spans="1:4" x14ac:dyDescent="0.2">
      <c r="A328" t="str">
        <f>Calcs!$A$28</f>
        <v>Group</v>
      </c>
      <c r="B328" s="37">
        <v>37201</v>
      </c>
      <c r="C328" s="7">
        <f>SUMIFS(Sales!C$2:C$1701,Sales!$A$2:$A$1701,$A328,Sales!$B$2:$B$1701,$B328)</f>
        <v>117</v>
      </c>
      <c r="D328" s="7">
        <f>SUMIFS(Sales!D$2:D$1701,Sales!$A$2:$A$1701,$A328,Sales!$B$2:$B$1701,$B328)</f>
        <v>94</v>
      </c>
    </row>
    <row r="329" spans="1:4" x14ac:dyDescent="0.2">
      <c r="A329" t="str">
        <f>Calcs!$A$28</f>
        <v>Group</v>
      </c>
      <c r="B329" s="37">
        <v>37202</v>
      </c>
      <c r="C329" s="7">
        <f>SUMIFS(Sales!C$2:C$1701,Sales!$A$2:$A$1701,$A329,Sales!$B$2:$B$1701,$B329)</f>
        <v>110</v>
      </c>
      <c r="D329" s="7">
        <f>SUMIFS(Sales!D$2:D$1701,Sales!$A$2:$A$1701,$A329,Sales!$B$2:$B$1701,$B329)</f>
        <v>82</v>
      </c>
    </row>
    <row r="330" spans="1:4" x14ac:dyDescent="0.2">
      <c r="A330" t="str">
        <f>Calcs!$A$28</f>
        <v>Group</v>
      </c>
      <c r="B330" s="37">
        <v>37203</v>
      </c>
      <c r="C330" s="7">
        <f>SUMIFS(Sales!C$2:C$1701,Sales!$A$2:$A$1701,$A330,Sales!$B$2:$B$1701,$B330)</f>
        <v>157</v>
      </c>
      <c r="D330" s="7">
        <f>SUMIFS(Sales!D$2:D$1701,Sales!$A$2:$A$1701,$A330,Sales!$B$2:$B$1701,$B330)</f>
        <v>68</v>
      </c>
    </row>
    <row r="331" spans="1:4" x14ac:dyDescent="0.2">
      <c r="A331" t="str">
        <f>Calcs!$A$28</f>
        <v>Group</v>
      </c>
      <c r="B331" s="37">
        <v>37204</v>
      </c>
      <c r="C331" s="7">
        <f>SUMIFS(Sales!C$2:C$1701,Sales!$A$2:$A$1701,$A331,Sales!$B$2:$B$1701,$B331)</f>
        <v>117</v>
      </c>
      <c r="D331" s="7">
        <f>SUMIFS(Sales!D$2:D$1701,Sales!$A$2:$A$1701,$A331,Sales!$B$2:$B$1701,$B331)</f>
        <v>79</v>
      </c>
    </row>
    <row r="332" spans="1:4" x14ac:dyDescent="0.2">
      <c r="A332" t="str">
        <f>Calcs!$A$28</f>
        <v>Group</v>
      </c>
      <c r="B332" s="37">
        <v>37205</v>
      </c>
      <c r="C332" s="7">
        <f>SUMIFS(Sales!C$2:C$1701,Sales!$A$2:$A$1701,$A332,Sales!$B$2:$B$1701,$B332)</f>
        <v>130</v>
      </c>
      <c r="D332" s="7">
        <f>SUMIFS(Sales!D$2:D$1701,Sales!$A$2:$A$1701,$A332,Sales!$B$2:$B$1701,$B332)</f>
        <v>70</v>
      </c>
    </row>
    <row r="333" spans="1:4" x14ac:dyDescent="0.2">
      <c r="A333" t="str">
        <f>Calcs!$A$28</f>
        <v>Group</v>
      </c>
      <c r="B333" s="37">
        <v>37206</v>
      </c>
      <c r="C333" s="7">
        <f>SUMIFS(Sales!C$2:C$1701,Sales!$A$2:$A$1701,$A333,Sales!$B$2:$B$1701,$B333)</f>
        <v>120</v>
      </c>
      <c r="D333" s="7">
        <f>SUMIFS(Sales!D$2:D$1701,Sales!$A$2:$A$1701,$A333,Sales!$B$2:$B$1701,$B333)</f>
        <v>72</v>
      </c>
    </row>
    <row r="334" spans="1:4" x14ac:dyDescent="0.2">
      <c r="A334" t="str">
        <f>Calcs!$A$28</f>
        <v>Group</v>
      </c>
      <c r="B334" s="37">
        <v>37207</v>
      </c>
      <c r="C334" s="7">
        <f>SUMIFS(Sales!C$2:C$1701,Sales!$A$2:$A$1701,$A334,Sales!$B$2:$B$1701,$B334)</f>
        <v>131</v>
      </c>
      <c r="D334" s="7">
        <f>SUMIFS(Sales!D$2:D$1701,Sales!$A$2:$A$1701,$A334,Sales!$B$2:$B$1701,$B334)</f>
        <v>78</v>
      </c>
    </row>
    <row r="335" spans="1:4" x14ac:dyDescent="0.2">
      <c r="A335" t="str">
        <f>Calcs!$A$28</f>
        <v>Group</v>
      </c>
      <c r="B335" s="37">
        <v>37208</v>
      </c>
      <c r="C335" s="7">
        <f>SUMIFS(Sales!C$2:C$1701,Sales!$A$2:$A$1701,$A335,Sales!$B$2:$B$1701,$B335)</f>
        <v>129</v>
      </c>
      <c r="D335" s="7">
        <f>SUMIFS(Sales!D$2:D$1701,Sales!$A$2:$A$1701,$A335,Sales!$B$2:$B$1701,$B335)</f>
        <v>93</v>
      </c>
    </row>
    <row r="336" spans="1:4" x14ac:dyDescent="0.2">
      <c r="A336" t="str">
        <f>Calcs!$A$28</f>
        <v>Group</v>
      </c>
      <c r="B336" s="37">
        <v>37209</v>
      </c>
      <c r="C336" s="7">
        <f>SUMIFS(Sales!C$2:C$1701,Sales!$A$2:$A$1701,$A336,Sales!$B$2:$B$1701,$B336)</f>
        <v>122</v>
      </c>
      <c r="D336" s="7">
        <f>SUMIFS(Sales!D$2:D$1701,Sales!$A$2:$A$1701,$A336,Sales!$B$2:$B$1701,$B336)</f>
        <v>52</v>
      </c>
    </row>
    <row r="337" spans="1:4" x14ac:dyDescent="0.2">
      <c r="A337" t="str">
        <f>Calcs!$A$28</f>
        <v>Group</v>
      </c>
      <c r="B337" s="37">
        <v>37210</v>
      </c>
      <c r="C337" s="7">
        <f>SUMIFS(Sales!C$2:C$1701,Sales!$A$2:$A$1701,$A337,Sales!$B$2:$B$1701,$B337)</f>
        <v>151</v>
      </c>
      <c r="D337" s="7">
        <f>SUMIFS(Sales!D$2:D$1701,Sales!$A$2:$A$1701,$A337,Sales!$B$2:$B$1701,$B337)</f>
        <v>80</v>
      </c>
    </row>
    <row r="338" spans="1:4" x14ac:dyDescent="0.2">
      <c r="A338" t="str">
        <f>Calcs!$A$28</f>
        <v>Group</v>
      </c>
      <c r="B338" s="37">
        <v>37211</v>
      </c>
      <c r="C338" s="7">
        <f>SUMIFS(Sales!C$2:C$1701,Sales!$A$2:$A$1701,$A338,Sales!$B$2:$B$1701,$B338)</f>
        <v>128</v>
      </c>
      <c r="D338" s="7">
        <f>SUMIFS(Sales!D$2:D$1701,Sales!$A$2:$A$1701,$A338,Sales!$B$2:$B$1701,$B338)</f>
        <v>61</v>
      </c>
    </row>
    <row r="339" spans="1:4" x14ac:dyDescent="0.2">
      <c r="A339" t="str">
        <f>Calcs!$A$28</f>
        <v>Group</v>
      </c>
      <c r="B339" s="37">
        <v>37212</v>
      </c>
      <c r="C339" s="7">
        <f>SUMIFS(Sales!C$2:C$1701,Sales!$A$2:$A$1701,$A339,Sales!$B$2:$B$1701,$B339)</f>
        <v>136</v>
      </c>
      <c r="D339" s="7">
        <f>SUMIFS(Sales!D$2:D$1701,Sales!$A$2:$A$1701,$A339,Sales!$B$2:$B$1701,$B339)</f>
        <v>82</v>
      </c>
    </row>
    <row r="340" spans="1:4" x14ac:dyDescent="0.2">
      <c r="A340" t="str">
        <f>Calcs!$A$28</f>
        <v>Group</v>
      </c>
      <c r="B340" s="37">
        <v>37213</v>
      </c>
      <c r="C340" s="7">
        <f>SUMIFS(Sales!C$2:C$1701,Sales!$A$2:$A$1701,$A340,Sales!$B$2:$B$1701,$B340)</f>
        <v>136</v>
      </c>
      <c r="D340" s="7">
        <f>SUMIFS(Sales!D$2:D$1701,Sales!$A$2:$A$1701,$A340,Sales!$B$2:$B$1701,$B340)</f>
        <v>70</v>
      </c>
    </row>
    <row r="341" spans="1:4" x14ac:dyDescent="0.2">
      <c r="A341" t="str">
        <f>Calcs!$A$28</f>
        <v>Group</v>
      </c>
      <c r="B341" s="37">
        <v>37214</v>
      </c>
      <c r="C341" s="7">
        <f>SUMIFS(Sales!C$2:C$1701,Sales!$A$2:$A$1701,$A341,Sales!$B$2:$B$1701,$B341)</f>
        <v>127</v>
      </c>
      <c r="D341" s="7">
        <f>SUMIFS(Sales!D$2:D$1701,Sales!$A$2:$A$1701,$A341,Sales!$B$2:$B$1701,$B341)</f>
        <v>66</v>
      </c>
    </row>
    <row r="342" spans="1:4" x14ac:dyDescent="0.2">
      <c r="A342" t="str">
        <f>Calcs!$A$28</f>
        <v>Group</v>
      </c>
      <c r="B342" s="37">
        <v>37215</v>
      </c>
      <c r="C342" s="7">
        <f>SUMIFS(Sales!C$2:C$1701,Sales!$A$2:$A$1701,$A342,Sales!$B$2:$B$1701,$B342)</f>
        <v>142</v>
      </c>
      <c r="D342" s="7">
        <f>SUMIFS(Sales!D$2:D$1701,Sales!$A$2:$A$1701,$A342,Sales!$B$2:$B$1701,$B342)</f>
        <v>64</v>
      </c>
    </row>
    <row r="343" spans="1:4" x14ac:dyDescent="0.2">
      <c r="A343" t="str">
        <f>Calcs!$A$28</f>
        <v>Group</v>
      </c>
      <c r="B343" s="37">
        <v>37216</v>
      </c>
      <c r="C343" s="7">
        <f>SUMIFS(Sales!C$2:C$1701,Sales!$A$2:$A$1701,$A343,Sales!$B$2:$B$1701,$B343)</f>
        <v>138</v>
      </c>
      <c r="D343" s="7">
        <f>SUMIFS(Sales!D$2:D$1701,Sales!$A$2:$A$1701,$A343,Sales!$B$2:$B$1701,$B343)</f>
        <v>63</v>
      </c>
    </row>
    <row r="344" spans="1:4" x14ac:dyDescent="0.2">
      <c r="A344" t="str">
        <f>Calcs!$A$28</f>
        <v>Group</v>
      </c>
      <c r="B344" s="37">
        <v>37217</v>
      </c>
      <c r="C344" s="7">
        <f>SUMIFS(Sales!C$2:C$1701,Sales!$A$2:$A$1701,$A344,Sales!$B$2:$B$1701,$B344)</f>
        <v>133</v>
      </c>
      <c r="D344" s="7">
        <f>SUMIFS(Sales!D$2:D$1701,Sales!$A$2:$A$1701,$A344,Sales!$B$2:$B$1701,$B344)</f>
        <v>57</v>
      </c>
    </row>
    <row r="345" spans="1:4" x14ac:dyDescent="0.2">
      <c r="A345" t="str">
        <f>Calcs!$A$28</f>
        <v>Group</v>
      </c>
      <c r="B345" s="37">
        <v>37218</v>
      </c>
      <c r="C345" s="7">
        <f>SUMIFS(Sales!C$2:C$1701,Sales!$A$2:$A$1701,$A345,Sales!$B$2:$B$1701,$B345)</f>
        <v>130</v>
      </c>
      <c r="D345" s="7">
        <f>SUMIFS(Sales!D$2:D$1701,Sales!$A$2:$A$1701,$A345,Sales!$B$2:$B$1701,$B345)</f>
        <v>87</v>
      </c>
    </row>
    <row r="346" spans="1:4" x14ac:dyDescent="0.2">
      <c r="A346" t="str">
        <f>Calcs!$A$28</f>
        <v>Group</v>
      </c>
      <c r="B346" s="37">
        <v>37219</v>
      </c>
      <c r="C346" s="7">
        <f>SUMIFS(Sales!C$2:C$1701,Sales!$A$2:$A$1701,$A346,Sales!$B$2:$B$1701,$B346)</f>
        <v>134</v>
      </c>
      <c r="D346" s="7">
        <f>SUMIFS(Sales!D$2:D$1701,Sales!$A$2:$A$1701,$A346,Sales!$B$2:$B$1701,$B346)</f>
        <v>83</v>
      </c>
    </row>
    <row r="347" spans="1:4" x14ac:dyDescent="0.2">
      <c r="A347" t="str">
        <f>Calcs!$A$28</f>
        <v>Group</v>
      </c>
      <c r="B347" s="37">
        <v>37220</v>
      </c>
      <c r="C347" s="7">
        <f>SUMIFS(Sales!C$2:C$1701,Sales!$A$2:$A$1701,$A347,Sales!$B$2:$B$1701,$B347)</f>
        <v>130</v>
      </c>
      <c r="D347" s="7">
        <f>SUMIFS(Sales!D$2:D$1701,Sales!$A$2:$A$1701,$A347,Sales!$B$2:$B$1701,$B347)</f>
        <v>93</v>
      </c>
    </row>
    <row r="348" spans="1:4" x14ac:dyDescent="0.2">
      <c r="A348" t="str">
        <f>Calcs!$A$28</f>
        <v>Group</v>
      </c>
      <c r="B348" s="37">
        <v>37221</v>
      </c>
      <c r="C348" s="7">
        <f>SUMIFS(Sales!C$2:C$1701,Sales!$A$2:$A$1701,$A348,Sales!$B$2:$B$1701,$B348)</f>
        <v>138</v>
      </c>
      <c r="D348" s="7">
        <f>SUMIFS(Sales!D$2:D$1701,Sales!$A$2:$A$1701,$A348,Sales!$B$2:$B$1701,$B348)</f>
        <v>66</v>
      </c>
    </row>
    <row r="349" spans="1:4" x14ac:dyDescent="0.2">
      <c r="A349" t="str">
        <f>Calcs!$A$28</f>
        <v>Group</v>
      </c>
      <c r="B349" s="37">
        <v>37222</v>
      </c>
      <c r="C349" s="7">
        <f>SUMIFS(Sales!C$2:C$1701,Sales!$A$2:$A$1701,$A349,Sales!$B$2:$B$1701,$B349)</f>
        <v>143</v>
      </c>
      <c r="D349" s="7">
        <f>SUMIFS(Sales!D$2:D$1701,Sales!$A$2:$A$1701,$A349,Sales!$B$2:$B$1701,$B349)</f>
        <v>85</v>
      </c>
    </row>
    <row r="350" spans="1:4" x14ac:dyDescent="0.2">
      <c r="A350" t="str">
        <f>Calcs!$A$28</f>
        <v>Group</v>
      </c>
      <c r="B350" s="37">
        <v>37223</v>
      </c>
      <c r="C350" s="7">
        <f>SUMIFS(Sales!C$2:C$1701,Sales!$A$2:$A$1701,$A350,Sales!$B$2:$B$1701,$B350)</f>
        <v>139</v>
      </c>
      <c r="D350" s="7">
        <f>SUMIFS(Sales!D$2:D$1701,Sales!$A$2:$A$1701,$A350,Sales!$B$2:$B$1701,$B350)</f>
        <v>78</v>
      </c>
    </row>
    <row r="351" spans="1:4" x14ac:dyDescent="0.2">
      <c r="A351" t="str">
        <f>Calcs!$A$28</f>
        <v>Group</v>
      </c>
      <c r="B351" s="37">
        <v>37224</v>
      </c>
      <c r="C351" s="7">
        <f>SUMIFS(Sales!C$2:C$1701,Sales!$A$2:$A$1701,$A351,Sales!$B$2:$B$1701,$B351)</f>
        <v>138</v>
      </c>
      <c r="D351" s="7">
        <f>SUMIFS(Sales!D$2:D$1701,Sales!$A$2:$A$1701,$A351,Sales!$B$2:$B$1701,$B351)</f>
        <v>83</v>
      </c>
    </row>
    <row r="352" spans="1:4" x14ac:dyDescent="0.2">
      <c r="A352" t="str">
        <f>Calcs!$A$28</f>
        <v>Group</v>
      </c>
      <c r="B352" s="37">
        <v>37225</v>
      </c>
      <c r="C352" s="7">
        <f>SUMIFS(Sales!C$2:C$1701,Sales!$A$2:$A$1701,$A352,Sales!$B$2:$B$1701,$B352)</f>
        <v>136</v>
      </c>
      <c r="D352" s="7">
        <f>SUMIFS(Sales!D$2:D$1701,Sales!$A$2:$A$1701,$A352,Sales!$B$2:$B$1701,$B352)</f>
        <v>62</v>
      </c>
    </row>
    <row r="353" spans="1:4" x14ac:dyDescent="0.2">
      <c r="A353" t="str">
        <f>Calcs!$A$28</f>
        <v>Group</v>
      </c>
      <c r="B353" s="37">
        <v>37226</v>
      </c>
      <c r="C353" s="7">
        <f>SUMIFS(Sales!C$2:C$1701,Sales!$A$2:$A$1701,$A353,Sales!$B$2:$B$1701,$B353)</f>
        <v>143</v>
      </c>
      <c r="D353" s="7">
        <f>SUMIFS(Sales!D$2:D$1701,Sales!$A$2:$A$1701,$A353,Sales!$B$2:$B$1701,$B353)</f>
        <v>78</v>
      </c>
    </row>
    <row r="354" spans="1:4" x14ac:dyDescent="0.2">
      <c r="A354" t="str">
        <f>Calcs!$A$28</f>
        <v>Group</v>
      </c>
      <c r="B354" s="37">
        <v>37227</v>
      </c>
      <c r="C354" s="7">
        <f>SUMIFS(Sales!C$2:C$1701,Sales!$A$2:$A$1701,$A354,Sales!$B$2:$B$1701,$B354)</f>
        <v>122</v>
      </c>
      <c r="D354" s="7">
        <f>SUMIFS(Sales!D$2:D$1701,Sales!$A$2:$A$1701,$A354,Sales!$B$2:$B$1701,$B354)</f>
        <v>77</v>
      </c>
    </row>
    <row r="355" spans="1:4" x14ac:dyDescent="0.2">
      <c r="A355" t="str">
        <f>Calcs!$A$28</f>
        <v>Group</v>
      </c>
      <c r="B355" s="37">
        <v>37228</v>
      </c>
      <c r="C355" s="7">
        <f>SUMIFS(Sales!C$2:C$1701,Sales!$A$2:$A$1701,$A355,Sales!$B$2:$B$1701,$B355)</f>
        <v>138</v>
      </c>
      <c r="D355" s="7">
        <f>SUMIFS(Sales!D$2:D$1701,Sales!$A$2:$A$1701,$A355,Sales!$B$2:$B$1701,$B355)</f>
        <v>64</v>
      </c>
    </row>
    <row r="356" spans="1:4" x14ac:dyDescent="0.2">
      <c r="A356" t="str">
        <f>Calcs!$A$28</f>
        <v>Group</v>
      </c>
      <c r="B356" s="37">
        <v>37229</v>
      </c>
      <c r="C356" s="7">
        <f>SUMIFS(Sales!C$2:C$1701,Sales!$A$2:$A$1701,$A356,Sales!$B$2:$B$1701,$B356)</f>
        <v>111</v>
      </c>
      <c r="D356" s="7">
        <f>SUMIFS(Sales!D$2:D$1701,Sales!$A$2:$A$1701,$A356,Sales!$B$2:$B$1701,$B356)</f>
        <v>81</v>
      </c>
    </row>
    <row r="357" spans="1:4" x14ac:dyDescent="0.2">
      <c r="A357" t="str">
        <f>Calcs!$A$28</f>
        <v>Group</v>
      </c>
      <c r="B357" s="37">
        <v>37230</v>
      </c>
      <c r="C357" s="7">
        <f>SUMIFS(Sales!C$2:C$1701,Sales!$A$2:$A$1701,$A357,Sales!$B$2:$B$1701,$B357)</f>
        <v>129</v>
      </c>
      <c r="D357" s="7">
        <f>SUMIFS(Sales!D$2:D$1701,Sales!$A$2:$A$1701,$A357,Sales!$B$2:$B$1701,$B357)</f>
        <v>81</v>
      </c>
    </row>
    <row r="358" spans="1:4" x14ac:dyDescent="0.2">
      <c r="A358" t="str">
        <f>Calcs!$A$28</f>
        <v>Group</v>
      </c>
      <c r="B358" s="37">
        <v>37231</v>
      </c>
      <c r="C358" s="7">
        <f>SUMIFS(Sales!C$2:C$1701,Sales!$A$2:$A$1701,$A358,Sales!$B$2:$B$1701,$B358)</f>
        <v>138</v>
      </c>
      <c r="D358" s="7">
        <f>SUMIFS(Sales!D$2:D$1701,Sales!$A$2:$A$1701,$A358,Sales!$B$2:$B$1701,$B358)</f>
        <v>64</v>
      </c>
    </row>
  </sheetData>
  <conditionalFormatting sqref="C2:I7">
    <cfRule type="expression" dxfId="1" priority="3">
      <formula>$B$8="%"</formula>
    </cfRule>
    <cfRule type="expression" dxfId="0" priority="4">
      <formula>$B$8="kEUR"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5" tint="0.39997558519241921"/>
  </sheetPr>
  <dimension ref="B7:Y67"/>
  <sheetViews>
    <sheetView showGridLines="0" showRowColHeaders="0" showZeros="0" tabSelected="1" showOutlineSymbols="0" workbookViewId="0">
      <selection activeCell="Y9" sqref="Y9"/>
    </sheetView>
  </sheetViews>
  <sheetFormatPr defaultRowHeight="15.75" customHeight="1" x14ac:dyDescent="0.2"/>
  <cols>
    <col min="1" max="1" width="3.140625" style="7" customWidth="1"/>
    <col min="2" max="3" width="9.140625" style="7"/>
    <col min="4" max="4" width="11.140625" style="7" customWidth="1"/>
    <col min="5" max="5" width="4.7109375" style="7" customWidth="1"/>
    <col min="6" max="6" width="10.7109375" style="7" customWidth="1"/>
    <col min="7" max="10" width="7.28515625" style="7" customWidth="1"/>
    <col min="11" max="11" width="6.28515625" style="7" customWidth="1"/>
    <col min="12" max="15" width="7.28515625" style="7" customWidth="1"/>
    <col min="16" max="16" width="6.28515625" style="7" customWidth="1"/>
    <col min="17" max="17" width="7.28515625" style="7" customWidth="1"/>
    <col min="18" max="18" width="8.7109375" style="7" customWidth="1"/>
    <col min="19" max="19" width="10.7109375" style="7" customWidth="1"/>
    <col min="20" max="20" width="10.85546875" style="7" customWidth="1"/>
    <col min="21" max="21" width="9.140625" style="7"/>
    <col min="22" max="22" width="9.7109375" style="7" customWidth="1"/>
    <col min="23" max="23" width="9.140625" style="7"/>
    <col min="24" max="24" width="10" style="7" customWidth="1"/>
    <col min="25" max="25" width="8.28515625" style="7" customWidth="1"/>
    <col min="26" max="26" width="7.7109375" style="7" customWidth="1"/>
    <col min="27" max="16384" width="9.140625" style="7"/>
  </cols>
  <sheetData>
    <row r="7" spans="19:21" ht="15.75" customHeight="1" x14ac:dyDescent="0.2">
      <c r="U7" s="2"/>
    </row>
    <row r="8" spans="19:21" ht="15.75" customHeight="1" x14ac:dyDescent="0.2">
      <c r="S8" s="7">
        <v>12</v>
      </c>
    </row>
    <row r="17" spans="2:25" ht="15.75" customHeight="1" x14ac:dyDescent="0.2">
      <c r="B17" s="7">
        <v>1</v>
      </c>
      <c r="D17" s="7">
        <v>3</v>
      </c>
    </row>
    <row r="19" spans="2:25" ht="15.75" customHeight="1" x14ac:dyDescent="0.2">
      <c r="F19" s="14"/>
    </row>
    <row r="20" spans="2:25" ht="15.75" customHeight="1" x14ac:dyDescent="0.2"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2:25" ht="15.75" customHeight="1" x14ac:dyDescent="0.2"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2:25" ht="15.75" customHeight="1" x14ac:dyDescent="0.2"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2:25" ht="15.75" customHeight="1" x14ac:dyDescent="0.2">
      <c r="B23" s="55" t="s">
        <v>125</v>
      </c>
      <c r="C23" s="16"/>
      <c r="D23" s="17"/>
      <c r="F23" s="14"/>
      <c r="G23" s="15"/>
      <c r="H23" s="16"/>
      <c r="I23" s="17"/>
      <c r="J23" s="14"/>
      <c r="K23" s="14"/>
      <c r="L23" s="15"/>
      <c r="M23" s="16"/>
      <c r="N23" s="17"/>
      <c r="O23" s="14"/>
      <c r="P23" s="14" t="s">
        <v>75</v>
      </c>
      <c r="Q23" s="15"/>
      <c r="R23" s="16"/>
      <c r="S23" s="17"/>
    </row>
    <row r="24" spans="2:25" ht="15.75" customHeight="1" x14ac:dyDescent="0.2">
      <c r="B24" s="54" t="s">
        <v>126</v>
      </c>
      <c r="C24" s="22" t="s">
        <v>100</v>
      </c>
      <c r="D24" s="19" t="s">
        <v>101</v>
      </c>
      <c r="F24" s="14"/>
      <c r="G24" s="20" t="s">
        <v>74</v>
      </c>
      <c r="I24" s="21" t="str">
        <f>HR!D1</f>
        <v>FTEs</v>
      </c>
      <c r="J24" s="14"/>
      <c r="K24" s="14"/>
      <c r="L24" s="20" t="s">
        <v>73</v>
      </c>
      <c r="M24" s="22"/>
      <c r="N24" s="23" t="s">
        <v>72</v>
      </c>
      <c r="O24" s="14"/>
      <c r="P24" s="14"/>
      <c r="Q24" s="20" t="s">
        <v>71</v>
      </c>
      <c r="R24" s="14"/>
      <c r="S24" s="24" t="s">
        <v>70</v>
      </c>
      <c r="U24" s="35"/>
      <c r="V24" s="36" t="s">
        <v>79</v>
      </c>
      <c r="W24" s="36" t="s">
        <v>80</v>
      </c>
      <c r="X24" s="35"/>
      <c r="Y24" s="35"/>
    </row>
    <row r="25" spans="2:25" ht="15.75" customHeight="1" x14ac:dyDescent="0.2">
      <c r="B25" s="56" t="s">
        <v>121</v>
      </c>
      <c r="C25" s="62">
        <f>Calcs!C74/1000</f>
        <v>4177.9186399999999</v>
      </c>
      <c r="D25" s="62">
        <f>Calcs!D74/1000</f>
        <v>5736.6306799999993</v>
      </c>
      <c r="F25" s="14"/>
      <c r="G25" s="18" t="str">
        <f ca="1">Calcs!B28</f>
        <v>London</v>
      </c>
      <c r="H25" s="14"/>
      <c r="I25" s="25">
        <f ca="1">Calcs!C28</f>
        <v>216</v>
      </c>
      <c r="J25" s="14"/>
      <c r="K25" s="14"/>
      <c r="L25" s="18" t="str">
        <f ca="1">Calcs!B28</f>
        <v>London</v>
      </c>
      <c r="M25" s="18"/>
      <c r="N25" s="38">
        <f ca="1">Calcs!D28</f>
        <v>1952</v>
      </c>
      <c r="O25" s="14"/>
      <c r="P25" s="14"/>
      <c r="Q25" s="26" t="str">
        <f>Calcs!B35</f>
        <v>Project 1</v>
      </c>
      <c r="R25" s="14"/>
      <c r="S25" s="27">
        <f>Calcs!C35</f>
        <v>1851.8970000000002</v>
      </c>
      <c r="V25" s="7" t="s">
        <v>81</v>
      </c>
      <c r="W25" s="63">
        <f>Calcs!C43</f>
        <v>520</v>
      </c>
      <c r="X25" s="64"/>
      <c r="Y25" s="64"/>
    </row>
    <row r="26" spans="2:25" ht="15.75" customHeight="1" x14ac:dyDescent="0.2">
      <c r="B26" s="56" t="s">
        <v>122</v>
      </c>
      <c r="C26" s="62">
        <f>Calcs!C75/1000</f>
        <v>5555.4638399999994</v>
      </c>
      <c r="D26" s="62">
        <f>Calcs!D75/1000</f>
        <v>5090.5557199999994</v>
      </c>
      <c r="F26" s="14"/>
      <c r="G26" s="18" t="str">
        <f ca="1">Calcs!B29</f>
        <v>Cardiff</v>
      </c>
      <c r="H26" s="14"/>
      <c r="I26" s="25">
        <f ca="1">Calcs!C29</f>
        <v>116</v>
      </c>
      <c r="J26" s="14"/>
      <c r="K26" s="14"/>
      <c r="L26" s="18" t="str">
        <f ca="1">Calcs!B29</f>
        <v>Cardiff</v>
      </c>
      <c r="M26" s="14"/>
      <c r="N26" s="38">
        <f ca="1">Calcs!D29</f>
        <v>472</v>
      </c>
      <c r="O26" s="14"/>
      <c r="P26" s="14"/>
      <c r="Q26" s="26" t="str">
        <f>Calcs!B36</f>
        <v>Project 3</v>
      </c>
      <c r="R26" s="14"/>
      <c r="S26" s="27">
        <f>Calcs!C36</f>
        <v>1586.9754000000003</v>
      </c>
      <c r="V26" s="7" t="s">
        <v>82</v>
      </c>
      <c r="W26" s="63">
        <f>Calcs!C44</f>
        <v>499</v>
      </c>
      <c r="X26" s="64"/>
      <c r="Y26" s="64"/>
    </row>
    <row r="27" spans="2:25" ht="15.75" customHeight="1" x14ac:dyDescent="0.2">
      <c r="B27" s="56" t="s">
        <v>123</v>
      </c>
      <c r="C27" s="62">
        <f>Calcs!C76/1000</f>
        <v>5072.6232399999999</v>
      </c>
      <c r="D27" s="62">
        <f>Calcs!D76/1000</f>
        <v>5119.9878399999998</v>
      </c>
      <c r="F27" s="14"/>
      <c r="G27" s="18" t="str">
        <f ca="1">Calcs!B30</f>
        <v>Manchester</v>
      </c>
      <c r="H27" s="14"/>
      <c r="I27" s="25">
        <f ca="1">Calcs!C30</f>
        <v>110</v>
      </c>
      <c r="J27" s="14"/>
      <c r="K27" s="14"/>
      <c r="L27" s="18" t="str">
        <f ca="1">Calcs!B30</f>
        <v>Manchester</v>
      </c>
      <c r="M27" s="14"/>
      <c r="N27" s="38">
        <f ca="1">Calcs!D30</f>
        <v>866</v>
      </c>
      <c r="O27" s="14"/>
      <c r="P27" s="14"/>
      <c r="Q27" s="26" t="str">
        <f>Calcs!B37</f>
        <v>Project 4</v>
      </c>
      <c r="R27" s="14"/>
      <c r="S27" s="27">
        <f>Calcs!C37</f>
        <v>1526.35625</v>
      </c>
      <c r="V27" s="7" t="s">
        <v>83</v>
      </c>
      <c r="W27" s="63">
        <f>Calcs!C45</f>
        <v>490</v>
      </c>
      <c r="X27" s="64"/>
      <c r="Y27" s="64"/>
    </row>
    <row r="28" spans="2:25" ht="15.75" customHeight="1" x14ac:dyDescent="0.2">
      <c r="B28" s="56" t="s">
        <v>124</v>
      </c>
      <c r="C28" s="62">
        <f>Calcs!C77/1000</f>
        <v>4651.3855160000003</v>
      </c>
      <c r="D28" s="62">
        <f>Calcs!D77/1000</f>
        <v>5203.6138000000001</v>
      </c>
      <c r="F28" s="14"/>
      <c r="G28" s="18" t="str">
        <f ca="1">Calcs!B31</f>
        <v>Belfast</v>
      </c>
      <c r="H28" s="14"/>
      <c r="I28" s="25">
        <f ca="1">Calcs!C31</f>
        <v>88</v>
      </c>
      <c r="J28" s="14"/>
      <c r="K28" s="14"/>
      <c r="L28" s="18" t="str">
        <f ca="1">Calcs!B31</f>
        <v>Belfast</v>
      </c>
      <c r="M28" s="14"/>
      <c r="N28" s="38">
        <f ca="1">Calcs!D31</f>
        <v>368</v>
      </c>
      <c r="O28" s="14"/>
      <c r="P28" s="14"/>
      <c r="Q28" s="26" t="str">
        <f>Calcs!B38</f>
        <v>Project 5</v>
      </c>
      <c r="R28" s="14"/>
      <c r="S28" s="27">
        <f>Calcs!C38</f>
        <v>1456</v>
      </c>
      <c r="V28" s="7" t="s">
        <v>84</v>
      </c>
      <c r="W28" s="63">
        <f>Calcs!C46</f>
        <v>478</v>
      </c>
      <c r="X28" s="64"/>
      <c r="Y28" s="64"/>
    </row>
    <row r="29" spans="2:25" ht="15.75" customHeight="1" x14ac:dyDescent="0.2">
      <c r="B29" s="56" t="s">
        <v>109</v>
      </c>
      <c r="C29" s="62">
        <f>Calcs!C78/1000</f>
        <v>5118.6007639999989</v>
      </c>
      <c r="D29" s="62">
        <f>Calcs!D78/1000</f>
        <v>5565.0459600000004</v>
      </c>
      <c r="F29" s="14"/>
      <c r="G29" s="18" t="s">
        <v>69</v>
      </c>
      <c r="H29" s="14"/>
      <c r="I29" s="21">
        <f ca="1">SUM(I25:I28)</f>
        <v>530</v>
      </c>
      <c r="J29" s="14"/>
      <c r="K29" s="14"/>
      <c r="L29" s="18" t="s">
        <v>68</v>
      </c>
      <c r="M29" s="14"/>
      <c r="N29" s="29"/>
      <c r="O29" s="14"/>
      <c r="P29" s="14"/>
      <c r="Q29" s="26" t="str">
        <f>Calcs!B39</f>
        <v>Project 2</v>
      </c>
      <c r="R29" s="14"/>
      <c r="S29" s="27">
        <f>Calcs!C39</f>
        <v>1338.7725</v>
      </c>
      <c r="V29" s="7" t="s">
        <v>85</v>
      </c>
      <c r="W29" s="63">
        <f>Calcs!C47</f>
        <v>477</v>
      </c>
      <c r="X29" s="64"/>
      <c r="Y29" s="64"/>
    </row>
    <row r="30" spans="2:25" ht="15.75" customHeight="1" x14ac:dyDescent="0.2">
      <c r="C30" s="14"/>
      <c r="D30" s="28"/>
      <c r="F30" s="14"/>
      <c r="G30" s="14"/>
      <c r="H30" s="14"/>
      <c r="I30" s="14"/>
      <c r="J30" s="14"/>
      <c r="L30" s="30"/>
      <c r="N30" s="30"/>
      <c r="P30" s="30"/>
    </row>
    <row r="31" spans="2:25" ht="15.75" customHeight="1" x14ac:dyDescent="0.2">
      <c r="G31" s="30"/>
      <c r="H31" s="30"/>
      <c r="I31" s="30"/>
      <c r="J31" s="30"/>
      <c r="L31" s="30"/>
      <c r="N31" s="30"/>
    </row>
    <row r="32" spans="2:25" ht="15.75" customHeight="1" x14ac:dyDescent="0.2">
      <c r="G32" s="30"/>
      <c r="H32" s="30"/>
      <c r="I32" s="30"/>
      <c r="J32" s="30"/>
      <c r="L32" s="30"/>
      <c r="N32" s="30"/>
      <c r="P32" s="30"/>
    </row>
    <row r="33" spans="7:16" ht="15.75" customHeight="1" x14ac:dyDescent="0.2"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7:16" ht="15.75" customHeight="1" x14ac:dyDescent="0.2"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7:16" ht="15.75" customHeight="1" x14ac:dyDescent="0.2"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7:16" ht="15.75" customHeight="1" x14ac:dyDescent="0.2">
      <c r="G36" s="30"/>
      <c r="H36" s="30"/>
      <c r="I36" s="30"/>
      <c r="J36" s="30"/>
      <c r="K36" s="30"/>
      <c r="L36" s="30"/>
      <c r="M36" s="30"/>
      <c r="N36" s="30"/>
      <c r="O36" s="30"/>
      <c r="P36" s="30"/>
    </row>
    <row r="37" spans="7:16" ht="15.75" customHeight="1" x14ac:dyDescent="0.2"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7:16" ht="15.75" customHeight="1" x14ac:dyDescent="0.2">
      <c r="G38" s="30"/>
      <c r="H38" s="30"/>
      <c r="I38" s="30"/>
      <c r="J38" s="30"/>
      <c r="K38" s="30"/>
      <c r="L38" s="30"/>
      <c r="M38" s="30"/>
      <c r="N38" s="30"/>
      <c r="O38" s="30"/>
      <c r="P38" s="30"/>
    </row>
    <row r="39" spans="7:16" ht="15.75" customHeight="1" x14ac:dyDescent="0.2"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7:16" ht="15.75" customHeight="1" x14ac:dyDescent="0.2">
      <c r="G40" s="30"/>
      <c r="H40" s="30"/>
      <c r="I40" s="30"/>
      <c r="J40" s="30"/>
      <c r="K40" s="30"/>
      <c r="L40" s="30"/>
      <c r="M40" s="30"/>
      <c r="N40" s="30"/>
      <c r="O40" s="30"/>
      <c r="P40" s="30"/>
    </row>
    <row r="41" spans="7:16" ht="15.75" customHeight="1" x14ac:dyDescent="0.2"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spans="7:16" ht="15.75" customHeight="1" x14ac:dyDescent="0.2">
      <c r="G42" s="30"/>
      <c r="H42" s="30"/>
      <c r="I42" s="30"/>
      <c r="J42" s="30"/>
      <c r="K42" s="30"/>
      <c r="L42" s="30"/>
      <c r="M42" s="30"/>
      <c r="N42" s="30"/>
      <c r="O42" s="30"/>
      <c r="P42" s="30"/>
    </row>
    <row r="43" spans="7:16" ht="15.75" customHeight="1" x14ac:dyDescent="0.2">
      <c r="G43" s="30"/>
      <c r="H43" s="30"/>
      <c r="I43" s="30"/>
      <c r="J43" s="30"/>
      <c r="K43" s="30"/>
      <c r="L43" s="30"/>
      <c r="M43" s="30"/>
      <c r="N43" s="30"/>
      <c r="O43" s="30"/>
      <c r="P43" s="30"/>
    </row>
    <row r="44" spans="7:16" ht="15.75" customHeight="1" x14ac:dyDescent="0.2">
      <c r="G44" s="30"/>
      <c r="H44" s="30"/>
      <c r="I44" s="30"/>
      <c r="J44" s="30"/>
      <c r="K44" s="30"/>
      <c r="L44" s="30"/>
      <c r="M44" s="30"/>
      <c r="N44" s="30"/>
      <c r="O44" s="30"/>
      <c r="P44" s="30"/>
    </row>
    <row r="45" spans="7:16" ht="15.75" customHeight="1" x14ac:dyDescent="0.2">
      <c r="G45" s="30"/>
      <c r="H45" s="30"/>
      <c r="I45" s="30"/>
      <c r="J45" s="30"/>
      <c r="K45" s="30"/>
      <c r="L45" s="30"/>
      <c r="M45" s="30"/>
      <c r="N45" s="30"/>
      <c r="O45" s="30"/>
      <c r="P45" s="30"/>
    </row>
    <row r="46" spans="7:16" ht="15.75" customHeight="1" x14ac:dyDescent="0.2"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7" spans="7:16" ht="15.75" customHeight="1" x14ac:dyDescent="0.2">
      <c r="G47" s="30"/>
      <c r="H47" s="30"/>
      <c r="I47" s="30"/>
      <c r="J47" s="30"/>
      <c r="K47" s="30"/>
      <c r="L47" s="30"/>
      <c r="M47" s="30"/>
      <c r="N47" s="30"/>
      <c r="O47" s="30"/>
      <c r="P47" s="30"/>
    </row>
    <row r="48" spans="7:16" ht="15.75" customHeight="1" x14ac:dyDescent="0.2">
      <c r="G48" s="30"/>
      <c r="H48" s="30"/>
      <c r="I48" s="30"/>
      <c r="J48" s="30"/>
      <c r="K48" s="30"/>
      <c r="L48" s="30"/>
      <c r="M48" s="30"/>
      <c r="N48" s="30"/>
      <c r="O48" s="30"/>
      <c r="P48" s="30"/>
    </row>
    <row r="49" spans="6:19" ht="15.75" customHeight="1" x14ac:dyDescent="0.2">
      <c r="G49" s="30"/>
      <c r="H49" s="30"/>
      <c r="I49" s="30"/>
      <c r="J49" s="30"/>
      <c r="K49" s="30"/>
      <c r="L49" s="30"/>
      <c r="M49" s="30"/>
      <c r="N49" s="30"/>
      <c r="O49" s="30"/>
      <c r="P49" s="30"/>
    </row>
    <row r="50" spans="6:19" ht="15.75" customHeight="1" x14ac:dyDescent="0.2">
      <c r="G50" s="30"/>
      <c r="H50" s="30"/>
      <c r="I50" s="30"/>
      <c r="J50" s="30"/>
      <c r="K50" s="30"/>
      <c r="L50" s="30"/>
      <c r="M50" s="30"/>
      <c r="N50" s="30"/>
      <c r="O50" s="30"/>
      <c r="P50" s="30"/>
    </row>
    <row r="51" spans="6:19" ht="15.75" customHeight="1" x14ac:dyDescent="0.2">
      <c r="G51" s="30"/>
      <c r="H51" s="30"/>
      <c r="I51" s="30"/>
      <c r="J51" s="30"/>
      <c r="K51" s="30"/>
      <c r="L51" s="30"/>
      <c r="M51" s="30"/>
      <c r="N51" s="30"/>
      <c r="O51" s="30"/>
      <c r="P51" s="30"/>
    </row>
    <row r="52" spans="6:19" ht="15.75" customHeight="1" x14ac:dyDescent="0.2">
      <c r="F52" s="32"/>
      <c r="G52" s="33"/>
      <c r="H52" s="33"/>
      <c r="I52" s="33"/>
      <c r="S52" s="34"/>
    </row>
    <row r="53" spans="6:19" ht="15.75" customHeight="1" x14ac:dyDescent="0.2">
      <c r="F53" s="33"/>
      <c r="G53" s="33"/>
      <c r="H53" s="33"/>
      <c r="I53" s="33"/>
      <c r="Q53" s="34"/>
      <c r="R53" s="34"/>
      <c r="S53" s="34"/>
    </row>
    <row r="54" spans="6:19" ht="15.75" customHeight="1" x14ac:dyDescent="0.2">
      <c r="F54" s="32"/>
      <c r="G54" s="33"/>
      <c r="H54" s="33"/>
      <c r="I54" s="33"/>
      <c r="Q54" s="34"/>
      <c r="R54" s="34"/>
      <c r="S54" s="34"/>
    </row>
    <row r="55" spans="6:19" ht="15.75" customHeight="1" x14ac:dyDescent="0.2">
      <c r="F55" s="33"/>
      <c r="G55" s="33"/>
      <c r="H55" s="33"/>
      <c r="I55" s="33"/>
      <c r="J55" s="34"/>
      <c r="K55" s="34"/>
      <c r="O55" s="34"/>
      <c r="P55" s="34"/>
    </row>
    <row r="56" spans="6:19" ht="15.75" customHeight="1" x14ac:dyDescent="0.2">
      <c r="F56" s="32"/>
      <c r="G56" s="33"/>
      <c r="H56" s="33"/>
      <c r="I56" s="33"/>
      <c r="J56" s="34"/>
      <c r="K56" s="34"/>
      <c r="L56" s="34"/>
      <c r="M56" s="34"/>
      <c r="N56" s="34"/>
      <c r="O56" s="34"/>
      <c r="P56" s="34"/>
    </row>
    <row r="57" spans="6:19" ht="15.75" customHeight="1" x14ac:dyDescent="0.2">
      <c r="F57" s="33"/>
      <c r="G57" s="33"/>
      <c r="H57" s="33"/>
      <c r="I57" s="33"/>
      <c r="L57" s="34"/>
      <c r="M57" s="34"/>
      <c r="N57" s="34"/>
    </row>
    <row r="58" spans="6:19" ht="15.75" customHeight="1" x14ac:dyDescent="0.2">
      <c r="F58" s="32"/>
      <c r="G58" s="33"/>
      <c r="H58" s="33"/>
      <c r="I58" s="33"/>
    </row>
    <row r="59" spans="6:19" ht="15.75" customHeight="1" x14ac:dyDescent="0.2">
      <c r="F59" s="33"/>
      <c r="G59" s="33"/>
      <c r="H59" s="33"/>
      <c r="I59" s="33"/>
      <c r="Q59" s="31"/>
      <c r="R59" s="31"/>
      <c r="S59" s="31"/>
    </row>
    <row r="60" spans="6:19" ht="15.75" customHeight="1" x14ac:dyDescent="0.2">
      <c r="F60" s="32"/>
      <c r="G60" s="33"/>
      <c r="H60" s="33"/>
      <c r="I60" s="33"/>
      <c r="Q60" s="31"/>
      <c r="R60" s="31"/>
      <c r="S60" s="31"/>
    </row>
    <row r="61" spans="6:19" ht="15.75" customHeight="1" x14ac:dyDescent="0.2">
      <c r="F61" s="33"/>
      <c r="G61" s="33"/>
      <c r="H61" s="33"/>
      <c r="I61" s="33"/>
      <c r="Q61" s="31"/>
      <c r="R61" s="31"/>
      <c r="S61" s="31"/>
    </row>
    <row r="62" spans="6:19" ht="15.75" customHeight="1" x14ac:dyDescent="0.2">
      <c r="F62" s="32"/>
      <c r="G62" s="33"/>
      <c r="H62" s="33"/>
      <c r="I62" s="33"/>
      <c r="L62" s="31"/>
      <c r="M62" s="31"/>
      <c r="N62" s="31"/>
      <c r="Q62" s="31"/>
      <c r="R62" s="31"/>
      <c r="S62" s="31"/>
    </row>
    <row r="63" spans="6:19" ht="15.75" customHeight="1" x14ac:dyDescent="0.2">
      <c r="F63" s="33"/>
      <c r="G63" s="33"/>
      <c r="H63" s="33"/>
      <c r="I63" s="33"/>
      <c r="L63" s="31"/>
      <c r="M63" s="31"/>
      <c r="N63" s="31"/>
      <c r="Q63" s="31"/>
      <c r="R63" s="31"/>
      <c r="S63" s="31"/>
    </row>
    <row r="64" spans="6:19" ht="15.75" customHeight="1" x14ac:dyDescent="0.2">
      <c r="F64" s="32"/>
      <c r="G64" s="33"/>
      <c r="H64" s="33"/>
      <c r="I64" s="33"/>
      <c r="L64" s="31"/>
      <c r="M64" s="31"/>
      <c r="N64" s="31"/>
      <c r="Q64" s="31"/>
      <c r="R64" s="31"/>
      <c r="S64" s="31"/>
    </row>
    <row r="65" spans="6:19" ht="15.75" customHeight="1" x14ac:dyDescent="0.2">
      <c r="F65" s="33"/>
      <c r="G65" s="33"/>
      <c r="H65" s="33"/>
      <c r="I65" s="33"/>
      <c r="L65" s="31"/>
      <c r="M65" s="31"/>
      <c r="N65" s="31"/>
      <c r="Q65" s="31"/>
      <c r="R65" s="31"/>
      <c r="S65" s="31"/>
    </row>
    <row r="66" spans="6:19" ht="15.75" customHeight="1" x14ac:dyDescent="0.2">
      <c r="F66" s="32"/>
      <c r="G66" s="33"/>
      <c r="H66" s="33"/>
      <c r="I66" s="33"/>
      <c r="L66" s="31"/>
      <c r="M66" s="31"/>
      <c r="N66" s="31"/>
    </row>
    <row r="67" spans="6:19" ht="15.75" customHeight="1" x14ac:dyDescent="0.2">
      <c r="F67" s="33"/>
      <c r="G67" s="33"/>
      <c r="H67" s="33"/>
      <c r="I67" s="33"/>
      <c r="L67" s="31"/>
      <c r="M67" s="31"/>
      <c r="N67" s="31"/>
    </row>
  </sheetData>
  <pageMargins left="0.17" right="0.06" top="0.36" bottom="0.42" header="0.5" footer="0.5"/>
  <pageSetup paperSize="9" orientation="landscape" horizontalDpi="4294967293" verticalDpi="300" r:id="rId1"/>
  <headerFooter alignWithMargins="0"/>
  <ignoredErrors>
    <ignoredError sqref="N25:N2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16</xdr:col>
                    <xdr:colOff>57150</xdr:colOff>
                    <xdr:row>6</xdr:row>
                    <xdr:rowOff>76200</xdr:rowOff>
                  </from>
                  <to>
                    <xdr:col>18</xdr:col>
                    <xdr:colOff>76200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1</xdr:col>
                    <xdr:colOff>9525</xdr:colOff>
                    <xdr:row>16</xdr:row>
                    <xdr:rowOff>0</xdr:rowOff>
                  </from>
                  <to>
                    <xdr:col>2</xdr:col>
                    <xdr:colOff>561975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>
                  <from>
                    <xdr:col>3</xdr:col>
                    <xdr:colOff>0</xdr:colOff>
                    <xdr:row>16</xdr:row>
                    <xdr:rowOff>0</xdr:rowOff>
                  </from>
                  <to>
                    <xdr:col>4</xdr:col>
                    <xdr:colOff>28575</xdr:colOff>
                    <xdr:row>17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Lists</vt:lpstr>
      <vt:lpstr>Projects</vt:lpstr>
      <vt:lpstr>HR</vt:lpstr>
      <vt:lpstr>Exp</vt:lpstr>
      <vt:lpstr>Data</vt:lpstr>
      <vt:lpstr>Sales</vt:lpstr>
      <vt:lpstr>Profit</vt:lpstr>
      <vt:lpstr>Calcs</vt:lpstr>
      <vt:lpstr>Charts</vt:lpstr>
      <vt:lpstr>Dashboard</vt:lpstr>
      <vt:lpstr>Loans</vt:lpstr>
    </vt:vector>
  </TitlesOfParts>
  <Company>Queensland Rail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Small, Marcus</dc:creator>
  <cp:lastModifiedBy>Smallman</cp:lastModifiedBy>
  <dcterms:created xsi:type="dcterms:W3CDTF">2013-11-20T06:54:21Z</dcterms:created>
  <dcterms:modified xsi:type="dcterms:W3CDTF">2017-01-26T08:56:04Z</dcterms:modified>
</cp:coreProperties>
</file>