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merson\Faculdade\CEUNSP\Administração\Demonstrações Contábeis I\Exercícios\"/>
    </mc:Choice>
  </mc:AlternateContent>
  <bookViews>
    <workbookView xWindow="0" yWindow="0" windowWidth="20490" windowHeight="9045"/>
  </bookViews>
  <sheets>
    <sheet name="Dados" sheetId="1" r:id="rId1"/>
    <sheet name="Estrutura de Capital" sheetId="2" state="hidden" r:id="rId2"/>
    <sheet name="Liquidez" sheetId="4" state="hidden" r:id="rId3"/>
    <sheet name="Rentabilidade" sheetId="5" state="hidden" r:id="rId4"/>
    <sheet name="Prazos Médios" sheetId="6" state="hidden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1" l="1"/>
  <c r="C25" i="1"/>
  <c r="C14" i="1"/>
  <c r="F14" i="1"/>
  <c r="E7" i="6" l="1"/>
  <c r="C31" i="1" l="1"/>
  <c r="E22" i="6" l="1"/>
  <c r="E21" i="6"/>
  <c r="E14" i="6"/>
  <c r="E15" i="6"/>
  <c r="E5" i="6"/>
  <c r="G5" i="6"/>
  <c r="E24" i="6" l="1"/>
  <c r="J24" i="6" s="1"/>
  <c r="G28" i="6" s="1"/>
  <c r="E17" i="6"/>
  <c r="J17" i="6" s="1"/>
  <c r="E28" i="6" s="1"/>
  <c r="J5" i="6"/>
  <c r="E8" i="6" s="1"/>
  <c r="E10" i="6" s="1"/>
  <c r="J10" i="6" s="1"/>
  <c r="G32" i="6" s="1"/>
  <c r="F15" i="4"/>
  <c r="D5" i="4"/>
  <c r="G25" i="2"/>
  <c r="E25" i="2"/>
  <c r="J28" i="6" l="1"/>
  <c r="E32" i="6" s="1"/>
  <c r="J32" i="6" s="1"/>
  <c r="I25" i="2"/>
  <c r="C33" i="1"/>
  <c r="C37" i="1" s="1"/>
  <c r="E20" i="5" s="1"/>
  <c r="F15" i="1"/>
  <c r="F5" i="1"/>
  <c r="C5" i="1"/>
  <c r="C15" i="1"/>
  <c r="F20" i="4" s="1"/>
  <c r="C41" i="1" l="1"/>
  <c r="E15" i="5"/>
  <c r="E26" i="5"/>
  <c r="E31" i="5"/>
  <c r="E21" i="5"/>
  <c r="G20" i="5" s="1"/>
  <c r="J20" i="5" s="1"/>
  <c r="G21" i="2"/>
  <c r="F21" i="4"/>
  <c r="G5" i="2"/>
  <c r="G11" i="2"/>
  <c r="D21" i="4"/>
  <c r="D6" i="4"/>
  <c r="F5" i="4" s="1"/>
  <c r="D16" i="4"/>
  <c r="H16" i="4" s="1"/>
  <c r="D11" i="4"/>
  <c r="E10" i="2"/>
  <c r="I10" i="2" s="1"/>
  <c r="E5" i="2"/>
  <c r="E11" i="2"/>
  <c r="E15" i="2"/>
  <c r="I15" i="2" s="1"/>
  <c r="E20" i="2"/>
  <c r="I20" i="2" s="1"/>
  <c r="D20" i="4"/>
  <c r="H20" i="4" s="1"/>
  <c r="D10" i="4"/>
  <c r="D15" i="4"/>
  <c r="H15" i="4" s="1"/>
  <c r="J15" i="4" l="1"/>
  <c r="I5" i="2"/>
  <c r="E25" i="5"/>
  <c r="G25" i="5" s="1"/>
  <c r="J25" i="5" s="1"/>
  <c r="C45" i="1"/>
  <c r="C49" i="1" s="1"/>
  <c r="F22" i="1" s="1"/>
  <c r="F20" i="1" s="1"/>
  <c r="I11" i="2"/>
  <c r="K10" i="2" s="1"/>
  <c r="N10" i="2" s="1"/>
  <c r="H21" i="4"/>
  <c r="J20" i="4" s="1"/>
  <c r="F10" i="4"/>
  <c r="E26" i="2"/>
  <c r="I26" i="2" s="1"/>
  <c r="K25" i="2" s="1"/>
  <c r="N25" i="2" s="1"/>
  <c r="E16" i="5"/>
  <c r="G15" i="5" s="1"/>
  <c r="E11" i="5"/>
  <c r="E6" i="5" l="1"/>
  <c r="E21" i="2"/>
  <c r="I21" i="2" s="1"/>
  <c r="K20" i="2" s="1"/>
  <c r="N20" i="2" s="1"/>
  <c r="E16" i="2"/>
  <c r="I16" i="2" s="1"/>
  <c r="K15" i="2" s="1"/>
  <c r="N15" i="2" s="1"/>
  <c r="E6" i="2"/>
  <c r="I6" i="2" s="1"/>
  <c r="K5" i="2" s="1"/>
  <c r="N5" i="2" s="1"/>
  <c r="E30" i="5"/>
  <c r="G30" i="5" s="1"/>
  <c r="J30" i="5" s="1"/>
  <c r="E10" i="5"/>
  <c r="G10" i="5" s="1"/>
  <c r="J10" i="5" s="1"/>
  <c r="J11" i="5" s="1"/>
  <c r="E5" i="5"/>
  <c r="G5" i="5" l="1"/>
  <c r="J5" i="5" s="1"/>
</calcChain>
</file>

<file path=xl/sharedStrings.xml><?xml version="1.0" encoding="utf-8"?>
<sst xmlns="http://schemas.openxmlformats.org/spreadsheetml/2006/main" count="204" uniqueCount="98">
  <si>
    <t>Ativo</t>
  </si>
  <si>
    <t>Ativo Circulante</t>
  </si>
  <si>
    <t>Disponível</t>
  </si>
  <si>
    <t>Clientes</t>
  </si>
  <si>
    <t>Estoques</t>
  </si>
  <si>
    <t>Outros</t>
  </si>
  <si>
    <t>Créditos com atividades ligadas</t>
  </si>
  <si>
    <t>Investimentos</t>
  </si>
  <si>
    <t>Imobilizado</t>
  </si>
  <si>
    <t>Diferido</t>
  </si>
  <si>
    <t>Total</t>
  </si>
  <si>
    <t>Passivo</t>
  </si>
  <si>
    <t>Passivo Circulante</t>
  </si>
  <si>
    <t>Fornecedores</t>
  </si>
  <si>
    <t>Obrigações trabalhistas</t>
  </si>
  <si>
    <t>Impostos, taxas e contribuições</t>
  </si>
  <si>
    <t>Obrigações administrativas</t>
  </si>
  <si>
    <t>Provisões</t>
  </si>
  <si>
    <t>Empréstimos e financiamentos</t>
  </si>
  <si>
    <t>Impostos a recuperar</t>
  </si>
  <si>
    <t>Outras contas a pagar</t>
  </si>
  <si>
    <t>Patrimônio Líquido</t>
  </si>
  <si>
    <t>Capital Social</t>
  </si>
  <si>
    <t>Lucros / Prejuizos</t>
  </si>
  <si>
    <t>Reservas</t>
  </si>
  <si>
    <t>Receita Operacional Bruta</t>
  </si>
  <si>
    <t>(-) Deduções</t>
  </si>
  <si>
    <t>(=) Receita Operacional Liquida</t>
  </si>
  <si>
    <t>(-) Custo das mercadorias vendidas</t>
  </si>
  <si>
    <t>(=) Lucro Bruto</t>
  </si>
  <si>
    <t>(-) Despesas Operacionais</t>
  </si>
  <si>
    <t>(=) Lucro Operacional</t>
  </si>
  <si>
    <t>(+/-) Receitas/Despesas não operac</t>
  </si>
  <si>
    <t>(=) Lucro antes do IR e CSLL</t>
  </si>
  <si>
    <t>(-) Provisão para IR e CSLL</t>
  </si>
  <si>
    <t>(=) Lucro Liquido</t>
  </si>
  <si>
    <t>Endividamento Geral</t>
  </si>
  <si>
    <t>PC + PELP</t>
  </si>
  <si>
    <t>Passivo Total</t>
  </si>
  <si>
    <t>x 100</t>
  </si>
  <si>
    <t>+</t>
  </si>
  <si>
    <t>=</t>
  </si>
  <si>
    <t>Composição do Endividamento</t>
  </si>
  <si>
    <t>PC</t>
  </si>
  <si>
    <t>Imobilização do patrimônio líquido</t>
  </si>
  <si>
    <t>AP</t>
  </si>
  <si>
    <t>PL</t>
  </si>
  <si>
    <t>Imobilização de recursos não recorrentes</t>
  </si>
  <si>
    <t>PL + PELP</t>
  </si>
  <si>
    <t>Passivo oneroso sobre o ativo</t>
  </si>
  <si>
    <t>ATIVO</t>
  </si>
  <si>
    <t>Liquidez imediata</t>
  </si>
  <si>
    <t>Liquidez Corrente</t>
  </si>
  <si>
    <t>AC</t>
  </si>
  <si>
    <t>Liquidez Seca</t>
  </si>
  <si>
    <t>AC - Estoque</t>
  </si>
  <si>
    <t>-</t>
  </si>
  <si>
    <t>Liquidez Geral</t>
  </si>
  <si>
    <t>AC + ARLP</t>
  </si>
  <si>
    <t>Rentabilidade do Patrimonio</t>
  </si>
  <si>
    <t>Lucro Liquido</t>
  </si>
  <si>
    <t>Patrimônio Liquido</t>
  </si>
  <si>
    <t>Rentabilidade dos ativos</t>
  </si>
  <si>
    <t>Ativo Total</t>
  </si>
  <si>
    <t>Giro do ativo</t>
  </si>
  <si>
    <t>Vendas Líquidas</t>
  </si>
  <si>
    <t>Margem bruta</t>
  </si>
  <si>
    <t>Lucro Bruto</t>
  </si>
  <si>
    <t>Receita Operacional Liquida</t>
  </si>
  <si>
    <t>Margem Operacional</t>
  </si>
  <si>
    <t>Lucro Líquido</t>
  </si>
  <si>
    <t>Margem Líquida</t>
  </si>
  <si>
    <t>Lucro Operacional</t>
  </si>
  <si>
    <t>Prazo médio de compra</t>
  </si>
  <si>
    <t>Montante de compras</t>
  </si>
  <si>
    <t>x 360</t>
  </si>
  <si>
    <t>x</t>
  </si>
  <si>
    <t>Prazo médio de estoques</t>
  </si>
  <si>
    <t>Custo da mercadoria vendida</t>
  </si>
  <si>
    <t>Prazo médio de recebimentos</t>
  </si>
  <si>
    <t>Ciclo operacional</t>
  </si>
  <si>
    <t>CO = PME + PMR</t>
  </si>
  <si>
    <t>Compra</t>
  </si>
  <si>
    <t>Vende</t>
  </si>
  <si>
    <t>Recebe</t>
  </si>
  <si>
    <t>Ciclo Financeiro</t>
  </si>
  <si>
    <t>CF = CO - PMC</t>
  </si>
  <si>
    <t>BALANÇO PATRIMONIAL (R$ MIL) - ANO 2014</t>
  </si>
  <si>
    <t>DEMONSTRAÇÃO DE RESULTADO DO EXERCÍCIO (R$ MIL) - ANO 2014</t>
  </si>
  <si>
    <t>MC = CMV + Estoque Final - Estoque Inicial</t>
  </si>
  <si>
    <t>Fornecedores a longo prazo</t>
  </si>
  <si>
    <t>ANO 2014</t>
  </si>
  <si>
    <t>Duplicatas a receber LP</t>
  </si>
  <si>
    <t>Duplicatas a receber</t>
  </si>
  <si>
    <t>Realizavel a Longo Prazo</t>
  </si>
  <si>
    <t>Exigivel a Longo Prazo</t>
  </si>
  <si>
    <t>Ativo Não Circulante</t>
  </si>
  <si>
    <t>Passivo Não Circulante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</si>
</sst>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0" fontId="0" fillId="0" borderId="7" xfId="0" applyBorder="1"/>
    <xf numFmtId="43" fontId="0" fillId="0" borderId="0" xfId="1" applyFont="1" applyBorder="1"/>
    <xf numFmtId="0" fontId="0" fillId="0" borderId="0" xfId="0" applyBorder="1"/>
    <xf numFmtId="43" fontId="0" fillId="0" borderId="8" xfId="1" applyFont="1" applyBorder="1"/>
    <xf numFmtId="0" fontId="2" fillId="0" borderId="7" xfId="0" applyFont="1" applyBorder="1"/>
    <xf numFmtId="43" fontId="2" fillId="0" borderId="0" xfId="1" applyFont="1" applyBorder="1"/>
    <xf numFmtId="0" fontId="2" fillId="0" borderId="0" xfId="0" applyFont="1" applyBorder="1"/>
    <xf numFmtId="43" fontId="2" fillId="0" borderId="8" xfId="1" applyFont="1" applyBorder="1"/>
    <xf numFmtId="0" fontId="2" fillId="0" borderId="9" xfId="0" applyFont="1" applyBorder="1"/>
    <xf numFmtId="43" fontId="2" fillId="0" borderId="10" xfId="1" applyFont="1" applyBorder="1"/>
    <xf numFmtId="0" fontId="0" fillId="0" borderId="10" xfId="0" applyBorder="1"/>
    <xf numFmtId="43" fontId="2" fillId="0" borderId="11" xfId="1" applyFont="1" applyBorder="1"/>
    <xf numFmtId="0" fontId="2" fillId="0" borderId="5" xfId="0" applyFont="1" applyBorder="1"/>
    <xf numFmtId="0" fontId="0" fillId="0" borderId="0" xfId="0" applyAlignment="1">
      <alignment horizontal="center" wrapText="1"/>
    </xf>
    <xf numFmtId="0" fontId="0" fillId="0" borderId="7" xfId="0" applyFont="1" applyBorder="1"/>
    <xf numFmtId="43" fontId="1" fillId="0" borderId="8" xfId="1" applyFont="1" applyBorder="1"/>
    <xf numFmtId="0" fontId="0" fillId="0" borderId="9" xfId="0" applyBorder="1"/>
    <xf numFmtId="43" fontId="0" fillId="0" borderId="0" xfId="0" applyNumberFormat="1"/>
    <xf numFmtId="43" fontId="0" fillId="0" borderId="10" xfId="0" applyNumberFormat="1" applyBorder="1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43" fontId="0" fillId="0" borderId="0" xfId="0" applyNumberFormat="1" applyAlignme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NumberFormat="1"/>
    <xf numFmtId="43" fontId="0" fillId="0" borderId="0" xfId="0" applyNumberFormat="1" applyAlignment="1">
      <alignment vertical="center"/>
    </xf>
    <xf numFmtId="164" fontId="0" fillId="0" borderId="0" xfId="0" applyNumberFormat="1"/>
    <xf numFmtId="164" fontId="0" fillId="0" borderId="0" xfId="1" applyNumberFormat="1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43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9"/>
  <sheetViews>
    <sheetView showGridLines="0" tabSelected="1" topLeftCell="A7" workbookViewId="0">
      <selection activeCell="F26" sqref="F26"/>
    </sheetView>
  </sheetViews>
  <sheetFormatPr defaultRowHeight="15" x14ac:dyDescent="0.25"/>
  <cols>
    <col min="2" max="2" width="32.7109375" customWidth="1"/>
    <col min="3" max="3" width="10.5703125" style="1" bestFit="1" customWidth="1"/>
    <col min="4" max="4" width="1.7109375" customWidth="1"/>
    <col min="5" max="5" width="32.7109375" customWidth="1"/>
    <col min="6" max="6" width="9.5703125" style="1" bestFit="1" customWidth="1"/>
  </cols>
  <sheetData>
    <row r="2" spans="2:6" x14ac:dyDescent="0.25">
      <c r="B2" s="40" t="s">
        <v>87</v>
      </c>
      <c r="C2" s="41"/>
      <c r="D2" s="41"/>
      <c r="E2" s="41"/>
      <c r="F2" s="42"/>
    </row>
    <row r="3" spans="2:6" x14ac:dyDescent="0.25">
      <c r="B3" s="37" t="s">
        <v>0</v>
      </c>
      <c r="C3" s="38"/>
      <c r="D3" s="15"/>
      <c r="E3" s="38" t="s">
        <v>11</v>
      </c>
      <c r="F3" s="39"/>
    </row>
    <row r="4" spans="2:6" x14ac:dyDescent="0.25">
      <c r="B4" s="3"/>
      <c r="C4" s="4"/>
      <c r="D4" s="5"/>
      <c r="E4" s="5"/>
      <c r="F4" s="6"/>
    </row>
    <row r="5" spans="2:6" x14ac:dyDescent="0.25">
      <c r="B5" s="7" t="s">
        <v>1</v>
      </c>
      <c r="C5" s="8">
        <f>SUM(C6:C13)</f>
        <v>1900</v>
      </c>
      <c r="D5" s="5"/>
      <c r="E5" s="9" t="s">
        <v>12</v>
      </c>
      <c r="F5" s="10">
        <f>SUM(F6:F13)</f>
        <v>1600</v>
      </c>
    </row>
    <row r="6" spans="2:6" x14ac:dyDescent="0.25">
      <c r="B6" s="3"/>
      <c r="C6" s="4"/>
      <c r="D6" s="5"/>
      <c r="E6" s="5"/>
      <c r="F6" s="6"/>
    </row>
    <row r="7" spans="2:6" x14ac:dyDescent="0.25">
      <c r="B7" s="3" t="s">
        <v>2</v>
      </c>
      <c r="C7" s="4">
        <v>450</v>
      </c>
      <c r="D7" s="5"/>
      <c r="E7" s="5" t="s">
        <v>13</v>
      </c>
      <c r="F7" s="6">
        <v>250</v>
      </c>
    </row>
    <row r="8" spans="2:6" x14ac:dyDescent="0.25">
      <c r="B8" s="3" t="s">
        <v>93</v>
      </c>
      <c r="C8" s="4">
        <v>950</v>
      </c>
      <c r="D8" s="5"/>
      <c r="E8" s="5" t="s">
        <v>15</v>
      </c>
      <c r="F8" s="6">
        <v>450</v>
      </c>
    </row>
    <row r="9" spans="2:6" x14ac:dyDescent="0.25">
      <c r="B9" s="3" t="s">
        <v>4</v>
      </c>
      <c r="C9" s="4">
        <v>350</v>
      </c>
      <c r="D9" s="5"/>
      <c r="E9" s="5" t="s">
        <v>14</v>
      </c>
      <c r="F9" s="6">
        <v>250</v>
      </c>
    </row>
    <row r="10" spans="2:6" x14ac:dyDescent="0.25">
      <c r="B10" s="3" t="s">
        <v>19</v>
      </c>
      <c r="C10" s="4">
        <v>100</v>
      </c>
      <c r="D10" s="5"/>
      <c r="E10" s="5" t="s">
        <v>16</v>
      </c>
      <c r="F10" s="6">
        <v>350</v>
      </c>
    </row>
    <row r="11" spans="2:6" x14ac:dyDescent="0.25">
      <c r="B11" s="3" t="s">
        <v>5</v>
      </c>
      <c r="C11" s="4">
        <v>50</v>
      </c>
      <c r="D11" s="5"/>
      <c r="E11" s="5" t="s">
        <v>18</v>
      </c>
      <c r="F11" s="6">
        <v>150</v>
      </c>
    </row>
    <row r="12" spans="2:6" x14ac:dyDescent="0.25">
      <c r="B12" s="3"/>
      <c r="C12" s="4"/>
      <c r="D12" s="5"/>
      <c r="E12" s="5" t="s">
        <v>17</v>
      </c>
      <c r="F12" s="6">
        <v>150</v>
      </c>
    </row>
    <row r="13" spans="2:6" x14ac:dyDescent="0.25">
      <c r="B13" s="3"/>
      <c r="C13" s="4"/>
      <c r="D13" s="5"/>
      <c r="E13" s="5"/>
      <c r="F13" s="6"/>
    </row>
    <row r="14" spans="2:6" x14ac:dyDescent="0.25">
      <c r="B14" s="7" t="s">
        <v>96</v>
      </c>
      <c r="C14" s="8">
        <f>C15+SUM(C21:C23)</f>
        <v>1950</v>
      </c>
      <c r="D14" s="5"/>
      <c r="E14" s="7" t="s">
        <v>97</v>
      </c>
      <c r="F14" s="6">
        <f>F15+F20</f>
        <v>2250</v>
      </c>
    </row>
    <row r="15" spans="2:6" x14ac:dyDescent="0.25">
      <c r="B15" s="7" t="s">
        <v>94</v>
      </c>
      <c r="C15" s="8">
        <f>SUM(C16:C19)</f>
        <v>450</v>
      </c>
      <c r="D15" s="5"/>
      <c r="E15" s="9" t="s">
        <v>95</v>
      </c>
      <c r="F15" s="10">
        <f>SUM(F16:F19)</f>
        <v>400</v>
      </c>
    </row>
    <row r="16" spans="2:6" x14ac:dyDescent="0.25">
      <c r="B16" s="3" t="s">
        <v>92</v>
      </c>
      <c r="C16" s="4">
        <v>0</v>
      </c>
      <c r="D16" s="5"/>
      <c r="E16" s="5" t="s">
        <v>90</v>
      </c>
      <c r="F16" s="6">
        <v>150</v>
      </c>
    </row>
    <row r="17" spans="2:6" x14ac:dyDescent="0.25">
      <c r="B17" s="3" t="s">
        <v>6</v>
      </c>
      <c r="C17" s="4">
        <v>450</v>
      </c>
      <c r="D17" s="5"/>
      <c r="E17" s="5" t="s">
        <v>18</v>
      </c>
      <c r="F17" s="6">
        <v>150</v>
      </c>
    </row>
    <row r="18" spans="2:6" x14ac:dyDescent="0.25">
      <c r="B18" s="3"/>
      <c r="C18" s="4"/>
      <c r="D18" s="5"/>
      <c r="E18" s="5" t="s">
        <v>20</v>
      </c>
      <c r="F18" s="6">
        <v>100</v>
      </c>
    </row>
    <row r="19" spans="2:6" x14ac:dyDescent="0.25">
      <c r="B19" s="3"/>
      <c r="C19" s="4"/>
      <c r="D19" s="5"/>
      <c r="E19" s="5"/>
      <c r="F19" s="6"/>
    </row>
    <row r="20" spans="2:6" x14ac:dyDescent="0.25">
      <c r="B20" s="7"/>
      <c r="C20" s="8"/>
      <c r="D20" s="5"/>
      <c r="E20" s="9" t="s">
        <v>21</v>
      </c>
      <c r="F20" s="10">
        <f>SUM(F21:F24)</f>
        <v>1850</v>
      </c>
    </row>
    <row r="21" spans="2:6" x14ac:dyDescent="0.25">
      <c r="B21" s="3" t="s">
        <v>7</v>
      </c>
      <c r="C21" s="4">
        <v>300</v>
      </c>
      <c r="D21" s="5"/>
      <c r="E21" s="5" t="s">
        <v>22</v>
      </c>
      <c r="F21" s="6">
        <v>1000</v>
      </c>
    </row>
    <row r="22" spans="2:6" x14ac:dyDescent="0.25">
      <c r="B22" s="3" t="s">
        <v>8</v>
      </c>
      <c r="C22" s="4">
        <v>800</v>
      </c>
      <c r="D22" s="5"/>
      <c r="E22" s="5" t="s">
        <v>23</v>
      </c>
      <c r="F22" s="6">
        <f>C49</f>
        <v>350</v>
      </c>
    </row>
    <row r="23" spans="2:6" x14ac:dyDescent="0.25">
      <c r="B23" s="3" t="s">
        <v>9</v>
      </c>
      <c r="C23" s="4">
        <v>400</v>
      </c>
      <c r="D23" s="5"/>
      <c r="E23" s="5" t="s">
        <v>24</v>
      </c>
      <c r="F23" s="6">
        <v>500</v>
      </c>
    </row>
    <row r="24" spans="2:6" x14ac:dyDescent="0.25">
      <c r="B24" s="3"/>
      <c r="C24" s="4"/>
      <c r="D24" s="5"/>
      <c r="E24" s="5"/>
      <c r="F24" s="6"/>
    </row>
    <row r="25" spans="2:6" x14ac:dyDescent="0.25">
      <c r="B25" s="11" t="s">
        <v>10</v>
      </c>
      <c r="C25" s="12">
        <f>C5+C14</f>
        <v>3850</v>
      </c>
      <c r="D25" s="13"/>
      <c r="E25" s="13"/>
      <c r="F25" s="14">
        <f>F5+F14</f>
        <v>3850</v>
      </c>
    </row>
    <row r="27" spans="2:6" x14ac:dyDescent="0.25">
      <c r="B27" s="43" t="s">
        <v>88</v>
      </c>
      <c r="C27" s="44"/>
    </row>
    <row r="28" spans="2:6" x14ac:dyDescent="0.25">
      <c r="B28" s="3"/>
      <c r="C28" s="6"/>
    </row>
    <row r="29" spans="2:6" x14ac:dyDescent="0.25">
      <c r="B29" s="3" t="s">
        <v>25</v>
      </c>
      <c r="C29" s="6">
        <v>10000</v>
      </c>
    </row>
    <row r="30" spans="2:6" x14ac:dyDescent="0.25">
      <c r="B30" s="3"/>
      <c r="C30" s="6"/>
    </row>
    <row r="31" spans="2:6" x14ac:dyDescent="0.25">
      <c r="B31" s="17" t="s">
        <v>26</v>
      </c>
      <c r="C31" s="18">
        <f>-C29*37.5%</f>
        <v>-3750</v>
      </c>
    </row>
    <row r="32" spans="2:6" x14ac:dyDescent="0.25">
      <c r="B32" s="3"/>
      <c r="C32" s="6"/>
    </row>
    <row r="33" spans="2:3" x14ac:dyDescent="0.25">
      <c r="B33" s="7" t="s">
        <v>27</v>
      </c>
      <c r="C33" s="10">
        <f>C29+C31</f>
        <v>6250</v>
      </c>
    </row>
    <row r="34" spans="2:3" x14ac:dyDescent="0.25">
      <c r="B34" s="3"/>
      <c r="C34" s="6"/>
    </row>
    <row r="35" spans="2:3" x14ac:dyDescent="0.25">
      <c r="B35" s="3" t="s">
        <v>28</v>
      </c>
      <c r="C35" s="6">
        <v>-4500</v>
      </c>
    </row>
    <row r="36" spans="2:3" x14ac:dyDescent="0.25">
      <c r="B36" s="3"/>
      <c r="C36" s="6"/>
    </row>
    <row r="37" spans="2:3" x14ac:dyDescent="0.25">
      <c r="B37" s="7" t="s">
        <v>29</v>
      </c>
      <c r="C37" s="10">
        <f>C33+C35</f>
        <v>1750</v>
      </c>
    </row>
    <row r="38" spans="2:3" x14ac:dyDescent="0.25">
      <c r="B38" s="3"/>
      <c r="C38" s="6"/>
    </row>
    <row r="39" spans="2:3" x14ac:dyDescent="0.25">
      <c r="B39" s="3" t="s">
        <v>30</v>
      </c>
      <c r="C39" s="6">
        <v>-1241</v>
      </c>
    </row>
    <row r="40" spans="2:3" x14ac:dyDescent="0.25">
      <c r="B40" s="3"/>
      <c r="C40" s="6"/>
    </row>
    <row r="41" spans="2:3" x14ac:dyDescent="0.25">
      <c r="B41" s="7" t="s">
        <v>31</v>
      </c>
      <c r="C41" s="10">
        <f>C37+C39</f>
        <v>509</v>
      </c>
    </row>
    <row r="42" spans="2:3" x14ac:dyDescent="0.25">
      <c r="B42" s="3"/>
      <c r="C42" s="6"/>
    </row>
    <row r="43" spans="2:3" x14ac:dyDescent="0.25">
      <c r="B43" s="3" t="s">
        <v>32</v>
      </c>
      <c r="C43" s="6">
        <v>72</v>
      </c>
    </row>
    <row r="44" spans="2:3" x14ac:dyDescent="0.25">
      <c r="B44" s="3"/>
      <c r="C44" s="6"/>
    </row>
    <row r="45" spans="2:3" x14ac:dyDescent="0.25">
      <c r="B45" s="7" t="s">
        <v>33</v>
      </c>
      <c r="C45" s="10">
        <f>C41+C43</f>
        <v>581</v>
      </c>
    </row>
    <row r="46" spans="2:3" x14ac:dyDescent="0.25">
      <c r="B46" s="3"/>
      <c r="C46" s="6"/>
    </row>
    <row r="47" spans="2:3" x14ac:dyDescent="0.25">
      <c r="B47" s="3" t="s">
        <v>34</v>
      </c>
      <c r="C47" s="6">
        <v>-231</v>
      </c>
    </row>
    <row r="48" spans="2:3" x14ac:dyDescent="0.25">
      <c r="B48" s="3"/>
      <c r="C48" s="6"/>
    </row>
    <row r="49" spans="2:3" x14ac:dyDescent="0.25">
      <c r="B49" s="11" t="s">
        <v>35</v>
      </c>
      <c r="C49" s="14">
        <f>C45+C47</f>
        <v>350</v>
      </c>
    </row>
  </sheetData>
  <mergeCells count="4">
    <mergeCell ref="B3:C3"/>
    <mergeCell ref="E3:F3"/>
    <mergeCell ref="B2:F2"/>
    <mergeCell ref="B27:C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26"/>
  <sheetViews>
    <sheetView showGridLines="0" topLeftCell="A13" workbookViewId="0">
      <selection activeCell="C29" sqref="C29"/>
    </sheetView>
  </sheetViews>
  <sheetFormatPr defaultRowHeight="15" x14ac:dyDescent="0.25"/>
  <cols>
    <col min="2" max="2" width="12.7109375" style="22" customWidth="1"/>
    <col min="3" max="3" width="12.7109375" customWidth="1"/>
    <col min="4" max="4" width="2" bestFit="1" customWidth="1"/>
    <col min="5" max="5" width="9.5703125" bestFit="1" customWidth="1"/>
    <col min="6" max="6" width="2.7109375" customWidth="1"/>
    <col min="7" max="7" width="8" bestFit="1" customWidth="1"/>
    <col min="8" max="8" width="2" bestFit="1" customWidth="1"/>
    <col min="9" max="9" width="9.5703125" bestFit="1" customWidth="1"/>
    <col min="10" max="10" width="2" bestFit="1" customWidth="1"/>
    <col min="12" max="12" width="5.42578125" bestFit="1" customWidth="1"/>
    <col min="13" max="13" width="2" bestFit="1" customWidth="1"/>
  </cols>
  <sheetData>
    <row r="3" spans="2:15" x14ac:dyDescent="0.25">
      <c r="B3" s="47" t="s">
        <v>36</v>
      </c>
      <c r="C3" s="47"/>
    </row>
    <row r="5" spans="2:15" x14ac:dyDescent="0.25">
      <c r="B5" s="23" t="s">
        <v>37</v>
      </c>
      <c r="C5" t="s">
        <v>39</v>
      </c>
      <c r="D5" t="s">
        <v>41</v>
      </c>
      <c r="E5" s="21">
        <f>Dados!F5</f>
        <v>1600</v>
      </c>
      <c r="F5" s="21" t="s">
        <v>40</v>
      </c>
      <c r="G5" s="21">
        <f>Dados!F15</f>
        <v>400</v>
      </c>
      <c r="H5" t="s">
        <v>41</v>
      </c>
      <c r="I5" s="21">
        <f>E5+G5</f>
        <v>2000</v>
      </c>
      <c r="J5" t="s">
        <v>41</v>
      </c>
      <c r="K5">
        <f>I5/I6</f>
        <v>0.51948051948051943</v>
      </c>
      <c r="L5" t="s">
        <v>39</v>
      </c>
      <c r="M5" t="s">
        <v>41</v>
      </c>
      <c r="N5" s="1">
        <f>K5*100</f>
        <v>51.94805194805194</v>
      </c>
      <c r="O5">
        <v>-100</v>
      </c>
    </row>
    <row r="6" spans="2:15" x14ac:dyDescent="0.25">
      <c r="B6" s="22" t="s">
        <v>38</v>
      </c>
      <c r="E6" s="46">
        <f>Dados!F25</f>
        <v>3850</v>
      </c>
      <c r="F6" s="47"/>
      <c r="G6" s="47"/>
      <c r="I6" s="20">
        <f>E6</f>
        <v>3850</v>
      </c>
    </row>
    <row r="8" spans="2:15" ht="38.25" customHeight="1" x14ac:dyDescent="0.25">
      <c r="B8" s="45" t="s">
        <v>42</v>
      </c>
      <c r="C8" s="45"/>
    </row>
    <row r="10" spans="2:15" x14ac:dyDescent="0.25">
      <c r="B10" s="23" t="s">
        <v>43</v>
      </c>
      <c r="C10" t="s">
        <v>39</v>
      </c>
      <c r="D10" t="s">
        <v>41</v>
      </c>
      <c r="E10" s="21">
        <f>Dados!F5</f>
        <v>1600</v>
      </c>
      <c r="F10" s="21"/>
      <c r="G10" s="21"/>
      <c r="H10" t="s">
        <v>41</v>
      </c>
      <c r="I10" s="21">
        <f>E10+G10</f>
        <v>1600</v>
      </c>
      <c r="J10" t="s">
        <v>41</v>
      </c>
      <c r="K10">
        <f>I10/I11</f>
        <v>0.8</v>
      </c>
      <c r="L10" t="s">
        <v>39</v>
      </c>
      <c r="M10" t="s">
        <v>41</v>
      </c>
      <c r="N10" s="1">
        <f>K10*100</f>
        <v>80</v>
      </c>
      <c r="O10">
        <v>-100</v>
      </c>
    </row>
    <row r="11" spans="2:15" x14ac:dyDescent="0.25">
      <c r="B11" s="22" t="s">
        <v>37</v>
      </c>
      <c r="E11" s="24">
        <f>Dados!F5</f>
        <v>1600</v>
      </c>
      <c r="F11" s="25" t="s">
        <v>40</v>
      </c>
      <c r="G11" s="24">
        <f>Dados!F15</f>
        <v>400</v>
      </c>
      <c r="I11" s="20">
        <f>E11+G11</f>
        <v>2000</v>
      </c>
    </row>
    <row r="13" spans="2:15" ht="33" customHeight="1" x14ac:dyDescent="0.25">
      <c r="B13" s="45" t="s">
        <v>44</v>
      </c>
      <c r="C13" s="45"/>
    </row>
    <row r="15" spans="2:15" x14ac:dyDescent="0.25">
      <c r="B15" s="23" t="s">
        <v>45</v>
      </c>
      <c r="C15" t="s">
        <v>39</v>
      </c>
      <c r="D15" t="s">
        <v>41</v>
      </c>
      <c r="E15" s="21">
        <f>Dados!C20</f>
        <v>0</v>
      </c>
      <c r="F15" s="21"/>
      <c r="G15" s="21"/>
      <c r="H15" t="s">
        <v>41</v>
      </c>
      <c r="I15" s="21">
        <f>E15+G15</f>
        <v>0</v>
      </c>
      <c r="J15" t="s">
        <v>41</v>
      </c>
      <c r="K15">
        <f>I15/I16</f>
        <v>0</v>
      </c>
      <c r="L15" t="s">
        <v>39</v>
      </c>
      <c r="M15" t="s">
        <v>41</v>
      </c>
      <c r="N15" s="1">
        <f>K15*100</f>
        <v>0</v>
      </c>
      <c r="O15">
        <v>-100</v>
      </c>
    </row>
    <row r="16" spans="2:15" x14ac:dyDescent="0.25">
      <c r="B16" s="22" t="s">
        <v>46</v>
      </c>
      <c r="E16" s="24">
        <f>Dados!F20</f>
        <v>1850</v>
      </c>
      <c r="F16" s="25"/>
      <c r="G16" s="24"/>
      <c r="I16" s="20">
        <f>E16+G16</f>
        <v>1850</v>
      </c>
    </row>
    <row r="18" spans="2:15" ht="43.5" customHeight="1" x14ac:dyDescent="0.25">
      <c r="B18" s="45" t="s">
        <v>47</v>
      </c>
      <c r="C18" s="45"/>
    </row>
    <row r="20" spans="2:15" x14ac:dyDescent="0.25">
      <c r="B20" s="23" t="s">
        <v>45</v>
      </c>
      <c r="C20" t="s">
        <v>39</v>
      </c>
      <c r="D20" t="s">
        <v>41</v>
      </c>
      <c r="E20" s="21">
        <f>Dados!C20</f>
        <v>0</v>
      </c>
      <c r="F20" s="21"/>
      <c r="G20" s="21"/>
      <c r="H20" t="s">
        <v>41</v>
      </c>
      <c r="I20" s="21">
        <f>E20+G20</f>
        <v>0</v>
      </c>
      <c r="J20" t="s">
        <v>41</v>
      </c>
      <c r="K20">
        <f>I20/I21</f>
        <v>0</v>
      </c>
      <c r="L20" t="s">
        <v>39</v>
      </c>
      <c r="M20" t="s">
        <v>41</v>
      </c>
      <c r="N20" s="1">
        <f>K20*100</f>
        <v>0</v>
      </c>
      <c r="O20">
        <v>-100</v>
      </c>
    </row>
    <row r="21" spans="2:15" x14ac:dyDescent="0.25">
      <c r="B21" s="22" t="s">
        <v>48</v>
      </c>
      <c r="E21" s="24">
        <f>Dados!F20</f>
        <v>1850</v>
      </c>
      <c r="F21" s="25" t="s">
        <v>40</v>
      </c>
      <c r="G21" s="24">
        <f>Dados!F15</f>
        <v>400</v>
      </c>
      <c r="I21" s="20">
        <f>E21+G21</f>
        <v>2250</v>
      </c>
    </row>
    <row r="23" spans="2:15" ht="39" customHeight="1" x14ac:dyDescent="0.25">
      <c r="B23" s="45" t="s">
        <v>49</v>
      </c>
      <c r="C23" s="45"/>
    </row>
    <row r="25" spans="2:15" x14ac:dyDescent="0.25">
      <c r="B25" s="23" t="s">
        <v>37</v>
      </c>
      <c r="C25" t="s">
        <v>39</v>
      </c>
      <c r="D25" t="s">
        <v>41</v>
      </c>
      <c r="E25" s="21">
        <f>Dados!F11</f>
        <v>150</v>
      </c>
      <c r="F25" s="21" t="s">
        <v>40</v>
      </c>
      <c r="G25" s="21">
        <f>Dados!F16</f>
        <v>150</v>
      </c>
      <c r="H25" t="s">
        <v>41</v>
      </c>
      <c r="I25" s="21">
        <f>E25+G25</f>
        <v>300</v>
      </c>
      <c r="J25" t="s">
        <v>41</v>
      </c>
      <c r="K25">
        <f>I25/I26</f>
        <v>7.792207792207792E-2</v>
      </c>
      <c r="L25" t="s">
        <v>39</v>
      </c>
      <c r="M25" t="s">
        <v>41</v>
      </c>
      <c r="N25" s="1">
        <f>K25*100</f>
        <v>7.7922077922077921</v>
      </c>
      <c r="O25">
        <v>-100</v>
      </c>
    </row>
    <row r="26" spans="2:15" x14ac:dyDescent="0.25">
      <c r="B26" s="22" t="s">
        <v>50</v>
      </c>
      <c r="E26" s="24">
        <f>Dados!C25</f>
        <v>3850</v>
      </c>
      <c r="F26" s="25"/>
      <c r="G26" s="24"/>
      <c r="I26" s="20">
        <f>E26+G26</f>
        <v>3850</v>
      </c>
    </row>
  </sheetData>
  <mergeCells count="6">
    <mergeCell ref="B23:C23"/>
    <mergeCell ref="E6:G6"/>
    <mergeCell ref="B3:C3"/>
    <mergeCell ref="B8:C8"/>
    <mergeCell ref="B13:C13"/>
    <mergeCell ref="B18:C1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1"/>
  <sheetViews>
    <sheetView showGridLines="0" topLeftCell="A4" workbookViewId="0">
      <selection activeCell="N17" sqref="N17"/>
    </sheetView>
  </sheetViews>
  <sheetFormatPr defaultRowHeight="15" x14ac:dyDescent="0.25"/>
  <cols>
    <col min="2" max="2" width="12.7109375" style="22" customWidth="1"/>
    <col min="3" max="3" width="2" bestFit="1" customWidth="1"/>
    <col min="4" max="4" width="9.5703125" bestFit="1" customWidth="1"/>
    <col min="5" max="5" width="2.7109375" customWidth="1"/>
    <col min="6" max="6" width="8" bestFit="1" customWidth="1"/>
    <col min="7" max="7" width="2" bestFit="1" customWidth="1"/>
    <col min="8" max="8" width="9.5703125" bestFit="1" customWidth="1"/>
    <col min="9" max="9" width="2" bestFit="1" customWidth="1"/>
    <col min="11" max="11" width="5.42578125" bestFit="1" customWidth="1"/>
    <col min="12" max="12" width="2" bestFit="1" customWidth="1"/>
  </cols>
  <sheetData>
    <row r="3" spans="2:13" x14ac:dyDescent="0.25">
      <c r="B3" s="2" t="s">
        <v>51</v>
      </c>
    </row>
    <row r="5" spans="2:13" x14ac:dyDescent="0.25">
      <c r="B5" s="23" t="s">
        <v>2</v>
      </c>
      <c r="C5" t="s">
        <v>41</v>
      </c>
      <c r="D5" s="21">
        <f>Dados!C7</f>
        <v>450</v>
      </c>
      <c r="E5" t="s">
        <v>41</v>
      </c>
      <c r="F5">
        <f>D5/D6</f>
        <v>0.28125</v>
      </c>
      <c r="I5" s="1"/>
    </row>
    <row r="6" spans="2:13" x14ac:dyDescent="0.25">
      <c r="B6" s="22" t="s">
        <v>43</v>
      </c>
      <c r="D6" s="24">
        <f>Dados!F5</f>
        <v>1600</v>
      </c>
      <c r="E6" s="25"/>
      <c r="F6" s="24"/>
      <c r="H6" s="20"/>
    </row>
    <row r="8" spans="2:13" ht="38.25" customHeight="1" x14ac:dyDescent="0.25">
      <c r="B8" s="16" t="s">
        <v>52</v>
      </c>
    </row>
    <row r="10" spans="2:13" x14ac:dyDescent="0.25">
      <c r="B10" s="23" t="s">
        <v>53</v>
      </c>
      <c r="C10" t="s">
        <v>41</v>
      </c>
      <c r="D10" s="21">
        <f>Dados!C5</f>
        <v>1900</v>
      </c>
      <c r="E10" t="s">
        <v>41</v>
      </c>
      <c r="F10" s="27">
        <f>D10/D11</f>
        <v>1.1875</v>
      </c>
      <c r="H10" s="1"/>
      <c r="M10" s="1"/>
    </row>
    <row r="11" spans="2:13" x14ac:dyDescent="0.25">
      <c r="B11" s="22" t="s">
        <v>43</v>
      </c>
      <c r="D11" s="24">
        <f>Dados!F5</f>
        <v>1600</v>
      </c>
    </row>
    <row r="13" spans="2:13" ht="33" customHeight="1" x14ac:dyDescent="0.25">
      <c r="B13" s="16" t="s">
        <v>54</v>
      </c>
    </row>
    <row r="15" spans="2:13" x14ac:dyDescent="0.25">
      <c r="B15" s="23" t="s">
        <v>55</v>
      </c>
      <c r="C15" t="s">
        <v>41</v>
      </c>
      <c r="D15" s="21">
        <f>Dados!C5</f>
        <v>1900</v>
      </c>
      <c r="E15" s="21" t="s">
        <v>56</v>
      </c>
      <c r="F15" s="21">
        <f>Dados!C9</f>
        <v>350</v>
      </c>
      <c r="G15" t="s">
        <v>41</v>
      </c>
      <c r="H15" s="21">
        <f>D15-F15</f>
        <v>1550</v>
      </c>
      <c r="I15" t="s">
        <v>41</v>
      </c>
      <c r="J15">
        <f>H15/H16</f>
        <v>0.96875</v>
      </c>
      <c r="M15" s="1"/>
    </row>
    <row r="16" spans="2:13" x14ac:dyDescent="0.25">
      <c r="B16" s="22" t="s">
        <v>43</v>
      </c>
      <c r="D16" s="24">
        <f>Dados!F5</f>
        <v>1600</v>
      </c>
      <c r="E16" s="25"/>
      <c r="F16" s="24"/>
      <c r="H16" s="20">
        <f>D16+F16</f>
        <v>1600</v>
      </c>
    </row>
    <row r="18" spans="2:13" ht="43.5" customHeight="1" x14ac:dyDescent="0.25">
      <c r="B18" s="16" t="s">
        <v>57</v>
      </c>
    </row>
    <row r="20" spans="2:13" x14ac:dyDescent="0.25">
      <c r="B20" s="23" t="s">
        <v>58</v>
      </c>
      <c r="C20" t="s">
        <v>41</v>
      </c>
      <c r="D20" s="21">
        <f>Dados!C5</f>
        <v>1900</v>
      </c>
      <c r="E20" s="21" t="s">
        <v>40</v>
      </c>
      <c r="F20" s="21">
        <f>Dados!C15</f>
        <v>450</v>
      </c>
      <c r="G20" t="s">
        <v>41</v>
      </c>
      <c r="H20" s="21">
        <f>D20+F20</f>
        <v>2350</v>
      </c>
      <c r="I20" t="s">
        <v>41</v>
      </c>
      <c r="J20">
        <f>H20/H21</f>
        <v>1.175</v>
      </c>
      <c r="M20" s="1"/>
    </row>
    <row r="21" spans="2:13" x14ac:dyDescent="0.25">
      <c r="B21" s="22" t="s">
        <v>37</v>
      </c>
      <c r="D21" s="24">
        <f>Dados!F5</f>
        <v>1600</v>
      </c>
      <c r="E21" s="25" t="s">
        <v>40</v>
      </c>
      <c r="F21" s="24">
        <f>Dados!F15</f>
        <v>400</v>
      </c>
      <c r="H21" s="20">
        <f>D21+F21</f>
        <v>2000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31"/>
  <sheetViews>
    <sheetView showGridLines="0" topLeftCell="A16" workbookViewId="0">
      <selection activeCell="O26" sqref="O26"/>
    </sheetView>
  </sheetViews>
  <sheetFormatPr defaultRowHeight="15" x14ac:dyDescent="0.25"/>
  <cols>
    <col min="2" max="2" width="20.7109375" style="22" customWidth="1"/>
    <col min="3" max="3" width="12.7109375" customWidth="1"/>
    <col min="4" max="4" width="2" bestFit="1" customWidth="1"/>
    <col min="5" max="5" width="9.5703125" bestFit="1" customWidth="1"/>
    <col min="6" max="6" width="2" bestFit="1" customWidth="1"/>
    <col min="7" max="7" width="9.5703125" bestFit="1" customWidth="1"/>
    <col min="8" max="8" width="5.42578125" bestFit="1" customWidth="1"/>
    <col min="9" max="9" width="2" bestFit="1" customWidth="1"/>
    <col min="10" max="10" width="7" bestFit="1" customWidth="1"/>
    <col min="11" max="11" width="4.7109375" bestFit="1" customWidth="1"/>
  </cols>
  <sheetData>
    <row r="3" spans="2:10" x14ac:dyDescent="0.25">
      <c r="B3" s="47" t="s">
        <v>59</v>
      </c>
      <c r="C3" s="47"/>
    </row>
    <row r="5" spans="2:10" x14ac:dyDescent="0.25">
      <c r="B5" s="23" t="s">
        <v>60</v>
      </c>
      <c r="C5" t="s">
        <v>39</v>
      </c>
      <c r="D5" t="s">
        <v>41</v>
      </c>
      <c r="E5" s="21">
        <f>Dados!C49</f>
        <v>350</v>
      </c>
      <c r="F5" t="s">
        <v>41</v>
      </c>
      <c r="G5">
        <f>E5/E6</f>
        <v>0.1891891891891892</v>
      </c>
      <c r="H5" t="s">
        <v>39</v>
      </c>
      <c r="I5" t="s">
        <v>41</v>
      </c>
      <c r="J5" s="1">
        <f>G5*100</f>
        <v>18.918918918918919</v>
      </c>
    </row>
    <row r="6" spans="2:10" x14ac:dyDescent="0.25">
      <c r="B6" s="22" t="s">
        <v>61</v>
      </c>
      <c r="E6" s="24">
        <f>Dados!F20</f>
        <v>1850</v>
      </c>
      <c r="G6" s="20"/>
    </row>
    <row r="8" spans="2:10" x14ac:dyDescent="0.25">
      <c r="B8" s="45" t="s">
        <v>62</v>
      </c>
      <c r="C8" s="45"/>
    </row>
    <row r="9" spans="2:10" x14ac:dyDescent="0.25">
      <c r="J9">
        <v>100</v>
      </c>
    </row>
    <row r="10" spans="2:10" x14ac:dyDescent="0.25">
      <c r="B10" s="23" t="s">
        <v>60</v>
      </c>
      <c r="C10" t="s">
        <v>39</v>
      </c>
      <c r="D10" t="s">
        <v>41</v>
      </c>
      <c r="E10" s="21">
        <f>Dados!C49</f>
        <v>350</v>
      </c>
      <c r="F10" t="s">
        <v>41</v>
      </c>
      <c r="G10">
        <f>E10/E11</f>
        <v>9.0909090909090912E-2</v>
      </c>
      <c r="H10" t="s">
        <v>39</v>
      </c>
      <c r="I10" t="s">
        <v>41</v>
      </c>
      <c r="J10" s="1">
        <f>G10*100</f>
        <v>9.0909090909090917</v>
      </c>
    </row>
    <row r="11" spans="2:10" x14ac:dyDescent="0.25">
      <c r="B11" s="22" t="s">
        <v>63</v>
      </c>
      <c r="E11" s="24">
        <f>Dados!C25</f>
        <v>3850</v>
      </c>
      <c r="G11" s="20"/>
      <c r="J11" s="20">
        <f>J9/J10</f>
        <v>10.999999999999998</v>
      </c>
    </row>
    <row r="12" spans="2:10" x14ac:dyDescent="0.25">
      <c r="B12"/>
    </row>
    <row r="13" spans="2:10" x14ac:dyDescent="0.25">
      <c r="B13" s="45" t="s">
        <v>64</v>
      </c>
      <c r="C13" s="45"/>
    </row>
    <row r="15" spans="2:10" x14ac:dyDescent="0.25">
      <c r="B15" s="23" t="s">
        <v>65</v>
      </c>
      <c r="D15" t="s">
        <v>41</v>
      </c>
      <c r="E15" s="21">
        <f>Dados!C33</f>
        <v>6250</v>
      </c>
      <c r="F15" t="s">
        <v>41</v>
      </c>
      <c r="G15">
        <f>E15/E16</f>
        <v>1.6233766233766234</v>
      </c>
    </row>
    <row r="16" spans="2:10" x14ac:dyDescent="0.25">
      <c r="B16" s="22" t="s">
        <v>63</v>
      </c>
      <c r="E16" s="24">
        <f>Dados!C25</f>
        <v>3850</v>
      </c>
      <c r="G16" s="20"/>
    </row>
    <row r="18" spans="2:10" x14ac:dyDescent="0.25">
      <c r="B18" s="45" t="s">
        <v>66</v>
      </c>
      <c r="C18" s="45"/>
    </row>
    <row r="20" spans="2:10" x14ac:dyDescent="0.25">
      <c r="B20" s="23" t="s">
        <v>67</v>
      </c>
      <c r="C20" t="s">
        <v>39</v>
      </c>
      <c r="D20" t="s">
        <v>41</v>
      </c>
      <c r="E20" s="21">
        <f>Dados!C37</f>
        <v>1750</v>
      </c>
      <c r="F20" t="s">
        <v>41</v>
      </c>
      <c r="G20">
        <f>E20/E21</f>
        <v>0.28000000000000003</v>
      </c>
      <c r="H20" t="s">
        <v>39</v>
      </c>
      <c r="I20" t="s">
        <v>41</v>
      </c>
      <c r="J20" s="1">
        <f>G20*100</f>
        <v>28.000000000000004</v>
      </c>
    </row>
    <row r="21" spans="2:10" ht="30" x14ac:dyDescent="0.25">
      <c r="B21" s="22" t="s">
        <v>68</v>
      </c>
      <c r="E21" s="28">
        <f>Dados!C33</f>
        <v>6250</v>
      </c>
      <c r="G21" s="20"/>
      <c r="J21" s="20"/>
    </row>
    <row r="23" spans="2:10" x14ac:dyDescent="0.25">
      <c r="B23" s="45" t="s">
        <v>69</v>
      </c>
      <c r="C23" s="45"/>
    </row>
    <row r="25" spans="2:10" x14ac:dyDescent="0.25">
      <c r="B25" s="23" t="s">
        <v>72</v>
      </c>
      <c r="C25" t="s">
        <v>39</v>
      </c>
      <c r="D25" t="s">
        <v>41</v>
      </c>
      <c r="E25" s="21">
        <f>Dados!C41</f>
        <v>509</v>
      </c>
      <c r="F25" t="s">
        <v>41</v>
      </c>
      <c r="G25">
        <f>E25/E26</f>
        <v>8.1439999999999999E-2</v>
      </c>
      <c r="H25" t="s">
        <v>39</v>
      </c>
      <c r="I25" t="s">
        <v>41</v>
      </c>
      <c r="J25" s="1">
        <f>G25*100</f>
        <v>8.1440000000000001</v>
      </c>
    </row>
    <row r="26" spans="2:10" ht="30" x14ac:dyDescent="0.25">
      <c r="B26" s="22" t="s">
        <v>68</v>
      </c>
      <c r="E26" s="28">
        <f>Dados!C33</f>
        <v>6250</v>
      </c>
      <c r="G26" s="20"/>
      <c r="J26" s="20"/>
    </row>
    <row r="28" spans="2:10" x14ac:dyDescent="0.25">
      <c r="B28" s="45" t="s">
        <v>71</v>
      </c>
      <c r="C28" s="45"/>
    </row>
    <row r="30" spans="2:10" x14ac:dyDescent="0.25">
      <c r="B30" s="23" t="s">
        <v>70</v>
      </c>
      <c r="C30" t="s">
        <v>39</v>
      </c>
      <c r="D30" t="s">
        <v>41</v>
      </c>
      <c r="E30" s="21">
        <f>Dados!C49</f>
        <v>350</v>
      </c>
      <c r="F30" t="s">
        <v>41</v>
      </c>
      <c r="G30">
        <f>E30/E31</f>
        <v>5.6000000000000001E-2</v>
      </c>
      <c r="H30" t="s">
        <v>39</v>
      </c>
      <c r="I30" t="s">
        <v>41</v>
      </c>
      <c r="J30" s="1">
        <f>G30*100</f>
        <v>5.6000000000000005</v>
      </c>
    </row>
    <row r="31" spans="2:10" ht="30" x14ac:dyDescent="0.25">
      <c r="B31" s="22" t="s">
        <v>68</v>
      </c>
      <c r="E31" s="28">
        <f>Dados!C33</f>
        <v>6250</v>
      </c>
      <c r="G31" s="20"/>
      <c r="J31" s="20"/>
    </row>
  </sheetData>
  <mergeCells count="6">
    <mergeCell ref="B28:C28"/>
    <mergeCell ref="B3:C3"/>
    <mergeCell ref="B8:C8"/>
    <mergeCell ref="B13:C13"/>
    <mergeCell ref="B18:C18"/>
    <mergeCell ref="B23:C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32"/>
  <sheetViews>
    <sheetView showGridLines="0" topLeftCell="A17" workbookViewId="0">
      <selection activeCell="J38" sqref="J38"/>
    </sheetView>
  </sheetViews>
  <sheetFormatPr defaultRowHeight="15" x14ac:dyDescent="0.25"/>
  <cols>
    <col min="2" max="2" width="23.42578125" style="22" customWidth="1"/>
    <col min="3" max="3" width="18.5703125" customWidth="1"/>
    <col min="4" max="4" width="2" bestFit="1" customWidth="1"/>
    <col min="5" max="5" width="10.5703125" bestFit="1" customWidth="1"/>
    <col min="6" max="6" width="2" bestFit="1" customWidth="1"/>
    <col min="7" max="7" width="9.7109375" bestFit="1" customWidth="1"/>
    <col min="8" max="8" width="9" bestFit="1" customWidth="1"/>
    <col min="9" max="9" width="3" bestFit="1" customWidth="1"/>
    <col min="10" max="10" width="10.5703125" bestFit="1" customWidth="1"/>
    <col min="11" max="11" width="1.7109375" customWidth="1"/>
  </cols>
  <sheetData>
    <row r="1" spans="2:10" x14ac:dyDescent="0.25">
      <c r="B1" s="22" t="s">
        <v>91</v>
      </c>
    </row>
    <row r="3" spans="2:10" x14ac:dyDescent="0.25">
      <c r="B3" s="47" t="s">
        <v>73</v>
      </c>
      <c r="C3" s="47"/>
    </row>
    <row r="5" spans="2:10" ht="30" customHeight="1" x14ac:dyDescent="0.25">
      <c r="B5" s="45" t="s">
        <v>89</v>
      </c>
      <c r="C5" s="45"/>
      <c r="E5" s="29">
        <f>-Dados!C35</f>
        <v>4500</v>
      </c>
      <c r="F5" s="29"/>
      <c r="G5" s="29">
        <f>Dados!C9</f>
        <v>350</v>
      </c>
      <c r="H5" s="29">
        <v>-720</v>
      </c>
      <c r="I5" s="29" t="s">
        <v>41</v>
      </c>
      <c r="J5" s="30">
        <f>SUM(E5:H5)</f>
        <v>4130</v>
      </c>
    </row>
    <row r="7" spans="2:10" x14ac:dyDescent="0.25">
      <c r="B7" s="23" t="s">
        <v>13</v>
      </c>
      <c r="C7" t="s">
        <v>75</v>
      </c>
      <c r="D7" t="s">
        <v>41</v>
      </c>
      <c r="E7" s="21">
        <f>Dados!F7+Dados!F16</f>
        <v>400</v>
      </c>
      <c r="F7" t="s">
        <v>76</v>
      </c>
      <c r="G7">
        <v>360</v>
      </c>
      <c r="J7" s="1"/>
    </row>
    <row r="8" spans="2:10" x14ac:dyDescent="0.25">
      <c r="B8" s="22" t="s">
        <v>74</v>
      </c>
      <c r="E8" s="24">
        <f>J5</f>
        <v>4130</v>
      </c>
      <c r="G8" s="20"/>
    </row>
    <row r="10" spans="2:10" x14ac:dyDescent="0.25">
      <c r="E10">
        <f>E7/E8</f>
        <v>9.6852300242130748E-2</v>
      </c>
      <c r="F10" t="s">
        <v>76</v>
      </c>
      <c r="G10">
        <v>360</v>
      </c>
      <c r="I10" t="s">
        <v>41</v>
      </c>
      <c r="J10" s="30">
        <f>E10*G10</f>
        <v>34.866828087167072</v>
      </c>
    </row>
    <row r="12" spans="2:10" x14ac:dyDescent="0.25">
      <c r="B12" s="45" t="s">
        <v>77</v>
      </c>
      <c r="C12" s="45"/>
    </row>
    <row r="14" spans="2:10" x14ac:dyDescent="0.25">
      <c r="B14" s="23" t="s">
        <v>4</v>
      </c>
      <c r="C14" t="s">
        <v>75</v>
      </c>
      <c r="D14" t="s">
        <v>41</v>
      </c>
      <c r="E14" s="21">
        <f>Dados!C9</f>
        <v>350</v>
      </c>
      <c r="F14" t="s">
        <v>76</v>
      </c>
      <c r="G14">
        <v>360</v>
      </c>
      <c r="I14" t="s">
        <v>41</v>
      </c>
      <c r="J14" s="1"/>
    </row>
    <row r="15" spans="2:10" s="32" customFormat="1" ht="30" x14ac:dyDescent="0.25">
      <c r="B15" s="31" t="s">
        <v>78</v>
      </c>
      <c r="E15" s="28">
        <f>-Dados!C35</f>
        <v>4500</v>
      </c>
      <c r="G15" s="28"/>
      <c r="J15" s="28"/>
    </row>
    <row r="16" spans="2:10" x14ac:dyDescent="0.25">
      <c r="B16"/>
    </row>
    <row r="17" spans="2:20" x14ac:dyDescent="0.25">
      <c r="B17"/>
      <c r="E17">
        <f>E14/E15</f>
        <v>7.7777777777777779E-2</v>
      </c>
      <c r="F17" t="s">
        <v>76</v>
      </c>
      <c r="G17">
        <v>360</v>
      </c>
      <c r="I17" t="s">
        <v>41</v>
      </c>
      <c r="J17" s="30">
        <f>E17*G17</f>
        <v>28</v>
      </c>
    </row>
    <row r="18" spans="2:20" x14ac:dyDescent="0.25">
      <c r="B18"/>
    </row>
    <row r="19" spans="2:20" x14ac:dyDescent="0.25">
      <c r="B19" s="45" t="s">
        <v>79</v>
      </c>
      <c r="C19" s="45"/>
    </row>
    <row r="21" spans="2:20" x14ac:dyDescent="0.25">
      <c r="B21" s="23" t="s">
        <v>3</v>
      </c>
      <c r="C21" t="s">
        <v>75</v>
      </c>
      <c r="D21" t="s">
        <v>41</v>
      </c>
      <c r="E21" s="21">
        <f>Dados!C8+Dados!C16</f>
        <v>950</v>
      </c>
      <c r="F21" t="s">
        <v>76</v>
      </c>
      <c r="G21">
        <v>360</v>
      </c>
      <c r="I21" t="s">
        <v>41</v>
      </c>
      <c r="J21" s="1"/>
    </row>
    <row r="22" spans="2:20" ht="30" x14ac:dyDescent="0.25">
      <c r="B22" s="31" t="s">
        <v>25</v>
      </c>
      <c r="C22" s="32"/>
      <c r="D22" s="32"/>
      <c r="E22" s="28">
        <f>Dados!C29</f>
        <v>10000</v>
      </c>
      <c r="F22" s="32"/>
      <c r="G22" s="28"/>
      <c r="H22" s="32"/>
      <c r="I22" s="32"/>
      <c r="J22" s="28"/>
    </row>
    <row r="23" spans="2:20" x14ac:dyDescent="0.25">
      <c r="B23"/>
    </row>
    <row r="24" spans="2:20" x14ac:dyDescent="0.25">
      <c r="B24"/>
      <c r="E24">
        <f>E21/E22</f>
        <v>9.5000000000000001E-2</v>
      </c>
      <c r="F24" t="s">
        <v>76</v>
      </c>
      <c r="G24">
        <v>360</v>
      </c>
      <c r="I24" t="s">
        <v>41</v>
      </c>
      <c r="J24" s="30">
        <f>E24*G24</f>
        <v>34.200000000000003</v>
      </c>
    </row>
    <row r="25" spans="2:20" x14ac:dyDescent="0.25">
      <c r="N25" t="s">
        <v>82</v>
      </c>
      <c r="Q25" s="35" t="s">
        <v>83</v>
      </c>
      <c r="S25" s="35" t="s">
        <v>84</v>
      </c>
    </row>
    <row r="26" spans="2:20" x14ac:dyDescent="0.25">
      <c r="B26" s="45" t="s">
        <v>80</v>
      </c>
      <c r="C26" s="45"/>
      <c r="N26" s="3"/>
      <c r="P26" s="5"/>
    </row>
    <row r="27" spans="2:20" x14ac:dyDescent="0.25">
      <c r="N27" s="33"/>
      <c r="O27" s="36"/>
      <c r="Q27" s="36"/>
      <c r="T27" s="34"/>
    </row>
    <row r="28" spans="2:20" x14ac:dyDescent="0.25">
      <c r="B28" s="22" t="s">
        <v>81</v>
      </c>
      <c r="E28" s="29">
        <f>J17</f>
        <v>28</v>
      </c>
      <c r="F28" t="s">
        <v>40</v>
      </c>
      <c r="G28" s="29">
        <f>J24</f>
        <v>34.200000000000003</v>
      </c>
      <c r="I28" t="s">
        <v>41</v>
      </c>
      <c r="J28" s="29">
        <f>E28+G28</f>
        <v>62.2</v>
      </c>
      <c r="N28" s="19"/>
      <c r="O28" s="13"/>
      <c r="P28" s="13"/>
      <c r="Q28" s="13"/>
      <c r="R28" s="13"/>
      <c r="S28" s="13"/>
      <c r="T28" s="13"/>
    </row>
    <row r="29" spans="2:20" x14ac:dyDescent="0.25">
      <c r="N29" s="34">
        <v>0</v>
      </c>
      <c r="O29" s="26">
        <v>30</v>
      </c>
      <c r="P29" s="26">
        <v>60</v>
      </c>
      <c r="Q29" s="26">
        <v>90</v>
      </c>
      <c r="R29" s="26">
        <v>120</v>
      </c>
      <c r="S29">
        <v>150</v>
      </c>
      <c r="T29">
        <v>180</v>
      </c>
    </row>
    <row r="30" spans="2:20" x14ac:dyDescent="0.25">
      <c r="B30" s="45" t="s">
        <v>85</v>
      </c>
      <c r="C30" s="45"/>
    </row>
    <row r="32" spans="2:20" x14ac:dyDescent="0.25">
      <c r="B32" s="22" t="s">
        <v>86</v>
      </c>
      <c r="E32" s="29">
        <f>J28</f>
        <v>62.2</v>
      </c>
      <c r="F32" t="s">
        <v>56</v>
      </c>
      <c r="G32" s="29">
        <f>J10</f>
        <v>34.866828087167072</v>
      </c>
      <c r="I32" t="s">
        <v>41</v>
      </c>
      <c r="J32" s="29">
        <f>E32-G32</f>
        <v>27.333171912832931</v>
      </c>
    </row>
  </sheetData>
  <mergeCells count="6">
    <mergeCell ref="B30:C30"/>
    <mergeCell ref="B3:C3"/>
    <mergeCell ref="B12:C12"/>
    <mergeCell ref="B19:C19"/>
    <mergeCell ref="B26:C26"/>
    <mergeCell ref="B5:C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</vt:lpstr>
      <vt:lpstr>Estrutura de Capital</vt:lpstr>
      <vt:lpstr>Liquidez</vt:lpstr>
      <vt:lpstr>Rentabilidade</vt:lpstr>
      <vt:lpstr>Prazos Médios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</dc:creator>
  <cp:lastModifiedBy>Emerson</cp:lastModifiedBy>
  <dcterms:created xsi:type="dcterms:W3CDTF">2015-04-04T01:42:23Z</dcterms:created>
  <dcterms:modified xsi:type="dcterms:W3CDTF">2017-04-02T03:46:31Z</dcterms:modified>
</cp:coreProperties>
</file>