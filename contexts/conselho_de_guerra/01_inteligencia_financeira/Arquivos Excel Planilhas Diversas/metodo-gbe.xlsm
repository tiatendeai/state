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sung\Downloads\CONFIGURAÇÃO &amp; INDICADORES PLATORMAS\INDICADORES Profit Pro\Amigos Trader\Planilha Quant - Patrize Trader\MOD1\"/>
    </mc:Choice>
  </mc:AlternateContent>
  <xr:revisionPtr revIDLastSave="0" documentId="13_ncr:1_{A9FD63F7-804A-4FDB-817F-AD40D75FE409}" xr6:coauthVersionLast="47" xr6:coauthVersionMax="47" xr10:uidLastSave="{00000000-0000-0000-0000-000000000000}"/>
  <bookViews>
    <workbookView xWindow="-120" yWindow="-120" windowWidth="20730" windowHeight="11310" activeTab="1" xr2:uid="{89B9500E-DD4C-4DEB-B2AD-64933587BB7B}"/>
  </bookViews>
  <sheets>
    <sheet name="METODO GBE" sheetId="8" r:id="rId1"/>
    <sheet name="CALCULO" sheetId="7" r:id="rId2"/>
    <sheet name="Market Data" sheetId="11" r:id="rId3"/>
    <sheet name="5M" sheetId="10" r:id="rId4"/>
    <sheet name="RTD" sheetId="3" r:id="rId5"/>
    <sheet name="TAXA DE JUROS" sheetId="5" r:id="rId6"/>
    <sheet name="FERIADOS" sheetId="13" r:id="rId7"/>
  </sheets>
  <functionGroups builtInGroupCount="19"/>
  <externalReferences>
    <externalReference r:id="rId8"/>
    <externalReference r:id="rId9"/>
  </externalReferences>
  <definedNames>
    <definedName name="_xlnm._FilterDatabase" localSheetId="3" hidden="1">'5M'!$CW$1:$CW$146</definedName>
    <definedName name="_xlnm._FilterDatabase" localSheetId="1" hidden="1">CALCULO!$B$14:$M$14</definedName>
    <definedName name="_xlnm._FilterDatabase" localSheetId="4" hidden="1">RTD!$P$1:$V$1</definedName>
    <definedName name="ATIVO">'[1]Mercado futuro'!$D$4</definedName>
    <definedName name="ATIVO2">'[1]Mercado futuro'!$D$32</definedName>
    <definedName name="ATIVO3">[1]PetrobrasOpcoes!$D$3</definedName>
    <definedName name="COTACAO">'[1]Mercado futuro'!$H$1</definedName>
    <definedName name="COTACAO2">'[1]Mercado futuro'!$H$30</definedName>
    <definedName name="feriados" localSheetId="3">#REF!</definedName>
    <definedName name="feriados" localSheetId="1">[2]FERIADOS!$A$2:$A$939</definedName>
    <definedName name="feriados" localSheetId="6">FERIADOS!$A$2:$A$939</definedName>
    <definedName name="feriados" localSheetId="5">[2]FERIADOS!$A$2:$A$939</definedName>
    <definedName name="feriados">#REF!</definedName>
    <definedName name="Hora" localSheetId="3">#REF!</definedName>
    <definedName name="Hora" localSheetId="6">#REF!</definedName>
    <definedName name="Hora">#REF!</definedName>
    <definedName name="Minuto" localSheetId="3">#REF!</definedName>
    <definedName name="Minuto">#REF!</definedName>
    <definedName name="ResumoCarteiraTeorica.aspx?Indice_IBOV_idioma_pt_br" localSheetId="2">'Market Data'!$A$1:$E$84</definedName>
    <definedName name="SpreadsheetBuilder_2" localSheetId="3" hidden="1">#REF!</definedName>
    <definedName name="SpreadsheetBuilder_2" localSheetId="6" hidden="1">#REF!</definedName>
    <definedName name="SpreadsheetBuilder_2" hidden="1">#REF!</definedName>
    <definedName name="SpreadsheetBuilder_3" localSheetId="3" hidden="1">#REF!</definedName>
    <definedName name="SpreadsheetBuilder_3" hidden="1">#REF!</definedName>
    <definedName name="SpreadsheetBuilder_4" localSheetId="3" hidden="1">#REF!</definedName>
    <definedName name="SpreadsheetBuilder_4" hidden="1">#REF!</definedName>
    <definedName name="stopFlag" localSheetId="3">#REF!</definedName>
    <definedName name="stopFlag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5" i="3" l="1"/>
  <c r="U14" i="7"/>
  <c r="U17" i="7"/>
  <c r="G3" i="3"/>
  <c r="F3" i="3"/>
  <c r="E3" i="3"/>
  <c r="D3" i="3"/>
  <c r="C3" i="3"/>
  <c r="B3" i="3"/>
  <c r="B4" i="3"/>
  <c r="CV167" i="10"/>
  <c r="CV166" i="10"/>
  <c r="CV165" i="10"/>
  <c r="CV164" i="10"/>
  <c r="CV163" i="10"/>
  <c r="CV162" i="10"/>
  <c r="CV161" i="10"/>
  <c r="CV160" i="10"/>
  <c r="CV159" i="10"/>
  <c r="CV158" i="10"/>
  <c r="CV157" i="10"/>
  <c r="CV156" i="10"/>
  <c r="CV155" i="10"/>
  <c r="CV154" i="10"/>
  <c r="CV153" i="10"/>
  <c r="CV152" i="10"/>
  <c r="CV151" i="10"/>
  <c r="CV150" i="10"/>
  <c r="CV149" i="10"/>
  <c r="CV148" i="10"/>
  <c r="CV147" i="10"/>
  <c r="CV146" i="10"/>
  <c r="CV145" i="10"/>
  <c r="CV144" i="10"/>
  <c r="CV143" i="10"/>
  <c r="CV142" i="10"/>
  <c r="CV141" i="10"/>
  <c r="CV140" i="10"/>
  <c r="CV139" i="10"/>
  <c r="CV138" i="10"/>
  <c r="CV137" i="10"/>
  <c r="CV136" i="10"/>
  <c r="CV135" i="10"/>
  <c r="CV134" i="10"/>
  <c r="CV133" i="10"/>
  <c r="CV132" i="10"/>
  <c r="CV131" i="10"/>
  <c r="CV130" i="10"/>
  <c r="CV129" i="10"/>
  <c r="CV128" i="10"/>
  <c r="CV127" i="10"/>
  <c r="CV126" i="10"/>
  <c r="CV125" i="10"/>
  <c r="CV124" i="10"/>
  <c r="CV123" i="10"/>
  <c r="CV122" i="10"/>
  <c r="CV121" i="10"/>
  <c r="CV120" i="10"/>
  <c r="CV119" i="10"/>
  <c r="CV118" i="10"/>
  <c r="CV117" i="10"/>
  <c r="CV116" i="10"/>
  <c r="CV115" i="10"/>
  <c r="CV114" i="10"/>
  <c r="CV113" i="10"/>
  <c r="CV112" i="10"/>
  <c r="CV111" i="10"/>
  <c r="CV110" i="10"/>
  <c r="CV109" i="10"/>
  <c r="CV108" i="10"/>
  <c r="CV107" i="10"/>
  <c r="CV106" i="10"/>
  <c r="CV105" i="10"/>
  <c r="CV104" i="10"/>
  <c r="CV103" i="10"/>
  <c r="CV102" i="10"/>
  <c r="CV101" i="10"/>
  <c r="CV100" i="10"/>
  <c r="CV99" i="10"/>
  <c r="CV98" i="10"/>
  <c r="CV97" i="10"/>
  <c r="CV96" i="10"/>
  <c r="CV95" i="10"/>
  <c r="CV94" i="10"/>
  <c r="CV93" i="10"/>
  <c r="CV92" i="10"/>
  <c r="CV91" i="10"/>
  <c r="CV90" i="10"/>
  <c r="CV89" i="10"/>
  <c r="CV88" i="10"/>
  <c r="CV87" i="10"/>
  <c r="CV86" i="10"/>
  <c r="CV85" i="10"/>
  <c r="CV84" i="10"/>
  <c r="CV83" i="10"/>
  <c r="CV82" i="10"/>
  <c r="CV81" i="10"/>
  <c r="CV80" i="10"/>
  <c r="CV79" i="10"/>
  <c r="CV78" i="10"/>
  <c r="CV77" i="10"/>
  <c r="CV76" i="10"/>
  <c r="CV75" i="10"/>
  <c r="CV74" i="10"/>
  <c r="CV73" i="10"/>
  <c r="CV72" i="10"/>
  <c r="CV71" i="10"/>
  <c r="CV70" i="10"/>
  <c r="CV69" i="10"/>
  <c r="CV68" i="10"/>
  <c r="CV67" i="10"/>
  <c r="CV66" i="10"/>
  <c r="CV65" i="10"/>
  <c r="CV64" i="10"/>
  <c r="CV63" i="10"/>
  <c r="CV62" i="10"/>
  <c r="CV61" i="10"/>
  <c r="CV60" i="10"/>
  <c r="CV59" i="10"/>
  <c r="CV58" i="10"/>
  <c r="CV57" i="10"/>
  <c r="CV56" i="10"/>
  <c r="CV55" i="10"/>
  <c r="CV54" i="10"/>
  <c r="CV53" i="10"/>
  <c r="CV52" i="10"/>
  <c r="CV51" i="10"/>
  <c r="CV50" i="10"/>
  <c r="CV49" i="10"/>
  <c r="CV48" i="10"/>
  <c r="CV47" i="10"/>
  <c r="CV46" i="10"/>
  <c r="CV45" i="10"/>
  <c r="CV44" i="10"/>
  <c r="CV43" i="10"/>
  <c r="CV42" i="10"/>
  <c r="CV41" i="10"/>
  <c r="CV40" i="10"/>
  <c r="CV39" i="10"/>
  <c r="CV38" i="10"/>
  <c r="CV37" i="10"/>
  <c r="CV36" i="10"/>
  <c r="CV35" i="10"/>
  <c r="CV34" i="10"/>
  <c r="CV33" i="10"/>
  <c r="CV32" i="10"/>
  <c r="CV31" i="10"/>
  <c r="CV30" i="10"/>
  <c r="CV29" i="10"/>
  <c r="CV28" i="10"/>
  <c r="CV27" i="10"/>
  <c r="CV26" i="10"/>
  <c r="CV25" i="10"/>
  <c r="CV24" i="10"/>
  <c r="CV23" i="10"/>
  <c r="CV22" i="10"/>
  <c r="CV21" i="10"/>
  <c r="CV20" i="10"/>
  <c r="CV19" i="10"/>
  <c r="CV18" i="10"/>
  <c r="CV17" i="10"/>
  <c r="CV16" i="10"/>
  <c r="CV15" i="10"/>
  <c r="CV14" i="10"/>
  <c r="CV13" i="10"/>
  <c r="CV12" i="10"/>
  <c r="CV11" i="10"/>
  <c r="CV10" i="10"/>
  <c r="CV9" i="10"/>
  <c r="CV8" i="10"/>
  <c r="CV7" i="10"/>
  <c r="CV6" i="10"/>
  <c r="CV5" i="10"/>
  <c r="CV4" i="10"/>
  <c r="CV3" i="10"/>
  <c r="CV2" i="10"/>
  <c r="CY14" i="7" l="1"/>
  <c r="CZ14" i="7"/>
  <c r="DA14" i="7"/>
  <c r="Z14" i="7"/>
  <c r="CY15" i="7"/>
  <c r="CZ15" i="7"/>
  <c r="DA15" i="7"/>
  <c r="Z15" i="7"/>
  <c r="CY17" i="7"/>
  <c r="CZ17" i="7"/>
  <c r="DA17" i="7"/>
  <c r="Z17" i="7"/>
  <c r="CY18" i="7"/>
  <c r="CZ18" i="7"/>
  <c r="DA18" i="7"/>
  <c r="Z18" i="7"/>
  <c r="CY19" i="7"/>
  <c r="CZ19" i="7"/>
  <c r="DA19" i="7"/>
  <c r="Z19" i="7"/>
  <c r="CY20" i="7"/>
  <c r="CZ20" i="7"/>
  <c r="DA20" i="7"/>
  <c r="Z20" i="7"/>
  <c r="CY21" i="7"/>
  <c r="CZ21" i="7"/>
  <c r="DA21" i="7"/>
  <c r="Z21" i="7"/>
  <c r="CY22" i="7"/>
  <c r="CZ22" i="7"/>
  <c r="DA22" i="7"/>
  <c r="Z22" i="7"/>
  <c r="CY23" i="7"/>
  <c r="CZ23" i="7"/>
  <c r="DA23" i="7"/>
  <c r="Z23" i="7"/>
  <c r="CY24" i="7"/>
  <c r="CZ24" i="7"/>
  <c r="DA24" i="7"/>
  <c r="Z24" i="7"/>
  <c r="CY25" i="7"/>
  <c r="CZ25" i="7"/>
  <c r="DA25" i="7"/>
  <c r="Z25" i="7"/>
  <c r="CY26" i="7"/>
  <c r="CZ26" i="7"/>
  <c r="DA26" i="7"/>
  <c r="Z26" i="7"/>
  <c r="CY27" i="7"/>
  <c r="CZ27" i="7"/>
  <c r="DA27" i="7"/>
  <c r="Z27" i="7"/>
  <c r="CY28" i="7"/>
  <c r="CZ28" i="7"/>
  <c r="DA28" i="7"/>
  <c r="Z28" i="7"/>
  <c r="CY29" i="7"/>
  <c r="CZ29" i="7"/>
  <c r="DA29" i="7"/>
  <c r="Z29" i="7"/>
  <c r="CY30" i="7"/>
  <c r="CZ30" i="7"/>
  <c r="DA30" i="7"/>
  <c r="Z30" i="7"/>
  <c r="CY31" i="7"/>
  <c r="CZ31" i="7"/>
  <c r="DA31" i="7"/>
  <c r="Z31" i="7"/>
  <c r="CY32" i="7"/>
  <c r="CZ32" i="7"/>
  <c r="DA32" i="7"/>
  <c r="Z32" i="7"/>
  <c r="CY33" i="7"/>
  <c r="CZ33" i="7"/>
  <c r="DA33" i="7"/>
  <c r="Z33" i="7"/>
  <c r="CY34" i="7"/>
  <c r="CZ34" i="7"/>
  <c r="DA34" i="7"/>
  <c r="Z34" i="7"/>
  <c r="CY35" i="7"/>
  <c r="CZ35" i="7"/>
  <c r="DA35" i="7"/>
  <c r="Z35" i="7"/>
  <c r="CY36" i="7"/>
  <c r="CZ36" i="7"/>
  <c r="DA36" i="7"/>
  <c r="Z36" i="7"/>
  <c r="CY37" i="7"/>
  <c r="CZ37" i="7"/>
  <c r="DA37" i="7"/>
  <c r="Z37" i="7"/>
  <c r="CY38" i="7"/>
  <c r="CZ38" i="7"/>
  <c r="DA38" i="7"/>
  <c r="Z38" i="7"/>
  <c r="CY39" i="7"/>
  <c r="CZ39" i="7"/>
  <c r="DA39" i="7"/>
  <c r="Z39" i="7"/>
  <c r="CY40" i="7"/>
  <c r="CZ40" i="7"/>
  <c r="DA40" i="7"/>
  <c r="Z40" i="7"/>
  <c r="CY41" i="7"/>
  <c r="CZ41" i="7"/>
  <c r="DA41" i="7"/>
  <c r="Z41" i="7"/>
  <c r="CY42" i="7"/>
  <c r="CZ42" i="7"/>
  <c r="DA42" i="7"/>
  <c r="Z42" i="7"/>
  <c r="CY43" i="7"/>
  <c r="CZ43" i="7"/>
  <c r="DA43" i="7"/>
  <c r="Z43" i="7"/>
  <c r="CY44" i="7"/>
  <c r="CZ44" i="7"/>
  <c r="DA44" i="7"/>
  <c r="Z44" i="7"/>
  <c r="CY45" i="7"/>
  <c r="CZ45" i="7"/>
  <c r="DA45" i="7"/>
  <c r="Z45" i="7"/>
  <c r="K93" i="7"/>
  <c r="K94" i="7"/>
  <c r="K9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15" i="7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B78" i="3"/>
  <c r="C78" i="3"/>
  <c r="D78" i="3"/>
  <c r="E78" i="3"/>
  <c r="F78" i="3"/>
  <c r="G78" i="3"/>
  <c r="B40" i="3"/>
  <c r="C40" i="3"/>
  <c r="D40" i="3"/>
  <c r="E40" i="3"/>
  <c r="F40" i="3"/>
  <c r="G40" i="3"/>
  <c r="B30" i="3"/>
  <c r="C30" i="3"/>
  <c r="D30" i="3"/>
  <c r="E30" i="3"/>
  <c r="F30" i="3"/>
  <c r="G30" i="3"/>
  <c r="B39" i="3"/>
  <c r="C39" i="3"/>
  <c r="D39" i="3"/>
  <c r="E39" i="3"/>
  <c r="F39" i="3"/>
  <c r="G39" i="3"/>
  <c r="B10" i="3"/>
  <c r="C10" i="3"/>
  <c r="D10" i="3"/>
  <c r="E10" i="3"/>
  <c r="F10" i="3"/>
  <c r="G10" i="3"/>
  <c r="B70" i="3"/>
  <c r="C70" i="3"/>
  <c r="D70" i="3"/>
  <c r="E70" i="3"/>
  <c r="F70" i="3"/>
  <c r="G70" i="3"/>
  <c r="B22" i="3"/>
  <c r="C22" i="3"/>
  <c r="D22" i="3"/>
  <c r="E22" i="3"/>
  <c r="F22" i="3"/>
  <c r="G22" i="3"/>
  <c r="B38" i="3"/>
  <c r="C38" i="3"/>
  <c r="D38" i="3"/>
  <c r="E38" i="3"/>
  <c r="F38" i="3"/>
  <c r="G38" i="3"/>
  <c r="B27" i="3"/>
  <c r="C27" i="3"/>
  <c r="D27" i="3"/>
  <c r="E27" i="3"/>
  <c r="F27" i="3"/>
  <c r="G27" i="3"/>
  <c r="B36" i="3"/>
  <c r="C36" i="3"/>
  <c r="D36" i="3"/>
  <c r="E36" i="3"/>
  <c r="F36" i="3"/>
  <c r="G36" i="3"/>
  <c r="B56" i="3"/>
  <c r="C56" i="3"/>
  <c r="D56" i="3"/>
  <c r="E56" i="3"/>
  <c r="F56" i="3"/>
  <c r="G56" i="3"/>
  <c r="B6" i="3"/>
  <c r="C6" i="3"/>
  <c r="D6" i="3"/>
  <c r="E6" i="3"/>
  <c r="F6" i="3"/>
  <c r="G6" i="3"/>
  <c r="B41" i="3"/>
  <c r="C41" i="3"/>
  <c r="D41" i="3"/>
  <c r="E41" i="3"/>
  <c r="F41" i="3"/>
  <c r="G41" i="3"/>
  <c r="B58" i="3"/>
  <c r="C58" i="3"/>
  <c r="D58" i="3"/>
  <c r="E58" i="3"/>
  <c r="F58" i="3"/>
  <c r="G58" i="3"/>
  <c r="B43" i="3"/>
  <c r="C43" i="3"/>
  <c r="D43" i="3"/>
  <c r="E43" i="3"/>
  <c r="F43" i="3"/>
  <c r="G43" i="3"/>
  <c r="B61" i="3"/>
  <c r="C61" i="3"/>
  <c r="D61" i="3"/>
  <c r="E61" i="3"/>
  <c r="F61" i="3"/>
  <c r="G61" i="3"/>
  <c r="B17" i="3"/>
  <c r="C17" i="3"/>
  <c r="D17" i="3"/>
  <c r="E17" i="3"/>
  <c r="F17" i="3"/>
  <c r="G17" i="3"/>
  <c r="B63" i="3"/>
  <c r="C63" i="3"/>
  <c r="D63" i="3"/>
  <c r="E63" i="3"/>
  <c r="F63" i="3"/>
  <c r="G63" i="3"/>
  <c r="B67" i="3"/>
  <c r="C67" i="3"/>
  <c r="D67" i="3"/>
  <c r="E67" i="3"/>
  <c r="F67" i="3"/>
  <c r="G67" i="3"/>
  <c r="B77" i="3"/>
  <c r="C77" i="3"/>
  <c r="D77" i="3"/>
  <c r="E77" i="3"/>
  <c r="F77" i="3"/>
  <c r="G77" i="3"/>
  <c r="B28" i="3"/>
  <c r="C28" i="3"/>
  <c r="D28" i="3"/>
  <c r="E28" i="3"/>
  <c r="F28" i="3"/>
  <c r="G28" i="3"/>
  <c r="B60" i="3"/>
  <c r="C60" i="3"/>
  <c r="D60" i="3"/>
  <c r="E60" i="3"/>
  <c r="F60" i="3"/>
  <c r="G60" i="3"/>
  <c r="B37" i="3"/>
  <c r="C37" i="3"/>
  <c r="D37" i="3"/>
  <c r="E37" i="3"/>
  <c r="F37" i="3"/>
  <c r="G37" i="3"/>
  <c r="B13" i="3"/>
  <c r="C13" i="3"/>
  <c r="D13" i="3"/>
  <c r="E13" i="3"/>
  <c r="F13" i="3"/>
  <c r="G13" i="3"/>
  <c r="B65" i="3"/>
  <c r="C65" i="3"/>
  <c r="D65" i="3"/>
  <c r="E65" i="3"/>
  <c r="F65" i="3"/>
  <c r="G65" i="3"/>
  <c r="B15" i="3"/>
  <c r="C15" i="3"/>
  <c r="D15" i="3"/>
  <c r="E15" i="3"/>
  <c r="F15" i="3"/>
  <c r="G15" i="3"/>
  <c r="B66" i="3"/>
  <c r="C66" i="3"/>
  <c r="D66" i="3"/>
  <c r="E66" i="3"/>
  <c r="F66" i="3"/>
  <c r="G66" i="3"/>
  <c r="B49" i="3"/>
  <c r="C49" i="3"/>
  <c r="D49" i="3"/>
  <c r="E49" i="3"/>
  <c r="F49" i="3"/>
  <c r="G49" i="3"/>
  <c r="B64" i="3"/>
  <c r="C64" i="3"/>
  <c r="D64" i="3"/>
  <c r="E64" i="3"/>
  <c r="F64" i="3"/>
  <c r="G64" i="3"/>
  <c r="B21" i="3"/>
  <c r="C21" i="3"/>
  <c r="D21" i="3"/>
  <c r="E21" i="3"/>
  <c r="F21" i="3"/>
  <c r="G21" i="3"/>
  <c r="B54" i="3"/>
  <c r="C54" i="3"/>
  <c r="D54" i="3"/>
  <c r="E54" i="3"/>
  <c r="F54" i="3"/>
  <c r="G54" i="3"/>
  <c r="B59" i="3"/>
  <c r="C59" i="3"/>
  <c r="D59" i="3"/>
  <c r="E59" i="3"/>
  <c r="F59" i="3"/>
  <c r="G59" i="3"/>
  <c r="B47" i="3"/>
  <c r="C47" i="3"/>
  <c r="D47" i="3"/>
  <c r="E47" i="3"/>
  <c r="F47" i="3"/>
  <c r="G47" i="3"/>
  <c r="B82" i="3"/>
  <c r="C95" i="7" s="1"/>
  <c r="J95" i="7" s="1"/>
  <c r="C82" i="3"/>
  <c r="D95" i="7" s="1"/>
  <c r="D82" i="3"/>
  <c r="E95" i="7" s="1"/>
  <c r="E82" i="3"/>
  <c r="F95" i="7" s="1"/>
  <c r="F82" i="3"/>
  <c r="G95" i="7" s="1"/>
  <c r="G82" i="3"/>
  <c r="M95" i="7" s="1"/>
  <c r="B46" i="3"/>
  <c r="C46" i="3"/>
  <c r="D46" i="3"/>
  <c r="E46" i="3"/>
  <c r="F46" i="3"/>
  <c r="G46" i="3"/>
  <c r="B53" i="3"/>
  <c r="C53" i="3"/>
  <c r="D53" i="3"/>
  <c r="E53" i="3"/>
  <c r="F53" i="3"/>
  <c r="G53" i="3"/>
  <c r="B74" i="3"/>
  <c r="C74" i="3"/>
  <c r="D74" i="3"/>
  <c r="E74" i="3"/>
  <c r="F74" i="3"/>
  <c r="G74" i="3"/>
  <c r="B32" i="3"/>
  <c r="C32" i="3"/>
  <c r="D32" i="3"/>
  <c r="E32" i="3"/>
  <c r="F32" i="3"/>
  <c r="G32" i="3"/>
  <c r="B50" i="3"/>
  <c r="C50" i="3"/>
  <c r="D50" i="3"/>
  <c r="E50" i="3"/>
  <c r="F50" i="3"/>
  <c r="G50" i="3"/>
  <c r="B34" i="3"/>
  <c r="C34" i="3"/>
  <c r="D34" i="3"/>
  <c r="E34" i="3"/>
  <c r="F34" i="3"/>
  <c r="G34" i="3"/>
  <c r="B44" i="3"/>
  <c r="C44" i="3"/>
  <c r="D44" i="3"/>
  <c r="E44" i="3"/>
  <c r="F44" i="3"/>
  <c r="G44" i="3"/>
  <c r="B57" i="3"/>
  <c r="C57" i="3"/>
  <c r="D57" i="3"/>
  <c r="E57" i="3"/>
  <c r="F57" i="3"/>
  <c r="G57" i="3"/>
  <c r="B18" i="3"/>
  <c r="C18" i="3"/>
  <c r="D18" i="3"/>
  <c r="E18" i="3"/>
  <c r="F18" i="3"/>
  <c r="G18" i="3"/>
  <c r="B16" i="3"/>
  <c r="C16" i="3"/>
  <c r="D16" i="3"/>
  <c r="E16" i="3"/>
  <c r="F16" i="3"/>
  <c r="G16" i="3"/>
  <c r="B8" i="3"/>
  <c r="C8" i="3"/>
  <c r="D8" i="3"/>
  <c r="E8" i="3"/>
  <c r="F8" i="3"/>
  <c r="G8" i="3"/>
  <c r="B76" i="3"/>
  <c r="C76" i="3"/>
  <c r="D76" i="3"/>
  <c r="E76" i="3"/>
  <c r="F76" i="3"/>
  <c r="G76" i="3"/>
  <c r="B29" i="3"/>
  <c r="C29" i="3"/>
  <c r="D29" i="3"/>
  <c r="E29" i="3"/>
  <c r="F29" i="3"/>
  <c r="G29" i="3"/>
  <c r="B9" i="3"/>
  <c r="C9" i="3"/>
  <c r="D9" i="3"/>
  <c r="E9" i="3"/>
  <c r="F9" i="3"/>
  <c r="G9" i="3"/>
  <c r="B31" i="3"/>
  <c r="C31" i="3"/>
  <c r="D31" i="3"/>
  <c r="E31" i="3"/>
  <c r="F31" i="3"/>
  <c r="G31" i="3"/>
  <c r="B75" i="3"/>
  <c r="C75" i="3"/>
  <c r="D75" i="3"/>
  <c r="E75" i="3"/>
  <c r="F75" i="3"/>
  <c r="G75" i="3"/>
  <c r="B72" i="3"/>
  <c r="C72" i="3"/>
  <c r="D72" i="3"/>
  <c r="E72" i="3"/>
  <c r="F72" i="3"/>
  <c r="G72" i="3"/>
  <c r="C16" i="7"/>
  <c r="D16" i="7"/>
  <c r="E16" i="7"/>
  <c r="F16" i="7"/>
  <c r="G16" i="7"/>
  <c r="M16" i="7"/>
  <c r="B26" i="3"/>
  <c r="C26" i="3"/>
  <c r="D26" i="3"/>
  <c r="E26" i="3"/>
  <c r="F26" i="3"/>
  <c r="G26" i="3"/>
  <c r="B20" i="3"/>
  <c r="C20" i="3"/>
  <c r="D20" i="3"/>
  <c r="E20" i="3"/>
  <c r="F20" i="3"/>
  <c r="G20" i="3"/>
  <c r="B12" i="3"/>
  <c r="C12" i="3"/>
  <c r="D12" i="3"/>
  <c r="E12" i="3"/>
  <c r="F12" i="3"/>
  <c r="G12" i="3"/>
  <c r="B69" i="3"/>
  <c r="C69" i="3"/>
  <c r="D69" i="3"/>
  <c r="E69" i="3"/>
  <c r="F69" i="3"/>
  <c r="G69" i="3"/>
  <c r="B33" i="3"/>
  <c r="C33" i="3"/>
  <c r="D33" i="3"/>
  <c r="E33" i="3"/>
  <c r="F33" i="3"/>
  <c r="G33" i="3"/>
  <c r="C4" i="3"/>
  <c r="D4" i="3"/>
  <c r="E4" i="3"/>
  <c r="F4" i="3"/>
  <c r="G4" i="3"/>
  <c r="B73" i="3"/>
  <c r="C73" i="3"/>
  <c r="D73" i="3"/>
  <c r="E73" i="3"/>
  <c r="F73" i="3"/>
  <c r="G73" i="3"/>
  <c r="B42" i="3"/>
  <c r="C42" i="3"/>
  <c r="D42" i="3"/>
  <c r="E42" i="3"/>
  <c r="F42" i="3"/>
  <c r="G42" i="3"/>
  <c r="B5" i="3"/>
  <c r="C5" i="3"/>
  <c r="D5" i="3"/>
  <c r="E5" i="3"/>
  <c r="F5" i="3"/>
  <c r="G5" i="3"/>
  <c r="B71" i="3"/>
  <c r="C71" i="3"/>
  <c r="D71" i="3"/>
  <c r="E71" i="3"/>
  <c r="F71" i="3"/>
  <c r="G71" i="3"/>
  <c r="B62" i="3"/>
  <c r="C62" i="3"/>
  <c r="D62" i="3"/>
  <c r="E62" i="3"/>
  <c r="F62" i="3"/>
  <c r="G62" i="3"/>
  <c r="B14" i="3"/>
  <c r="C14" i="3"/>
  <c r="D14" i="3"/>
  <c r="E14" i="3"/>
  <c r="F14" i="3"/>
  <c r="G14" i="3"/>
  <c r="B51" i="3"/>
  <c r="C51" i="3"/>
  <c r="D51" i="3"/>
  <c r="E51" i="3"/>
  <c r="F51" i="3"/>
  <c r="G51" i="3"/>
  <c r="B19" i="3"/>
  <c r="C19" i="3"/>
  <c r="D19" i="3"/>
  <c r="E19" i="3"/>
  <c r="F19" i="3"/>
  <c r="G19" i="3"/>
  <c r="B48" i="3"/>
  <c r="C48" i="3"/>
  <c r="D48" i="3"/>
  <c r="E48" i="3"/>
  <c r="F48" i="3"/>
  <c r="G48" i="3"/>
  <c r="B81" i="3"/>
  <c r="C94" i="7" s="1"/>
  <c r="J94" i="7" s="1"/>
  <c r="C81" i="3"/>
  <c r="D94" i="7" s="1"/>
  <c r="D81" i="3"/>
  <c r="E94" i="7" s="1"/>
  <c r="E81" i="3"/>
  <c r="F94" i="7" s="1"/>
  <c r="F81" i="3"/>
  <c r="G94" i="7" s="1"/>
  <c r="G81" i="3"/>
  <c r="M94" i="7" s="1"/>
  <c r="B79" i="3"/>
  <c r="C79" i="3"/>
  <c r="D79" i="3"/>
  <c r="E79" i="3"/>
  <c r="F79" i="3"/>
  <c r="G79" i="3"/>
  <c r="B24" i="3"/>
  <c r="C24" i="3"/>
  <c r="D24" i="3"/>
  <c r="E24" i="3"/>
  <c r="F24" i="3"/>
  <c r="G24" i="3"/>
  <c r="B25" i="3"/>
  <c r="C25" i="3"/>
  <c r="D25" i="3"/>
  <c r="E25" i="3"/>
  <c r="F25" i="3"/>
  <c r="G25" i="3"/>
  <c r="B7" i="3"/>
  <c r="C20" i="7" s="1"/>
  <c r="C7" i="3"/>
  <c r="D7" i="3"/>
  <c r="E7" i="3"/>
  <c r="F7" i="3"/>
  <c r="G7" i="3"/>
  <c r="B45" i="3"/>
  <c r="C45" i="3"/>
  <c r="D45" i="3"/>
  <c r="F45" i="3"/>
  <c r="G45" i="3"/>
  <c r="B11" i="3"/>
  <c r="C11" i="3"/>
  <c r="D11" i="3"/>
  <c r="E11" i="3"/>
  <c r="F11" i="3"/>
  <c r="G11" i="3"/>
  <c r="B2" i="3"/>
  <c r="C2" i="3"/>
  <c r="D2" i="3"/>
  <c r="E2" i="3"/>
  <c r="F2" i="3"/>
  <c r="G2" i="3"/>
  <c r="B68" i="3"/>
  <c r="C68" i="3"/>
  <c r="D68" i="3"/>
  <c r="E68" i="3"/>
  <c r="F68" i="3"/>
  <c r="G68" i="3"/>
  <c r="B80" i="3"/>
  <c r="C93" i="7" s="1"/>
  <c r="C80" i="3"/>
  <c r="D93" i="7" s="1"/>
  <c r="D80" i="3"/>
  <c r="E93" i="7" s="1"/>
  <c r="E80" i="3"/>
  <c r="F93" i="7" s="1"/>
  <c r="F80" i="3"/>
  <c r="G93" i="7" s="1"/>
  <c r="G80" i="3"/>
  <c r="M93" i="7" s="1"/>
  <c r="B23" i="3"/>
  <c r="C23" i="3"/>
  <c r="D23" i="3"/>
  <c r="E23" i="3"/>
  <c r="F23" i="3"/>
  <c r="G23" i="3"/>
  <c r="B35" i="3"/>
  <c r="C35" i="3"/>
  <c r="D35" i="3"/>
  <c r="E35" i="3"/>
  <c r="F35" i="3"/>
  <c r="G35" i="3"/>
  <c r="B52" i="3"/>
  <c r="C52" i="3"/>
  <c r="D52" i="3"/>
  <c r="E52" i="3"/>
  <c r="F52" i="3"/>
  <c r="G52" i="3"/>
  <c r="B55" i="3"/>
  <c r="C55" i="3"/>
  <c r="D55" i="3"/>
  <c r="E55" i="3"/>
  <c r="F55" i="3"/>
  <c r="G55" i="3"/>
  <c r="N94" i="7" l="1"/>
  <c r="J93" i="7"/>
  <c r="N93" i="7" s="1"/>
  <c r="J16" i="7"/>
  <c r="N16" i="7" s="1"/>
  <c r="DA7" i="7"/>
  <c r="CZ7" i="7"/>
  <c r="CY7" i="7"/>
  <c r="Z7" i="7"/>
  <c r="Z6" i="7"/>
  <c r="DA6" i="7"/>
  <c r="CY6" i="7"/>
  <c r="CZ6" i="7"/>
  <c r="N95" i="7"/>
  <c r="H95" i="7"/>
  <c r="I95" i="7" s="1"/>
  <c r="H93" i="7"/>
  <c r="I93" i="7" s="1"/>
  <c r="H94" i="7"/>
  <c r="I94" i="7" s="1"/>
  <c r="H16" i="7"/>
  <c r="I16" i="7" s="1"/>
  <c r="D6" i="8"/>
  <c r="Y15" i="7" l="1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Y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Y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Y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Y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CB20" i="7"/>
  <c r="CC20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Y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CB21" i="7"/>
  <c r="CC21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Y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CB22" i="7"/>
  <c r="CC22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Y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CA23" i="7"/>
  <c r="CB23" i="7"/>
  <c r="CC23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Y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CB24" i="7"/>
  <c r="CC24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Y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CB25" i="7"/>
  <c r="CC25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Y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CB26" i="7"/>
  <c r="CC26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Y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CA27" i="7"/>
  <c r="CB27" i="7"/>
  <c r="CC27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Y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CB28" i="7"/>
  <c r="CC28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Y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CB29" i="7"/>
  <c r="CC29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Y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CB30" i="7"/>
  <c r="CC30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Y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CA31" i="7"/>
  <c r="CB31" i="7"/>
  <c r="CC31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Y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CB32" i="7"/>
  <c r="CC32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Y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CB33" i="7"/>
  <c r="CC33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Y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CB34" i="7"/>
  <c r="CC34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Y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CA35" i="7"/>
  <c r="CB35" i="7"/>
  <c r="CC35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Y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CB36" i="7"/>
  <c r="CC36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Y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CB37" i="7"/>
  <c r="CC37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Y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Y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CA39" i="7"/>
  <c r="CB39" i="7"/>
  <c r="CC39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Y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CB40" i="7"/>
  <c r="CC40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Y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CB41" i="7"/>
  <c r="CC41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Y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CB42" i="7"/>
  <c r="CC42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Y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CA43" i="7"/>
  <c r="CB43" i="7"/>
  <c r="CC43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Y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CB44" i="7"/>
  <c r="CC44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Y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CB45" i="7"/>
  <c r="CC45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Y14" i="7"/>
  <c r="Y7" i="7" l="1"/>
  <c r="BZ6" i="7"/>
  <c r="BM7" i="7"/>
  <c r="AN7" i="7"/>
  <c r="AZ7" i="7"/>
  <c r="BY6" i="7"/>
  <c r="BO7" i="7"/>
  <c r="BE7" i="7"/>
  <c r="BF7" i="7"/>
  <c r="CF7" i="7"/>
  <c r="AD7" i="7"/>
  <c r="AA7" i="7"/>
  <c r="CC7" i="7"/>
  <c r="BH7" i="7"/>
  <c r="BZ7" i="7"/>
  <c r="AV7" i="7"/>
  <c r="CP7" i="7"/>
  <c r="BG7" i="7"/>
  <c r="BD7" i="7"/>
  <c r="AW7" i="7"/>
  <c r="CR7" i="7"/>
  <c r="BL7" i="7"/>
  <c r="AP7" i="7"/>
  <c r="AU7" i="7"/>
  <c r="AM7" i="7"/>
  <c r="AE7" i="7"/>
  <c r="AO7" i="7"/>
  <c r="AT7" i="7"/>
  <c r="AF7" i="7"/>
  <c r="BB7" i="7"/>
  <c r="AL7" i="7"/>
  <c r="AQ7" i="7"/>
  <c r="BJ6" i="7"/>
  <c r="BO6" i="7"/>
  <c r="AT6" i="7"/>
  <c r="CB7" i="7"/>
  <c r="CB6" i="7"/>
  <c r="AU6" i="7"/>
  <c r="AZ6" i="7"/>
  <c r="BG6" i="7"/>
  <c r="BJ7" i="7"/>
  <c r="AM6" i="7"/>
  <c r="CL7" i="7"/>
  <c r="CD7" i="7"/>
  <c r="CA7" i="7"/>
  <c r="BK7" i="7"/>
  <c r="BC7" i="7"/>
  <c r="BB6" i="7"/>
  <c r="BK6" i="7"/>
  <c r="AY6" i="7"/>
  <c r="AY7" i="7"/>
  <c r="BI7" i="7"/>
  <c r="BA7" i="7"/>
  <c r="CA6" i="7"/>
  <c r="BN7" i="7"/>
  <c r="AK7" i="7"/>
  <c r="AC7" i="7"/>
  <c r="BC6" i="7"/>
  <c r="BH6" i="7"/>
  <c r="AB6" i="7"/>
  <c r="CC6" i="7"/>
  <c r="AP6" i="7"/>
  <c r="CD6" i="7"/>
  <c r="CM7" i="7"/>
  <c r="CQ7" i="7"/>
  <c r="CW7" i="7"/>
  <c r="CH7" i="7"/>
  <c r="CX7" i="7"/>
  <c r="CS7" i="7"/>
  <c r="CP6" i="7"/>
  <c r="CT7" i="7"/>
  <c r="CE7" i="7"/>
  <c r="CU7" i="7"/>
  <c r="Y6" i="7"/>
  <c r="CS6" i="7"/>
  <c r="CR6" i="7"/>
  <c r="CK6" i="7"/>
  <c r="CM6" i="7"/>
  <c r="CN6" i="7"/>
  <c r="CQ6" i="7"/>
  <c r="CF6" i="7"/>
  <c r="CH6" i="7"/>
  <c r="BP6" i="7"/>
  <c r="BX6" i="7"/>
  <c r="CN7" i="7"/>
  <c r="CT6" i="7"/>
  <c r="BQ6" i="7"/>
  <c r="BS6" i="7"/>
  <c r="BR7" i="7"/>
  <c r="CO7" i="7"/>
  <c r="CU6" i="7"/>
  <c r="BU6" i="7"/>
  <c r="BP7" i="7"/>
  <c r="BR6" i="7"/>
  <c r="BS7" i="7"/>
  <c r="BQ7" i="7"/>
  <c r="BW6" i="7"/>
  <c r="BY7" i="7"/>
  <c r="CG6" i="7"/>
  <c r="CI7" i="7"/>
  <c r="BT6" i="7"/>
  <c r="BT7" i="7"/>
  <c r="BX7" i="7"/>
  <c r="CG7" i="7"/>
  <c r="BV6" i="7"/>
  <c r="BW7" i="7"/>
  <c r="CX6" i="7"/>
  <c r="BV7" i="7"/>
  <c r="CE6" i="7"/>
  <c r="CJ7" i="7"/>
  <c r="BU7" i="7"/>
  <c r="CK7" i="7"/>
  <c r="CL6" i="7"/>
  <c r="BD6" i="7"/>
  <c r="AH6" i="7"/>
  <c r="AN6" i="7"/>
  <c r="AO6" i="7"/>
  <c r="BL6" i="7"/>
  <c r="AD6" i="7"/>
  <c r="AC6" i="7"/>
  <c r="AG7" i="7"/>
  <c r="AI6" i="7"/>
  <c r="BA6" i="7"/>
  <c r="BE6" i="7"/>
  <c r="BM6" i="7"/>
  <c r="AQ6" i="7"/>
  <c r="AE6" i="7"/>
  <c r="AH7" i="7"/>
  <c r="AX7" i="7"/>
  <c r="BF6" i="7"/>
  <c r="BN6" i="7"/>
  <c r="AX6" i="7"/>
  <c r="AF6" i="7"/>
  <c r="AG6" i="7"/>
  <c r="AB7" i="7"/>
  <c r="AV6" i="7"/>
  <c r="AA6" i="7"/>
  <c r="AL6" i="7"/>
  <c r="AJ6" i="7"/>
  <c r="AK6" i="7"/>
  <c r="AI7" i="7"/>
  <c r="AJ7" i="7"/>
  <c r="AW6" i="7"/>
  <c r="BI6" i="7"/>
  <c r="CW6" i="7" l="1"/>
  <c r="CO6" i="7"/>
  <c r="CV7" i="7"/>
  <c r="CI6" i="7"/>
  <c r="CJ6" i="7"/>
  <c r="CV6" i="7"/>
  <c r="C10" i="7" l="1"/>
  <c r="C9" i="7"/>
  <c r="C2" i="7"/>
  <c r="G10" i="7" l="1"/>
  <c r="F10" i="7"/>
  <c r="E10" i="7"/>
  <c r="D10" i="7"/>
  <c r="G9" i="7"/>
  <c r="F9" i="7"/>
  <c r="E9" i="7"/>
  <c r="D9" i="7"/>
  <c r="M92" i="7" l="1"/>
  <c r="G92" i="7"/>
  <c r="F92" i="7"/>
  <c r="E92" i="7"/>
  <c r="D92" i="7"/>
  <c r="C92" i="7"/>
  <c r="M91" i="7"/>
  <c r="G91" i="7"/>
  <c r="F91" i="7"/>
  <c r="E91" i="7"/>
  <c r="D91" i="7"/>
  <c r="C91" i="7"/>
  <c r="M90" i="7"/>
  <c r="G90" i="7"/>
  <c r="F90" i="7"/>
  <c r="E90" i="7"/>
  <c r="D90" i="7"/>
  <c r="C90" i="7"/>
  <c r="M89" i="7"/>
  <c r="G89" i="7"/>
  <c r="F89" i="7"/>
  <c r="E89" i="7"/>
  <c r="D89" i="7"/>
  <c r="C89" i="7"/>
  <c r="M88" i="7"/>
  <c r="G88" i="7"/>
  <c r="F88" i="7"/>
  <c r="E88" i="7"/>
  <c r="D88" i="7"/>
  <c r="C88" i="7"/>
  <c r="M87" i="7"/>
  <c r="G87" i="7"/>
  <c r="F87" i="7"/>
  <c r="E87" i="7"/>
  <c r="D87" i="7"/>
  <c r="C87" i="7"/>
  <c r="M86" i="7"/>
  <c r="G86" i="7"/>
  <c r="F86" i="7"/>
  <c r="E86" i="7"/>
  <c r="D86" i="7"/>
  <c r="C86" i="7"/>
  <c r="M85" i="7"/>
  <c r="G85" i="7"/>
  <c r="F85" i="7"/>
  <c r="E85" i="7"/>
  <c r="D85" i="7"/>
  <c r="C85" i="7"/>
  <c r="M84" i="7"/>
  <c r="G84" i="7"/>
  <c r="F84" i="7"/>
  <c r="E84" i="7"/>
  <c r="D84" i="7"/>
  <c r="C84" i="7"/>
  <c r="M83" i="7"/>
  <c r="G83" i="7"/>
  <c r="F83" i="7"/>
  <c r="E83" i="7"/>
  <c r="D83" i="7"/>
  <c r="C83" i="7"/>
  <c r="M82" i="7"/>
  <c r="G82" i="7"/>
  <c r="F82" i="7"/>
  <c r="E82" i="7"/>
  <c r="D82" i="7"/>
  <c r="C82" i="7"/>
  <c r="M81" i="7"/>
  <c r="G81" i="7"/>
  <c r="F81" i="7"/>
  <c r="E81" i="7"/>
  <c r="D81" i="7"/>
  <c r="C81" i="7"/>
  <c r="M80" i="7"/>
  <c r="G80" i="7"/>
  <c r="F80" i="7"/>
  <c r="E80" i="7"/>
  <c r="D80" i="7"/>
  <c r="C80" i="7"/>
  <c r="M79" i="7"/>
  <c r="G79" i="7"/>
  <c r="F79" i="7"/>
  <c r="E79" i="7"/>
  <c r="D79" i="7"/>
  <c r="C79" i="7"/>
  <c r="M78" i="7"/>
  <c r="G78" i="7"/>
  <c r="F78" i="7"/>
  <c r="E78" i="7"/>
  <c r="D78" i="7"/>
  <c r="C78" i="7"/>
  <c r="M77" i="7"/>
  <c r="G77" i="7"/>
  <c r="F77" i="7"/>
  <c r="E77" i="7"/>
  <c r="D77" i="7"/>
  <c r="C77" i="7"/>
  <c r="M76" i="7"/>
  <c r="G76" i="7"/>
  <c r="F76" i="7"/>
  <c r="E76" i="7"/>
  <c r="D76" i="7"/>
  <c r="C76" i="7"/>
  <c r="M75" i="7"/>
  <c r="G75" i="7"/>
  <c r="F75" i="7"/>
  <c r="E75" i="7"/>
  <c r="D75" i="7"/>
  <c r="C75" i="7"/>
  <c r="M74" i="7"/>
  <c r="G74" i="7"/>
  <c r="F74" i="7"/>
  <c r="E74" i="7"/>
  <c r="D74" i="7"/>
  <c r="C74" i="7"/>
  <c r="M73" i="7"/>
  <c r="G73" i="7"/>
  <c r="F73" i="7"/>
  <c r="E73" i="7"/>
  <c r="D73" i="7"/>
  <c r="C73" i="7"/>
  <c r="M72" i="7"/>
  <c r="G72" i="7"/>
  <c r="F72" i="7"/>
  <c r="E72" i="7"/>
  <c r="D72" i="7"/>
  <c r="C72" i="7"/>
  <c r="M71" i="7"/>
  <c r="G71" i="7"/>
  <c r="F71" i="7"/>
  <c r="E71" i="7"/>
  <c r="D71" i="7"/>
  <c r="C71" i="7"/>
  <c r="M70" i="7"/>
  <c r="G70" i="7"/>
  <c r="F70" i="7"/>
  <c r="E70" i="7"/>
  <c r="D70" i="7"/>
  <c r="C70" i="7"/>
  <c r="M69" i="7"/>
  <c r="G69" i="7"/>
  <c r="F69" i="7"/>
  <c r="E69" i="7"/>
  <c r="D69" i="7"/>
  <c r="C69" i="7"/>
  <c r="M68" i="7"/>
  <c r="G68" i="7"/>
  <c r="F68" i="7"/>
  <c r="E68" i="7"/>
  <c r="D68" i="7"/>
  <c r="C68" i="7"/>
  <c r="M67" i="7"/>
  <c r="G67" i="7"/>
  <c r="F67" i="7"/>
  <c r="E67" i="7"/>
  <c r="D67" i="7"/>
  <c r="C67" i="7"/>
  <c r="M66" i="7"/>
  <c r="G66" i="7"/>
  <c r="F66" i="7"/>
  <c r="E66" i="7"/>
  <c r="D66" i="7"/>
  <c r="C66" i="7"/>
  <c r="M65" i="7"/>
  <c r="G65" i="7"/>
  <c r="F65" i="7"/>
  <c r="E65" i="7"/>
  <c r="D65" i="7"/>
  <c r="C65" i="7"/>
  <c r="M64" i="7"/>
  <c r="G64" i="7"/>
  <c r="F64" i="7"/>
  <c r="E64" i="7"/>
  <c r="D64" i="7"/>
  <c r="C64" i="7"/>
  <c r="M63" i="7"/>
  <c r="G63" i="7"/>
  <c r="F63" i="7"/>
  <c r="E63" i="7"/>
  <c r="D63" i="7"/>
  <c r="C63" i="7"/>
  <c r="M62" i="7"/>
  <c r="G62" i="7"/>
  <c r="F62" i="7"/>
  <c r="E62" i="7"/>
  <c r="D62" i="7"/>
  <c r="C62" i="7"/>
  <c r="M61" i="7"/>
  <c r="G61" i="7"/>
  <c r="F61" i="7"/>
  <c r="E61" i="7"/>
  <c r="D61" i="7"/>
  <c r="C61" i="7"/>
  <c r="M60" i="7"/>
  <c r="G60" i="7"/>
  <c r="F60" i="7"/>
  <c r="E60" i="7"/>
  <c r="D60" i="7"/>
  <c r="C60" i="7"/>
  <c r="M59" i="7"/>
  <c r="G59" i="7"/>
  <c r="F59" i="7"/>
  <c r="E59" i="7"/>
  <c r="D59" i="7"/>
  <c r="C59" i="7"/>
  <c r="M58" i="7"/>
  <c r="G58" i="7"/>
  <c r="F58" i="7"/>
  <c r="E58" i="7"/>
  <c r="D58" i="7"/>
  <c r="C58" i="7"/>
  <c r="M57" i="7"/>
  <c r="G57" i="7"/>
  <c r="F57" i="7"/>
  <c r="E57" i="7"/>
  <c r="D57" i="7"/>
  <c r="C57" i="7"/>
  <c r="M56" i="7"/>
  <c r="G56" i="7"/>
  <c r="F56" i="7"/>
  <c r="E56" i="7"/>
  <c r="D56" i="7"/>
  <c r="C56" i="7"/>
  <c r="M55" i="7"/>
  <c r="G55" i="7"/>
  <c r="F55" i="7"/>
  <c r="E55" i="7"/>
  <c r="D55" i="7"/>
  <c r="C55" i="7"/>
  <c r="M54" i="7"/>
  <c r="G54" i="7"/>
  <c r="F54" i="7"/>
  <c r="E54" i="7"/>
  <c r="D54" i="7"/>
  <c r="C54" i="7"/>
  <c r="M53" i="7"/>
  <c r="G53" i="7"/>
  <c r="F53" i="7"/>
  <c r="E53" i="7"/>
  <c r="D53" i="7"/>
  <c r="C53" i="7"/>
  <c r="M52" i="7"/>
  <c r="G52" i="7"/>
  <c r="F52" i="7"/>
  <c r="E52" i="7"/>
  <c r="D52" i="7"/>
  <c r="C52" i="7"/>
  <c r="M51" i="7"/>
  <c r="G51" i="7"/>
  <c r="F51" i="7"/>
  <c r="E51" i="7"/>
  <c r="D51" i="7"/>
  <c r="C51" i="7"/>
  <c r="M50" i="7"/>
  <c r="G50" i="7"/>
  <c r="F50" i="7"/>
  <c r="E50" i="7"/>
  <c r="D50" i="7"/>
  <c r="C50" i="7"/>
  <c r="M49" i="7"/>
  <c r="G49" i="7"/>
  <c r="F49" i="7"/>
  <c r="E49" i="7"/>
  <c r="D49" i="7"/>
  <c r="C49" i="7"/>
  <c r="M48" i="7"/>
  <c r="G48" i="7"/>
  <c r="F48" i="7"/>
  <c r="E48" i="7"/>
  <c r="D48" i="7"/>
  <c r="C48" i="7"/>
  <c r="M47" i="7"/>
  <c r="G47" i="7"/>
  <c r="F47" i="7"/>
  <c r="E47" i="7"/>
  <c r="D47" i="7"/>
  <c r="C47" i="7"/>
  <c r="M46" i="7"/>
  <c r="G46" i="7"/>
  <c r="F46" i="7"/>
  <c r="E46" i="7"/>
  <c r="D46" i="7"/>
  <c r="C46" i="7"/>
  <c r="M45" i="7"/>
  <c r="G45" i="7"/>
  <c r="F45" i="7"/>
  <c r="E45" i="7"/>
  <c r="D45" i="7"/>
  <c r="C45" i="7"/>
  <c r="M44" i="7"/>
  <c r="G44" i="7"/>
  <c r="F44" i="7"/>
  <c r="E44" i="7"/>
  <c r="D44" i="7"/>
  <c r="C44" i="7"/>
  <c r="M43" i="7"/>
  <c r="G43" i="7"/>
  <c r="F43" i="7"/>
  <c r="E43" i="7"/>
  <c r="D43" i="7"/>
  <c r="C43" i="7"/>
  <c r="M42" i="7"/>
  <c r="G42" i="7"/>
  <c r="F42" i="7"/>
  <c r="E42" i="7"/>
  <c r="D42" i="7"/>
  <c r="C42" i="7"/>
  <c r="M41" i="7"/>
  <c r="G41" i="7"/>
  <c r="F41" i="7"/>
  <c r="E41" i="7"/>
  <c r="D41" i="7"/>
  <c r="C41" i="7"/>
  <c r="M40" i="7"/>
  <c r="G40" i="7"/>
  <c r="F40" i="7"/>
  <c r="E40" i="7"/>
  <c r="D40" i="7"/>
  <c r="C40" i="7"/>
  <c r="M39" i="7"/>
  <c r="G39" i="7"/>
  <c r="F39" i="7"/>
  <c r="E39" i="7"/>
  <c r="D39" i="7"/>
  <c r="C39" i="7"/>
  <c r="M38" i="7"/>
  <c r="G38" i="7"/>
  <c r="F38" i="7"/>
  <c r="E38" i="7"/>
  <c r="D38" i="7"/>
  <c r="C38" i="7"/>
  <c r="M37" i="7"/>
  <c r="G37" i="7"/>
  <c r="F37" i="7"/>
  <c r="E37" i="7"/>
  <c r="D37" i="7"/>
  <c r="C37" i="7"/>
  <c r="M36" i="7"/>
  <c r="G36" i="7"/>
  <c r="F36" i="7"/>
  <c r="E36" i="7"/>
  <c r="D36" i="7"/>
  <c r="C36" i="7"/>
  <c r="M35" i="7"/>
  <c r="G35" i="7"/>
  <c r="F35" i="7"/>
  <c r="E35" i="7"/>
  <c r="D35" i="7"/>
  <c r="C35" i="7"/>
  <c r="M34" i="7"/>
  <c r="G34" i="7"/>
  <c r="F34" i="7"/>
  <c r="E34" i="7"/>
  <c r="D34" i="7"/>
  <c r="C34" i="7"/>
  <c r="M33" i="7"/>
  <c r="G33" i="7"/>
  <c r="F33" i="7"/>
  <c r="E33" i="7"/>
  <c r="D33" i="7"/>
  <c r="C33" i="7"/>
  <c r="M32" i="7"/>
  <c r="G32" i="7"/>
  <c r="F32" i="7"/>
  <c r="E32" i="7"/>
  <c r="D32" i="7"/>
  <c r="C32" i="7"/>
  <c r="M31" i="7"/>
  <c r="G31" i="7"/>
  <c r="F31" i="7"/>
  <c r="E31" i="7"/>
  <c r="D31" i="7"/>
  <c r="C31" i="7"/>
  <c r="M30" i="7"/>
  <c r="G30" i="7"/>
  <c r="F30" i="7"/>
  <c r="E30" i="7"/>
  <c r="D30" i="7"/>
  <c r="C30" i="7"/>
  <c r="M29" i="7"/>
  <c r="G29" i="7"/>
  <c r="F29" i="7"/>
  <c r="E29" i="7"/>
  <c r="D29" i="7"/>
  <c r="C29" i="7"/>
  <c r="J29" i="7" s="1"/>
  <c r="M28" i="7"/>
  <c r="G28" i="7"/>
  <c r="F28" i="7"/>
  <c r="E28" i="7"/>
  <c r="D28" i="7"/>
  <c r="C28" i="7"/>
  <c r="M27" i="7"/>
  <c r="G27" i="7"/>
  <c r="F27" i="7"/>
  <c r="E27" i="7"/>
  <c r="D27" i="7"/>
  <c r="C27" i="7"/>
  <c r="M26" i="7"/>
  <c r="G26" i="7"/>
  <c r="F26" i="7"/>
  <c r="E26" i="7"/>
  <c r="D26" i="7"/>
  <c r="C26" i="7"/>
  <c r="M25" i="7"/>
  <c r="G25" i="7"/>
  <c r="F25" i="7"/>
  <c r="E25" i="7"/>
  <c r="D25" i="7"/>
  <c r="C25" i="7"/>
  <c r="M24" i="7"/>
  <c r="G24" i="7"/>
  <c r="F24" i="7"/>
  <c r="E24" i="7"/>
  <c r="D24" i="7"/>
  <c r="C24" i="7"/>
  <c r="M23" i="7"/>
  <c r="G23" i="7"/>
  <c r="F23" i="7"/>
  <c r="E23" i="7"/>
  <c r="D23" i="7"/>
  <c r="C23" i="7"/>
  <c r="M22" i="7"/>
  <c r="G22" i="7"/>
  <c r="F22" i="7"/>
  <c r="E22" i="7"/>
  <c r="D22" i="7"/>
  <c r="C22" i="7"/>
  <c r="M21" i="7"/>
  <c r="G21" i="7"/>
  <c r="F21" i="7"/>
  <c r="E21" i="7"/>
  <c r="D21" i="7"/>
  <c r="C21" i="7"/>
  <c r="M20" i="7"/>
  <c r="G20" i="7"/>
  <c r="F20" i="7"/>
  <c r="E20" i="7"/>
  <c r="D20" i="7"/>
  <c r="M19" i="7"/>
  <c r="G19" i="7"/>
  <c r="F19" i="7"/>
  <c r="E19" i="7"/>
  <c r="D19" i="7"/>
  <c r="C19" i="7"/>
  <c r="M18" i="7"/>
  <c r="G18" i="7"/>
  <c r="F18" i="7"/>
  <c r="E18" i="7"/>
  <c r="D18" i="7"/>
  <c r="C18" i="7"/>
  <c r="M17" i="7"/>
  <c r="G17" i="7"/>
  <c r="F17" i="7"/>
  <c r="E17" i="7"/>
  <c r="D17" i="7"/>
  <c r="C17" i="7"/>
  <c r="M15" i="7"/>
  <c r="G15" i="7"/>
  <c r="F15" i="7"/>
  <c r="E15" i="7"/>
  <c r="D15" i="7"/>
  <c r="C15" i="7"/>
  <c r="J17" i="7" l="1"/>
  <c r="N17" i="7" s="1"/>
  <c r="J18" i="7"/>
  <c r="N18" i="7" s="1"/>
  <c r="J19" i="7"/>
  <c r="N19" i="7" s="1"/>
  <c r="J20" i="7"/>
  <c r="N20" i="7" s="1"/>
  <c r="J21" i="7"/>
  <c r="N21" i="7" s="1"/>
  <c r="J22" i="7"/>
  <c r="N22" i="7" s="1"/>
  <c r="J23" i="7"/>
  <c r="N23" i="7" s="1"/>
  <c r="J24" i="7"/>
  <c r="N24" i="7" s="1"/>
  <c r="J25" i="7"/>
  <c r="N25" i="7" s="1"/>
  <c r="J26" i="7"/>
  <c r="N26" i="7" s="1"/>
  <c r="J27" i="7"/>
  <c r="N27" i="7" s="1"/>
  <c r="J28" i="7"/>
  <c r="N28" i="7" s="1"/>
  <c r="N29" i="7"/>
  <c r="J30" i="7"/>
  <c r="N30" i="7" s="1"/>
  <c r="J31" i="7"/>
  <c r="N31" i="7" s="1"/>
  <c r="J32" i="7"/>
  <c r="N32" i="7" s="1"/>
  <c r="J33" i="7"/>
  <c r="N33" i="7" s="1"/>
  <c r="J34" i="7"/>
  <c r="N34" i="7" s="1"/>
  <c r="J35" i="7"/>
  <c r="N35" i="7" s="1"/>
  <c r="J36" i="7"/>
  <c r="N36" i="7" s="1"/>
  <c r="J39" i="7"/>
  <c r="N39" i="7" s="1"/>
  <c r="J47" i="7"/>
  <c r="N47" i="7" s="1"/>
  <c r="J50" i="7"/>
  <c r="N50" i="7" s="1"/>
  <c r="J51" i="7"/>
  <c r="N51" i="7" s="1"/>
  <c r="J55" i="7"/>
  <c r="N55" i="7" s="1"/>
  <c r="J58" i="7"/>
  <c r="N58" i="7" s="1"/>
  <c r="J59" i="7"/>
  <c r="N59" i="7" s="1"/>
  <c r="J63" i="7"/>
  <c r="N63" i="7" s="1"/>
  <c r="J70" i="7"/>
  <c r="N70" i="7" s="1"/>
  <c r="J71" i="7"/>
  <c r="N71" i="7" s="1"/>
  <c r="J78" i="7"/>
  <c r="N78" i="7" s="1"/>
  <c r="J79" i="7"/>
  <c r="N79" i="7" s="1"/>
  <c r="J84" i="7"/>
  <c r="N84" i="7" s="1"/>
  <c r="J86" i="7"/>
  <c r="N86" i="7" s="1"/>
  <c r="J87" i="7"/>
  <c r="N87" i="7" s="1"/>
  <c r="J89" i="7"/>
  <c r="N89" i="7" s="1"/>
  <c r="J90" i="7"/>
  <c r="N90" i="7" s="1"/>
  <c r="J91" i="7"/>
  <c r="N91" i="7" s="1"/>
  <c r="J92" i="7"/>
  <c r="N92" i="7" s="1"/>
  <c r="F4" i="11"/>
  <c r="J15" i="7" s="1"/>
  <c r="J40" i="7" l="1"/>
  <c r="N40" i="7" s="1"/>
  <c r="J62" i="7"/>
  <c r="N62" i="7" s="1"/>
  <c r="J54" i="7"/>
  <c r="N54" i="7" s="1"/>
  <c r="J85" i="7"/>
  <c r="N85" i="7" s="1"/>
  <c r="J77" i="7"/>
  <c r="N77" i="7" s="1"/>
  <c r="J69" i="7"/>
  <c r="N69" i="7" s="1"/>
  <c r="J76" i="7"/>
  <c r="N76" i="7" s="1"/>
  <c r="J68" i="7"/>
  <c r="N68" i="7" s="1"/>
  <c r="J43" i="7"/>
  <c r="N43" i="7" s="1"/>
  <c r="J88" i="7"/>
  <c r="N88" i="7" s="1"/>
  <c r="J80" i="7"/>
  <c r="N80" i="7" s="1"/>
  <c r="J72" i="7"/>
  <c r="N72" i="7" s="1"/>
  <c r="J64" i="7"/>
  <c r="N64" i="7" s="1"/>
  <c r="J56" i="7"/>
  <c r="N56" i="7" s="1"/>
  <c r="J48" i="7"/>
  <c r="N48" i="7" s="1"/>
  <c r="J61" i="7"/>
  <c r="N61" i="7" s="1"/>
  <c r="J53" i="7"/>
  <c r="N53" i="7" s="1"/>
  <c r="J45" i="7"/>
  <c r="N45" i="7" s="1"/>
  <c r="J37" i="7"/>
  <c r="N37" i="7" s="1"/>
  <c r="J46" i="7"/>
  <c r="N46" i="7" s="1"/>
  <c r="J60" i="7"/>
  <c r="N60" i="7" s="1"/>
  <c r="J52" i="7"/>
  <c r="N52" i="7" s="1"/>
  <c r="J44" i="7"/>
  <c r="N44" i="7" s="1"/>
  <c r="J83" i="7"/>
  <c r="N83" i="7" s="1"/>
  <c r="J75" i="7"/>
  <c r="N75" i="7" s="1"/>
  <c r="J82" i="7"/>
  <c r="N82" i="7" s="1"/>
  <c r="J74" i="7"/>
  <c r="N74" i="7" s="1"/>
  <c r="J66" i="7"/>
  <c r="N66" i="7" s="1"/>
  <c r="J42" i="7"/>
  <c r="N42" i="7" s="1"/>
  <c r="J67" i="7"/>
  <c r="N67" i="7" s="1"/>
  <c r="J81" i="7"/>
  <c r="N81" i="7" s="1"/>
  <c r="J73" i="7"/>
  <c r="N73" i="7" s="1"/>
  <c r="J65" i="7"/>
  <c r="N65" i="7" s="1"/>
  <c r="J57" i="7"/>
  <c r="N57" i="7" s="1"/>
  <c r="J49" i="7"/>
  <c r="N49" i="7" s="1"/>
  <c r="J41" i="7"/>
  <c r="N41" i="7" s="1"/>
  <c r="J38" i="7"/>
  <c r="N15" i="7"/>
  <c r="C1" i="7" l="1"/>
  <c r="C5" i="7" s="1"/>
  <c r="N38" i="7"/>
  <c r="X45" i="7"/>
  <c r="W45" i="7"/>
  <c r="V45" i="7"/>
  <c r="U45" i="7"/>
  <c r="X44" i="7"/>
  <c r="W44" i="7"/>
  <c r="V44" i="7"/>
  <c r="U44" i="7"/>
  <c r="X43" i="7"/>
  <c r="W43" i="7"/>
  <c r="V43" i="7"/>
  <c r="U43" i="7"/>
  <c r="X42" i="7"/>
  <c r="W42" i="7"/>
  <c r="V42" i="7"/>
  <c r="U42" i="7"/>
  <c r="X41" i="7"/>
  <c r="W41" i="7"/>
  <c r="V41" i="7"/>
  <c r="U41" i="7"/>
  <c r="X40" i="7"/>
  <c r="W40" i="7"/>
  <c r="V40" i="7"/>
  <c r="U40" i="7"/>
  <c r="X39" i="7"/>
  <c r="W39" i="7"/>
  <c r="V39" i="7"/>
  <c r="U39" i="7"/>
  <c r="X38" i="7"/>
  <c r="W38" i="7"/>
  <c r="V38" i="7"/>
  <c r="U38" i="7"/>
  <c r="X37" i="7"/>
  <c r="W37" i="7"/>
  <c r="V37" i="7"/>
  <c r="U37" i="7"/>
  <c r="X36" i="7"/>
  <c r="W36" i="7"/>
  <c r="V36" i="7"/>
  <c r="U36" i="7"/>
  <c r="X35" i="7"/>
  <c r="W35" i="7"/>
  <c r="V35" i="7"/>
  <c r="U35" i="7"/>
  <c r="X34" i="7"/>
  <c r="W34" i="7"/>
  <c r="V34" i="7"/>
  <c r="U34" i="7"/>
  <c r="X33" i="7"/>
  <c r="W33" i="7"/>
  <c r="V33" i="7"/>
  <c r="U33" i="7"/>
  <c r="X32" i="7"/>
  <c r="W32" i="7"/>
  <c r="V32" i="7"/>
  <c r="U32" i="7"/>
  <c r="X31" i="7"/>
  <c r="W31" i="7"/>
  <c r="V31" i="7"/>
  <c r="U31" i="7"/>
  <c r="X30" i="7"/>
  <c r="W30" i="7"/>
  <c r="V30" i="7"/>
  <c r="U30" i="7"/>
  <c r="X29" i="7"/>
  <c r="W29" i="7"/>
  <c r="V29" i="7"/>
  <c r="U29" i="7"/>
  <c r="X28" i="7"/>
  <c r="W28" i="7"/>
  <c r="V28" i="7"/>
  <c r="U28" i="7"/>
  <c r="X27" i="7"/>
  <c r="W27" i="7"/>
  <c r="V27" i="7"/>
  <c r="U27" i="7"/>
  <c r="X26" i="7"/>
  <c r="W26" i="7"/>
  <c r="V26" i="7"/>
  <c r="U26" i="7"/>
  <c r="X25" i="7"/>
  <c r="W25" i="7"/>
  <c r="V25" i="7"/>
  <c r="U25" i="7"/>
  <c r="X24" i="7"/>
  <c r="W24" i="7"/>
  <c r="V24" i="7"/>
  <c r="U24" i="7"/>
  <c r="X23" i="7"/>
  <c r="W23" i="7"/>
  <c r="V23" i="7"/>
  <c r="U23" i="7"/>
  <c r="X22" i="7"/>
  <c r="W22" i="7"/>
  <c r="V22" i="7"/>
  <c r="U22" i="7"/>
  <c r="X21" i="7"/>
  <c r="W21" i="7"/>
  <c r="V21" i="7"/>
  <c r="U21" i="7"/>
  <c r="X20" i="7"/>
  <c r="W20" i="7"/>
  <c r="V20" i="7"/>
  <c r="U20" i="7"/>
  <c r="X19" i="7"/>
  <c r="W19" i="7"/>
  <c r="V19" i="7"/>
  <c r="U19" i="7"/>
  <c r="X18" i="7"/>
  <c r="W18" i="7"/>
  <c r="V18" i="7"/>
  <c r="U18" i="7"/>
  <c r="X17" i="7"/>
  <c r="W17" i="7"/>
  <c r="V17" i="7"/>
  <c r="X15" i="7"/>
  <c r="W15" i="7"/>
  <c r="V15" i="7"/>
  <c r="U15" i="7"/>
  <c r="X14" i="7"/>
  <c r="W14" i="7"/>
  <c r="V14" i="7"/>
  <c r="N9" i="7" l="1"/>
  <c r="CU4" i="10" s="1"/>
  <c r="C3" i="7"/>
  <c r="W7" i="7"/>
  <c r="X7" i="7"/>
  <c r="V7" i="7"/>
  <c r="U7" i="7"/>
  <c r="W6" i="7"/>
  <c r="V6" i="7"/>
  <c r="X6" i="7"/>
  <c r="U6" i="7"/>
  <c r="H10" i="7"/>
  <c r="H32" i="8" l="1"/>
  <c r="CU6" i="10" s="1"/>
  <c r="I10" i="7"/>
  <c r="H33" i="8"/>
  <c r="CU7" i="10" s="1"/>
  <c r="H37" i="8"/>
  <c r="CU9" i="10" s="1"/>
  <c r="H36" i="8"/>
  <c r="CU8" i="10" s="1"/>
  <c r="H84" i="7"/>
  <c r="I84" i="7" s="1"/>
  <c r="H74" i="7" l="1"/>
  <c r="I74" i="7" s="1"/>
  <c r="H9" i="7" l="1"/>
  <c r="CU2" i="10" l="1"/>
  <c r="C6" i="7"/>
  <c r="CU3" i="10" s="1"/>
  <c r="I9" i="7"/>
  <c r="L94" i="7" s="1"/>
  <c r="E2" i="7"/>
  <c r="H8" i="8" s="1"/>
  <c r="L93" i="7" l="1"/>
  <c r="L95" i="7"/>
  <c r="L16" i="7"/>
  <c r="L74" i="7"/>
  <c r="CU68" i="10" s="1"/>
  <c r="C6" i="8"/>
  <c r="L84" i="7"/>
  <c r="CU78" i="10" s="1"/>
  <c r="H40" i="7"/>
  <c r="H79" i="7"/>
  <c r="H75" i="7" l="1"/>
  <c r="I75" i="7" s="1"/>
  <c r="L75" i="7" s="1"/>
  <c r="CU69" i="10" s="1"/>
  <c r="H77" i="7"/>
  <c r="H82" i="7"/>
  <c r="H89" i="7"/>
  <c r="I89" i="7" s="1"/>
  <c r="L89" i="7" s="1"/>
  <c r="CU83" i="10" s="1"/>
  <c r="H81" i="7"/>
  <c r="I81" i="7" s="1"/>
  <c r="L81" i="7" s="1"/>
  <c r="CU75" i="10" s="1"/>
  <c r="I79" i="7"/>
  <c r="L79" i="7" s="1"/>
  <c r="CU73" i="10" s="1"/>
  <c r="H86" i="7"/>
  <c r="H83" i="7"/>
  <c r="H88" i="7"/>
  <c r="H92" i="7"/>
  <c r="I92" i="7" s="1"/>
  <c r="L92" i="7" s="1"/>
  <c r="CU86" i="10" s="1"/>
  <c r="H90" i="7"/>
  <c r="I90" i="7" s="1"/>
  <c r="L90" i="7" s="1"/>
  <c r="CU84" i="10" s="1"/>
  <c r="H76" i="7"/>
  <c r="H85" i="7"/>
  <c r="H80" i="7"/>
  <c r="H91" i="7"/>
  <c r="H78" i="7"/>
  <c r="H87" i="7"/>
  <c r="I87" i="7" s="1"/>
  <c r="L87" i="7" s="1"/>
  <c r="CU81" i="10" s="1"/>
  <c r="I40" i="7"/>
  <c r="L40" i="7" s="1"/>
  <c r="CU34" i="10" s="1"/>
  <c r="I77" i="7" l="1"/>
  <c r="L77" i="7" s="1"/>
  <c r="CU71" i="10" s="1"/>
  <c r="I78" i="7"/>
  <c r="L78" i="7" s="1"/>
  <c r="CU72" i="10" s="1"/>
  <c r="I82" i="7"/>
  <c r="L82" i="7" s="1"/>
  <c r="CU76" i="10" s="1"/>
  <c r="I88" i="7"/>
  <c r="L88" i="7" s="1"/>
  <c r="CU82" i="10" s="1"/>
  <c r="I80" i="7"/>
  <c r="L80" i="7" s="1"/>
  <c r="CU74" i="10" s="1"/>
  <c r="I76" i="7"/>
  <c r="L76" i="7" s="1"/>
  <c r="CU70" i="10" s="1"/>
  <c r="I86" i="7"/>
  <c r="L86" i="7" s="1"/>
  <c r="CU80" i="10" s="1"/>
  <c r="I91" i="7"/>
  <c r="L91" i="7" s="1"/>
  <c r="CU85" i="10" s="1"/>
  <c r="I85" i="7"/>
  <c r="L85" i="7" s="1"/>
  <c r="CU79" i="10" s="1"/>
  <c r="I83" i="7"/>
  <c r="L83" i="7" s="1"/>
  <c r="CU77" i="10" s="1"/>
  <c r="H44" i="7"/>
  <c r="I44" i="7" s="1"/>
  <c r="L44" i="7" s="1"/>
  <c r="CU38" i="10" s="1"/>
  <c r="H72" i="7"/>
  <c r="I72" i="7" s="1"/>
  <c r="L72" i="7" s="1"/>
  <c r="CU66" i="10" s="1"/>
  <c r="H45" i="7"/>
  <c r="I45" i="7" s="1"/>
  <c r="L45" i="7" s="1"/>
  <c r="CU39" i="10" s="1"/>
  <c r="H59" i="7"/>
  <c r="I59" i="7" s="1"/>
  <c r="L59" i="7" s="1"/>
  <c r="CU53" i="10" s="1"/>
  <c r="H73" i="7"/>
  <c r="I73" i="7" s="1"/>
  <c r="L73" i="7" s="1"/>
  <c r="CU67" i="10" s="1"/>
  <c r="H34" i="7"/>
  <c r="I34" i="7" s="1"/>
  <c r="L34" i="7" s="1"/>
  <c r="CU28" i="10" s="1"/>
  <c r="H50" i="7"/>
  <c r="I50" i="7" s="1"/>
  <c r="L50" i="7" s="1"/>
  <c r="CU44" i="10" s="1"/>
  <c r="H38" i="7"/>
  <c r="I38" i="7" s="1"/>
  <c r="L38" i="7" s="1"/>
  <c r="CU32" i="10" s="1"/>
  <c r="H53" i="7"/>
  <c r="I53" i="7" s="1"/>
  <c r="L53" i="7" s="1"/>
  <c r="CU47" i="10" s="1"/>
  <c r="H27" i="7"/>
  <c r="I27" i="7" s="1"/>
  <c r="L27" i="7" s="1"/>
  <c r="CU21" i="10" s="1"/>
  <c r="H69" i="7"/>
  <c r="I69" i="7" s="1"/>
  <c r="L69" i="7" s="1"/>
  <c r="CU63" i="10" s="1"/>
  <c r="H35" i="7"/>
  <c r="I35" i="7" s="1"/>
  <c r="L35" i="7" s="1"/>
  <c r="CU29" i="10" s="1"/>
  <c r="H51" i="7"/>
  <c r="I51" i="7" s="1"/>
  <c r="L51" i="7" s="1"/>
  <c r="CU45" i="10" s="1"/>
  <c r="H52" i="7"/>
  <c r="I52" i="7" s="1"/>
  <c r="L52" i="7" s="1"/>
  <c r="CU46" i="10" s="1"/>
  <c r="H66" i="7"/>
  <c r="I66" i="7" s="1"/>
  <c r="L66" i="7" s="1"/>
  <c r="CU60" i="10" s="1"/>
  <c r="H67" i="7"/>
  <c r="I67" i="7" s="1"/>
  <c r="L67" i="7" s="1"/>
  <c r="CU61" i="10" s="1"/>
  <c r="H65" i="7"/>
  <c r="I65" i="7" s="1"/>
  <c r="L65" i="7" s="1"/>
  <c r="CU59" i="10" s="1"/>
  <c r="H30" i="7"/>
  <c r="I30" i="7" s="1"/>
  <c r="L30" i="7" s="1"/>
  <c r="CU24" i="10" s="1"/>
  <c r="H24" i="7"/>
  <c r="I24" i="7" s="1"/>
  <c r="L24" i="7" s="1"/>
  <c r="CU18" i="10" s="1"/>
  <c r="H48" i="7"/>
  <c r="I48" i="7" s="1"/>
  <c r="L48" i="7" s="1"/>
  <c r="CU42" i="10" s="1"/>
  <c r="H32" i="7"/>
  <c r="I32" i="7" s="1"/>
  <c r="L32" i="7" s="1"/>
  <c r="CU26" i="10" s="1"/>
  <c r="H71" i="7"/>
  <c r="I71" i="7" s="1"/>
  <c r="L71" i="7" s="1"/>
  <c r="CU65" i="10" s="1"/>
  <c r="H43" i="7"/>
  <c r="I43" i="7" s="1"/>
  <c r="L43" i="7" s="1"/>
  <c r="CU37" i="10" s="1"/>
  <c r="H58" i="7"/>
  <c r="I58" i="7" s="1"/>
  <c r="H37" i="7"/>
  <c r="I37" i="7" s="1"/>
  <c r="L37" i="7" s="1"/>
  <c r="CU31" i="10" s="1"/>
  <c r="H56" i="7"/>
  <c r="I56" i="7" s="1"/>
  <c r="L56" i="7" s="1"/>
  <c r="CU50" i="10" s="1"/>
  <c r="H29" i="7"/>
  <c r="I29" i="7" s="1"/>
  <c r="L29" i="7" s="1"/>
  <c r="CU23" i="10" s="1"/>
  <c r="H26" i="7"/>
  <c r="I26" i="7" s="1"/>
  <c r="L26" i="7" s="1"/>
  <c r="CU20" i="10" s="1"/>
  <c r="H61" i="7"/>
  <c r="I61" i="7" s="1"/>
  <c r="L61" i="7" s="1"/>
  <c r="CU55" i="10" s="1"/>
  <c r="H17" i="7"/>
  <c r="I17" i="7" s="1"/>
  <c r="L17" i="7" s="1"/>
  <c r="CU11" i="10" s="1"/>
  <c r="H33" i="7"/>
  <c r="I33" i="7" s="1"/>
  <c r="L33" i="7" s="1"/>
  <c r="CU27" i="10" s="1"/>
  <c r="H21" i="7"/>
  <c r="I21" i="7" s="1"/>
  <c r="L21" i="7" s="1"/>
  <c r="CU15" i="10" s="1"/>
  <c r="H36" i="7"/>
  <c r="I36" i="7" s="1"/>
  <c r="L36" i="7" s="1"/>
  <c r="CU30" i="10" s="1"/>
  <c r="H57" i="7"/>
  <c r="H39" i="7"/>
  <c r="I39" i="7" s="1"/>
  <c r="L39" i="7" s="1"/>
  <c r="CU33" i="10" s="1"/>
  <c r="H62" i="7"/>
  <c r="I62" i="7" s="1"/>
  <c r="L62" i="7" s="1"/>
  <c r="CU56" i="10" s="1"/>
  <c r="H49" i="7"/>
  <c r="I49" i="7" s="1"/>
  <c r="L49" i="7" s="1"/>
  <c r="CU43" i="10" s="1"/>
  <c r="H19" i="7"/>
  <c r="I19" i="7" s="1"/>
  <c r="L19" i="7" s="1"/>
  <c r="CU13" i="10" s="1"/>
  <c r="H54" i="7"/>
  <c r="I54" i="7" s="1"/>
  <c r="L54" i="7" s="1"/>
  <c r="CU48" i="10" s="1"/>
  <c r="H42" i="7"/>
  <c r="I42" i="7" s="1"/>
  <c r="L42" i="7" s="1"/>
  <c r="CU36" i="10" s="1"/>
  <c r="H15" i="7"/>
  <c r="I15" i="7" s="1"/>
  <c r="L15" i="7" s="1"/>
  <c r="H46" i="7"/>
  <c r="I46" i="7" s="1"/>
  <c r="L46" i="7" s="1"/>
  <c r="CU40" i="10" s="1"/>
  <c r="H60" i="7"/>
  <c r="I60" i="7" s="1"/>
  <c r="L60" i="7" s="1"/>
  <c r="CU54" i="10" s="1"/>
  <c r="H55" i="7"/>
  <c r="I55" i="7" s="1"/>
  <c r="L55" i="7" s="1"/>
  <c r="CU49" i="10" s="1"/>
  <c r="H28" i="7"/>
  <c r="I28" i="7" s="1"/>
  <c r="L28" i="7" s="1"/>
  <c r="CU22" i="10" s="1"/>
  <c r="H31" i="7"/>
  <c r="I31" i="7" s="1"/>
  <c r="L31" i="7" s="1"/>
  <c r="CU25" i="10" s="1"/>
  <c r="H68" i="7"/>
  <c r="I68" i="7" s="1"/>
  <c r="L68" i="7" s="1"/>
  <c r="CU62" i="10" s="1"/>
  <c r="H41" i="7"/>
  <c r="I41" i="7" s="1"/>
  <c r="L41" i="7" s="1"/>
  <c r="CU35" i="10" s="1"/>
  <c r="H18" i="7"/>
  <c r="I18" i="7" s="1"/>
  <c r="L18" i="7" s="1"/>
  <c r="CU12" i="10" s="1"/>
  <c r="H22" i="7"/>
  <c r="I22" i="7" s="1"/>
  <c r="L22" i="7" s="1"/>
  <c r="CU16" i="10" s="1"/>
  <c r="H63" i="7"/>
  <c r="I63" i="7" s="1"/>
  <c r="L63" i="7" s="1"/>
  <c r="CU57" i="10" s="1"/>
  <c r="H23" i="7"/>
  <c r="I23" i="7" s="1"/>
  <c r="L23" i="7" s="1"/>
  <c r="CU17" i="10" s="1"/>
  <c r="H47" i="7"/>
  <c r="I47" i="7" s="1"/>
  <c r="L47" i="7" s="1"/>
  <c r="CU41" i="10" s="1"/>
  <c r="H25" i="7"/>
  <c r="I25" i="7" s="1"/>
  <c r="L25" i="7" s="1"/>
  <c r="CU19" i="10" s="1"/>
  <c r="H70" i="7"/>
  <c r="I70" i="7" s="1"/>
  <c r="L70" i="7" s="1"/>
  <c r="CU64" i="10" s="1"/>
  <c r="H64" i="7"/>
  <c r="I64" i="7" s="1"/>
  <c r="L64" i="7" s="1"/>
  <c r="CU58" i="10" s="1"/>
  <c r="H20" i="7"/>
  <c r="I20" i="7" s="1"/>
  <c r="L20" i="7" s="1"/>
  <c r="CU14" i="10" s="1"/>
  <c r="I57" i="7" l="1"/>
  <c r="L57" i="7" s="1"/>
  <c r="CU51" i="10" s="1"/>
  <c r="L58" i="7"/>
  <c r="CU52" i="10" s="1"/>
  <c r="L9" i="7"/>
  <c r="F8" i="8" s="1"/>
  <c r="E45" i="8"/>
  <c r="D45" i="8" s="1"/>
  <c r="E53" i="8"/>
  <c r="D53" i="8" s="1"/>
  <c r="E46" i="8"/>
  <c r="D46" i="8" s="1"/>
  <c r="E47" i="8"/>
  <c r="D47" i="8" s="1"/>
  <c r="E55" i="8"/>
  <c r="D55" i="8" s="1"/>
  <c r="E50" i="8"/>
  <c r="D50" i="8" s="1"/>
  <c r="E48" i="8"/>
  <c r="D48" i="8" s="1"/>
  <c r="E49" i="8"/>
  <c r="D49" i="8" s="1"/>
  <c r="E51" i="8"/>
  <c r="D51" i="8" s="1"/>
  <c r="E52" i="8"/>
  <c r="D52" i="8" s="1"/>
  <c r="E54" i="8"/>
  <c r="D54" i="8" s="1"/>
  <c r="E44" i="8"/>
  <c r="D44" i="8" s="1"/>
  <c r="E33" i="8"/>
  <c r="D33" i="8" s="1"/>
  <c r="E41" i="8"/>
  <c r="D41" i="8" s="1"/>
  <c r="E34" i="8"/>
  <c r="D34" i="8" s="1"/>
  <c r="E35" i="8"/>
  <c r="D35" i="8" s="1"/>
  <c r="E43" i="8"/>
  <c r="D43" i="8" s="1"/>
  <c r="E42" i="8"/>
  <c r="D42" i="8" s="1"/>
  <c r="E36" i="8"/>
  <c r="D36" i="8" s="1"/>
  <c r="E38" i="8"/>
  <c r="D38" i="8" s="1"/>
  <c r="E39" i="8"/>
  <c r="D39" i="8" s="1"/>
  <c r="E40" i="8"/>
  <c r="D40" i="8" s="1"/>
  <c r="E37" i="8"/>
  <c r="D37" i="8" s="1"/>
  <c r="CU10" i="10"/>
  <c r="E32" i="8"/>
  <c r="D32" i="8" s="1"/>
  <c r="AR7" i="7" l="1"/>
  <c r="C32" i="8" s="1"/>
  <c r="AS7" i="7"/>
  <c r="AR6" i="7"/>
  <c r="AS6" i="7"/>
  <c r="CU5" i="10"/>
  <c r="A47" i="8"/>
  <c r="A36" i="8"/>
  <c r="A49" i="8"/>
  <c r="A38" i="8"/>
  <c r="A33" i="8"/>
  <c r="A52" i="8"/>
  <c r="A42" i="8"/>
  <c r="A54" i="8"/>
  <c r="A32" i="8"/>
  <c r="A43" i="8"/>
  <c r="A34" i="8"/>
  <c r="A46" i="8"/>
  <c r="A35" i="8"/>
  <c r="A40" i="8"/>
  <c r="A55" i="8"/>
  <c r="A51" i="8"/>
  <c r="A44" i="8"/>
  <c r="A37" i="8"/>
  <c r="A50" i="8"/>
  <c r="A48" i="8"/>
  <c r="A53" i="8"/>
  <c r="A41" i="8"/>
  <c r="A39" i="8"/>
  <c r="A45" i="8"/>
  <c r="B43" i="8" l="1"/>
  <c r="B44" i="8"/>
  <c r="B40" i="8"/>
  <c r="C34" i="8"/>
  <c r="B34" i="8"/>
  <c r="C33" i="8"/>
  <c r="B33" i="8"/>
  <c r="B32" i="8"/>
  <c r="C43" i="8"/>
  <c r="C44" i="8"/>
  <c r="C36" i="8"/>
  <c r="B36" i="8"/>
  <c r="C35" i="8"/>
  <c r="B35" i="8"/>
  <c r="C55" i="8"/>
  <c r="C37" i="8"/>
  <c r="B37" i="8"/>
  <c r="C38" i="8"/>
  <c r="B38" i="8"/>
  <c r="B39" i="8"/>
  <c r="B55" i="8"/>
  <c r="C39" i="8"/>
  <c r="C40" i="8"/>
  <c r="C54" i="8"/>
  <c r="C52" i="8"/>
  <c r="C41" i="8"/>
  <c r="B41" i="8"/>
  <c r="B54" i="8"/>
  <c r="C42" i="8"/>
  <c r="B42" i="8"/>
  <c r="B52" i="8"/>
  <c r="C51" i="8"/>
  <c r="B53" i="8"/>
  <c r="C53" i="8"/>
  <c r="B51" i="8"/>
  <c r="C50" i="8"/>
  <c r="B50" i="8"/>
  <c r="B46" i="8"/>
  <c r="B47" i="8"/>
  <c r="B45" i="8"/>
  <c r="C49" i="8"/>
  <c r="B49" i="8"/>
  <c r="C48" i="8"/>
  <c r="B48" i="8"/>
  <c r="C45" i="8"/>
  <c r="C47" i="8"/>
  <c r="C4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9115FA-4966-434A-9B65-55D181A18363}" name="Conexão" type="4" refreshedVersion="6" background="1" saveData="1">
    <webPr sourceData="1" parsePre="1" consecutive="1" xl2000="1" url="http://bvmf.bmfbovespa.com.br/indices/ResumoCarteiraTeorica.aspx?Indice=IBOV&amp;idioma=pt-br" htmlTables="1" htmlFormat="all"/>
  </connection>
</connections>
</file>

<file path=xl/sharedStrings.xml><?xml version="1.0" encoding="utf-8"?>
<sst xmlns="http://schemas.openxmlformats.org/spreadsheetml/2006/main" count="2797" uniqueCount="285">
  <si>
    <t>Ação</t>
  </si>
  <si>
    <t>Tipo</t>
  </si>
  <si>
    <t>Qtde. Teórica</t>
  </si>
  <si>
    <t>Part. (%)</t>
  </si>
  <si>
    <t>ABEV3</t>
  </si>
  <si>
    <t>AMBEV S/A</t>
  </si>
  <si>
    <t>ON</t>
  </si>
  <si>
    <t>PN N1</t>
  </si>
  <si>
    <t>ON NM</t>
  </si>
  <si>
    <t>AZUL4</t>
  </si>
  <si>
    <t>AZUL</t>
  </si>
  <si>
    <t>PN N2</t>
  </si>
  <si>
    <t>B3SA3</t>
  </si>
  <si>
    <t>B3</t>
  </si>
  <si>
    <t>BBAS3</t>
  </si>
  <si>
    <t>BRASIL</t>
  </si>
  <si>
    <t>BBDC3</t>
  </si>
  <si>
    <t>BRADESCO</t>
  </si>
  <si>
    <t>ON N1</t>
  </si>
  <si>
    <t>BBDC4</t>
  </si>
  <si>
    <t>BBSE3</t>
  </si>
  <si>
    <t>BBSEGURIDADE</t>
  </si>
  <si>
    <t>BEEF3</t>
  </si>
  <si>
    <t>MINERVA</t>
  </si>
  <si>
    <t>BPAC11</t>
  </si>
  <si>
    <t>BTGP BANCO</t>
  </si>
  <si>
    <t>UNT N2</t>
  </si>
  <si>
    <t>BRAP4</t>
  </si>
  <si>
    <t>BRADESPAR</t>
  </si>
  <si>
    <t>BRDT3</t>
  </si>
  <si>
    <t>PETROBRAS BR</t>
  </si>
  <si>
    <t>BRFS3</t>
  </si>
  <si>
    <t>BRF SA</t>
  </si>
  <si>
    <t>BRKM5</t>
  </si>
  <si>
    <t>BRASKEM</t>
  </si>
  <si>
    <t>PNA N1</t>
  </si>
  <si>
    <t>BRML3</t>
  </si>
  <si>
    <t>BR MALLS PAR</t>
  </si>
  <si>
    <t>BTOW3</t>
  </si>
  <si>
    <t>B2W DIGITAL</t>
  </si>
  <si>
    <t>CCRO3</t>
  </si>
  <si>
    <t>CCR SA</t>
  </si>
  <si>
    <t>PNB N1</t>
  </si>
  <si>
    <t>CIEL3</t>
  </si>
  <si>
    <t>CIELO</t>
  </si>
  <si>
    <t>CMIG4</t>
  </si>
  <si>
    <t>CEMIG</t>
  </si>
  <si>
    <t>COGN3</t>
  </si>
  <si>
    <t>COGNA ON</t>
  </si>
  <si>
    <t>CPFE3</t>
  </si>
  <si>
    <t>CPFL ENERGIA</t>
  </si>
  <si>
    <t>CRFB3</t>
  </si>
  <si>
    <t>CARREFOUR BR</t>
  </si>
  <si>
    <t>CSAN3</t>
  </si>
  <si>
    <t>COSAN</t>
  </si>
  <si>
    <t>CSNA3</t>
  </si>
  <si>
    <t>SID NACIONAL</t>
  </si>
  <si>
    <t>CVCB3</t>
  </si>
  <si>
    <t>CVC BRASIL</t>
  </si>
  <si>
    <t>CYRE3</t>
  </si>
  <si>
    <t>CYRELA REALT</t>
  </si>
  <si>
    <t>ECOR3</t>
  </si>
  <si>
    <t>ECORODOVIAS</t>
  </si>
  <si>
    <t>EGIE3</t>
  </si>
  <si>
    <t>ENGIE BRASIL</t>
  </si>
  <si>
    <t>ELET3</t>
  </si>
  <si>
    <t>ELETROBRAS</t>
  </si>
  <si>
    <t>ELET6</t>
  </si>
  <si>
    <t>EMBR3</t>
  </si>
  <si>
    <t>EMBRAER</t>
  </si>
  <si>
    <t>ENBR3</t>
  </si>
  <si>
    <t>ENERGIAS BR</t>
  </si>
  <si>
    <t>ENGI11</t>
  </si>
  <si>
    <t>ENERGISA</t>
  </si>
  <si>
    <t>EQTL3</t>
  </si>
  <si>
    <t>EQUATORIAL</t>
  </si>
  <si>
    <t>EZTC3</t>
  </si>
  <si>
    <t>EZTEC</t>
  </si>
  <si>
    <t>FLRY3</t>
  </si>
  <si>
    <t>FLEURY</t>
  </si>
  <si>
    <t>GGBR4</t>
  </si>
  <si>
    <t>GERDAU</t>
  </si>
  <si>
    <t>GNDI3</t>
  </si>
  <si>
    <t>INTERMEDICA</t>
  </si>
  <si>
    <t>GOAU4</t>
  </si>
  <si>
    <t>GERDAU MET</t>
  </si>
  <si>
    <t>GOLL4</t>
  </si>
  <si>
    <t>GOL</t>
  </si>
  <si>
    <t>HAPV3</t>
  </si>
  <si>
    <t>HAPVIDA</t>
  </si>
  <si>
    <t>HGTX3</t>
  </si>
  <si>
    <t>CIA HERING</t>
  </si>
  <si>
    <t>HYPE3</t>
  </si>
  <si>
    <t>HYPERA</t>
  </si>
  <si>
    <t>IGTA3</t>
  </si>
  <si>
    <t>IGUATEMI</t>
  </si>
  <si>
    <t>IRBR3</t>
  </si>
  <si>
    <t>IRBBRASIL RE</t>
  </si>
  <si>
    <t>ITSA4</t>
  </si>
  <si>
    <t>ITAUSA</t>
  </si>
  <si>
    <t>ITUB4</t>
  </si>
  <si>
    <t>ITAUUNIBANCO</t>
  </si>
  <si>
    <t>JBSS3</t>
  </si>
  <si>
    <t>JBS</t>
  </si>
  <si>
    <t>KLBN11</t>
  </si>
  <si>
    <t>KLABIN S/A</t>
  </si>
  <si>
    <t>LOJAS AMERIC</t>
  </si>
  <si>
    <t>LAME4</t>
  </si>
  <si>
    <t>LREN3</t>
  </si>
  <si>
    <t>LOJAS RENNER</t>
  </si>
  <si>
    <t>MGLU3</t>
  </si>
  <si>
    <t>MAGAZ LUIZA</t>
  </si>
  <si>
    <t>MRFG3</t>
  </si>
  <si>
    <t>MARFRIG</t>
  </si>
  <si>
    <t>MRVE3</t>
  </si>
  <si>
    <t>MRV</t>
  </si>
  <si>
    <t>MULT3</t>
  </si>
  <si>
    <t>MULTIPLAN</t>
  </si>
  <si>
    <t>ON N2</t>
  </si>
  <si>
    <t>NTCO3</t>
  </si>
  <si>
    <t>GRUPO NATURA</t>
  </si>
  <si>
    <t>PCAR3</t>
  </si>
  <si>
    <t>P.ACUCAR-CBD</t>
  </si>
  <si>
    <t>PETR3</t>
  </si>
  <si>
    <t>PETROBRAS</t>
  </si>
  <si>
    <t>PETR4</t>
  </si>
  <si>
    <t>PRIO3</t>
  </si>
  <si>
    <t>PETRORIO</t>
  </si>
  <si>
    <t>QUAL3</t>
  </si>
  <si>
    <t>QUALICORP</t>
  </si>
  <si>
    <t>RADL3</t>
  </si>
  <si>
    <t>RAIADROGASIL</t>
  </si>
  <si>
    <t>RAIL3</t>
  </si>
  <si>
    <t>RUMO S.A.</t>
  </si>
  <si>
    <t>RENT3</t>
  </si>
  <si>
    <t>LOCALIZA</t>
  </si>
  <si>
    <t>SANB11</t>
  </si>
  <si>
    <t>SANTANDER BR</t>
  </si>
  <si>
    <t>SBSP3</t>
  </si>
  <si>
    <t>SABESP</t>
  </si>
  <si>
    <t>SULA11</t>
  </si>
  <si>
    <t>SUL AMERICA</t>
  </si>
  <si>
    <t>SUZB3</t>
  </si>
  <si>
    <t>SUZANO S.A.</t>
  </si>
  <si>
    <t>TAEE11</t>
  </si>
  <si>
    <t>TAESA</t>
  </si>
  <si>
    <t>TIMS3</t>
  </si>
  <si>
    <t>TIM</t>
  </si>
  <si>
    <t>TOTS3</t>
  </si>
  <si>
    <t>TOTVS</t>
  </si>
  <si>
    <t>UGPA3</t>
  </si>
  <si>
    <t>ULTRAPAR</t>
  </si>
  <si>
    <t>USIM5</t>
  </si>
  <si>
    <t>USIMINAS</t>
  </si>
  <si>
    <t>VALE3</t>
  </si>
  <si>
    <t>VALE</t>
  </si>
  <si>
    <t>TELEF BRASIL</t>
  </si>
  <si>
    <t>VVAR3</t>
  </si>
  <si>
    <t>VIAVAREJO</t>
  </si>
  <si>
    <t>WEGE3</t>
  </si>
  <si>
    <t>WEG</t>
  </si>
  <si>
    <t>YDUQ3</t>
  </si>
  <si>
    <t>Quantidade Teórica Total</t>
  </si>
  <si>
    <t>Redutor</t>
  </si>
  <si>
    <t>WINFUT</t>
  </si>
  <si>
    <t>Asset</t>
  </si>
  <si>
    <t>Último</t>
  </si>
  <si>
    <t>Abertura</t>
  </si>
  <si>
    <t>Fechamento Anterior</t>
  </si>
  <si>
    <t>Of. Compra</t>
  </si>
  <si>
    <t>Of. Venda</t>
  </si>
  <si>
    <t>Preço Teórico</t>
  </si>
  <si>
    <t>WDOFUT</t>
  </si>
  <si>
    <t>CURVA DI</t>
  </si>
  <si>
    <t>EXTRANGEIRO</t>
  </si>
  <si>
    <t>Variacao</t>
  </si>
  <si>
    <t>PESSOA FISICA</t>
  </si>
  <si>
    <t>XP</t>
  </si>
  <si>
    <t>PAPEL</t>
  </si>
  <si>
    <t>C6</t>
  </si>
  <si>
    <t>CLEAR</t>
  </si>
  <si>
    <t>GENIAL</t>
  </si>
  <si>
    <t>GOLDMAN</t>
  </si>
  <si>
    <t>IDEAL</t>
  </si>
  <si>
    <t>ITAU</t>
  </si>
  <si>
    <t>MODAL</t>
  </si>
  <si>
    <t>RICO</t>
  </si>
  <si>
    <t>SAFRA</t>
  </si>
  <si>
    <t>SANTANDER</t>
  </si>
  <si>
    <t>UBS</t>
  </si>
  <si>
    <t>BGC LIQ</t>
  </si>
  <si>
    <t>BTG PAC</t>
  </si>
  <si>
    <t>CM CAPITAL</t>
  </si>
  <si>
    <t>CREDIT SUISSE</t>
  </si>
  <si>
    <t>INTL</t>
  </si>
  <si>
    <t>JP MORGAN</t>
  </si>
  <si>
    <t>MERRILL</t>
  </si>
  <si>
    <t>MORGAN ST</t>
  </si>
  <si>
    <t>NECTRON</t>
  </si>
  <si>
    <t>NOVA FUTURA</t>
  </si>
  <si>
    <t>RENASCENCA</t>
  </si>
  <si>
    <t>TULLETT</t>
  </si>
  <si>
    <t>EXT</t>
  </si>
  <si>
    <t>PF</t>
  </si>
  <si>
    <t>INDICE</t>
  </si>
  <si>
    <t>DOLAR</t>
  </si>
  <si>
    <t>INTRADAY</t>
  </si>
  <si>
    <t>%</t>
  </si>
  <si>
    <t>Winfut</t>
  </si>
  <si>
    <t>Winfut s/j</t>
  </si>
  <si>
    <t>Ibov</t>
  </si>
  <si>
    <t>Media B</t>
  </si>
  <si>
    <t>Media Beta</t>
  </si>
  <si>
    <t>EXT I</t>
  </si>
  <si>
    <t>PF I</t>
  </si>
  <si>
    <t>EXT D</t>
  </si>
  <si>
    <t>PF D</t>
  </si>
  <si>
    <t xml:space="preserve">Código </t>
  </si>
  <si>
    <t xml:space="preserve"> </t>
  </si>
  <si>
    <t>Fechamento</t>
  </si>
  <si>
    <t>Pontos</t>
  </si>
  <si>
    <t>Of.compra</t>
  </si>
  <si>
    <t>Of.venda</t>
  </si>
  <si>
    <t>Preco</t>
  </si>
  <si>
    <t>Beta</t>
  </si>
  <si>
    <t>Alfa</t>
  </si>
  <si>
    <t>Ultimo</t>
  </si>
  <si>
    <t>Juros</t>
  </si>
  <si>
    <t>Ibovespa</t>
  </si>
  <si>
    <t>Vencimento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</si>
  <si>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</si>
  <si>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</si>
  <si>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</si>
  <si>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</si>
  <si>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</si>
  <si>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</si>
  <si>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</si>
  <si>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</si>
  <si>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</si>
  <si>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</si>
  <si>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</si>
  <si>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</si>
  <si>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</si>
  <si>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</si>
  <si>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</si>
  <si>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</si>
  <si>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</si>
  <si>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</si>
  <si>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</si>
  <si>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</si>
  <si>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</si>
  <si>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Ano novo</t>
  </si>
  <si>
    <t>Fonte: ANBIMA</t>
  </si>
  <si>
    <t>Aluguel</t>
  </si>
  <si>
    <t>Tx Juros</t>
  </si>
  <si>
    <t>Tx Aluguel</t>
  </si>
  <si>
    <t>Preco Teorico</t>
  </si>
  <si>
    <t>Quantidade Teorica</t>
  </si>
  <si>
    <t>Spread</t>
  </si>
  <si>
    <t>Soma Quant.Teorico</t>
  </si>
  <si>
    <t>Winfut s/J</t>
  </si>
  <si>
    <t>ALFA</t>
  </si>
  <si>
    <t>VIVT3</t>
  </si>
  <si>
    <t>ATIVA</t>
  </si>
  <si>
    <t>ENEV3</t>
  </si>
  <si>
    <t>CPLE6</t>
  </si>
  <si>
    <t>JHSF3</t>
  </si>
  <si>
    <t>LCAM3</t>
  </si>
  <si>
    <t>COPEL</t>
  </si>
  <si>
    <t>ENEVA</t>
  </si>
  <si>
    <t>JHSF PART</t>
  </si>
  <si>
    <t>LOCAMERICA</t>
  </si>
  <si>
    <t>ASAI3</t>
  </si>
  <si>
    <t>ASSAI</t>
  </si>
  <si>
    <t>ON ERJ NM</t>
  </si>
  <si>
    <t>ON EJ N1</t>
  </si>
  <si>
    <t>PN EJ N1</t>
  </si>
  <si>
    <t>PN ED N1</t>
  </si>
  <si>
    <t>PN EDJ N1</t>
  </si>
  <si>
    <t>ON EC NM</t>
  </si>
  <si>
    <t>UNT</t>
  </si>
  <si>
    <t>ON EJ</t>
  </si>
  <si>
    <t>ON ED NM</t>
  </si>
  <si>
    <t>INDFUT</t>
  </si>
  <si>
    <t>DOLFUT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</si>
</sst>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h:mm:ss;@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5C5F60"/>
      <name val="Montserrat"/>
    </font>
    <font>
      <u/>
      <sz val="11"/>
      <color theme="10"/>
      <name val="Calibri"/>
      <family val="2"/>
      <scheme val="minor"/>
    </font>
    <font>
      <sz val="11"/>
      <name val="Montserrat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5C5F60"/>
      <name val="Montserrat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5E5E5"/>
      </bottom>
      <diagonal/>
    </border>
    <border>
      <left style="medium">
        <color rgb="FFE5E5E5"/>
      </left>
      <right style="medium">
        <color rgb="FFFFFFFF"/>
      </right>
      <top style="medium">
        <color rgb="FFE5E5E5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E5E5E5"/>
      </top>
      <bottom style="medium">
        <color rgb="FFFFFFFF"/>
      </bottom>
      <diagonal/>
    </border>
    <border>
      <left style="medium">
        <color rgb="FFFFFFFF"/>
      </left>
      <right style="medium">
        <color rgb="FFE5E5E5"/>
      </right>
      <top style="medium">
        <color rgb="FFE5E5E5"/>
      </top>
      <bottom style="medium">
        <color rgb="FFFFFFFF"/>
      </bottom>
      <diagonal/>
    </border>
    <border>
      <left style="medium">
        <color rgb="FFE5E5E5"/>
      </left>
      <right/>
      <top/>
      <bottom/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/>
      <top style="medium">
        <color rgb="FFFFFFFF"/>
      </top>
      <bottom/>
      <diagonal/>
    </border>
    <border>
      <left/>
      <right style="medium">
        <color rgb="FFE5E5E5"/>
      </right>
      <top style="medium">
        <color rgb="FFFFFFFF"/>
      </top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 style="medium">
        <color rgb="FFE5E5E5"/>
      </right>
      <top style="medium">
        <color rgb="FFE5E5E5"/>
      </top>
      <bottom style="medium">
        <color rgb="FFE5E5E5"/>
      </bottom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/>
    </xf>
    <xf numFmtId="0" fontId="0" fillId="34" borderId="0" xfId="0" applyFill="1"/>
    <xf numFmtId="2" fontId="0" fillId="0" borderId="0" xfId="0" applyNumberFormat="1"/>
    <xf numFmtId="0" fontId="0" fillId="33" borderId="0" xfId="0" applyFill="1" applyAlignment="1">
      <alignment horizontal="center" vertical="center"/>
    </xf>
    <xf numFmtId="0" fontId="0" fillId="33" borderId="10" xfId="0" applyFill="1" applyBorder="1"/>
    <xf numFmtId="0" fontId="0" fillId="33" borderId="0" xfId="0" applyFill="1"/>
    <xf numFmtId="0" fontId="0" fillId="35" borderId="0" xfId="0" applyFill="1"/>
    <xf numFmtId="2" fontId="0" fillId="0" borderId="0" xfId="0" applyNumberFormat="1" applyAlignment="1">
      <alignment horizontal="center"/>
    </xf>
    <xf numFmtId="2" fontId="0" fillId="8" borderId="8" xfId="17" applyNumberFormat="1" applyFont="1" applyAlignment="1">
      <alignment horizontal="center" wrapText="1"/>
    </xf>
    <xf numFmtId="0" fontId="0" fillId="8" borderId="8" xfId="17" applyFont="1" applyAlignment="1">
      <alignment horizontal="center" wrapText="1"/>
    </xf>
    <xf numFmtId="0" fontId="0" fillId="0" borderId="0" xfId="0"/>
    <xf numFmtId="0" fontId="0" fillId="35" borderId="0" xfId="0" applyFill="1" applyAlignment="1">
      <alignment horizontal="center" vertical="center"/>
    </xf>
    <xf numFmtId="0" fontId="0" fillId="36" borderId="0" xfId="0" applyFill="1"/>
    <xf numFmtId="10" fontId="0" fillId="35" borderId="0" xfId="0" applyNumberFormat="1" applyFill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0" fontId="0" fillId="35" borderId="0" xfId="2" applyNumberFormat="1" applyFont="1" applyFill="1" applyBorder="1" applyAlignment="1">
      <alignment horizontal="center" vertical="center"/>
    </xf>
    <xf numFmtId="0" fontId="0" fillId="34" borderId="0" xfId="0" applyFill="1" applyAlignment="1">
      <alignment horizontal="center" vertical="center"/>
    </xf>
    <xf numFmtId="43" fontId="0" fillId="35" borderId="0" xfId="1" applyFont="1" applyFill="1" applyBorder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3" borderId="10" xfId="0" applyNumberFormat="1" applyFill="1" applyBorder="1" applyAlignment="1">
      <alignment horizontal="center" vertical="center"/>
    </xf>
    <xf numFmtId="0" fontId="0" fillId="33" borderId="10" xfId="1" applyNumberFormat="1" applyFont="1" applyFill="1" applyBorder="1" applyAlignment="1">
      <alignment horizontal="center" vertical="center"/>
    </xf>
    <xf numFmtId="43" fontId="0" fillId="33" borderId="10" xfId="1" applyFont="1" applyFill="1" applyBorder="1" applyAlignment="1">
      <alignment horizontal="center" vertical="center"/>
    </xf>
    <xf numFmtId="0" fontId="0" fillId="33" borderId="11" xfId="0" applyNumberFormat="1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0" fillId="35" borderId="0" xfId="0" applyFill="1" applyBorder="1" applyAlignment="1">
      <alignment horizontal="center" vertical="center"/>
    </xf>
    <xf numFmtId="44" fontId="0" fillId="35" borderId="0" xfId="44" applyFont="1" applyFill="1" applyBorder="1" applyAlignment="1">
      <alignment horizontal="center" vertical="center"/>
    </xf>
    <xf numFmtId="44" fontId="0" fillId="35" borderId="10" xfId="44" applyFont="1" applyFill="1" applyBorder="1" applyAlignment="1">
      <alignment horizontal="center" vertical="center"/>
    </xf>
    <xf numFmtId="0" fontId="0" fillId="38" borderId="0" xfId="0" applyFill="1"/>
    <xf numFmtId="0" fontId="0" fillId="38" borderId="0" xfId="0" applyFill="1" applyBorder="1"/>
    <xf numFmtId="0" fontId="0" fillId="38" borderId="0" xfId="0" applyFill="1" applyAlignment="1">
      <alignment horizontal="left" vertical="top"/>
    </xf>
    <xf numFmtId="0" fontId="20" fillId="38" borderId="0" xfId="0" applyFont="1" applyFill="1"/>
    <xf numFmtId="20" fontId="0" fillId="37" borderId="11" xfId="0" applyNumberFormat="1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/>
    </xf>
    <xf numFmtId="10" fontId="0" fillId="0" borderId="10" xfId="0" applyNumberFormat="1" applyBorder="1"/>
    <xf numFmtId="0" fontId="0" fillId="0" borderId="10" xfId="0" applyBorder="1"/>
    <xf numFmtId="0" fontId="0" fillId="39" borderId="0" xfId="0" applyFill="1"/>
    <xf numFmtId="10" fontId="0" fillId="0" borderId="0" xfId="44" applyNumberFormat="1" applyFont="1"/>
    <xf numFmtId="10" fontId="0" fillId="0" borderId="0" xfId="0" applyNumberFormat="1"/>
    <xf numFmtId="44" fontId="0" fillId="0" borderId="10" xfId="44" applyFont="1" applyBorder="1"/>
    <xf numFmtId="44" fontId="0" fillId="0" borderId="0" xfId="44" applyFont="1"/>
    <xf numFmtId="10" fontId="0" fillId="35" borderId="0" xfId="44" applyNumberFormat="1" applyFont="1" applyFill="1" applyBorder="1" applyAlignment="1">
      <alignment horizontal="center" vertical="center"/>
    </xf>
    <xf numFmtId="10" fontId="0" fillId="0" borderId="10" xfId="44" applyNumberFormat="1" applyFont="1" applyBorder="1"/>
    <xf numFmtId="44" fontId="0" fillId="35" borderId="10" xfId="44" applyFont="1" applyFill="1" applyBorder="1"/>
    <xf numFmtId="44" fontId="0" fillId="35" borderId="0" xfId="44" applyFont="1" applyFill="1"/>
    <xf numFmtId="2" fontId="0" fillId="35" borderId="0" xfId="0" applyNumberFormat="1" applyFill="1" applyBorder="1" applyAlignment="1">
      <alignment horizontal="center" vertical="center"/>
    </xf>
    <xf numFmtId="2" fontId="0" fillId="0" borderId="10" xfId="2" applyNumberFormat="1" applyFont="1" applyBorder="1" applyAlignment="1">
      <alignment horizontal="center" vertical="center"/>
    </xf>
    <xf numFmtId="2" fontId="0" fillId="0" borderId="10" xfId="2" applyNumberFormat="1" applyFont="1" applyBorder="1"/>
    <xf numFmtId="2" fontId="0" fillId="0" borderId="10" xfId="0" applyNumberFormat="1" applyBorder="1"/>
    <xf numFmtId="164" fontId="0" fillId="0" borderId="10" xfId="2" applyNumberFormat="1" applyFont="1" applyBorder="1" applyAlignment="1">
      <alignment horizontal="center" vertical="center"/>
    </xf>
    <xf numFmtId="2" fontId="0" fillId="39" borderId="0" xfId="0" applyNumberFormat="1" applyFill="1"/>
    <xf numFmtId="2" fontId="0" fillId="0" borderId="10" xfId="0" applyNumberFormat="1" applyBorder="1" applyAlignment="1">
      <alignment horizontal="center"/>
    </xf>
    <xf numFmtId="2" fontId="0" fillId="37" borderId="0" xfId="0" applyNumberFormat="1" applyFill="1"/>
    <xf numFmtId="2" fontId="0" fillId="0" borderId="10" xfId="2" applyNumberFormat="1" applyFont="1" applyBorder="1" applyAlignment="1">
      <alignment horizontal="center"/>
    </xf>
    <xf numFmtId="2" fontId="0" fillId="0" borderId="0" xfId="2" applyNumberFormat="1" applyFont="1"/>
    <xf numFmtId="10" fontId="0" fillId="0" borderId="0" xfId="2" applyNumberFormat="1" applyFont="1"/>
    <xf numFmtId="2" fontId="0" fillId="35" borderId="10" xfId="0" applyNumberFormat="1" applyFill="1" applyBorder="1" applyAlignment="1">
      <alignment horizontal="center" vertical="center"/>
    </xf>
    <xf numFmtId="2" fontId="0" fillId="39" borderId="10" xfId="0" applyNumberFormat="1" applyFill="1" applyBorder="1"/>
    <xf numFmtId="164" fontId="0" fillId="0" borderId="10" xfId="2" applyNumberFormat="1" applyFont="1" applyFill="1" applyBorder="1" applyAlignment="1">
      <alignment horizontal="center" vertical="center"/>
    </xf>
    <xf numFmtId="44" fontId="0" fillId="0" borderId="0" xfId="44" applyFont="1" applyFill="1" applyBorder="1" applyAlignment="1">
      <alignment horizontal="center" vertical="center"/>
    </xf>
    <xf numFmtId="44" fontId="0" fillId="0" borderId="10" xfId="44" applyFont="1" applyFill="1" applyBorder="1"/>
    <xf numFmtId="44" fontId="0" fillId="0" borderId="0" xfId="44" applyFont="1" applyFill="1"/>
    <xf numFmtId="9" fontId="0" fillId="0" borderId="10" xfId="2" applyFont="1" applyBorder="1"/>
    <xf numFmtId="9" fontId="0" fillId="0" borderId="0" xfId="2" applyFont="1"/>
    <xf numFmtId="1" fontId="0" fillId="0" borderId="10" xfId="0" applyNumberFormat="1" applyBorder="1" applyAlignment="1">
      <alignment horizontal="center"/>
    </xf>
    <xf numFmtId="1" fontId="0" fillId="0" borderId="10" xfId="1" applyNumberFormat="1" applyFont="1" applyBorder="1" applyAlignment="1">
      <alignment horizontal="center" vertical="center"/>
    </xf>
    <xf numFmtId="10" fontId="0" fillId="0" borderId="10" xfId="2" applyNumberFormat="1" applyFont="1" applyBorder="1"/>
    <xf numFmtId="1" fontId="0" fillId="35" borderId="10" xfId="0" applyNumberFormat="1" applyFill="1" applyBorder="1" applyAlignment="1">
      <alignment horizontal="center" vertical="center"/>
    </xf>
    <xf numFmtId="1" fontId="0" fillId="0" borderId="10" xfId="0" applyNumberFormat="1" applyBorder="1"/>
    <xf numFmtId="10" fontId="0" fillId="0" borderId="10" xfId="0" applyNumberFormat="1" applyBorder="1" applyAlignment="1">
      <alignment horizontal="center" vertical="center"/>
    </xf>
    <xf numFmtId="10" fontId="0" fillId="0" borderId="10" xfId="2" applyNumberFormat="1" applyFont="1" applyBorder="1" applyAlignment="1">
      <alignment horizontal="center" vertical="center"/>
    </xf>
    <xf numFmtId="10" fontId="0" fillId="35" borderId="10" xfId="2" applyNumberFormat="1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2" fillId="38" borderId="0" xfId="0" applyFont="1" applyFill="1"/>
    <xf numFmtId="0" fontId="22" fillId="37" borderId="16" xfId="0" applyFont="1" applyFill="1" applyBorder="1"/>
    <xf numFmtId="0" fontId="22" fillId="37" borderId="17" xfId="0" applyFont="1" applyFill="1" applyBorder="1"/>
    <xf numFmtId="0" fontId="21" fillId="38" borderId="0" xfId="0" applyFont="1" applyFill="1"/>
    <xf numFmtId="164" fontId="0" fillId="0" borderId="10" xfId="2" applyNumberFormat="1" applyFont="1" applyBorder="1"/>
    <xf numFmtId="44" fontId="0" fillId="0" borderId="10" xfId="44" applyFont="1" applyBorder="1" applyAlignment="1">
      <alignment horizontal="center" vertical="center"/>
    </xf>
    <xf numFmtId="44" fontId="0" fillId="0" borderId="10" xfId="44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10" fontId="0" fillId="38" borderId="0" xfId="2" applyNumberFormat="1" applyFont="1" applyFill="1" applyAlignment="1">
      <alignment horizontal="left" vertical="top"/>
    </xf>
    <xf numFmtId="10" fontId="0" fillId="0" borderId="10" xfId="2" applyNumberFormat="1" applyFont="1" applyFill="1" applyBorder="1" applyAlignment="1">
      <alignment horizontal="center" vertical="center"/>
    </xf>
    <xf numFmtId="44" fontId="0" fillId="0" borderId="10" xfId="2" applyNumberFormat="1" applyFont="1" applyBorder="1" applyAlignment="1">
      <alignment horizontal="center" vertical="center"/>
    </xf>
    <xf numFmtId="0" fontId="0" fillId="35" borderId="0" xfId="0" applyFill="1" applyAlignment="1">
      <alignment horizontal="left" vertical="top"/>
    </xf>
    <xf numFmtId="0" fontId="0" fillId="35" borderId="0" xfId="0" applyFill="1" applyAlignment="1">
      <alignment vertical="top"/>
    </xf>
    <xf numFmtId="0" fontId="0" fillId="35" borderId="0" xfId="0" applyFill="1" applyAlignment="1"/>
    <xf numFmtId="0" fontId="16" fillId="35" borderId="0" xfId="0" applyFont="1" applyFill="1" applyAlignment="1">
      <alignment vertical="top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25" fillId="40" borderId="19" xfId="45" applyFill="1" applyBorder="1" applyAlignment="1">
      <alignment horizontal="center" vertical="center" wrapText="1"/>
    </xf>
    <xf numFmtId="0" fontId="25" fillId="40" borderId="20" xfId="45" applyFill="1" applyBorder="1" applyAlignment="1">
      <alignment horizontal="center" vertical="center" wrapText="1"/>
    </xf>
    <xf numFmtId="0" fontId="25" fillId="40" borderId="21" xfId="45" applyFill="1" applyBorder="1" applyAlignment="1">
      <alignment horizontal="center" vertical="center" wrapText="1"/>
    </xf>
    <xf numFmtId="0" fontId="0" fillId="0" borderId="0" xfId="0" applyFill="1"/>
    <xf numFmtId="1" fontId="0" fillId="35" borderId="0" xfId="0" applyNumberForma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43" fontId="0" fillId="35" borderId="0" xfId="1" applyFont="1" applyFill="1" applyAlignment="1">
      <alignment horizontal="center" vertical="center"/>
    </xf>
    <xf numFmtId="2" fontId="26" fillId="35" borderId="0" xfId="0" applyNumberFormat="1" applyFont="1" applyFill="1"/>
    <xf numFmtId="43" fontId="0" fillId="35" borderId="0" xfId="0" applyNumberFormat="1" applyFill="1" applyAlignment="1">
      <alignment horizontal="center" vertical="center"/>
    </xf>
    <xf numFmtId="0" fontId="27" fillId="41" borderId="27" xfId="0" applyFont="1" applyFill="1" applyBorder="1" applyAlignment="1">
      <alignment horizontal="left"/>
    </xf>
    <xf numFmtId="0" fontId="27" fillId="41" borderId="28" xfId="0" applyFont="1" applyFill="1" applyBorder="1" applyAlignment="1">
      <alignment horizontal="left"/>
    </xf>
    <xf numFmtId="0" fontId="27" fillId="41" borderId="29" xfId="0" applyFont="1" applyFill="1" applyBorder="1" applyAlignment="1">
      <alignment horizontal="left"/>
    </xf>
    <xf numFmtId="14" fontId="28" fillId="42" borderId="30" xfId="0" applyNumberFormat="1" applyFont="1" applyFill="1" applyBorder="1" applyAlignment="1">
      <alignment horizontal="left"/>
    </xf>
    <xf numFmtId="0" fontId="28" fillId="42" borderId="31" xfId="0" applyFont="1" applyFill="1" applyBorder="1" applyAlignment="1">
      <alignment horizontal="left"/>
    </xf>
    <xf numFmtId="0" fontId="28" fillId="42" borderId="32" xfId="0" applyFont="1" applyFill="1" applyBorder="1" applyAlignment="1">
      <alignment horizontal="left"/>
    </xf>
    <xf numFmtId="14" fontId="28" fillId="43" borderId="27" xfId="0" applyNumberFormat="1" applyFont="1" applyFill="1" applyBorder="1" applyAlignment="1">
      <alignment horizontal="left"/>
    </xf>
    <xf numFmtId="0" fontId="28" fillId="43" borderId="28" xfId="0" applyFont="1" applyFill="1" applyBorder="1" applyAlignment="1">
      <alignment horizontal="left"/>
    </xf>
    <xf numFmtId="0" fontId="28" fillId="43" borderId="29" xfId="0" applyFont="1" applyFill="1" applyBorder="1" applyAlignment="1">
      <alignment horizontal="left"/>
    </xf>
    <xf numFmtId="14" fontId="28" fillId="43" borderId="30" xfId="0" applyNumberFormat="1" applyFont="1" applyFill="1" applyBorder="1" applyAlignment="1">
      <alignment horizontal="left"/>
    </xf>
    <xf numFmtId="0" fontId="28" fillId="43" borderId="31" xfId="0" applyFont="1" applyFill="1" applyBorder="1" applyAlignment="1">
      <alignment horizontal="left"/>
    </xf>
    <xf numFmtId="0" fontId="28" fillId="43" borderId="32" xfId="0" applyFont="1" applyFill="1" applyBorder="1" applyAlignment="1">
      <alignment horizontal="left"/>
    </xf>
    <xf numFmtId="14" fontId="28" fillId="42" borderId="27" xfId="0" applyNumberFormat="1" applyFont="1" applyFill="1" applyBorder="1" applyAlignment="1">
      <alignment horizontal="left"/>
    </xf>
    <xf numFmtId="0" fontId="28" fillId="42" borderId="28" xfId="0" applyFont="1" applyFill="1" applyBorder="1" applyAlignment="1">
      <alignment horizontal="left"/>
    </xf>
    <xf numFmtId="0" fontId="28" fillId="42" borderId="29" xfId="0" applyFont="1" applyFill="1" applyBorder="1" applyAlignment="1">
      <alignment horizontal="left"/>
    </xf>
    <xf numFmtId="0" fontId="27" fillId="0" borderId="0" xfId="0" applyFont="1"/>
    <xf numFmtId="10" fontId="0" fillId="35" borderId="0" xfId="2" applyNumberFormat="1" applyFont="1" applyFill="1" applyAlignment="1">
      <alignment horizontal="center" vertical="center"/>
    </xf>
    <xf numFmtId="14" fontId="0" fillId="44" borderId="0" xfId="0" applyNumberFormat="1" applyFill="1" applyAlignment="1">
      <alignment horizontal="center" vertical="center"/>
    </xf>
    <xf numFmtId="10" fontId="0" fillId="44" borderId="0" xfId="2" applyNumberFormat="1" applyFont="1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1" fontId="0" fillId="35" borderId="0" xfId="0" applyNumberFormat="1" applyFill="1"/>
    <xf numFmtId="0" fontId="0" fillId="44" borderId="0" xfId="0" applyFill="1" applyAlignment="1">
      <alignment horizontal="center" vertical="center"/>
    </xf>
    <xf numFmtId="0" fontId="18" fillId="44" borderId="0" xfId="0" applyFont="1" applyFill="1" applyAlignment="1">
      <alignment horizontal="center" vertical="center"/>
    </xf>
    <xf numFmtId="10" fontId="0" fillId="44" borderId="0" xfId="0" applyNumberFormat="1" applyFill="1" applyAlignment="1">
      <alignment horizontal="center" vertical="center"/>
    </xf>
    <xf numFmtId="1" fontId="0" fillId="44" borderId="0" xfId="0" applyNumberFormat="1" applyFill="1" applyAlignment="1">
      <alignment horizontal="center" vertical="center"/>
    </xf>
    <xf numFmtId="1" fontId="19" fillId="44" borderId="0" xfId="1" applyNumberFormat="1" applyFont="1" applyFill="1" applyAlignment="1">
      <alignment horizontal="center" vertical="center"/>
    </xf>
    <xf numFmtId="0" fontId="0" fillId="35" borderId="0" xfId="0" applyFill="1" applyBorder="1"/>
    <xf numFmtId="44" fontId="0" fillId="35" borderId="0" xfId="0" applyNumberFormat="1" applyFill="1" applyBorder="1"/>
    <xf numFmtId="43" fontId="0" fillId="35" borderId="0" xfId="0" applyNumberFormat="1" applyFill="1" applyBorder="1"/>
    <xf numFmtId="44" fontId="33" fillId="35" borderId="16" xfId="0" applyNumberFormat="1" applyFont="1" applyFill="1" applyBorder="1"/>
    <xf numFmtId="44" fontId="33" fillId="35" borderId="17" xfId="0" applyNumberFormat="1" applyFont="1" applyFill="1" applyBorder="1"/>
    <xf numFmtId="0" fontId="0" fillId="35" borderId="10" xfId="0" applyFill="1" applyBorder="1"/>
    <xf numFmtId="0" fontId="0" fillId="35" borderId="10" xfId="0" applyFill="1" applyBorder="1" applyAlignment="1">
      <alignment horizontal="center" vertical="center"/>
    </xf>
    <xf numFmtId="0" fontId="0" fillId="35" borderId="10" xfId="0" applyFont="1" applyFill="1" applyBorder="1" applyAlignment="1">
      <alignment horizontal="center" wrapText="1"/>
    </xf>
    <xf numFmtId="0" fontId="0" fillId="35" borderId="10" xfId="0" applyFill="1" applyBorder="1" applyAlignment="1">
      <alignment horizontal="center"/>
    </xf>
    <xf numFmtId="0" fontId="0" fillId="35" borderId="10" xfId="1" applyNumberFormat="1" applyFont="1" applyFill="1" applyBorder="1" applyAlignment="1">
      <alignment horizontal="center" vertical="center"/>
    </xf>
    <xf numFmtId="43" fontId="0" fillId="35" borderId="10" xfId="1" applyFont="1" applyFill="1" applyBorder="1" applyAlignment="1">
      <alignment horizontal="center" vertical="center"/>
    </xf>
    <xf numFmtId="0" fontId="0" fillId="44" borderId="10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10" fontId="30" fillId="44" borderId="0" xfId="0" applyNumberFormat="1" applyFont="1" applyFill="1" applyAlignment="1">
      <alignment horizontal="center" vertical="center"/>
    </xf>
    <xf numFmtId="3" fontId="24" fillId="40" borderId="0" xfId="0" applyNumberFormat="1" applyFont="1" applyFill="1" applyAlignment="1">
      <alignment horizontal="right" vertical="center" wrapText="1"/>
    </xf>
    <xf numFmtId="0" fontId="24" fillId="40" borderId="22" xfId="0" applyFont="1" applyFill="1" applyBorder="1" applyAlignment="1">
      <alignment vertical="center" wrapText="1"/>
    </xf>
    <xf numFmtId="0" fontId="24" fillId="40" borderId="23" xfId="0" applyFont="1" applyFill="1" applyBorder="1" applyAlignment="1">
      <alignment vertical="center" wrapText="1"/>
    </xf>
    <xf numFmtId="0" fontId="0" fillId="34" borderId="0" xfId="0" applyFill="1" applyBorder="1"/>
    <xf numFmtId="44" fontId="0" fillId="35" borderId="0" xfId="44" applyFont="1" applyFill="1" applyBorder="1"/>
    <xf numFmtId="2" fontId="0" fillId="35" borderId="0" xfId="0" applyNumberFormat="1" applyFill="1"/>
    <xf numFmtId="44" fontId="0" fillId="0" borderId="10" xfId="44" applyNumberFormat="1" applyFont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7" borderId="14" xfId="0" applyFont="1" applyFill="1" applyBorder="1" applyAlignment="1">
      <alignment horizontal="center" vertical="center"/>
    </xf>
    <xf numFmtId="0" fontId="22" fillId="33" borderId="15" xfId="0" applyFont="1" applyFill="1" applyBorder="1" applyAlignment="1">
      <alignment horizontal="center" vertical="center"/>
    </xf>
    <xf numFmtId="44" fontId="22" fillId="35" borderId="0" xfId="44" applyFont="1" applyFill="1" applyAlignment="1">
      <alignment horizontal="center" vertical="center"/>
    </xf>
    <xf numFmtId="0" fontId="22" fillId="37" borderId="0" xfId="0" applyFont="1" applyFill="1" applyAlignment="1">
      <alignment horizontal="center" vertical="center"/>
    </xf>
    <xf numFmtId="10" fontId="22" fillId="35" borderId="0" xfId="2" applyNumberFormat="1" applyFont="1" applyFill="1"/>
    <xf numFmtId="4" fontId="24" fillId="0" borderId="0" xfId="0" applyNumberFormat="1" applyFont="1"/>
    <xf numFmtId="0" fontId="37" fillId="40" borderId="18" xfId="0" applyFont="1" applyFill="1" applyBorder="1" applyAlignment="1">
      <alignment horizontal="left" vertical="center" wrapText="1"/>
    </xf>
    <xf numFmtId="3" fontId="37" fillId="40" borderId="18" xfId="0" applyNumberFormat="1" applyFont="1" applyFill="1" applyBorder="1" applyAlignment="1">
      <alignment horizontal="right" vertical="center" wrapText="1"/>
    </xf>
    <xf numFmtId="0" fontId="37" fillId="40" borderId="40" xfId="0" applyFont="1" applyFill="1" applyBorder="1" applyAlignment="1">
      <alignment horizontal="left" vertical="center" wrapText="1"/>
    </xf>
    <xf numFmtId="0" fontId="37" fillId="40" borderId="41" xfId="0" applyFont="1" applyFill="1" applyBorder="1" applyAlignment="1">
      <alignment horizontal="left" vertical="center" wrapText="1"/>
    </xf>
    <xf numFmtId="3" fontId="37" fillId="40" borderId="41" xfId="0" applyNumberFormat="1" applyFont="1" applyFill="1" applyBorder="1" applyAlignment="1">
      <alignment horizontal="right" vertical="center" wrapText="1"/>
    </xf>
    <xf numFmtId="0" fontId="37" fillId="40" borderId="42" xfId="0" applyFont="1" applyFill="1" applyBorder="1" applyAlignment="1">
      <alignment horizontal="right" vertical="center" wrapText="1"/>
    </xf>
    <xf numFmtId="0" fontId="37" fillId="40" borderId="23" xfId="0" applyFont="1" applyFill="1" applyBorder="1" applyAlignment="1">
      <alignment horizontal="left" vertical="center" wrapText="1"/>
    </xf>
    <xf numFmtId="0" fontId="37" fillId="40" borderId="24" xfId="0" applyFont="1" applyFill="1" applyBorder="1" applyAlignment="1">
      <alignment horizontal="right" vertical="center" wrapText="1"/>
    </xf>
    <xf numFmtId="0" fontId="23" fillId="35" borderId="0" xfId="0" applyFont="1" applyFill="1" applyAlignment="1">
      <alignment horizontal="center" vertical="top"/>
    </xf>
    <xf numFmtId="0" fontId="0" fillId="35" borderId="0" xfId="0" applyFill="1" applyAlignment="1">
      <alignment horizontal="center" vertical="top"/>
    </xf>
    <xf numFmtId="1" fontId="32" fillId="45" borderId="34" xfId="0" applyNumberFormat="1" applyFont="1" applyFill="1" applyBorder="1" applyAlignment="1">
      <alignment horizontal="center" vertical="center"/>
    </xf>
    <xf numFmtId="1" fontId="32" fillId="45" borderId="35" xfId="0" applyNumberFormat="1" applyFont="1" applyFill="1" applyBorder="1" applyAlignment="1">
      <alignment horizontal="center" vertical="center"/>
    </xf>
    <xf numFmtId="1" fontId="32" fillId="45" borderId="36" xfId="0" applyNumberFormat="1" applyFont="1" applyFill="1" applyBorder="1" applyAlignment="1">
      <alignment horizontal="center" vertical="center"/>
    </xf>
    <xf numFmtId="1" fontId="32" fillId="45" borderId="37" xfId="0" applyNumberFormat="1" applyFont="1" applyFill="1" applyBorder="1" applyAlignment="1">
      <alignment horizontal="center" vertical="center"/>
    </xf>
    <xf numFmtId="0" fontId="32" fillId="45" borderId="0" xfId="0" applyFont="1" applyFill="1" applyAlignment="1">
      <alignment horizontal="center" vertical="center"/>
    </xf>
    <xf numFmtId="10" fontId="31" fillId="35" borderId="0" xfId="0" applyNumberFormat="1" applyFont="1" applyFill="1" applyAlignment="1">
      <alignment horizontal="center" vertical="center"/>
    </xf>
    <xf numFmtId="0" fontId="31" fillId="35" borderId="0" xfId="0" applyFont="1" applyFill="1" applyAlignment="1">
      <alignment horizontal="center" vertical="center"/>
    </xf>
    <xf numFmtId="0" fontId="19" fillId="35" borderId="34" xfId="0" applyFont="1" applyFill="1" applyBorder="1" applyAlignment="1">
      <alignment horizontal="center" vertical="center"/>
    </xf>
    <xf numFmtId="0" fontId="0" fillId="35" borderId="36" xfId="0" applyFill="1" applyBorder="1" applyAlignment="1">
      <alignment horizontal="center" vertical="center"/>
    </xf>
    <xf numFmtId="0" fontId="0" fillId="35" borderId="38" xfId="0" applyFill="1" applyBorder="1" applyAlignment="1">
      <alignment horizontal="center" vertical="center"/>
    </xf>
    <xf numFmtId="10" fontId="19" fillId="35" borderId="35" xfId="2" applyNumberFormat="1" applyFont="1" applyFill="1" applyBorder="1" applyAlignment="1">
      <alignment horizontal="center" vertical="center"/>
    </xf>
    <xf numFmtId="10" fontId="19" fillId="35" borderId="37" xfId="2" applyNumberFormat="1" applyFont="1" applyFill="1" applyBorder="1" applyAlignment="1">
      <alignment horizontal="center" vertical="center"/>
    </xf>
    <xf numFmtId="10" fontId="19" fillId="35" borderId="39" xfId="2" applyNumberFormat="1" applyFont="1" applyFill="1" applyBorder="1" applyAlignment="1">
      <alignment horizontal="center" vertical="center"/>
    </xf>
    <xf numFmtId="165" fontId="35" fillId="35" borderId="0" xfId="0" applyNumberFormat="1" applyFont="1" applyFill="1" applyAlignment="1">
      <alignment horizontal="center" vertical="center"/>
    </xf>
    <xf numFmtId="1" fontId="34" fillId="35" borderId="36" xfId="0" applyNumberFormat="1" applyFont="1" applyFill="1" applyBorder="1" applyAlignment="1">
      <alignment horizontal="center" vertical="center"/>
    </xf>
    <xf numFmtId="0" fontId="34" fillId="35" borderId="37" xfId="0" applyFont="1" applyFill="1" applyBorder="1" applyAlignment="1">
      <alignment horizontal="center" vertical="center"/>
    </xf>
    <xf numFmtId="0" fontId="34" fillId="35" borderId="38" xfId="0" applyFont="1" applyFill="1" applyBorder="1" applyAlignment="1">
      <alignment horizontal="center" vertical="center"/>
    </xf>
    <xf numFmtId="0" fontId="34" fillId="35" borderId="39" xfId="0" applyFont="1" applyFill="1" applyBorder="1" applyAlignment="1">
      <alignment horizontal="center" vertical="center"/>
    </xf>
    <xf numFmtId="0" fontId="0" fillId="35" borderId="0" xfId="0" applyFont="1" applyFill="1" applyAlignment="1">
      <alignment horizontal="center" vertical="top"/>
    </xf>
    <xf numFmtId="0" fontId="24" fillId="40" borderId="25" xfId="0" applyFont="1" applyFill="1" applyBorder="1" applyAlignment="1">
      <alignment horizontal="right" vertical="center" wrapText="1"/>
    </xf>
    <xf numFmtId="0" fontId="24" fillId="40" borderId="18" xfId="0" applyFont="1" applyFill="1" applyBorder="1" applyAlignment="1">
      <alignment horizontal="right" vertical="center" wrapText="1"/>
    </xf>
    <xf numFmtId="0" fontId="24" fillId="40" borderId="26" xfId="0" applyFont="1" applyFill="1" applyBorder="1" applyAlignment="1">
      <alignment horizontal="right" vertical="center" wrapText="1"/>
    </xf>
    <xf numFmtId="0" fontId="24" fillId="40" borderId="24" xfId="0" applyFont="1" applyFill="1" applyBorder="1" applyAlignment="1">
      <alignment horizontal="right" vertical="center" wrapText="1"/>
    </xf>
    <xf numFmtId="0" fontId="16" fillId="0" borderId="0" xfId="0" applyFont="1" applyAlignment="1">
      <alignment horizontal="center"/>
    </xf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Hiperlink" xfId="45" builtinId="8"/>
    <cellStyle name="Moeda" xfId="44" builtinId="4"/>
    <cellStyle name="Neutro" xfId="10" builtinId="28" customBuiltin="1"/>
    <cellStyle name="Normal" xfId="0" builtinId="0"/>
    <cellStyle name="Nota" xfId="17" builtinId="10" customBuiltin="1"/>
    <cellStyle name="Porcentagem" xfId="2" builtinId="5"/>
    <cellStyle name="Ruim" xfId="9" builtinId="27" customBuiltin="1"/>
    <cellStyle name="Saída" xfId="12" builtinId="21" customBuiltin="1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otal" xfId="19" builtinId="25" customBuiltin="1"/>
    <cellStyle name="Vírgula" xfId="1" builtinId="3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srv.rtd">
      <tp t="e">
        <v>#N/A</v>
        <stp/>
        <stp>PLAYERSRANKING</stp>
        <stp>ENGI11</stp>
        <stp>1982</stp>
        <stp>SALDO</stp>
        <stp>VOLF</stp>
        <tr r="BG43" s="7"/>
      </tp>
      <tp t="e">
        <v>#N/A</v>
        <stp/>
        <stp>PLAYERSRANKING</stp>
        <stp>KLBN11</stp>
        <stp>6003</stp>
        <stp>SALDO</stp>
        <stp>VOLF</stp>
        <tr r="BX19" s="7"/>
      </tp>
      <tp t="e">
        <v>#N/A</v>
        <stp/>
        <stp>PLAYERSRANKING</stp>
        <stp>ENGI11</stp>
        <stp>1130</stp>
        <stp>SALDO</stp>
        <stp>VOLF</stp>
        <tr r="BG27" s="7"/>
      </tp>
      <tp t="e">
        <v>#N/A</v>
        <stp/>
        <stp>PLAYERSRANKING</stp>
        <stp>ENGI11</stp>
        <stp>1618</stp>
        <stp>SALDO</stp>
        <stp>VOLF</stp>
        <tr r="BG26" s="7"/>
      </tp>
      <tp t="e">
        <v>#N/A</v>
        <stp/>
        <stp>PLAYERSRANKING</stp>
        <stp>WDOFUT</stp>
        <stp>27</stp>
        <stp>SALDO</stp>
        <stp>VOLF</stp>
        <tr r="X38" s="7"/>
      </tp>
      <tp t="e">
        <v>#N/A</v>
        <stp/>
        <stp>PLAYERSRANKING</stp>
        <stp>WDOFUT</stp>
        <stp>23</stp>
        <stp>SALDO</stp>
        <stp>VOLF</stp>
        <tr r="X33" s="7"/>
      </tp>
      <tp t="e">
        <v>#N/A</v>
        <stp/>
        <stp>PLAYERSRANKING</stp>
        <stp>WDOFUT</stp>
        <stp>16</stp>
        <stp>SALDO</stp>
        <stp>VOLF</stp>
        <tr r="X29" s="7"/>
      </tp>
      <tp t="e">
        <v>#N/A</v>
        <stp/>
        <stp>PLAYERSRANKING</stp>
        <stp>WDOFUT</stp>
        <stp>13</stp>
        <stp>SALDO</stp>
        <stp>VOLF</stp>
        <tr r="X30" s="7"/>
      </tp>
      <tp t="e">
        <v>#N/A</v>
        <stp/>
        <stp>PLAYERSRANKING</stp>
        <stp>WDOFUT</stp>
        <stp>72</stp>
        <stp>SALDO</stp>
        <stp>VOLF</stp>
        <tr r="X18" s="7"/>
      </tp>
      <tp t="e">
        <v>#N/A</v>
        <stp/>
        <stp>PLAYERSRANKING</stp>
        <stp>WDOFUT</stp>
        <stp>59</stp>
        <stp>SALDO</stp>
        <stp>VOLF</stp>
        <tr r="X37" s="7"/>
      </tp>
      <tp t="e">
        <v>#N/A</v>
        <stp/>
        <stp>PLAYERSRANKING</stp>
        <stp>WDOFUT</stp>
        <stp>45</stp>
        <stp>SALDO</stp>
        <stp>VOLF</stp>
        <tr r="X21" s="7"/>
      </tp>
      <tp t="e">
        <v>#N/A</v>
        <stp/>
        <stp>PLAYERSRANKING</stp>
        <stp>WDOFUT</stp>
        <stp>40</stp>
        <stp>SALDO</stp>
        <stp>VOLF</stp>
        <tr r="X32" s="7"/>
      </tp>
      <tp t="e">
        <v>#N/A</v>
        <stp/>
        <stp>PLAYERSRANKING</stp>
        <stp>WDOFUT</stp>
        <stp>93</stp>
        <stp>SALDO</stp>
        <stp>VOLF</stp>
        <tr r="X34" s="7"/>
      </tp>
      <tp t="e">
        <v>#N/A</v>
        <stp/>
        <stp>PLAYERSRANKING</stp>
        <stp>WDOFUT</stp>
        <stp>92</stp>
        <stp>SALDO</stp>
        <stp>VOLF</stp>
        <tr r="X36" s="7"/>
      </tp>
      <tp t="e">
        <v>#N/A</v>
        <stp/>
        <stp>PLAYERSRANKING</stp>
        <stp>WDOFUT</stp>
        <stp>85</stp>
        <stp>SALDO</stp>
        <stp>VOLF</stp>
        <tr r="X17" s="7"/>
      </tp>
      <tp t="e">
        <v>#N/A</v>
        <stp/>
        <stp>PLAYERSRANKING</stp>
        <stp>WDOFUT</stp>
        <stp>88</stp>
        <stp>SALDO</stp>
        <stp>VOLF</stp>
        <tr r="X20" s="7"/>
      </tp>
      <tp t="e">
        <v>#N/A</v>
        <stp/>
        <stp>PLAYERSRANKING</stp>
        <stp>KLBN11</stp>
        <stp>1618</stp>
        <stp>SALDO</stp>
        <stp>VOLF</stp>
        <tr r="BX26" s="7"/>
      </tp>
      <tp t="e">
        <v>#N/A</v>
        <stp/>
        <stp>PLAYERSRANKING</stp>
        <stp>KLBN11</stp>
        <stp>1130</stp>
        <stp>SALDO</stp>
        <stp>VOLF</stp>
        <tr r="BX27" s="7"/>
      </tp>
      <tp t="e">
        <v>#N/A</v>
        <stp/>
        <stp>PLAYERSRANKING</stp>
        <stp>ENGI11</stp>
        <stp>6003</stp>
        <stp>SALDO</stp>
        <stp>VOLF</stp>
        <tr r="BG19" s="7"/>
      </tp>
      <tp t="e">
        <v>#N/A</v>
        <stp/>
        <stp>PLAYERSRANKING</stp>
        <stp>KLBN11</stp>
        <stp>1982</stp>
        <stp>SALDO</stp>
        <stp>VOLF</stp>
        <tr r="BX43" s="7"/>
      </tp>
      <tp t="e">
        <v>#N/A</v>
        <stp/>
        <stp>PLAYERSRANKING</stp>
        <stp>INDFUT</stp>
        <stp>23</stp>
        <stp>SALDO</stp>
        <stp>VOLF</stp>
        <tr r="U33" s="7"/>
      </tp>
      <tp t="e">
        <v>#N/A</v>
        <stp/>
        <stp>PLAYERSRANKING</stp>
        <stp>INDFUT</stp>
        <stp>27</stp>
        <stp>SALDO</stp>
        <stp>VOLF</stp>
        <tr r="U38" s="7"/>
      </tp>
      <tp t="e">
        <v>#N/A</v>
        <stp/>
        <stp>PLAYERSRANKING</stp>
        <stp>INDFUT</stp>
        <stp>13</stp>
        <stp>SALDO</stp>
        <stp>VOLF</stp>
        <tr r="U30" s="7"/>
      </tp>
      <tp t="e">
        <v>#N/A</v>
        <stp/>
        <stp>PLAYERSRANKING</stp>
        <stp>INDFUT</stp>
        <stp>16</stp>
        <stp>SALDO</stp>
        <stp>VOLF</stp>
        <tr r="U29" s="7"/>
      </tp>
      <tp t="e">
        <v>#N/A</v>
        <stp/>
        <stp>PLAYERSRANKING</stp>
        <stp>INDFUT</stp>
        <stp>72</stp>
        <stp>SALDO</stp>
        <stp>VOLF</stp>
        <tr r="U18" s="7"/>
      </tp>
      <tp t="e">
        <v>#N/A</v>
        <stp/>
        <stp>PLAYERSRANKING</stp>
        <stp>INDFUT</stp>
        <stp>59</stp>
        <stp>SALDO</stp>
        <stp>VOLF</stp>
        <tr r="U37" s="7"/>
      </tp>
      <tp t="e">
        <v>#N/A</v>
        <stp/>
        <stp>PLAYERSRANKING</stp>
        <stp>INDFUT</stp>
        <stp>40</stp>
        <stp>SALDO</stp>
        <stp>VOLF</stp>
        <tr r="U32" s="7"/>
      </tp>
      <tp t="e">
        <v>#N/A</v>
        <stp/>
        <stp>PLAYERSRANKING</stp>
        <stp>INDFUT</stp>
        <stp>45</stp>
        <stp>SALDO</stp>
        <stp>VOLF</stp>
        <tr r="U21" s="7"/>
      </tp>
      <tp t="e">
        <v>#N/A</v>
        <stp/>
        <stp>PLAYERSRANKING</stp>
        <stp>INDFUT</stp>
        <stp>93</stp>
        <stp>SALDO</stp>
        <stp>VOLF</stp>
        <tr r="U34" s="7"/>
      </tp>
      <tp t="e">
        <v>#N/A</v>
        <stp/>
        <stp>PLAYERSRANKING</stp>
        <stp>INDFUT</stp>
        <stp>92</stp>
        <stp>SALDO</stp>
        <stp>VOLF</stp>
        <tr r="U36" s="7"/>
      </tp>
      <tp t="e">
        <v>#N/A</v>
        <stp/>
        <stp>PLAYERSRANKING</stp>
        <stp>INDFUT</stp>
        <stp>88</stp>
        <stp>SALDO</stp>
        <stp>VOLF</stp>
        <tr r="U20" s="7"/>
      </tp>
      <tp t="e">
        <v>#N/A</v>
        <stp/>
        <stp>PLAYERSRANKING</stp>
        <stp>INDFUT</stp>
        <stp>85</stp>
        <stp>SALDO</stp>
        <stp>VOLF</stp>
        <tr r="U17" s="7"/>
      </tp>
      <tp t="e">
        <v>#N/A</v>
        <stp/>
        <stp>PLAYERSRANKING</stp>
        <stp>WINFUT</stp>
        <stp>6003</stp>
        <stp>SALDO</stp>
        <stp>VOLF</stp>
        <tr r="V19" s="7"/>
      </tp>
      <tp t="e">
        <v>#N/A</v>
        <stp/>
        <stp>PLAYERSRANKING</stp>
        <stp>WDOFUT</stp>
        <stp>6003</stp>
        <stp>SALDO</stp>
        <stp>VOLF</stp>
        <tr r="X19" s="7"/>
      </tp>
      <tp t="e">
        <v>#N/A</v>
        <stp/>
        <stp>PLAYERSRANKING</stp>
        <stp>INDFUT</stp>
        <stp>6003</stp>
        <stp>SALDO</stp>
        <stp>VOLF</stp>
        <tr r="U19" s="7"/>
      </tp>
      <tp t="e">
        <v>#N/A</v>
        <stp/>
        <stp>PLAYERSRANKING</stp>
        <stp>DOLFUT</stp>
        <stp>6003</stp>
        <stp>SALDO</stp>
        <stp>VOLF</stp>
        <tr r="W19" s="7"/>
      </tp>
      <tp t="e">
        <v>#N/A</v>
        <stp/>
        <stp>PLAYERSRANKING</stp>
        <stp>SULA11</stp>
        <stp>1982</stp>
        <stp>SALDO</stp>
        <stp>VOLF</stp>
        <tr r="CQ43" s="7"/>
      </tp>
      <tp t="e">
        <v>#N/A</v>
        <stp/>
        <stp>PLAYERSRANKING</stp>
        <stp>SULA11</stp>
        <stp>1618</stp>
        <stp>SALDO</stp>
        <stp>VOLF</stp>
        <tr r="CQ26" s="7"/>
      </tp>
      <tp t="e">
        <v>#N/A</v>
        <stp/>
        <stp>PLAYERSRANKING</stp>
        <stp>SULA11</stp>
        <stp>1130</stp>
        <stp>SALDO</stp>
        <stp>VOLF</stp>
        <tr r="CQ27" s="7"/>
      </tp>
      <tp t="e">
        <v>#N/A</v>
        <stp/>
        <stp>PLAYERSRANKING</stp>
        <stp>DOLFUT</stp>
        <stp>27</stp>
        <stp>SALDO</stp>
        <stp>VOLF</stp>
        <tr r="W38" s="7"/>
      </tp>
      <tp t="e">
        <v>#N/A</v>
        <stp/>
        <stp>PLAYERSRANKING</stp>
        <stp>DOLFUT</stp>
        <stp>23</stp>
        <stp>SALDO</stp>
        <stp>VOLF</stp>
        <tr r="W33" s="7"/>
      </tp>
      <tp t="e">
        <v>#N/A</v>
        <stp/>
        <stp>PLAYERSRANKING</stp>
        <stp>DOLFUT</stp>
        <stp>16</stp>
        <stp>SALDO</stp>
        <stp>VOLF</stp>
        <tr r="W29" s="7"/>
      </tp>
      <tp t="e">
        <v>#N/A</v>
        <stp/>
        <stp>PLAYERSRANKING</stp>
        <stp>DOLFUT</stp>
        <stp>13</stp>
        <stp>SALDO</stp>
        <stp>VOLF</stp>
        <tr r="W30" s="7"/>
      </tp>
      <tp t="e">
        <v>#N/A</v>
        <stp/>
        <stp>PLAYERSRANKING</stp>
        <stp>DOLFUT</stp>
        <stp>72</stp>
        <stp>SALDO</stp>
        <stp>VOLF</stp>
        <tr r="W18" s="7"/>
      </tp>
      <tp t="e">
        <v>#N/A</v>
        <stp/>
        <stp>PLAYERSRANKING</stp>
        <stp>DOLFUT</stp>
        <stp>59</stp>
        <stp>SALDO</stp>
        <stp>VOLF</stp>
        <tr r="W37" s="7"/>
      </tp>
      <tp t="e">
        <v>#N/A</v>
        <stp/>
        <stp>PLAYERSRANKING</stp>
        <stp>DOLFUT</stp>
        <stp>45</stp>
        <stp>SALDO</stp>
        <stp>VOLF</stp>
        <tr r="W21" s="7"/>
      </tp>
      <tp t="e">
        <v>#N/A</v>
        <stp/>
        <stp>PLAYERSRANKING</stp>
        <stp>DOLFUT</stp>
        <stp>40</stp>
        <stp>SALDO</stp>
        <stp>VOLF</stp>
        <tr r="W32" s="7"/>
      </tp>
      <tp t="e">
        <v>#N/A</v>
        <stp/>
        <stp>PLAYERSRANKING</stp>
        <stp>DOLFUT</stp>
        <stp>92</stp>
        <stp>SALDO</stp>
        <stp>VOLF</stp>
        <tr r="W36" s="7"/>
      </tp>
      <tp t="e">
        <v>#N/A</v>
        <stp/>
        <stp>PLAYERSRANKING</stp>
        <stp>DOLFUT</stp>
        <stp>93</stp>
        <stp>SALDO</stp>
        <stp>VOLF</stp>
        <tr r="W34" s="7"/>
      </tp>
      <tp t="e">
        <v>#N/A</v>
        <stp/>
        <stp>PLAYERSRANKING</stp>
        <stp>DOLFUT</stp>
        <stp>85</stp>
        <stp>SALDO</stp>
        <stp>VOLF</stp>
        <tr r="W17" s="7"/>
      </tp>
      <tp t="e">
        <v>#N/A</v>
        <stp/>
        <stp>PLAYERSRANKING</stp>
        <stp>DOLFUT</stp>
        <stp>88</stp>
        <stp>SALDO</stp>
        <stp>VOLF</stp>
        <tr r="W20" s="7"/>
      </tp>
      <tp t="e">
        <v>#N/A</v>
        <stp/>
        <stp>PLAYERSRANKING</stp>
        <stp>BPAC11</stp>
        <stp>1982</stp>
        <stp>SALDO</stp>
        <stp>VOLF</stp>
        <tr r="AH43" s="7"/>
      </tp>
      <tp t="e">
        <v>#N/A</v>
        <stp/>
        <stp>PLAYERSRANKING</stp>
        <stp>BPAC11</stp>
        <stp>1618</stp>
        <stp>SALDO</stp>
        <stp>VOLF</stp>
        <tr r="AH26" s="7"/>
      </tp>
      <tp t="e">
        <v>#N/A</v>
        <stp/>
        <stp>PLAYERSRANKING</stp>
        <stp>BPAC11</stp>
        <stp>1130</stp>
        <stp>SALDO</stp>
        <stp>VOLF</stp>
        <tr r="AH27" s="7"/>
      </tp>
      <tp t="e">
        <v>#N/A</v>
        <stp/>
        <stp>PLAYERSRANKING</stp>
        <stp>SANB11</stp>
        <stp>1982</stp>
        <stp>SALDO</stp>
        <stp>VOLF</stp>
        <tr r="CO43" s="7"/>
      </tp>
      <tp t="e">
        <v>#N/A</v>
        <stp/>
        <stp>PLAYERSRANKING</stp>
        <stp>TAEE11</stp>
        <stp>6003</stp>
        <stp>SALDO</stp>
        <stp>VOLF</stp>
        <tr r="CS19" s="7"/>
      </tp>
      <tp t="e">
        <v>#N/A</v>
        <stp/>
        <stp>PLAYERSRANKING</stp>
        <stp>SANB11</stp>
        <stp>1618</stp>
        <stp>SALDO</stp>
        <stp>VOLF</stp>
        <tr r="CO26" s="7"/>
      </tp>
      <tp t="e">
        <v>#N/A</v>
        <stp/>
        <stp>PLAYERSRANKING</stp>
        <stp>SANB11</stp>
        <stp>1130</stp>
        <stp>SALDO</stp>
        <stp>VOLF</stp>
        <tr r="CO27" s="7"/>
      </tp>
      <tp t="e">
        <v>#N/A</v>
        <stp/>
        <stp>PLAYERSRANKING</stp>
        <stp>TAEE11</stp>
        <stp>1982</stp>
        <stp>SALDO</stp>
        <stp>VOLF</stp>
        <tr r="CS43" s="7"/>
      </tp>
      <tp t="e">
        <v>#N/A</v>
        <stp/>
        <stp>PLAYERSRANKING</stp>
        <stp>TAEE11</stp>
        <stp>1130</stp>
        <stp>SALDO</stp>
        <stp>VOLF</stp>
        <tr r="CS27" s="7"/>
      </tp>
      <tp t="e">
        <v>#N/A</v>
        <stp/>
        <stp>PLAYERSRANKING</stp>
        <stp>TAEE11</stp>
        <stp>1618</stp>
        <stp>SALDO</stp>
        <stp>VOLF</stp>
        <tr r="CS26" s="7"/>
      </tp>
      <tp t="e">
        <v>#N/A</v>
        <stp/>
        <stp>PLAYERSRANKING</stp>
        <stp>SANB11</stp>
        <stp>6003</stp>
        <stp>SALDO</stp>
        <stp>VOLF</stp>
        <tr r="CO19" s="7"/>
      </tp>
      <tp t="e">
        <v>#N/A</v>
        <stp/>
        <stp>PLAYERSRANKING</stp>
        <stp>BPAC11</stp>
        <stp>6003</stp>
        <stp>SALDO</stp>
        <stp>VOLF</stp>
        <tr r="AH19" s="7"/>
      </tp>
      <tp t="e">
        <v>#N/A</v>
        <stp/>
        <stp>PLAYERSRANKING</stp>
        <stp>WINFUT</stp>
        <stp>27</stp>
        <stp>SALDO</stp>
        <stp>VOLF</stp>
        <tr r="V38" s="7"/>
      </tp>
      <tp t="e">
        <v>#N/A</v>
        <stp/>
        <stp>PLAYERSRANKING</stp>
        <stp>WINFUT</stp>
        <stp>23</stp>
        <stp>SALDO</stp>
        <stp>VOLF</stp>
        <tr r="V33" s="7"/>
      </tp>
      <tp t="e">
        <v>#N/A</v>
        <stp/>
        <stp>PLAYERSRANKING</stp>
        <stp>WINFUT</stp>
        <stp>16</stp>
        <stp>SALDO</stp>
        <stp>VOLF</stp>
        <tr r="V29" s="7"/>
      </tp>
      <tp t="e">
        <v>#N/A</v>
        <stp/>
        <stp>PLAYERSRANKING</stp>
        <stp>WINFUT</stp>
        <stp>13</stp>
        <stp>SALDO</stp>
        <stp>VOLF</stp>
        <tr r="V30" s="7"/>
      </tp>
      <tp t="e">
        <v>#N/A</v>
        <stp/>
        <stp>PLAYERSRANKING</stp>
        <stp>WINFUT</stp>
        <stp>72</stp>
        <stp>SALDO</stp>
        <stp>VOLF</stp>
        <tr r="V18" s="7"/>
      </tp>
      <tp t="e">
        <v>#N/A</v>
        <stp/>
        <stp>PLAYERSRANKING</stp>
        <stp>WINFUT</stp>
        <stp>59</stp>
        <stp>SALDO</stp>
        <stp>VOLF</stp>
        <tr r="V37" s="7"/>
      </tp>
      <tp t="e">
        <v>#N/A</v>
        <stp/>
        <stp>PLAYERSRANKING</stp>
        <stp>WINFUT</stp>
        <stp>45</stp>
        <stp>SALDO</stp>
        <stp>VOLF</stp>
        <tr r="V21" s="7"/>
      </tp>
      <tp t="e">
        <v>#N/A</v>
        <stp/>
        <stp>PLAYERSRANKING</stp>
        <stp>WINFUT</stp>
        <stp>40</stp>
        <stp>SALDO</stp>
        <stp>VOLF</stp>
        <tr r="V32" s="7"/>
      </tp>
      <tp t="e">
        <v>#N/A</v>
        <stp/>
        <stp>PLAYERSRANKING</stp>
        <stp>WINFUT</stp>
        <stp>93</stp>
        <stp>SALDO</stp>
        <stp>VOLF</stp>
        <tr r="V34" s="7"/>
      </tp>
      <tp t="e">
        <v>#N/A</v>
        <stp/>
        <stp>PLAYERSRANKING</stp>
        <stp>WINFUT</stp>
        <stp>92</stp>
        <stp>SALDO</stp>
        <stp>VOLF</stp>
        <tr r="V36" s="7"/>
      </tp>
      <tp t="e">
        <v>#N/A</v>
        <stp/>
        <stp>PLAYERSRANKING</stp>
        <stp>WINFUT</stp>
        <stp>85</stp>
        <stp>SALDO</stp>
        <stp>VOLF</stp>
        <tr r="V17" s="7"/>
      </tp>
      <tp t="e">
        <v>#N/A</v>
        <stp/>
        <stp>PLAYERSRANKING</stp>
        <stp>WINFUT</stp>
        <stp>88</stp>
        <stp>SALDO</stp>
        <stp>VOLF</stp>
        <tr r="V20" s="7"/>
      </tp>
      <tp t="e">
        <v>#N/A</v>
        <stp/>
        <stp>PLAYERSRANKING</stp>
        <stp>WDOFUT</stp>
        <stp>1982</stp>
        <stp>SALDO</stp>
        <stp>VOLF</stp>
        <tr r="X43" s="7"/>
      </tp>
      <tp t="e">
        <v>#N/A</v>
        <stp/>
        <stp>PLAYERSRANKING</stp>
        <stp>WINFUT</stp>
        <stp>1982</stp>
        <stp>SALDO</stp>
        <stp>VOLF</stp>
        <tr r="V43" s="7"/>
      </tp>
      <tp t="e">
        <v>#N/A</v>
        <stp/>
        <stp>PLAYERSRANKING</stp>
        <stp>WINFUT</stp>
        <stp>1618</stp>
        <stp>SALDO</stp>
        <stp>VOLF</stp>
        <tr r="V26" s="7"/>
      </tp>
      <tp t="e">
        <v>#N/A</v>
        <stp/>
        <stp>PLAYERSRANKING</stp>
        <stp>WDOFUT</stp>
        <stp>1618</stp>
        <stp>SALDO</stp>
        <stp>VOLF</stp>
        <tr r="X26" s="7"/>
      </tp>
      <tp t="e">
        <v>#N/A</v>
        <stp/>
        <stp>PLAYERSRANKING</stp>
        <stp>WINFUT</stp>
        <stp>1130</stp>
        <stp>SALDO</stp>
        <stp>VOLF</stp>
        <tr r="V27" s="7"/>
      </tp>
      <tp t="e">
        <v>#N/A</v>
        <stp/>
        <stp>PLAYERSRANKING</stp>
        <stp>WDOFUT</stp>
        <stp>1130</stp>
        <stp>SALDO</stp>
        <stp>VOLF</stp>
        <tr r="X27" s="7"/>
      </tp>
      <tp t="e">
        <v>#N/A</v>
        <stp/>
        <stp>PLAYERSRANKING</stp>
        <stp>INDFUT</stp>
        <stp>1130</stp>
        <stp>SALDO</stp>
        <stp>VOLF</stp>
        <tr r="U27" s="7"/>
      </tp>
      <tp t="e">
        <v>#N/A</v>
        <stp/>
        <stp>PLAYERSRANKING</stp>
        <stp>DOLFUT</stp>
        <stp>1982</stp>
        <stp>SALDO</stp>
        <stp>VOLF</stp>
        <tr r="W43" s="7"/>
      </tp>
      <tp t="e">
        <v>#N/A</v>
        <stp/>
        <stp>PLAYERSRANKING</stp>
        <stp>INDFUT</stp>
        <stp>1618</stp>
        <stp>SALDO</stp>
        <stp>VOLF</stp>
        <tr r="U26" s="7"/>
      </tp>
      <tp t="e">
        <v>#N/A</v>
        <stp/>
        <stp>PLAYERSRANKING</stp>
        <stp>INDFUT</stp>
        <stp>1982</stp>
        <stp>SALDO</stp>
        <stp>VOLF</stp>
        <tr r="U43" s="7"/>
      </tp>
      <tp t="e">
        <v>#N/A</v>
        <stp/>
        <stp>PLAYERSRANKING</stp>
        <stp>DOLFUT</stp>
        <stp>1618</stp>
        <stp>SALDO</stp>
        <stp>VOLF</stp>
        <tr r="W26" s="7"/>
      </tp>
      <tp t="e">
        <v>#N/A</v>
        <stp/>
        <stp>PLAYERSRANKING</stp>
        <stp>DOLFUT</stp>
        <stp>1130</stp>
        <stp>SALDO</stp>
        <stp>VOLF</stp>
        <tr r="W27" s="7"/>
      </tp>
      <tp t="e">
        <v>#N/A</v>
        <stp/>
        <stp>PLAYERSRANKING</stp>
        <stp>SULA11</stp>
        <stp>6003</stp>
        <stp>SALDO</stp>
        <stp>VOLF</stp>
        <tr r="CQ19" s="7"/>
      </tp>
      <tp t="e">
        <v>#N/A</v>
        <stp/>
        <stp>PLAYERSRANKING</stp>
        <stp>PETR3</stp>
        <stp>27</stp>
        <stp>SALDO</stp>
        <stp>VOLF</stp>
        <tr r="CH38" s="7"/>
      </tp>
      <tp t="e">
        <v>#N/A</v>
        <stp/>
        <stp>PLAYERSRANKING</stp>
        <stp>PETR3</stp>
        <stp>23</stp>
        <stp>SALDO</stp>
        <stp>VOLF</stp>
        <tr r="CH33" s="7"/>
      </tp>
      <tp t="e">
        <v>#N/A</v>
        <stp/>
        <stp>PLAYERSRANKING</stp>
        <stp>PETR3</stp>
        <stp>16</stp>
        <stp>SALDO</stp>
        <stp>VOLF</stp>
        <tr r="CH29" s="7"/>
      </tp>
      <tp t="e">
        <v>#N/A</v>
        <stp/>
        <stp>PLAYERSRANKING</stp>
        <stp>PETR3</stp>
        <stp>13</stp>
        <stp>SALDO</stp>
        <stp>VOLF</stp>
        <tr r="CH30" s="7"/>
      </tp>
      <tp t="e">
        <v>#N/A</v>
        <stp/>
        <stp>PLAYERSRANKING</stp>
        <stp>PETR3</stp>
        <stp>72</stp>
        <stp>SALDO</stp>
        <stp>VOLF</stp>
        <tr r="CH18" s="7"/>
      </tp>
      <tp t="e">
        <v>#N/A</v>
        <stp/>
        <stp>PLAYERSRANKING</stp>
        <stp>PETR3</stp>
        <stp>45</stp>
        <stp>SALDO</stp>
        <stp>VOLF</stp>
        <tr r="CH21" s="7"/>
      </tp>
      <tp t="e">
        <v>#N/A</v>
        <stp/>
        <stp>PLAYERSRANKING</stp>
        <stp>PETR3</stp>
        <stp>40</stp>
        <stp>SALDO</stp>
        <stp>VOLF</stp>
        <tr r="CH32" s="7"/>
      </tp>
      <tp t="e">
        <v>#N/A</v>
        <stp/>
        <stp>PLAYERSRANKING</stp>
        <stp>PETR3</stp>
        <stp>59</stp>
        <stp>SALDO</stp>
        <stp>VOLF</stp>
        <tr r="CH37" s="7"/>
      </tp>
      <tp t="e">
        <v>#N/A</v>
        <stp/>
        <stp>PLAYERSRANKING</stp>
        <stp>PETR3</stp>
        <stp>88</stp>
        <stp>SALDO</stp>
        <stp>VOLF</stp>
        <tr r="CH20" s="7"/>
      </tp>
      <tp t="e">
        <v>#N/A</v>
        <stp/>
        <stp>PLAYERSRANKING</stp>
        <stp>PETR3</stp>
        <stp>85</stp>
        <stp>SALDO</stp>
        <stp>VOLF</stp>
        <tr r="CH17" s="7"/>
      </tp>
      <tp t="e">
        <v>#N/A</v>
        <stp/>
        <stp>PLAYERSRANKING</stp>
        <stp>PETR3</stp>
        <stp>93</stp>
        <stp>SALDO</stp>
        <stp>VOLF</stp>
        <tr r="CH34" s="7"/>
      </tp>
      <tp t="e">
        <v>#N/A</v>
        <stp/>
        <stp>PLAYERSRANKING</stp>
        <stp>PETR3</stp>
        <stp>92</stp>
        <stp>SALDO</stp>
        <stp>VOLF</stp>
        <tr r="CH36" s="7"/>
      </tp>
      <tp t="e">
        <v>#N/A</v>
        <stp/>
        <stp>PLAYERSRANKING</stp>
        <stp>PCAR3</stp>
        <stp>72</stp>
        <stp>SALDO</stp>
        <stp>VOLF</stp>
        <tr r="CG18" s="7"/>
      </tp>
      <tp t="e">
        <v>#N/A</v>
        <stp/>
        <stp>PLAYERSRANKING</stp>
        <stp>PCAR3</stp>
        <stp>59</stp>
        <stp>SALDO</stp>
        <stp>VOLF</stp>
        <tr r="CG37" s="7"/>
      </tp>
      <tp t="e">
        <v>#N/A</v>
        <stp/>
        <stp>PLAYERSRANKING</stp>
        <stp>PCAR3</stp>
        <stp>45</stp>
        <stp>SALDO</stp>
        <stp>VOLF</stp>
        <tr r="CG21" s="7"/>
      </tp>
      <tp t="e">
        <v>#N/A</v>
        <stp/>
        <stp>PLAYERSRANKING</stp>
        <stp>PCAR3</stp>
        <stp>40</stp>
        <stp>SALDO</stp>
        <stp>VOLF</stp>
        <tr r="CG32" s="7"/>
      </tp>
      <tp t="e">
        <v>#N/A</v>
        <stp/>
        <stp>PLAYERSRANKING</stp>
        <stp>PCAR3</stp>
        <stp>27</stp>
        <stp>SALDO</stp>
        <stp>VOLF</stp>
        <tr r="CG38" s="7"/>
      </tp>
      <tp t="e">
        <v>#N/A</v>
        <stp/>
        <stp>PLAYERSRANKING</stp>
        <stp>PCAR3</stp>
        <stp>23</stp>
        <stp>SALDO</stp>
        <stp>VOLF</stp>
        <tr r="CG33" s="7"/>
      </tp>
      <tp t="e">
        <v>#N/A</v>
        <stp/>
        <stp>PLAYERSRANKING</stp>
        <stp>PCAR3</stp>
        <stp>16</stp>
        <stp>SALDO</stp>
        <stp>VOLF</stp>
        <tr r="CG29" s="7"/>
      </tp>
      <tp t="e">
        <v>#N/A</v>
        <stp/>
        <stp>PLAYERSRANKING</stp>
        <stp>PCAR3</stp>
        <stp>13</stp>
        <stp>SALDO</stp>
        <stp>VOLF</stp>
        <tr r="CG30" s="7"/>
      </tp>
      <tp t="e">
        <v>#N/A</v>
        <stp/>
        <stp>PLAYERSRANKING</stp>
        <stp>PCAR3</stp>
        <stp>93</stp>
        <stp>SALDO</stp>
        <stp>VOLF</stp>
        <tr r="CG34" s="7"/>
      </tp>
      <tp t="e">
        <v>#N/A</v>
        <stp/>
        <stp>PLAYERSRANKING</stp>
        <stp>PCAR3</stp>
        <stp>92</stp>
        <stp>SALDO</stp>
        <stp>VOLF</stp>
        <tr r="CG36" s="7"/>
      </tp>
      <tp t="e">
        <v>#N/A</v>
        <stp/>
        <stp>PLAYERSRANKING</stp>
        <stp>PCAR3</stp>
        <stp>88</stp>
        <stp>SALDO</stp>
        <stp>VOLF</stp>
        <tr r="CG20" s="7"/>
      </tp>
      <tp t="e">
        <v>#N/A</v>
        <stp/>
        <stp>PLAYERSRANKING</stp>
        <stp>PCAR3</stp>
        <stp>85</stp>
        <stp>SALDO</stp>
        <stp>VOLF</stp>
        <tr r="CG17" s="7"/>
      </tp>
      <tp t="e">
        <v>#N/A</v>
        <stp/>
        <stp>PLAYERSRANKING</stp>
        <stp>PRIO3</stp>
        <stp>92</stp>
        <stp>SALDO</stp>
        <stp>VOLF</stp>
        <tr r="CJ36" s="7"/>
      </tp>
      <tp t="e">
        <v>#N/A</v>
        <stp/>
        <stp>PLAYERSRANKING</stp>
        <stp>PRIO3</stp>
        <stp>93</stp>
        <stp>SALDO</stp>
        <stp>VOLF</stp>
        <tr r="CJ34" s="7"/>
      </tp>
      <tp t="e">
        <v>#N/A</v>
        <stp/>
        <stp>PLAYERSRANKING</stp>
        <stp>PRIO3</stp>
        <stp>85</stp>
        <stp>SALDO</stp>
        <stp>VOLF</stp>
        <tr r="CJ17" s="7"/>
      </tp>
      <tp t="e">
        <v>#N/A</v>
        <stp/>
        <stp>PLAYERSRANKING</stp>
        <stp>PRIO3</stp>
        <stp>88</stp>
        <stp>SALDO</stp>
        <stp>VOLF</stp>
        <tr r="CJ20" s="7"/>
      </tp>
      <tp t="e">
        <v>#N/A</v>
        <stp/>
        <stp>PLAYERSRANKING</stp>
        <stp>PRIO3</stp>
        <stp>72</stp>
        <stp>SALDO</stp>
        <stp>VOLF</stp>
        <tr r="CJ18" s="7"/>
      </tp>
      <tp t="e">
        <v>#N/A</v>
        <stp/>
        <stp>PLAYERSRANKING</stp>
        <stp>PRIO3</stp>
        <stp>59</stp>
        <stp>SALDO</stp>
        <stp>VOLF</stp>
        <tr r="CJ37" s="7"/>
      </tp>
      <tp t="e">
        <v>#N/A</v>
        <stp/>
        <stp>PLAYERSRANKING</stp>
        <stp>PRIO3</stp>
        <stp>40</stp>
        <stp>SALDO</stp>
        <stp>VOLF</stp>
        <tr r="CJ32" s="7"/>
      </tp>
      <tp t="e">
        <v>#N/A</v>
        <stp/>
        <stp>PLAYERSRANKING</stp>
        <stp>PRIO3</stp>
        <stp>45</stp>
        <stp>SALDO</stp>
        <stp>VOLF</stp>
        <tr r="CJ21" s="7"/>
      </tp>
      <tp t="e">
        <v>#N/A</v>
        <stp/>
        <stp>PLAYERSRANKING</stp>
        <stp>PRIO3</stp>
        <stp>23</stp>
        <stp>SALDO</stp>
        <stp>VOLF</stp>
        <tr r="CJ33" s="7"/>
      </tp>
      <tp t="e">
        <v>#N/A</v>
        <stp/>
        <stp>PLAYERSRANKING</stp>
        <stp>PRIO3</stp>
        <stp>27</stp>
        <stp>SALDO</stp>
        <stp>VOLF</stp>
        <tr r="CJ38" s="7"/>
      </tp>
      <tp t="e">
        <v>#N/A</v>
        <stp/>
        <stp>PLAYERSRANKING</stp>
        <stp>PRIO3</stp>
        <stp>13</stp>
        <stp>SALDO</stp>
        <stp>VOLF</stp>
        <tr r="CJ30" s="7"/>
      </tp>
      <tp t="e">
        <v>#N/A</v>
        <stp/>
        <stp>PLAYERSRANKING</stp>
        <stp>PRIO3</stp>
        <stp>16</stp>
        <stp>SALDO</stp>
        <stp>VOLF</stp>
        <tr r="CJ29" s="7"/>
      </tp>
    </main>
    <main first="rtdtrading.rtdserver">
      <tp>
        <v>30.16</v>
        <stp/>
        <stp>ELET6_B_0</stp>
        <stp>OCP</stp>
        <tr r="E32" s="3"/>
      </tp>
      <tp>
        <v>30.53</v>
        <stp/>
        <stp>ELET3_B_0</stp>
        <stp>OCP</stp>
        <tr r="E31" s="3"/>
      </tp>
      <tp>
        <v>14.4</v>
        <stp/>
        <stp>ABEV3_B_0</stp>
        <stp>OCP</stp>
        <tr r="E2" s="3"/>
      </tp>
      <tp>
        <v>11.81</v>
        <stp/>
        <stp>ENEV3_B_0</stp>
        <stp>OCP</stp>
        <tr r="E35" s="3"/>
      </tp>
      <tp>
        <v>6.2200000000000006</v>
        <stp/>
        <stp>MGLU3_B_0</stp>
        <stp>FEC</stp>
        <tr r="D57" s="3"/>
      </tp>
      <tp>
        <v>0</v>
        <stp/>
        <stp>SUZB3_B_0</stp>
        <stp>PRT</stp>
        <tr r="G73" s="3"/>
      </tp>
      <tp>
        <v>10.02</v>
        <stp/>
        <stp>BEEF3_B_0</stp>
        <stp>OVD</stp>
        <tr r="F10" s="3"/>
      </tp>
      <tp>
        <v>16.66</v>
        <stp/>
        <stp>MULT3_B_0</stp>
        <stp>FEC</stp>
        <tr r="D60" s="3"/>
      </tp>
      <tp>
        <v>2.0499999999999998</v>
        <stp/>
        <stp>CIEL3_B_0</stp>
        <stp>OVD</stp>
        <tr r="F19" s="3"/>
      </tp>
      <tp>
        <v>22.76</v>
        <stp/>
        <stp>LREN3_B_0</stp>
        <stp>OVD</stp>
        <tr r="F56" s="3"/>
      </tp>
      <tp>
        <v>10</v>
        <stp/>
        <stp>BEEF3_B_0</stp>
        <stp>OCP</stp>
        <tr r="E10" s="3"/>
      </tp>
      <tp>
        <v>30.54</v>
        <stp/>
        <stp>ELET3_B_0</stp>
        <stp>OVD</stp>
        <tr r="F31" s="3"/>
      </tp>
      <tp>
        <v>30.2</v>
        <stp/>
        <stp>ELET6_B_0</stp>
        <stp>OVD</stp>
        <tr r="F32" s="3"/>
      </tp>
      <tp>
        <v>84</v>
        <stp/>
        <stp>VALE3_B_0</stp>
        <stp>FEC</stp>
        <tr r="D79" s="3"/>
      </tp>
      <tp>
        <v>11.82</v>
        <stp/>
        <stp>ENEV3_B_0</stp>
        <stp>OVD</stp>
        <tr r="F35" s="3"/>
      </tp>
      <tp>
        <v>6.1000000000000005</v>
        <stp/>
        <stp>CPLE6_B_0</stp>
        <stp>FEC</stp>
        <tr r="D23" s="3"/>
      </tp>
      <tp>
        <v>14.42</v>
        <stp/>
        <stp>ABEV3_B_0</stp>
        <stp>OVD</stp>
        <tr r="F2" s="3"/>
      </tp>
      <tp>
        <v>2.04</v>
        <stp/>
        <stp>CIEL3_B_0</stp>
        <stp>OCP</stp>
        <tr r="E19" s="3"/>
      </tp>
      <tp>
        <v>52.47</v>
        <stp/>
        <stp>BRKM5_B_0</stp>
        <stp>ABE</stp>
        <tr r="C15" s="3"/>
      </tp>
      <tp>
        <v>22.75</v>
        <stp/>
        <stp>LREN3_B_0</stp>
        <stp>OCP</stp>
        <tr r="E56" s="3"/>
      </tp>
      <tp>
        <v>15.770000000000001</v>
        <stp/>
        <stp>GOLL4_B_0</stp>
        <stp>FEC</stp>
        <tr r="D43" s="3"/>
      </tp>
      <tp>
        <v>39.200000000000003</v>
        <stp/>
        <stp>ENGI11_B_0</stp>
        <stp>ABE</stp>
        <tr r="C36" s="3"/>
      </tp>
      <tp>
        <v>25.220000000000002</v>
        <stp/>
        <stp>KLBN11_B_0</stp>
        <stp>FEC</stp>
        <tr r="D53" s="3"/>
      </tp>
    </main>
    <main first="srv.rtd">
      <tp t="e">
        <v>#N/A</v>
        <stp/>
        <stp>PLAYERSRANKING</stp>
        <stp>QUAL3</stp>
        <stp>72</stp>
        <stp>SALDO</stp>
        <stp>VOLF</stp>
        <tr r="CK18" s="7"/>
      </tp>
      <tp t="e">
        <v>#N/A</v>
        <stp/>
        <stp>PLAYERSRANKING</stp>
        <stp>QUAL3</stp>
        <stp>59</stp>
        <stp>SALDO</stp>
        <stp>VOLF</stp>
        <tr r="CK37" s="7"/>
      </tp>
      <tp t="e">
        <v>#N/A</v>
        <stp/>
        <stp>PLAYERSRANKING</stp>
        <stp>QUAL3</stp>
        <stp>40</stp>
        <stp>SALDO</stp>
        <stp>VOLF</stp>
        <tr r="CK32" s="7"/>
      </tp>
      <tp t="e">
        <v>#N/A</v>
        <stp/>
        <stp>PLAYERSRANKING</stp>
        <stp>QUAL3</stp>
        <stp>45</stp>
        <stp>SALDO</stp>
        <stp>VOLF</stp>
        <tr r="CK21" s="7"/>
      </tp>
      <tp t="e">
        <v>#N/A</v>
        <stp/>
        <stp>PLAYERSRANKING</stp>
        <stp>QUAL3</stp>
        <stp>23</stp>
        <stp>SALDO</stp>
        <stp>VOLF</stp>
        <tr r="CK33" s="7"/>
      </tp>
      <tp t="e">
        <v>#N/A</v>
        <stp/>
        <stp>PLAYERSRANKING</stp>
        <stp>QUAL3</stp>
        <stp>27</stp>
        <stp>SALDO</stp>
        <stp>VOLF</stp>
        <tr r="CK38" s="7"/>
      </tp>
      <tp t="e">
        <v>#N/A</v>
        <stp/>
        <stp>PLAYERSRANKING</stp>
        <stp>QUAL3</stp>
        <stp>13</stp>
        <stp>SALDO</stp>
        <stp>VOLF</stp>
        <tr r="CK30" s="7"/>
      </tp>
      <tp t="e">
        <v>#N/A</v>
        <stp/>
        <stp>PLAYERSRANKING</stp>
        <stp>QUAL3</stp>
        <stp>16</stp>
        <stp>SALDO</stp>
        <stp>VOLF</stp>
        <tr r="CK29" s="7"/>
      </tp>
      <tp t="e">
        <v>#N/A</v>
        <stp/>
        <stp>PLAYERSRANKING</stp>
        <stp>QUAL3</stp>
        <stp>93</stp>
        <stp>SALDO</stp>
        <stp>VOLF</stp>
        <tr r="CK34" s="7"/>
      </tp>
      <tp t="e">
        <v>#N/A</v>
        <stp/>
        <stp>PLAYERSRANKING</stp>
        <stp>QUAL3</stp>
        <stp>92</stp>
        <stp>SALDO</stp>
        <stp>VOLF</stp>
        <tr r="CK36" s="7"/>
      </tp>
      <tp t="e">
        <v>#N/A</v>
        <stp/>
        <stp>PLAYERSRANKING</stp>
        <stp>QUAL3</stp>
        <stp>85</stp>
        <stp>SALDO</stp>
        <stp>VOLF</stp>
        <tr r="CK17" s="7"/>
      </tp>
      <tp t="e">
        <v>#N/A</v>
        <stp/>
        <stp>PLAYERSRANKING</stp>
        <stp>QUAL3</stp>
        <stp>88</stp>
        <stp>SALDO</stp>
        <stp>VOLF</stp>
        <tr r="CK20" s="7"/>
      </tp>
    </main>
    <main first="rtdtrading.rtdserver">
      <tp>
        <v>12.43</v>
        <stp/>
        <stp>TIMS3_B_0</stp>
        <stp>FEC</stp>
        <tr r="D75" s="3"/>
      </tp>
      <tp>
        <v>0</v>
        <stp/>
        <stp>BRDT3_B_0</stp>
        <stp>OCP</stp>
        <tr r="E13" s="3"/>
      </tp>
      <tp>
        <v>20.240000000000002</v>
        <stp/>
        <stp>BBDC4_B_0</stp>
        <stp>OVD</stp>
        <tr r="F8" s="3"/>
      </tp>
      <tp>
        <v>16.79</v>
        <stp/>
        <stp>BBDC3_B_0</stp>
        <stp>OVD</stp>
        <tr r="F7" s="3"/>
      </tp>
    </main>
    <main first="srv.rtd">
      <tp t="e">
        <v>#N/A</v>
        <stp/>
        <stp>PLAYERSRANKING</stp>
        <stp>SULA11</stp>
        <stp>8</stp>
        <stp>SALDO</stp>
        <stp>VOLF</stp>
        <tr r="CQ41" s="7"/>
      </tp>
      <tp t="e">
        <v>#N/A</v>
        <stp/>
        <stp>PLAYERSRANKING</stp>
        <stp>SULA11</stp>
        <stp>3</stp>
        <stp>SALDO</stp>
        <stp>VOLF</stp>
        <tr r="CQ45" s="7"/>
      </tp>
    </main>
    <main first="rtdtrading.rtdserver">
      <tp>
        <v>57.31</v>
        <stp/>
        <stp>GNDI3_B_0</stp>
        <stp>OVD</stp>
        <tr r="F41" s="3"/>
      </tp>
      <tp>
        <v>21.35</v>
        <stp/>
        <stp>RADL3_B_0</stp>
        <stp>OVD</stp>
        <tr r="F67" s="3"/>
      </tp>
      <tp>
        <v>0</v>
        <stp/>
        <stp>BRDT3_B_0</stp>
        <stp>OVD</stp>
        <tr r="F13" s="3"/>
      </tp>
      <tp>
        <v>16.78</v>
        <stp/>
        <stp>BBDC3_B_0</stp>
        <stp>OCP</stp>
        <tr r="E7" s="3"/>
      </tp>
      <tp>
        <v>20.23</v>
        <stp/>
        <stp>BBDC4_B_0</stp>
        <stp>OCP</stp>
        <tr r="E8" s="3"/>
      </tp>
      <tp>
        <v>5.21</v>
        <stp/>
        <stp>LAME4_B_0</stp>
        <stp>FEC</stp>
        <tr r="D54" s="3"/>
      </tp>
      <tp>
        <v>21.32</v>
        <stp/>
        <stp>RADL3_B_0</stp>
        <stp>OCP</stp>
        <tr r="E67" s="3"/>
      </tp>
      <tp>
        <v>57.22</v>
        <stp/>
        <stp>GNDI3_B_0</stp>
        <stp>OCP</stp>
        <tr r="E41" s="3"/>
      </tp>
    </main>
    <main first="srv.rtd">
      <tp t="e">
        <v>#N/A</v>
        <stp/>
        <stp>PLAYERSRANKING</stp>
        <stp>SANB11</stp>
        <stp>8</stp>
        <stp>SALDO</stp>
        <stp>VOLF</stp>
        <tr r="CO41" s="7"/>
      </tp>
      <tp t="e">
        <v>#N/A</v>
        <stp/>
        <stp>PLAYERSRANKING</stp>
        <stp>SANB11</stp>
        <stp>3</stp>
        <stp>SALDO</stp>
        <stp>VOLF</stp>
        <tr r="CO45" s="7"/>
      </tp>
    </main>
    <main first="rtdtrading.rtdserver">
      <tp>
        <v>7.28</v>
        <stp/>
        <stp>BRML3_B_0</stp>
        <stp>FEC</stp>
        <tr r="D16" s="3"/>
      </tp>
    </main>
    <main first="srv.rtd">
      <tp t="e">
        <v>#N/A</v>
        <stp/>
        <stp>PLAYERSRANKING</stp>
        <stp>RENT3</stp>
        <stp>88</stp>
        <stp>SALDO</stp>
        <stp>VOLF</stp>
        <tr r="CN20" s="7"/>
      </tp>
      <tp t="e">
        <v>#N/A</v>
        <stp/>
        <stp>PLAYERSRANKING</stp>
        <stp>RENT3</stp>
        <stp>85</stp>
        <stp>SALDO</stp>
        <stp>VOLF</stp>
        <tr r="CN17" s="7"/>
      </tp>
      <tp t="e">
        <v>#N/A</v>
        <stp/>
        <stp>PLAYERSRANKING</stp>
        <stp>RENT3</stp>
        <stp>93</stp>
        <stp>SALDO</stp>
        <stp>VOLF</stp>
        <tr r="CN34" s="7"/>
      </tp>
      <tp t="e">
        <v>#N/A</v>
        <stp/>
        <stp>PLAYERSRANKING</stp>
        <stp>RENT3</stp>
        <stp>92</stp>
        <stp>SALDO</stp>
        <stp>VOLF</stp>
        <tr r="CN36" s="7"/>
      </tp>
      <tp t="e">
        <v>#N/A</v>
        <stp/>
        <stp>PLAYERSRANKING</stp>
        <stp>RENT3</stp>
        <stp>13</stp>
        <stp>SALDO</stp>
        <stp>VOLF</stp>
        <tr r="CN30" s="7"/>
      </tp>
      <tp t="e">
        <v>#N/A</v>
        <stp/>
        <stp>PLAYERSRANKING</stp>
        <stp>RENT3</stp>
        <stp>16</stp>
        <stp>SALDO</stp>
        <stp>VOLF</stp>
        <tr r="CN29" s="7"/>
      </tp>
      <tp t="e">
        <v>#N/A</v>
        <stp/>
        <stp>PLAYERSRANKING</stp>
        <stp>RENT3</stp>
        <stp>23</stp>
        <stp>SALDO</stp>
        <stp>VOLF</stp>
        <tr r="CN33" s="7"/>
      </tp>
      <tp t="e">
        <v>#N/A</v>
        <stp/>
        <stp>PLAYERSRANKING</stp>
        <stp>RENT3</stp>
        <stp>27</stp>
        <stp>SALDO</stp>
        <stp>VOLF</stp>
        <tr r="CN38" s="7"/>
      </tp>
      <tp t="e">
        <v>#N/A</v>
        <stp/>
        <stp>PLAYERSRANKING</stp>
        <stp>RENT3</stp>
        <stp>40</stp>
        <stp>SALDO</stp>
        <stp>VOLF</stp>
        <tr r="CN32" s="7"/>
      </tp>
      <tp t="e">
        <v>#N/A</v>
        <stp/>
        <stp>PLAYERSRANKING</stp>
        <stp>RENT3</stp>
        <stp>45</stp>
        <stp>SALDO</stp>
        <stp>VOLF</stp>
        <tr r="CN21" s="7"/>
      </tp>
      <tp t="e">
        <v>#N/A</v>
        <stp/>
        <stp>PLAYERSRANKING</stp>
        <stp>RENT3</stp>
        <stp>59</stp>
        <stp>SALDO</stp>
        <stp>VOLF</stp>
        <tr r="CN37" s="7"/>
      </tp>
      <tp t="e">
        <v>#N/A</v>
        <stp/>
        <stp>PLAYERSRANKING</stp>
        <stp>RENT3</stp>
        <stp>72</stp>
        <stp>SALDO</stp>
        <stp>VOLF</stp>
        <tr r="CN18" s="7"/>
      </tp>
      <tp t="e">
        <v>#N/A</v>
        <stp/>
        <stp>PLAYERSRANKING</stp>
        <stp>RADL3</stp>
        <stp>23</stp>
        <stp>SALDO</stp>
        <stp>VOLF</stp>
        <tr r="CL33" s="7"/>
      </tp>
      <tp t="e">
        <v>#N/A</v>
        <stp/>
        <stp>PLAYERSRANKING</stp>
        <stp>RADL3</stp>
        <stp>27</stp>
        <stp>SALDO</stp>
        <stp>VOLF</stp>
        <tr r="CL38" s="7"/>
      </tp>
      <tp t="e">
        <v>#N/A</v>
        <stp/>
        <stp>PLAYERSRANKING</stp>
        <stp>RADL3</stp>
        <stp>13</stp>
        <stp>SALDO</stp>
        <stp>VOLF</stp>
        <tr r="CL30" s="7"/>
      </tp>
      <tp t="e">
        <v>#N/A</v>
        <stp/>
        <stp>PLAYERSRANKING</stp>
        <stp>RADL3</stp>
        <stp>16</stp>
        <stp>SALDO</stp>
        <stp>VOLF</stp>
        <tr r="CL29" s="7"/>
      </tp>
      <tp t="e">
        <v>#N/A</v>
        <stp/>
        <stp>PLAYERSRANKING</stp>
        <stp>RADL3</stp>
        <stp>72</stp>
        <stp>SALDO</stp>
        <stp>VOLF</stp>
        <tr r="CL18" s="7"/>
      </tp>
      <tp t="e">
        <v>#N/A</v>
        <stp/>
        <stp>PLAYERSRANKING</stp>
        <stp>RAIL3</stp>
        <stp>93</stp>
        <stp>SALDO</stp>
        <stp>VOLF</stp>
        <tr r="CM34" s="7"/>
      </tp>
      <tp t="e">
        <v>#N/A</v>
        <stp/>
        <stp>PLAYERSRANKING</stp>
        <stp>RAIL3</stp>
        <stp>92</stp>
        <stp>SALDO</stp>
        <stp>VOLF</stp>
        <tr r="CM36" s="7"/>
      </tp>
      <tp t="e">
        <v>#N/A</v>
        <stp/>
        <stp>PLAYERSRANKING</stp>
        <stp>RADL3</stp>
        <stp>40</stp>
        <stp>SALDO</stp>
        <stp>VOLF</stp>
        <tr r="CL32" s="7"/>
      </tp>
      <tp t="e">
        <v>#N/A</v>
        <stp/>
        <stp>PLAYERSRANKING</stp>
        <stp>RADL3</stp>
        <stp>45</stp>
        <stp>SALDO</stp>
        <stp>VOLF</stp>
        <tr r="CL21" s="7"/>
      </tp>
      <tp t="e">
        <v>#N/A</v>
        <stp/>
        <stp>PLAYERSRANKING</stp>
        <stp>RAIL3</stp>
        <stp>85</stp>
        <stp>SALDO</stp>
        <stp>VOLF</stp>
        <tr r="CM17" s="7"/>
      </tp>
      <tp t="e">
        <v>#N/A</v>
        <stp/>
        <stp>PLAYERSRANKING</stp>
        <stp>RADL3</stp>
        <stp>59</stp>
        <stp>SALDO</stp>
        <stp>VOLF</stp>
        <tr r="CL37" s="7"/>
      </tp>
      <tp t="e">
        <v>#N/A</v>
        <stp/>
        <stp>PLAYERSRANKING</stp>
        <stp>RAIL3</stp>
        <stp>88</stp>
        <stp>SALDO</stp>
        <stp>VOLF</stp>
        <tr r="CM20" s="7"/>
      </tp>
      <tp t="e">
        <v>#N/A</v>
        <stp/>
        <stp>PLAYERSRANKING</stp>
        <stp>RAIL3</stp>
        <stp>72</stp>
        <stp>SALDO</stp>
        <stp>VOLF</stp>
        <tr r="CM18" s="7"/>
      </tp>
      <tp t="e">
        <v>#N/A</v>
        <stp/>
        <stp>PLAYERSRANKING</stp>
        <stp>RADL3</stp>
        <stp>85</stp>
        <stp>SALDO</stp>
        <stp>VOLF</stp>
        <tr r="CL17" s="7"/>
      </tp>
      <tp t="e">
        <v>#N/A</v>
        <stp/>
        <stp>PLAYERSRANKING</stp>
        <stp>RAIL3</stp>
        <stp>59</stp>
        <stp>SALDO</stp>
        <stp>VOLF</stp>
        <tr r="CM37" s="7"/>
      </tp>
      <tp t="e">
        <v>#N/A</v>
        <stp/>
        <stp>PLAYERSRANKING</stp>
        <stp>RADL3</stp>
        <stp>88</stp>
        <stp>SALDO</stp>
        <stp>VOLF</stp>
        <tr r="CL20" s="7"/>
      </tp>
      <tp t="e">
        <v>#N/A</v>
        <stp/>
        <stp>PLAYERSRANKING</stp>
        <stp>RADL3</stp>
        <stp>93</stp>
        <stp>SALDO</stp>
        <stp>VOLF</stp>
        <tr r="CL34" s="7"/>
      </tp>
      <tp t="e">
        <v>#N/A</v>
        <stp/>
        <stp>PLAYERSRANKING</stp>
        <stp>RADL3</stp>
        <stp>92</stp>
        <stp>SALDO</stp>
        <stp>VOLF</stp>
        <tr r="CL36" s="7"/>
      </tp>
      <tp t="e">
        <v>#N/A</v>
        <stp/>
        <stp>PLAYERSRANKING</stp>
        <stp>RAIL3</stp>
        <stp>40</stp>
        <stp>SALDO</stp>
        <stp>VOLF</stp>
        <tr r="CM32" s="7"/>
      </tp>
      <tp t="e">
        <v>#N/A</v>
        <stp/>
        <stp>PLAYERSRANKING</stp>
        <stp>RAIL3</stp>
        <stp>45</stp>
        <stp>SALDO</stp>
        <stp>VOLF</stp>
        <tr r="CM21" s="7"/>
      </tp>
      <tp t="e">
        <v>#N/A</v>
        <stp/>
        <stp>PLAYERSRANKING</stp>
        <stp>RAIL3</stp>
        <stp>23</stp>
        <stp>SALDO</stp>
        <stp>VOLF</stp>
        <tr r="CM33" s="7"/>
      </tp>
      <tp t="e">
        <v>#N/A</v>
        <stp/>
        <stp>PLAYERSRANKING</stp>
        <stp>RAIL3</stp>
        <stp>27</stp>
        <stp>SALDO</stp>
        <stp>VOLF</stp>
        <tr r="CM38" s="7"/>
      </tp>
      <tp t="e">
        <v>#N/A</v>
        <stp/>
        <stp>PLAYERSRANKING</stp>
        <stp>RAIL3</stp>
        <stp>13</stp>
        <stp>SALDO</stp>
        <stp>VOLF</stp>
        <tr r="CM30" s="7"/>
      </tp>
      <tp t="e">
        <v>#N/A</v>
        <stp/>
        <stp>PLAYERSRANKING</stp>
        <stp>RAIL3</stp>
        <stp>16</stp>
        <stp>SALDO</stp>
        <stp>VOLF</stp>
        <tr r="CM29" s="7"/>
      </tp>
    </main>
    <main first="rtdtrading.rtdserver">
      <tp>
        <v>29.17</v>
        <stp/>
        <stp>WEGE3_B_0</stp>
        <stp>OVD</stp>
        <tr r="F82" s="3"/>
      </tp>
      <tp>
        <v>49.47</v>
        <stp/>
        <stp>RENT3_B_0</stp>
        <stp>FEC</stp>
        <tr r="D69" s="3"/>
      </tp>
      <tp>
        <v>2.06</v>
        <stp/>
        <stp>COGN3_B_0</stp>
        <stp>OVD</stp>
        <tr r="F21" s="3"/>
      </tp>
      <tp>
        <v>29.150000000000002</v>
        <stp/>
        <stp>WEGE3_B_0</stp>
        <stp>OCP</stp>
        <tr r="E82" s="3"/>
      </tp>
      <tp>
        <v>37.35</v>
        <stp/>
        <stp>EGIE3_B_0</stp>
        <stp>ABE</stp>
        <tr r="C30" s="3"/>
      </tp>
      <tp>
        <v>24.12</v>
        <stp/>
        <stp>CSNA3_B_0</stp>
        <stp>FEC</stp>
        <tr r="D26" s="3"/>
      </tp>
      <tp>
        <v>12.21</v>
        <stp/>
        <stp>CMIG4_B_0</stp>
        <stp>ABE</stp>
        <tr r="C20" s="3"/>
      </tp>
    </main>
    <main first="srv.rtd">
      <tp t="e">
        <v>#N/A</v>
        <stp/>
        <stp>PLAYERSRANKING</stp>
        <stp>B3SA3</stp>
        <stp>238</stp>
        <stp>SALDO</stp>
        <stp>VOLF</stp>
        <tr r="AB23" s="7"/>
      </tp>
    </main>
    <main first="srv.rtd">
      <tp t="e">
        <v>#N/A</v>
        <stp/>
        <stp>PLAYERSRANKING</stp>
        <stp>B3SA3</stp>
        <stp>308</stp>
        <stp>SALDO</stp>
        <stp>VOLF</stp>
        <tr r="AB42" s="7"/>
      </tp>
      <tp t="e">
        <v>#N/A</v>
        <stp/>
        <stp>PLAYERSRANKING</stp>
        <stp>B3SA3</stp>
        <stp>386</stp>
        <stp>SALDO</stp>
        <stp>VOLF</stp>
        <tr r="AB44" s="7"/>
      </tp>
    </main>
    <main first="srv.rtd">
      <tp t="e">
        <v>#N/A</v>
        <stp/>
        <stp>PLAYERSRANKING</stp>
        <stp>B3SA3</stp>
        <stp>147</stp>
        <stp>SALDO</stp>
        <stp>VOLF</stp>
        <tr r="AB14" s="7"/>
      </tp>
      <tp t="e">
        <v>#N/A</v>
        <stp/>
        <stp>PLAYERSRANKING</stp>
        <stp>B3SA3</stp>
        <stp>127</stp>
        <stp>SALDO</stp>
        <stp>VOLF</stp>
        <tr r="AB40" s="7"/>
      </tp>
      <tp t="e">
        <v>#N/A</v>
        <stp/>
        <stp>PLAYERSRANKING</stp>
        <stp>B3SA3</stp>
        <stp>122</stp>
        <stp>SALDO</stp>
        <stp>VOLF</stp>
        <tr r="AB15" s="7"/>
      </tp>
      <tp t="e">
        <v>#N/A</v>
        <stp/>
        <stp>PLAYERSRANKING</stp>
        <stp>B3SA3</stp>
        <stp>120</stp>
        <stp>SALDO</stp>
        <stp>VOLF</stp>
        <tr r="AB22" s="7"/>
      </tp>
      <tp t="e">
        <v>#N/A</v>
        <stp/>
        <stp>PLAYERSRANKING</stp>
        <stp>B3SA3</stp>
        <stp>114</stp>
        <stp>SALDO</stp>
        <stp>VOLF</stp>
        <tr r="AB28" s="7"/>
      </tp>
    </main>
    <main first="rtdtrading.rtdserver">
      <tp>
        <v>15.819999999999999</v>
        <stp/>
        <stp>RAIL3_B_0</stp>
        <stp>ABE</stp>
        <tr r="C68" s="3"/>
      </tp>
      <tp>
        <v>14.32</v>
        <stp/>
        <stp>USIM5_B_0</stp>
        <stp>ABE</stp>
        <tr r="C78" s="3"/>
      </tp>
      <tp>
        <v>2.0499999999999998</v>
        <stp/>
        <stp>COGN3_B_0</stp>
        <stp>OCP</stp>
        <tr r="E21" s="3"/>
      </tp>
      <tp>
        <v>19.559999999999999</v>
        <stp/>
        <stp>PRIO3_B_0</stp>
        <stp>ABE</stp>
        <tr r="C65" s="3"/>
      </tp>
      <tp>
        <v>36.26</v>
        <stp/>
        <stp>TAEE11_B_0</stp>
        <stp>OCP</stp>
        <tr r="E74" s="3"/>
      </tp>
      <tp>
        <v>36.28</v>
        <stp/>
        <stp>TAEE11_B_0</stp>
        <stp>OVD</stp>
        <tr r="F74" s="3"/>
      </tp>
    </main>
    <main first="srv.rtd">
      <tp t="e">
        <v>#N/A</v>
        <stp/>
        <stp>PLAYERSRANKING</stp>
        <stp>FLRY3</stp>
        <stp>8</stp>
        <stp>SALDO</stp>
        <stp>VOLF</stp>
        <tr r="BJ41" s="7"/>
      </tp>
      <tp t="e">
        <v>#N/A</v>
        <stp/>
        <stp>PLAYERSRANKING</stp>
        <stp>FLRY3</stp>
        <stp>3</stp>
        <stp>SALDO</stp>
        <stp>VOLF</stp>
        <tr r="BJ45" s="7"/>
      </tp>
    </main>
    <main first="srv.rtd">
      <tp t="e">
        <v>#N/A</v>
        <stp/>
        <stp>PLAYERSRANKING</stp>
        <stp>SBSP3</stp>
        <stp>59</stp>
        <stp>SALDO</stp>
        <stp>VOLF</stp>
        <tr r="CP37" s="7"/>
      </tp>
      <tp t="e">
        <v>#N/A</v>
        <stp/>
        <stp>PLAYERSRANKING</stp>
        <stp>SBSP3</stp>
        <stp>45</stp>
        <stp>SALDO</stp>
        <stp>VOLF</stp>
        <tr r="CP21" s="7"/>
      </tp>
      <tp t="e">
        <v>#N/A</v>
        <stp/>
        <stp>PLAYERSRANKING</stp>
        <stp>SBSP3</stp>
        <stp>40</stp>
        <stp>SALDO</stp>
        <stp>VOLF</stp>
        <tr r="CP32" s="7"/>
      </tp>
      <tp t="e">
        <v>#N/A</v>
        <stp/>
        <stp>PLAYERSRANKING</stp>
        <stp>SBSP3</stp>
        <stp>72</stp>
        <stp>SALDO</stp>
        <stp>VOLF</stp>
        <tr r="CP18" s="7"/>
      </tp>
      <tp t="e">
        <v>#N/A</v>
        <stp/>
        <stp>PLAYERSRANKING</stp>
        <stp>SBSP3</stp>
        <stp>16</stp>
        <stp>SALDO</stp>
        <stp>VOLF</stp>
        <tr r="CP29" s="7"/>
      </tp>
      <tp t="e">
        <v>#N/A</v>
        <stp/>
        <stp>PLAYERSRANKING</stp>
        <stp>SBSP3</stp>
        <stp>13</stp>
        <stp>SALDO</stp>
        <stp>VOLF</stp>
        <tr r="CP30" s="7"/>
      </tp>
      <tp t="e">
        <v>#N/A</v>
        <stp/>
        <stp>PLAYERSRANKING</stp>
        <stp>SBSP3</stp>
        <stp>27</stp>
        <stp>SALDO</stp>
        <stp>VOLF</stp>
        <tr r="CP38" s="7"/>
      </tp>
      <tp t="e">
        <v>#N/A</v>
        <stp/>
        <stp>PLAYERSRANKING</stp>
        <stp>SBSP3</stp>
        <stp>23</stp>
        <stp>SALDO</stp>
        <stp>VOLF</stp>
        <tr r="CP33" s="7"/>
      </tp>
      <tp t="e">
        <v>#N/A</v>
        <stp/>
        <stp>PLAYERSRANKING</stp>
        <stp>SBSP3</stp>
        <stp>93</stp>
        <stp>SALDO</stp>
        <stp>VOLF</stp>
        <tr r="CP34" s="7"/>
      </tp>
      <tp t="e">
        <v>#N/A</v>
        <stp/>
        <stp>PLAYERSRANKING</stp>
        <stp>SBSP3</stp>
        <stp>92</stp>
        <stp>SALDO</stp>
        <stp>VOLF</stp>
        <tr r="CP36" s="7"/>
      </tp>
      <tp t="e">
        <v>#N/A</v>
        <stp/>
        <stp>PLAYERSRANKING</stp>
        <stp>SBSP3</stp>
        <stp>88</stp>
        <stp>SALDO</stp>
        <stp>VOLF</stp>
        <tr r="CP20" s="7"/>
      </tp>
      <tp t="e">
        <v>#N/A</v>
        <stp/>
        <stp>PLAYERSRANKING</stp>
        <stp>SBSP3</stp>
        <stp>85</stp>
        <stp>SALDO</stp>
        <stp>VOLF</stp>
        <tr r="CP17" s="7"/>
      </tp>
      <tp t="e">
        <v>#N/A</v>
        <stp/>
        <stp>PLAYERSRANKING</stp>
        <stp>SUZB3</stp>
        <stp>88</stp>
        <stp>SALDO</stp>
        <stp>VOLF</stp>
        <tr r="CR20" s="7"/>
      </tp>
      <tp t="e">
        <v>#N/A</v>
        <stp/>
        <stp>PLAYERSRANKING</stp>
        <stp>SUZB3</stp>
        <stp>85</stp>
        <stp>SALDO</stp>
        <stp>VOLF</stp>
        <tr r="CR17" s="7"/>
      </tp>
      <tp t="e">
        <v>#N/A</v>
        <stp/>
        <stp>PLAYERSRANKING</stp>
        <stp>SUZB3</stp>
        <stp>93</stp>
        <stp>SALDO</stp>
        <stp>VOLF</stp>
        <tr r="CR34" s="7"/>
      </tp>
      <tp t="e">
        <v>#N/A</v>
        <stp/>
        <stp>PLAYERSRANKING</stp>
        <stp>SUZB3</stp>
        <stp>92</stp>
        <stp>SALDO</stp>
        <stp>VOLF</stp>
        <tr r="CR36" s="7"/>
      </tp>
      <tp t="e">
        <v>#N/A</v>
        <stp/>
        <stp>PLAYERSRANKING</stp>
        <stp>SUZB3</stp>
        <stp>45</stp>
        <stp>SALDO</stp>
        <stp>VOLF</stp>
        <tr r="CR21" s="7"/>
      </tp>
      <tp t="e">
        <v>#N/A</v>
        <stp/>
        <stp>PLAYERSRANKING</stp>
        <stp>SUZB3</stp>
        <stp>40</stp>
        <stp>SALDO</stp>
        <stp>VOLF</stp>
        <tr r="CR32" s="7"/>
      </tp>
      <tp t="e">
        <v>#N/A</v>
        <stp/>
        <stp>PLAYERSRANKING</stp>
        <stp>SUZB3</stp>
        <stp>59</stp>
        <stp>SALDO</stp>
        <stp>VOLF</stp>
        <tr r="CR37" s="7"/>
      </tp>
      <tp t="e">
        <v>#N/A</v>
        <stp/>
        <stp>PLAYERSRANKING</stp>
        <stp>SUZB3</stp>
        <stp>72</stp>
        <stp>SALDO</stp>
        <stp>VOLF</stp>
        <tr r="CR18" s="7"/>
      </tp>
      <tp t="e">
        <v>#N/A</v>
        <stp/>
        <stp>PLAYERSRANKING</stp>
        <stp>SUZB3</stp>
        <stp>16</stp>
        <stp>SALDO</stp>
        <stp>VOLF</stp>
        <tr r="CR29" s="7"/>
      </tp>
      <tp t="e">
        <v>#N/A</v>
        <stp/>
        <stp>PLAYERSRANKING</stp>
        <stp>SUZB3</stp>
        <stp>13</stp>
        <stp>SALDO</stp>
        <stp>VOLF</stp>
        <tr r="CR30" s="7"/>
      </tp>
      <tp t="e">
        <v>#N/A</v>
        <stp/>
        <stp>PLAYERSRANKING</stp>
        <stp>SUZB3</stp>
        <stp>27</stp>
        <stp>SALDO</stp>
        <stp>VOLF</stp>
        <tr r="CR38" s="7"/>
      </tp>
      <tp t="e">
        <v>#N/A</v>
        <stp/>
        <stp>PLAYERSRANKING</stp>
        <stp>SUZB3</stp>
        <stp>23</stp>
        <stp>SALDO</stp>
        <stp>VOLF</stp>
        <tr r="CR33" s="7"/>
      </tp>
      <tp t="e">
        <v>#N/A</v>
        <stp/>
        <stp>PLAYERSRANKING</stp>
        <stp>USIM5</stp>
        <stp>92</stp>
        <stp>SALDO</stp>
        <stp>VOLF</stp>
        <tr r="CW36" s="7"/>
      </tp>
      <tp t="e">
        <v>#N/A</v>
        <stp/>
        <stp>PLAYERSRANKING</stp>
        <stp>USIM5</stp>
        <stp>93</stp>
        <stp>SALDO</stp>
        <stp>VOLF</stp>
        <tr r="CW34" s="7"/>
      </tp>
      <tp t="e">
        <v>#N/A</v>
        <stp/>
        <stp>PLAYERSRANKING</stp>
        <stp>USIM5</stp>
        <stp>85</stp>
        <stp>SALDO</stp>
        <stp>VOLF</stp>
        <tr r="CW17" s="7"/>
      </tp>
      <tp t="e">
        <v>#N/A</v>
        <stp/>
        <stp>PLAYERSRANKING</stp>
        <stp>USIM5</stp>
        <stp>88</stp>
        <stp>SALDO</stp>
        <stp>VOLF</stp>
        <tr r="CW20" s="7"/>
      </tp>
      <tp t="e">
        <v>#N/A</v>
        <stp/>
        <stp>PLAYERSRANKING</stp>
        <stp>USIM5</stp>
        <stp>72</stp>
        <stp>SALDO</stp>
        <stp>VOLF</stp>
        <tr r="CW18" s="7"/>
      </tp>
      <tp t="e">
        <v>#N/A</v>
        <stp/>
        <stp>PLAYERSRANKING</stp>
        <stp>USIM5</stp>
        <stp>59</stp>
        <stp>SALDO</stp>
        <stp>VOLF</stp>
        <tr r="CW37" s="7"/>
      </tp>
      <tp t="e">
        <v>#N/A</v>
        <stp/>
        <stp>PLAYERSRANKING</stp>
        <stp>USIM5</stp>
        <stp>40</stp>
        <stp>SALDO</stp>
        <stp>VOLF</stp>
        <tr r="CW32" s="7"/>
      </tp>
      <tp t="e">
        <v>#N/A</v>
        <stp/>
        <stp>PLAYERSRANKING</stp>
        <stp>USIM5</stp>
        <stp>45</stp>
        <stp>SALDO</stp>
        <stp>VOLF</stp>
        <tr r="CW21" s="7"/>
      </tp>
      <tp t="e">
        <v>#N/A</v>
        <stp/>
        <stp>PLAYERSRANKING</stp>
        <stp>USIM5</stp>
        <stp>23</stp>
        <stp>SALDO</stp>
        <stp>VOLF</stp>
        <tr r="CW33" s="7"/>
      </tp>
      <tp t="e">
        <v>#N/A</v>
        <stp/>
        <stp>PLAYERSRANKING</stp>
        <stp>USIM5</stp>
        <stp>27</stp>
        <stp>SALDO</stp>
        <stp>VOLF</stp>
        <tr r="CW38" s="7"/>
      </tp>
      <tp t="e">
        <v>#N/A</v>
        <stp/>
        <stp>PLAYERSRANKING</stp>
        <stp>USIM5</stp>
        <stp>13</stp>
        <stp>SALDO</stp>
        <stp>VOLF</stp>
        <tr r="CW30" s="7"/>
      </tp>
      <tp t="e">
        <v>#N/A</v>
        <stp/>
        <stp>PLAYERSRANKING</stp>
        <stp>USIM5</stp>
        <stp>16</stp>
        <stp>SALDO</stp>
        <stp>VOLF</stp>
        <tr r="CW29" s="7"/>
      </tp>
    </main>
    <main first="rtdtrading.rtdserver">
      <tp>
        <v>7</v>
        <stp/>
        <stp>ECOR3_B_0</stp>
        <stp>FEC</stp>
        <tr r="D29" s="3"/>
      </tp>
      <tp>
        <v>13.81</v>
        <stp/>
        <stp>CRFB3_B_0</stp>
        <stp>OVD</stp>
        <tr r="F24" s="3"/>
      </tp>
      <tp>
        <v>0</v>
        <stp/>
        <stp>BTOW3_B_0</stp>
        <stp>FEC</stp>
        <tr r="D17" s="3"/>
      </tp>
      <tp>
        <v>25.3</v>
        <stp/>
        <stp>CPFE3_B_0</stp>
        <stp>OVD</stp>
        <tr r="F22" s="3"/>
      </tp>
      <tp>
        <v>24.57</v>
        <stp/>
        <stp>BRFS3_B_0</stp>
        <stp>OCP</stp>
        <tr r="E14" s="3"/>
      </tp>
      <tp>
        <v>21.6</v>
        <stp/>
        <stp>MRFG3_B_0</stp>
        <stp>OVD</stp>
        <tr r="F58" s="3"/>
      </tp>
      <tp>
        <v>25.26</v>
        <stp/>
        <stp>CPFE3_B_0</stp>
        <stp>OCP</stp>
        <tr r="E22" s="3"/>
      </tp>
      <tp>
        <v>21.59</v>
        <stp/>
        <stp>MRFG3_B_0</stp>
        <stp>OCP</stp>
        <tr r="E58" s="3"/>
      </tp>
      <tp>
        <v>24.59</v>
        <stp/>
        <stp>BRFS3_B_0</stp>
        <stp>OVD</stp>
        <tr r="F14" s="3"/>
      </tp>
      <tp>
        <v>13.790000000000001</v>
        <stp/>
        <stp>CRFB3_B_0</stp>
        <stp>OCP</stp>
        <tr r="E24" s="3"/>
      </tp>
    </main>
    <main first="srv.rtd">
      <tp t="e">
        <v>#N/A</v>
        <stp/>
        <stp>PLAYERSRANKING</stp>
        <stp>HGTX3</stp>
        <stp>8</stp>
        <stp>SALDO</stp>
        <stp>VOLF</stp>
        <tr r="BP41" s="7"/>
      </tp>
      <tp t="e">
        <v>#N/A</v>
        <stp/>
        <stp>PLAYERSRANKING</stp>
        <stp>HGTX3</stp>
        <stp>3</stp>
        <stp>SALDO</stp>
        <stp>VOLF</stp>
        <tr r="BP45" s="7"/>
      </tp>
    </main>
    <main first="srv.rtd">
      <tp t="e">
        <v>#N/A</v>
        <stp/>
        <stp>PLAYERSRANKING</stp>
        <stp>TOTS3</stp>
        <stp>27</stp>
        <stp>SALDO</stp>
        <stp>VOLF</stp>
        <tr r="CU38" s="7"/>
      </tp>
      <tp t="e">
        <v>#N/A</v>
        <stp/>
        <stp>PLAYERSRANKING</stp>
        <stp>TOTS3</stp>
        <stp>23</stp>
        <stp>SALDO</stp>
        <stp>VOLF</stp>
        <tr r="CU33" s="7"/>
      </tp>
      <tp t="e">
        <v>#N/A</v>
        <stp/>
        <stp>PLAYERSRANKING</stp>
        <stp>TOTS3</stp>
        <stp>16</stp>
        <stp>SALDO</stp>
        <stp>VOLF</stp>
        <tr r="CU29" s="7"/>
      </tp>
      <tp t="e">
        <v>#N/A</v>
        <stp/>
        <stp>PLAYERSRANKING</stp>
        <stp>TOTS3</stp>
        <stp>13</stp>
        <stp>SALDO</stp>
        <stp>VOLF</stp>
        <tr r="CU30" s="7"/>
      </tp>
      <tp t="e">
        <v>#N/A</v>
        <stp/>
        <stp>PLAYERSRANKING</stp>
        <stp>TOTS3</stp>
        <stp>72</stp>
        <stp>SALDO</stp>
        <stp>VOLF</stp>
        <tr r="CU18" s="7"/>
      </tp>
      <tp t="e">
        <v>#N/A</v>
        <stp/>
        <stp>PLAYERSRANKING</stp>
        <stp>TOTS3</stp>
        <stp>45</stp>
        <stp>SALDO</stp>
        <stp>VOLF</stp>
        <tr r="CU21" s="7"/>
      </tp>
      <tp t="e">
        <v>#N/A</v>
        <stp/>
        <stp>PLAYERSRANKING</stp>
        <stp>TOTS3</stp>
        <stp>40</stp>
        <stp>SALDO</stp>
        <stp>VOLF</stp>
        <tr r="CU32" s="7"/>
      </tp>
      <tp t="e">
        <v>#N/A</v>
        <stp/>
        <stp>PLAYERSRANKING</stp>
        <stp>TOTS3</stp>
        <stp>59</stp>
        <stp>SALDO</stp>
        <stp>VOLF</stp>
        <tr r="CU37" s="7"/>
      </tp>
      <tp t="e">
        <v>#N/A</v>
        <stp/>
        <stp>PLAYERSRANKING</stp>
        <stp>TOTS3</stp>
        <stp>88</stp>
        <stp>SALDO</stp>
        <stp>VOLF</stp>
        <tr r="CU20" s="7"/>
      </tp>
      <tp t="e">
        <v>#N/A</v>
        <stp/>
        <stp>PLAYERSRANKING</stp>
        <stp>TOTS3</stp>
        <stp>85</stp>
        <stp>SALDO</stp>
        <stp>VOLF</stp>
        <tr r="CU17" s="7"/>
      </tp>
      <tp t="e">
        <v>#N/A</v>
        <stp/>
        <stp>PLAYERSRANKING</stp>
        <stp>TOTS3</stp>
        <stp>92</stp>
        <stp>SALDO</stp>
        <stp>VOLF</stp>
        <tr r="CU36" s="7"/>
      </tp>
      <tp t="e">
        <v>#N/A</v>
        <stp/>
        <stp>PLAYERSRANKING</stp>
        <stp>TOTS3</stp>
        <stp>93</stp>
        <stp>SALDO</stp>
        <stp>VOLF</stp>
        <tr r="CU34" s="7"/>
      </tp>
      <tp t="e">
        <v>#N/A</v>
        <stp/>
        <stp>PLAYERSRANKING</stp>
        <stp>TIMS3</stp>
        <stp>92</stp>
        <stp>SALDO</stp>
        <stp>VOLF</stp>
        <tr r="CT36" s="7"/>
      </tp>
      <tp t="e">
        <v>#N/A</v>
        <stp/>
        <stp>PLAYERSRANKING</stp>
        <stp>TIMS3</stp>
        <stp>93</stp>
        <stp>SALDO</stp>
        <stp>VOLF</stp>
        <tr r="CT34" s="7"/>
      </tp>
      <tp t="e">
        <v>#N/A</v>
        <stp/>
        <stp>PLAYERSRANKING</stp>
        <stp>TIMS3</stp>
        <stp>88</stp>
        <stp>SALDO</stp>
        <stp>VOLF</stp>
        <tr r="CT20" s="7"/>
      </tp>
      <tp t="e">
        <v>#N/A</v>
        <stp/>
        <stp>PLAYERSRANKING</stp>
        <stp>TIMS3</stp>
        <stp>85</stp>
        <stp>SALDO</stp>
        <stp>VOLF</stp>
        <tr r="CT17" s="7"/>
      </tp>
      <tp t="e">
        <v>#N/A</v>
        <stp/>
        <stp>PLAYERSRANKING</stp>
        <stp>TIMS3</stp>
        <stp>27</stp>
        <stp>SALDO</stp>
        <stp>VOLF</stp>
        <tr r="CT38" s="7"/>
      </tp>
      <tp t="e">
        <v>#N/A</v>
        <stp/>
        <stp>PLAYERSRANKING</stp>
        <stp>TIMS3</stp>
        <stp>23</stp>
        <stp>SALDO</stp>
        <stp>VOLF</stp>
        <tr r="CT33" s="7"/>
      </tp>
      <tp t="e">
        <v>#N/A</v>
        <stp/>
        <stp>PLAYERSRANKING</stp>
        <stp>TIMS3</stp>
        <stp>16</stp>
        <stp>SALDO</stp>
        <stp>VOLF</stp>
        <tr r="CT29" s="7"/>
      </tp>
      <tp t="e">
        <v>#N/A</v>
        <stp/>
        <stp>PLAYERSRANKING</stp>
        <stp>TIMS3</stp>
        <stp>13</stp>
        <stp>SALDO</stp>
        <stp>VOLF</stp>
        <tr r="CT30" s="7"/>
      </tp>
      <tp t="e">
        <v>#N/A</v>
        <stp/>
        <stp>PLAYERSRANKING</stp>
        <stp>TIMS3</stp>
        <stp>72</stp>
        <stp>SALDO</stp>
        <stp>VOLF</stp>
        <tr r="CT18" s="7"/>
      </tp>
      <tp t="e">
        <v>#N/A</v>
        <stp/>
        <stp>PLAYERSRANKING</stp>
        <stp>TIMS3</stp>
        <stp>59</stp>
        <stp>SALDO</stp>
        <stp>VOLF</stp>
        <tr r="CT37" s="7"/>
      </tp>
      <tp t="e">
        <v>#N/A</v>
        <stp/>
        <stp>PLAYERSRANKING</stp>
        <stp>TIMS3</stp>
        <stp>45</stp>
        <stp>SALDO</stp>
        <stp>VOLF</stp>
        <tr r="CT21" s="7"/>
      </tp>
      <tp t="e">
        <v>#N/A</v>
        <stp/>
        <stp>PLAYERSRANKING</stp>
        <stp>TIMS3</stp>
        <stp>40</stp>
        <stp>SALDO</stp>
        <stp>VOLF</stp>
        <tr r="CT32" s="7"/>
      </tp>
    </main>
    <main first="rtdtrading.rtdserver">
      <tp>
        <v>11.36</v>
        <stp/>
        <stp>GOAU4_B_0</stp>
        <stp>OCP</stp>
        <tr r="E42" s="3"/>
      </tp>
      <tp>
        <v>0</v>
        <stp/>
        <stp>BTOW3_B_0</stp>
        <stp>ABE</stp>
        <tr r="C17" s="3"/>
      </tp>
      <tp>
        <v>26.29</v>
        <stp/>
        <stp>BRAP4_B_0</stp>
        <stp>OCP</stp>
        <tr r="E12" s="3"/>
      </tp>
      <tp>
        <v>28.84</v>
        <stp/>
        <stp>BBAS3_B_0</stp>
        <stp>OCP</stp>
        <tr r="E6" s="3"/>
      </tp>
      <tp>
        <v>6.97</v>
        <stp/>
        <stp>ECOR3_B_0</stp>
        <stp>ABE</stp>
        <tr r="C29" s="3"/>
      </tp>
      <tp>
        <v>19.059999999999999</v>
        <stp/>
        <stp>PCAR3_B_0</stp>
        <stp>OCP</stp>
        <tr r="E62" s="3"/>
      </tp>
      <tp>
        <v>0</v>
        <stp/>
        <stp>VVAR3_B_0</stp>
        <stp>OCP</stp>
        <tr r="E81" s="3"/>
      </tp>
      <tp>
        <v>11.25</v>
        <stp/>
        <stp>ASAI3_B_0</stp>
        <stp>OVD</stp>
        <tr r="F3" s="3"/>
      </tp>
      <tp>
        <v>15.18</v>
        <stp/>
        <stp>QUAL3_B_0</stp>
        <stp>OVD</stp>
        <tr r="F66" s="3"/>
      </tp>
      <tp>
        <v>21.53</v>
        <stp/>
        <stp>LCAM3_B_0</stp>
        <stp>OVD</stp>
        <tr r="F55" s="3"/>
      </tp>
      <tp>
        <v>19.73</v>
        <stp/>
        <stp>CSAN3_B_0</stp>
        <stp>OVD</stp>
        <tr r="F25" s="3"/>
      </tp>
      <tp>
        <v>26.310000000000002</v>
        <stp/>
        <stp>BRAP4_B_0</stp>
        <stp>OVD</stp>
        <tr r="F12" s="3"/>
      </tp>
      <tp>
        <v>0</v>
        <stp/>
        <stp>VVAR3_B_0</stp>
        <stp>OVD</stp>
        <tr r="F81" s="3"/>
      </tp>
      <tp>
        <v>19.100000000000001</v>
        <stp/>
        <stp>PCAR3_B_0</stp>
        <stp>OVD</stp>
        <tr r="F62" s="3"/>
      </tp>
      <tp>
        <v>28.85</v>
        <stp/>
        <stp>BBAS3_B_0</stp>
        <stp>OVD</stp>
        <tr r="F6" s="3"/>
      </tp>
      <tp>
        <v>11.370000000000001</v>
        <stp/>
        <stp>GOAU4_B_0</stp>
        <stp>OVD</stp>
        <tr r="F42" s="3"/>
      </tp>
      <tp>
        <v>21.48</v>
        <stp/>
        <stp>LCAM3_B_0</stp>
        <stp>OCP</stp>
        <tr r="E55" s="3"/>
      </tp>
      <tp>
        <v>15.14</v>
        <stp/>
        <stp>QUAL3_B_0</stp>
        <stp>OCP</stp>
        <tr r="E66" s="3"/>
      </tp>
      <tp>
        <v>19.71</v>
        <stp/>
        <stp>CSAN3_B_0</stp>
        <stp>OCP</stp>
        <tr r="E25" s="3"/>
      </tp>
      <tp>
        <v>11.23</v>
        <stp/>
        <stp>ASAI3_B_0</stp>
        <stp>OCP</stp>
        <tr r="E3" s="3"/>
      </tp>
      <tp>
        <v>18.420000000000002</v>
        <stp/>
        <stp>BPAC11_B_0</stp>
        <stp>OVD</stp>
        <tr r="F11" s="3"/>
      </tp>
      <tp>
        <v>18.41</v>
        <stp/>
        <stp>BPAC11_B_0</stp>
        <stp>OCP</stp>
        <tr r="E11" s="3"/>
      </tp>
    </main>
    <main first="srv.rtd">
      <tp t="e">
        <v>#N/A</v>
        <stp/>
        <stp>PLAYERSRANKING</stp>
        <stp>UGPA3</stp>
        <stp>72</stp>
        <stp>SALDO</stp>
        <stp>VOLF</stp>
        <tr r="CV18" s="7"/>
      </tp>
      <tp t="e">
        <v>#N/A</v>
        <stp/>
        <stp>PLAYERSRANKING</stp>
        <stp>UGPA3</stp>
        <stp>45</stp>
        <stp>SALDO</stp>
        <stp>VOLF</stp>
        <tr r="CV21" s="7"/>
      </tp>
      <tp t="e">
        <v>#N/A</v>
        <stp/>
        <stp>PLAYERSRANKING</stp>
        <stp>UGPA3</stp>
        <stp>40</stp>
        <stp>SALDO</stp>
        <stp>VOLF</stp>
        <tr r="CV32" s="7"/>
      </tp>
      <tp t="e">
        <v>#N/A</v>
        <stp/>
        <stp>PLAYERSRANKING</stp>
        <stp>UGPA3</stp>
        <stp>59</stp>
        <stp>SALDO</stp>
        <stp>VOLF</stp>
        <tr r="CV37" s="7"/>
      </tp>
      <tp t="e">
        <v>#N/A</v>
        <stp/>
        <stp>PLAYERSRANKING</stp>
        <stp>UGPA3</stp>
        <stp>27</stp>
        <stp>SALDO</stp>
        <stp>VOLF</stp>
        <tr r="CV38" s="7"/>
      </tp>
      <tp t="e">
        <v>#N/A</v>
        <stp/>
        <stp>PLAYERSRANKING</stp>
        <stp>UGPA3</stp>
        <stp>23</stp>
        <stp>SALDO</stp>
        <stp>VOLF</stp>
        <tr r="CV33" s="7"/>
      </tp>
      <tp t="e">
        <v>#N/A</v>
        <stp/>
        <stp>PLAYERSRANKING</stp>
        <stp>UGPA3</stp>
        <stp>16</stp>
        <stp>SALDO</stp>
        <stp>VOLF</stp>
        <tr r="CV29" s="7"/>
      </tp>
      <tp t="e">
        <v>#N/A</v>
        <stp/>
        <stp>PLAYERSRANKING</stp>
        <stp>UGPA3</stp>
        <stp>13</stp>
        <stp>SALDO</stp>
        <stp>VOLF</stp>
        <tr r="CV30" s="7"/>
      </tp>
      <tp t="e">
        <v>#N/A</v>
        <stp/>
        <stp>PLAYERSRANKING</stp>
        <stp>UGPA3</stp>
        <stp>88</stp>
        <stp>SALDO</stp>
        <stp>VOLF</stp>
        <tr r="CV20" s="7"/>
      </tp>
      <tp t="e">
        <v>#N/A</v>
        <stp/>
        <stp>PLAYERSRANKING</stp>
        <stp>UGPA3</stp>
        <stp>85</stp>
        <stp>SALDO</stp>
        <stp>VOLF</stp>
        <tr r="CV17" s="7"/>
      </tp>
      <tp t="e">
        <v>#N/A</v>
        <stp/>
        <stp>PLAYERSRANKING</stp>
        <stp>UGPA3</stp>
        <stp>92</stp>
        <stp>SALDO</stp>
        <stp>VOLF</stp>
        <tr r="CV36" s="7"/>
      </tp>
      <tp t="e">
        <v>#N/A</v>
        <stp/>
        <stp>PLAYERSRANKING</stp>
        <stp>UGPA3</stp>
        <stp>93</stp>
        <stp>SALDO</stp>
        <stp>VOLF</stp>
        <tr r="CV34" s="7"/>
      </tp>
    </main>
    <main first="rtdtrading.rtdserver">
      <tp>
        <v>48.699999999999996</v>
        <stp/>
        <stp>RENT3_B_0</stp>
        <stp>ABE</stp>
        <tr r="C69" s="3"/>
      </tp>
      <tp>
        <v>102665</v>
        <stp/>
        <stp>WINFUT_F_0</stp>
        <stp>OCP</stp>
        <tr r="F9" s="7"/>
      </tp>
      <tp>
        <v>5676.5</v>
        <stp/>
        <stp>WDOFUT_F_0</stp>
        <stp>OCP</stp>
        <tr r="F10" s="7"/>
      </tp>
      <tp>
        <v>102675</v>
        <stp/>
        <stp>WINFUT_F_0</stp>
        <stp>OVD</stp>
        <tr r="G9" s="7"/>
      </tp>
      <tp>
        <v>5677</v>
        <stp/>
        <stp>WDOFUT_F_0</stp>
        <stp>OVD</stp>
        <tr r="G10" s="7"/>
      </tp>
      <tp>
        <v>12.26</v>
        <stp/>
        <stp>CMIG4_B_0</stp>
        <stp>FEC</stp>
        <tr r="D20" s="3"/>
      </tp>
      <tp>
        <v>23.82</v>
        <stp/>
        <stp>CSNA3_B_0</stp>
        <stp>ABE</stp>
        <tr r="C26" s="3"/>
      </tp>
      <tp>
        <v>37.35</v>
        <stp/>
        <stp>EGIE3_B_0</stp>
        <stp>FEC</stp>
        <tr r="D30" s="3"/>
      </tp>
      <tp>
        <v>59.660000000000025</v>
        <stp/>
        <stp>SUZB3_B_0</stp>
        <stp>ULT</stp>
        <tr r="B73" s="3"/>
      </tp>
      <tp>
        <v>19.82</v>
        <stp/>
        <stp>PRIO3_B_0</stp>
        <stp>FEC</stp>
        <tr r="D65" s="3"/>
      </tp>
      <tp>
        <v>14.680000000000001</v>
        <stp/>
        <stp>USIM5_B_0</stp>
        <stp>FEC</stp>
        <tr r="D78" s="3"/>
      </tp>
      <tp>
        <v>15.860000000000001</v>
        <stp/>
        <stp>RAIL3_B_0</stp>
        <stp>FEC</stp>
        <tr r="D68" s="3"/>
      </tp>
      <tp>
        <v>31.34</v>
        <stp/>
        <stp>SANB11_B_0</stp>
        <stp>OCP</stp>
        <tr r="E70" s="3"/>
      </tp>
      <tp>
        <v>31.39</v>
        <stp/>
        <stp>SANB11_B_0</stp>
        <stp>OVD</stp>
        <tr r="F70" s="3"/>
      </tp>
    </main>
    <main first="srv.rtd">
      <tp t="e">
        <v>#N/A</v>
        <stp/>
        <stp>PLAYERSRANKING</stp>
        <stp>VIVT3</stp>
        <stp>13</stp>
        <stp>SALDO</stp>
        <stp>VOLF</stp>
        <tr r="CY30" s="7"/>
      </tp>
      <tp t="e">
        <v>#N/A</v>
        <stp/>
        <stp>PLAYERSRANKING</stp>
        <stp>VIVT3</stp>
        <stp>16</stp>
        <stp>SALDO</stp>
        <stp>VOLF</stp>
        <tr r="CY29" s="7"/>
      </tp>
      <tp t="e">
        <v>#N/A</v>
        <stp/>
        <stp>PLAYERSRANKING</stp>
        <stp>VIVT3</stp>
        <stp>23</stp>
        <stp>SALDO</stp>
        <stp>VOLF</stp>
        <tr r="CY33" s="7"/>
      </tp>
      <tp t="e">
        <v>#N/A</v>
        <stp/>
        <stp>PLAYERSRANKING</stp>
        <stp>VIVT3</stp>
        <stp>27</stp>
        <stp>SALDO</stp>
        <stp>VOLF</stp>
        <tr r="CY38" s="7"/>
      </tp>
      <tp t="e">
        <v>#N/A</v>
        <stp/>
        <stp>PLAYERSRANKING</stp>
        <stp>VIVT3</stp>
        <stp>40</stp>
        <stp>SALDO</stp>
        <stp>VOLF</stp>
        <tr r="CY32" s="7"/>
      </tp>
      <tp t="e">
        <v>#N/A</v>
        <stp/>
        <stp>PLAYERSRANKING</stp>
        <stp>VIVT3</stp>
        <stp>45</stp>
        <stp>SALDO</stp>
        <stp>VOLF</stp>
        <tr r="CY21" s="7"/>
      </tp>
      <tp t="e">
        <v>#N/A</v>
        <stp/>
        <stp>PLAYERSRANKING</stp>
        <stp>VIVT3</stp>
        <stp>59</stp>
        <stp>SALDO</stp>
        <stp>VOLF</stp>
        <tr r="CY37" s="7"/>
      </tp>
      <tp t="e">
        <v>#N/A</v>
        <stp/>
        <stp>PLAYERSRANKING</stp>
        <stp>VIVT3</stp>
        <stp>72</stp>
        <stp>SALDO</stp>
        <stp>VOLF</stp>
        <tr r="CY18" s="7"/>
      </tp>
      <tp t="e">
        <v>#N/A</v>
        <stp/>
        <stp>PLAYERSRANKING</stp>
        <stp>VIVT3</stp>
        <stp>88</stp>
        <stp>SALDO</stp>
        <stp>VOLF</stp>
        <tr r="CY20" s="7"/>
      </tp>
      <tp t="e">
        <v>#N/A</v>
        <stp/>
        <stp>PLAYERSRANKING</stp>
        <stp>VIVT3</stp>
        <stp>85</stp>
        <stp>SALDO</stp>
        <stp>VOLF</stp>
        <tr r="CY17" s="7"/>
      </tp>
      <tp t="e">
        <v>#N/A</v>
        <stp/>
        <stp>PLAYERSRANKING</stp>
        <stp>VIVT3</stp>
        <stp>93</stp>
        <stp>SALDO</stp>
        <stp>VOLF</stp>
        <tr r="CY34" s="7"/>
      </tp>
      <tp t="e">
        <v>#N/A</v>
        <stp/>
        <stp>PLAYERSRANKING</stp>
        <stp>VIVT3</stp>
        <stp>92</stp>
        <stp>SALDO</stp>
        <stp>VOLF</stp>
        <tr r="CY36" s="7"/>
      </tp>
      <tp t="e">
        <v>#N/A</v>
        <stp/>
        <stp>PLAYERSRANKING</stp>
        <stp>VALE3</stp>
        <stp>88</stp>
        <stp>SALDO</stp>
        <stp>VOLF</stp>
        <tr r="CX20" s="7"/>
      </tp>
      <tp t="e">
        <v>#N/A</v>
        <stp/>
        <stp>PLAYERSRANKING</stp>
        <stp>VALE3</stp>
        <stp>85</stp>
        <stp>SALDO</stp>
        <stp>VOLF</stp>
        <tr r="CX17" s="7"/>
      </tp>
      <tp t="e">
        <v>#N/A</v>
        <stp/>
        <stp>PLAYERSRANKING</stp>
        <stp>VALE3</stp>
        <stp>92</stp>
        <stp>SALDO</stp>
        <stp>VOLF</stp>
        <tr r="CX36" s="7"/>
      </tp>
      <tp t="e">
        <v>#N/A</v>
        <stp/>
        <stp>PLAYERSRANKING</stp>
        <stp>VALE3</stp>
        <stp>93</stp>
        <stp>SALDO</stp>
        <stp>VOLF</stp>
        <tr r="CX34" s="7"/>
      </tp>
      <tp t="e">
        <v>#N/A</v>
        <stp/>
        <stp>PLAYERSRANKING</stp>
        <stp>VALE3</stp>
        <stp>23</stp>
        <stp>SALDO</stp>
        <stp>VOLF</stp>
        <tr r="CX33" s="7"/>
      </tp>
      <tp t="e">
        <v>#N/A</v>
        <stp/>
        <stp>PLAYERSRANKING</stp>
        <stp>VALE3</stp>
        <stp>27</stp>
        <stp>SALDO</stp>
        <stp>VOLF</stp>
        <tr r="CX38" s="7"/>
      </tp>
      <tp t="e">
        <v>#N/A</v>
        <stp/>
        <stp>PLAYERSRANKING</stp>
        <stp>VALE3</stp>
        <stp>13</stp>
        <stp>SALDO</stp>
        <stp>VOLF</stp>
        <tr r="CX30" s="7"/>
      </tp>
      <tp t="e">
        <v>#N/A</v>
        <stp/>
        <stp>PLAYERSRANKING</stp>
        <stp>VALE3</stp>
        <stp>16</stp>
        <stp>SALDO</stp>
        <stp>VOLF</stp>
        <tr r="CX29" s="7"/>
      </tp>
      <tp t="e">
        <v>#N/A</v>
        <stp/>
        <stp>PLAYERSRANKING</stp>
        <stp>VALE3</stp>
        <stp>72</stp>
        <stp>SALDO</stp>
        <stp>VOLF</stp>
        <tr r="CX18" s="7"/>
      </tp>
      <tp t="e">
        <v>#N/A</v>
        <stp/>
        <stp>PLAYERSRANKING</stp>
        <stp>VALE3</stp>
        <stp>40</stp>
        <stp>SALDO</stp>
        <stp>VOLF</stp>
        <tr r="CX32" s="7"/>
      </tp>
      <tp t="e">
        <v>#N/A</v>
        <stp/>
        <stp>PLAYERSRANKING</stp>
        <stp>VALE3</stp>
        <stp>45</stp>
        <stp>SALDO</stp>
        <stp>VOLF</stp>
        <tr r="CX21" s="7"/>
      </tp>
      <tp t="e">
        <v>#N/A</v>
        <stp/>
        <stp>PLAYERSRANKING</stp>
        <stp>VALE3</stp>
        <stp>59</stp>
        <stp>SALDO</stp>
        <stp>VOLF</stp>
        <tr r="CX37" s="7"/>
      </tp>
      <tp t="e">
        <v>#N/A</v>
        <stp/>
        <stp>PLAYERSRANKING</stp>
        <stp>VVAR3</stp>
        <stp>72</stp>
        <stp>SALDO</stp>
        <stp>VOLF</stp>
        <tr r="CZ18" s="7"/>
      </tp>
      <tp t="e">
        <v>#N/A</v>
        <stp/>
        <stp>PLAYERSRANKING</stp>
        <stp>VVAR3</stp>
        <stp>59</stp>
        <stp>SALDO</stp>
        <stp>VOLF</stp>
        <tr r="CZ37" s="7"/>
      </tp>
      <tp t="e">
        <v>#N/A</v>
        <stp/>
        <stp>PLAYERSRANKING</stp>
        <stp>VVAR3</stp>
        <stp>45</stp>
        <stp>SALDO</stp>
        <stp>VOLF</stp>
        <tr r="CZ21" s="7"/>
      </tp>
      <tp t="e">
        <v>#N/A</v>
        <stp/>
        <stp>PLAYERSRANKING</stp>
        <stp>VVAR3</stp>
        <stp>40</stp>
        <stp>SALDO</stp>
        <stp>VOLF</stp>
        <tr r="CZ32" s="7"/>
      </tp>
      <tp t="e">
        <v>#N/A</v>
        <stp/>
        <stp>PLAYERSRANKING</stp>
        <stp>VVAR3</stp>
        <stp>27</stp>
        <stp>SALDO</stp>
        <stp>VOLF</stp>
        <tr r="CZ38" s="7"/>
      </tp>
      <tp t="e">
        <v>#N/A</v>
        <stp/>
        <stp>PLAYERSRANKING</stp>
        <stp>VVAR3</stp>
        <stp>23</stp>
        <stp>SALDO</stp>
        <stp>VOLF</stp>
        <tr r="CZ33" s="7"/>
      </tp>
      <tp t="e">
        <v>#N/A</v>
        <stp/>
        <stp>PLAYERSRANKING</stp>
        <stp>VVAR3</stp>
        <stp>16</stp>
        <stp>SALDO</stp>
        <stp>VOLF</stp>
        <tr r="CZ29" s="7"/>
      </tp>
      <tp t="e">
        <v>#N/A</v>
        <stp/>
        <stp>PLAYERSRANKING</stp>
        <stp>VVAR3</stp>
        <stp>13</stp>
        <stp>SALDO</stp>
        <stp>VOLF</stp>
        <tr r="CZ30" s="7"/>
      </tp>
      <tp t="e">
        <v>#N/A</v>
        <stp/>
        <stp>PLAYERSRANKING</stp>
        <stp>VVAR3</stp>
        <stp>93</stp>
        <stp>SALDO</stp>
        <stp>VOLF</stp>
        <tr r="CZ34" s="7"/>
      </tp>
      <tp t="e">
        <v>#N/A</v>
        <stp/>
        <stp>PLAYERSRANKING</stp>
        <stp>VVAR3</stp>
        <stp>92</stp>
        <stp>SALDO</stp>
        <stp>VOLF</stp>
        <tr r="CZ36" s="7"/>
      </tp>
      <tp t="e">
        <v>#N/A</v>
        <stp/>
        <stp>PLAYERSRANKING</stp>
        <stp>VVAR3</stp>
        <stp>88</stp>
        <stp>SALDO</stp>
        <stp>VOLF</stp>
        <tr r="CZ20" s="7"/>
      </tp>
      <tp t="e">
        <v>#N/A</v>
        <stp/>
        <stp>PLAYERSRANKING</stp>
        <stp>VVAR3</stp>
        <stp>85</stp>
        <stp>SALDO</stp>
        <stp>VOLF</stp>
        <tr r="CZ17" s="7"/>
      </tp>
    </main>
    <main first="rtdtrading.rtdserver">
      <tp>
        <v>11.370000000000001</v>
        <stp/>
        <stp>CVCB3_B_0</stp>
        <stp>OVD</stp>
        <tr r="F27" s="3"/>
      </tp>
      <tp>
        <v>12.3</v>
        <stp/>
        <stp>TIMS3_B_0</stp>
        <stp>ABE</stp>
        <tr r="C75" s="3"/>
      </tp>
      <tp>
        <v>21.96</v>
        <stp/>
        <stp>NTCO3_B_0</stp>
        <stp>OVD</stp>
        <tr r="F61" s="3"/>
      </tp>
      <tp>
        <v>5.17</v>
        <stp/>
        <stp>LAME4_B_0</stp>
        <stp>ABE</stp>
        <tr r="C54" s="3"/>
      </tp>
      <tp>
        <v>11.34</v>
        <stp/>
        <stp>CVCB3_B_0</stp>
        <stp>OCP</stp>
        <tr r="E27" s="3"/>
      </tp>
      <tp>
        <v>7.22</v>
        <stp/>
        <stp>BRML3_B_0</stp>
        <stp>ABE</stp>
        <tr r="C16" s="3"/>
      </tp>
      <tp>
        <v>21.95</v>
        <stp/>
        <stp>NTCO3_B_0</stp>
        <stp>OCP</stp>
        <tr r="E61" s="3"/>
      </tp>
    </main>
    <main first="srv.rtd">
      <tp t="e">
        <v>#N/A</v>
        <stp/>
        <stp>PLAYERSRANKING</stp>
        <stp>TAEE11</stp>
        <stp>8</stp>
        <stp>SALDO</stp>
        <stp>VOLF</stp>
        <tr r="CS41" s="7"/>
      </tp>
      <tp t="e">
        <v>#N/A</v>
        <stp/>
        <stp>PLAYERSRANKING</stp>
        <stp>TAEE11</stp>
        <stp>3</stp>
        <stp>SALDO</stp>
        <stp>VOLF</stp>
        <tr r="CS45" s="7"/>
      </tp>
    </main>
    <main first="rtdtrading.rtdserver">
      <tp>
        <v>23.1</v>
        <stp/>
        <stp>SULA11_B_0</stp>
        <stp>OCP</stp>
        <tr r="E72" s="3"/>
      </tp>
      <tp>
        <v>23.13</v>
        <stp/>
        <stp>SULA11_B_0</stp>
        <stp>OVD</stp>
        <tr r="F72" s="3"/>
      </tp>
    </main>
    <main first="srv.rtd">
      <tp t="e">
        <v>#N/A</v>
        <stp/>
        <stp>PLAYERSRANKING</stp>
        <stp>PETR4</stp>
        <stp>27</stp>
        <stp>SALDO</stp>
        <stp>VOLF</stp>
        <tr r="CI38" s="7"/>
      </tp>
      <tp t="e">
        <v>#N/A</v>
        <stp/>
        <stp>PLAYERSRANKING</stp>
        <stp>PETR4</stp>
        <stp>23</stp>
        <stp>SALDO</stp>
        <stp>VOLF</stp>
        <tr r="CI33" s="7"/>
      </tp>
      <tp t="e">
        <v>#N/A</v>
        <stp/>
        <stp>PLAYERSRANKING</stp>
        <stp>PETR4</stp>
        <stp>16</stp>
        <stp>SALDO</stp>
        <stp>VOLF</stp>
        <tr r="CI29" s="7"/>
      </tp>
      <tp t="e">
        <v>#N/A</v>
        <stp/>
        <stp>PLAYERSRANKING</stp>
        <stp>PETR4</stp>
        <stp>13</stp>
        <stp>SALDO</stp>
        <stp>VOLF</stp>
        <tr r="CI30" s="7"/>
      </tp>
      <tp t="e">
        <v>#N/A</v>
        <stp/>
        <stp>PLAYERSRANKING</stp>
        <stp>PETR4</stp>
        <stp>72</stp>
        <stp>SALDO</stp>
        <stp>VOLF</stp>
        <tr r="CI18" s="7"/>
      </tp>
      <tp t="e">
        <v>#N/A</v>
        <stp/>
        <stp>PLAYERSRANKING</stp>
        <stp>PETR4</stp>
        <stp>45</stp>
        <stp>SALDO</stp>
        <stp>VOLF</stp>
        <tr r="CI21" s="7"/>
      </tp>
      <tp t="e">
        <v>#N/A</v>
        <stp/>
        <stp>PLAYERSRANKING</stp>
        <stp>PETR4</stp>
        <stp>40</stp>
        <stp>SALDO</stp>
        <stp>VOLF</stp>
        <tr r="CI32" s="7"/>
      </tp>
      <tp t="e">
        <v>#N/A</v>
        <stp/>
        <stp>PLAYERSRANKING</stp>
        <stp>PETR4</stp>
        <stp>59</stp>
        <stp>SALDO</stp>
        <stp>VOLF</stp>
        <tr r="CI37" s="7"/>
      </tp>
      <tp t="e">
        <v>#N/A</v>
        <stp/>
        <stp>PLAYERSRANKING</stp>
        <stp>PETR4</stp>
        <stp>88</stp>
        <stp>SALDO</stp>
        <stp>VOLF</stp>
        <tr r="CI20" s="7"/>
      </tp>
      <tp t="e">
        <v>#N/A</v>
        <stp/>
        <stp>PLAYERSRANKING</stp>
        <stp>PETR4</stp>
        <stp>85</stp>
        <stp>SALDO</stp>
        <stp>VOLF</stp>
        <tr r="CI17" s="7"/>
      </tp>
      <tp t="e">
        <v>#N/A</v>
        <stp/>
        <stp>PLAYERSRANKING</stp>
        <stp>PETR4</stp>
        <stp>93</stp>
        <stp>SALDO</stp>
        <stp>VOLF</stp>
        <tr r="CI34" s="7"/>
      </tp>
      <tp t="e">
        <v>#N/A</v>
        <stp/>
        <stp>PLAYERSRANKING</stp>
        <stp>PETR4</stp>
        <stp>92</stp>
        <stp>SALDO</stp>
        <stp>VOLF</stp>
        <tr r="CI36" s="7"/>
      </tp>
      <tp t="e">
        <v>#N/A</v>
        <stp/>
        <stp>PLAYERSRANKING</stp>
        <stp>WEGE3</stp>
        <stp>13</stp>
        <stp>SALDO</stp>
        <stp>VOLF</stp>
        <tr r="DA30" s="7"/>
      </tp>
      <tp t="e">
        <v>#N/A</v>
        <stp/>
        <stp>PLAYERSRANKING</stp>
        <stp>WEGE3</stp>
        <stp>16</stp>
        <stp>SALDO</stp>
        <stp>VOLF</stp>
        <tr r="DA29" s="7"/>
      </tp>
      <tp t="e">
        <v>#N/A</v>
        <stp/>
        <stp>PLAYERSRANKING</stp>
        <stp>WEGE3</stp>
        <stp>23</stp>
        <stp>SALDO</stp>
        <stp>VOLF</stp>
        <tr r="DA33" s="7"/>
      </tp>
      <tp t="e">
        <v>#N/A</v>
        <stp/>
        <stp>PLAYERSRANKING</stp>
        <stp>WEGE3</stp>
        <stp>27</stp>
        <stp>SALDO</stp>
        <stp>VOLF</stp>
        <tr r="DA38" s="7"/>
      </tp>
      <tp t="e">
        <v>#N/A</v>
        <stp/>
        <stp>PLAYERSRANKING</stp>
        <stp>WEGE3</stp>
        <stp>59</stp>
        <stp>SALDO</stp>
        <stp>VOLF</stp>
        <tr r="DA37" s="7"/>
      </tp>
      <tp t="e">
        <v>#N/A</v>
        <stp/>
        <stp>PLAYERSRANKING</stp>
        <stp>WEGE3</stp>
        <stp>40</stp>
        <stp>SALDO</stp>
        <stp>VOLF</stp>
        <tr r="DA32" s="7"/>
      </tp>
      <tp t="e">
        <v>#N/A</v>
        <stp/>
        <stp>PLAYERSRANKING</stp>
        <stp>WEGE3</stp>
        <stp>45</stp>
        <stp>SALDO</stp>
        <stp>VOLF</stp>
        <tr r="DA21" s="7"/>
      </tp>
      <tp t="e">
        <v>#N/A</v>
        <stp/>
        <stp>PLAYERSRANKING</stp>
        <stp>WEGE3</stp>
        <stp>72</stp>
        <stp>SALDO</stp>
        <stp>VOLF</stp>
        <tr r="DA18" s="7"/>
      </tp>
      <tp t="e">
        <v>#N/A</v>
        <stp/>
        <stp>PLAYERSRANKING</stp>
        <stp>WEGE3</stp>
        <stp>92</stp>
        <stp>SALDO</stp>
        <stp>VOLF</stp>
        <tr r="DA36" s="7"/>
      </tp>
      <tp t="e">
        <v>#N/A</v>
        <stp/>
        <stp>PLAYERSRANKING</stp>
        <stp>WEGE3</stp>
        <stp>93</stp>
        <stp>SALDO</stp>
        <stp>VOLF</stp>
        <tr r="DA34" s="7"/>
      </tp>
      <tp t="e">
        <v>#N/A</v>
        <stp/>
        <stp>PLAYERSRANKING</stp>
        <stp>WEGE3</stp>
        <stp>88</stp>
        <stp>SALDO</stp>
        <stp>VOLF</stp>
        <tr r="DA20" s="7"/>
      </tp>
      <tp t="e">
        <v>#N/A</v>
        <stp/>
        <stp>PLAYERSRANKING</stp>
        <stp>WEGE3</stp>
        <stp>85</stp>
        <stp>SALDO</stp>
        <stp>VOLF</stp>
        <tr r="DA17" s="7"/>
      </tp>
    </main>
    <main first="rtdtrading.rtdserver">
      <tp>
        <v>16.559999999999999</v>
        <stp/>
        <stp>MULT3_B_0</stp>
        <stp>ABE</stp>
        <tr r="C60" s="3"/>
      </tp>
      <tp>
        <v>6.14</v>
        <stp/>
        <stp>MGLU3_B_0</stp>
        <stp>ABE</stp>
        <tr r="C57" s="3"/>
      </tp>
      <tp>
        <v>3.62</v>
        <stp/>
        <stp>IRBR3_B_0</stp>
        <stp>OCP</stp>
        <tr r="E48" s="3"/>
      </tp>
      <tp>
        <v>27.13</v>
        <stp/>
        <stp>GGBR4_B_0</stp>
        <stp>OCP</stp>
        <tr r="E40" s="3"/>
      </tp>
      <tp>
        <v>24.17</v>
        <stp/>
        <stp>EMBR3_B_0</stp>
        <stp>OCP</stp>
        <tr r="E33" s="3"/>
      </tp>
      <tp>
        <v>19.64</v>
        <stp/>
        <stp>ENBR3_B_0</stp>
        <stp>OCP</stp>
        <tr r="E34" s="3"/>
      </tp>
      <tp>
        <v>82.49</v>
        <stp/>
        <stp>VALE3_B_0</stp>
        <stp>ABE</stp>
        <tr r="C79" s="3"/>
      </tp>
      <tp>
        <v>6.1000000000000005</v>
        <stp/>
        <stp>CPLE6_B_0</stp>
        <stp>ABE</stp>
        <tr r="C23" s="3"/>
      </tp>
      <tp>
        <v>3.63</v>
        <stp/>
        <stp>IRBR3_B_0</stp>
        <stp>OVD</stp>
        <tr r="F48" s="3"/>
      </tp>
      <tp>
        <v>24.19</v>
        <stp/>
        <stp>EMBR3_B_0</stp>
        <stp>OVD</stp>
        <tr r="F33" s="3"/>
      </tp>
      <tp>
        <v>19.66</v>
        <stp/>
        <stp>ENBR3_B_0</stp>
        <stp>OVD</stp>
        <tr r="F34" s="3"/>
      </tp>
      <tp>
        <v>27.150000000000002</v>
        <stp/>
        <stp>GGBR4_B_0</stp>
        <stp>OVD</stp>
        <tr r="F40" s="3"/>
      </tp>
      <tp>
        <v>15.75</v>
        <stp/>
        <stp>GOLL4_B_0</stp>
        <stp>ABE</stp>
        <tr r="C43" s="3"/>
      </tp>
      <tp>
        <v>52.74</v>
        <stp/>
        <stp>BRKM5_B_0</stp>
        <stp>FEC</stp>
        <tr r="D15" s="3"/>
      </tp>
      <tp>
        <v>39.330000000000005</v>
        <stp/>
        <stp>ENGI11_B_0</stp>
        <stp>FEC</stp>
        <tr r="D36" s="3"/>
      </tp>
      <tp>
        <v>25.21</v>
        <stp/>
        <stp>KLBN11_B_0</stp>
        <stp>ABE</stp>
        <tr r="C53" s="3"/>
      </tp>
      <tp>
        <v>0</v>
        <stp/>
        <stp>CYRE3_B_0</stp>
        <stp>PRT</stp>
        <tr r="G28" s="3"/>
      </tp>
      <tp>
        <v>5.1000000000000005</v>
        <stp/>
        <stp>LAME4_B_0</stp>
        <stp>OVD</stp>
        <tr r="F54" s="3"/>
      </tp>
      <tp>
        <v>12.32</v>
        <stp/>
        <stp>TIMS3_B_0</stp>
        <stp>OCP</stp>
        <tr r="E75" s="3"/>
      </tp>
      <tp>
        <v>23.23</v>
        <stp/>
        <stp>BRDT3_B_0</stp>
        <stp>FEC</stp>
        <tr r="D13" s="3"/>
      </tp>
      <tp>
        <v>0</v>
        <stp/>
        <stp>CCRO3_B_0</stp>
        <stp>PRT</stp>
        <tr r="G18" s="3"/>
      </tp>
      <tp>
        <v>7.07</v>
        <stp/>
        <stp>BRML3_B_0</stp>
        <stp>OVD</stp>
        <tr r="F16" s="3"/>
      </tp>
      <tp>
        <v>5.08</v>
        <stp/>
        <stp>LAME4_B_0</stp>
        <stp>OCP</stp>
        <tr r="E54" s="3"/>
      </tp>
      <tp>
        <v>16.75</v>
        <stp/>
        <stp>BBDC3_B_0</stp>
        <stp>FEC</stp>
        <tr r="D7" s="3"/>
      </tp>
      <tp>
        <v>20.23</v>
        <stp/>
        <stp>BBDC4_B_0</stp>
        <stp>FEC</stp>
        <tr r="D8" s="3"/>
      </tp>
      <tp>
        <v>12.34</v>
        <stp/>
        <stp>TIMS3_B_0</stp>
        <stp>OVD</stp>
        <tr r="F75" s="3"/>
      </tp>
      <tp>
        <v>11.299999999999999</v>
        <stp/>
        <stp>CVCB3_B_0</stp>
        <stp>ABE</stp>
        <tr r="C27" s="3"/>
      </tp>
      <tp>
        <v>7.0600000000000005</v>
        <stp/>
        <stp>BRML3_B_0</stp>
        <stp>OCP</stp>
        <tr r="E16" s="3"/>
      </tp>
      <tp>
        <v>58.160000000000004</v>
        <stp/>
        <stp>GNDI3_B_0</stp>
        <stp>FEC</stp>
        <tr r="D41" s="3"/>
      </tp>
      <tp>
        <v>21.95</v>
        <stp/>
        <stp>NTCO3_B_0</stp>
        <stp>ABE</stp>
        <tr r="C61" s="3"/>
      </tp>
      <tp>
        <v>0</v>
        <stp/>
        <stp>FLRY3_B_0</stp>
        <stp>PRT</stp>
        <tr r="G39" s="3"/>
      </tp>
      <tp>
        <v>21.48</v>
        <stp/>
        <stp>RADL3_B_0</stp>
        <stp>FEC</stp>
        <tr r="D67" s="3"/>
      </tp>
      <tp>
        <v>23.389999999999997</v>
        <stp/>
        <stp>SULA11_B_0</stp>
        <stp>ABE</stp>
        <tr r="C72" s="3"/>
      </tp>
    </main>
    <main first="srv.rtd">
      <tp t="e">
        <v>#N/A</v>
        <stp/>
        <stp>PLAYERSRANKING</stp>
        <stp>JBSS3</stp>
        <stp>8</stp>
        <stp>SALDO</stp>
        <stp>VOLF</stp>
        <tr r="BV41" s="7"/>
      </tp>
      <tp t="e">
        <v>#N/A</v>
        <stp/>
        <stp>PLAYERSRANKING</stp>
        <stp>JBSS3</stp>
        <stp>3</stp>
        <stp>SALDO</stp>
        <stp>VOLF</stp>
        <tr r="BV45" s="7"/>
      </tp>
    </main>
    <main first="srv.rtd">
      <tp t="e">
        <v>#N/A</v>
        <stp/>
        <stp>PLAYERSRANKING</stp>
        <stp>BRFS3</stp>
        <stp>8</stp>
        <stp>SALDO</stp>
        <stp>VOLF</stp>
        <tr r="AK41" s="7"/>
      </tp>
      <tp t="e">
        <v>#N/A</v>
        <stp/>
        <stp>PLAYERSRANKING</stp>
        <stp>BRFS3</stp>
        <stp>3</stp>
        <stp>SALDO</stp>
        <stp>VOLF</stp>
        <tr r="AK45" s="7"/>
      </tp>
      <tp t="e">
        <v>#N/A</v>
        <stp/>
        <stp>PLAYERSRANKING</stp>
        <stp>BBAS3</stp>
        <stp>8</stp>
        <stp>SALDO</stp>
        <stp>VOLF</stp>
        <tr r="AC41" s="7"/>
      </tp>
      <tp t="e">
        <v>#N/A</v>
        <stp/>
        <stp>PLAYERSRANKING</stp>
        <stp>BBAS3</stp>
        <stp>3</stp>
        <stp>SALDO</stp>
        <stp>VOLF</stp>
        <tr r="AC45" s="7"/>
      </tp>
    </main>
    <main first="srv.rtd">
      <tp t="e">
        <v>#N/A</v>
        <stp/>
        <stp>PLAYERSRANKING</stp>
        <stp>TOTS3</stp>
        <stp>8</stp>
        <stp>SALDO</stp>
        <stp>VOLF</stp>
        <tr r="CU41" s="7"/>
      </tp>
      <tp t="e">
        <v>#N/A</v>
        <stp/>
        <stp>PLAYERSRANKING</stp>
        <stp>TOTS3</stp>
        <stp>3</stp>
        <stp>SALDO</stp>
        <stp>VOLF</stp>
        <tr r="CU45" s="7"/>
      </tp>
      <tp t="e">
        <v>#N/A</v>
        <stp/>
        <stp>PLAYERSRANKING</stp>
        <stp>TIMS3</stp>
        <stp>3</stp>
        <stp>SALDO</stp>
        <stp>VOLF</stp>
        <tr r="CT45" s="7"/>
      </tp>
      <tp t="e">
        <v>#N/A</v>
        <stp/>
        <stp>PLAYERSRANKING</stp>
        <stp>TIMS3</stp>
        <stp>8</stp>
        <stp>SALDO</stp>
        <stp>VOLF</stp>
        <tr r="CT41" s="7"/>
      </tp>
    </main>
    <main first="rtdtrading.rtdserver">
      <tp>
        <v>5.94</v>
        <stp/>
        <stp>MGLU3_B_0</stp>
        <stp>OCP</stp>
        <tr r="E57" s="3"/>
      </tp>
      <tp>
        <v>16.43</v>
        <stp/>
        <stp>MULT3_B_0</stp>
        <stp>OCP</stp>
        <tr r="E60" s="3"/>
      </tp>
      <tp>
        <v>0</v>
        <stp/>
        <stp>BBSE3_B_0</stp>
        <stp>PRT</stp>
        <tr r="G9" s="3"/>
      </tp>
      <tp>
        <v>0</v>
        <stp/>
        <stp>JHSF3_B_0</stp>
        <stp>PRT</stp>
        <tr r="G52" s="3"/>
      </tp>
      <tp>
        <v>0</v>
        <stp/>
        <stp>ITSA4_B_0</stp>
        <stp>PRT</stp>
        <tr r="G49" s="3"/>
      </tp>
      <tp>
        <v>82.61</v>
        <stp/>
        <stp>VALE3_B_0</stp>
        <stp>OVD</stp>
        <tr r="F79" s="3"/>
      </tp>
      <tp>
        <v>0</v>
        <stp/>
        <stp>B3SA3_B_0</stp>
        <stp>PRT</stp>
        <tr r="G5" s="3"/>
      </tp>
      <tp>
        <v>6.0600000000000005</v>
        <stp/>
        <stp>CPLE6_B_0</stp>
        <stp>OVD</stp>
        <tr r="F23" s="3"/>
      </tp>
      <tp>
        <v>14.530000000000001</v>
        <stp/>
        <stp>ABEV3_B_0</stp>
        <stp>FEC</stp>
        <tr r="D2" s="3"/>
      </tp>
      <tp>
        <v>11.93</v>
        <stp/>
        <stp>ENEV3_B_0</stp>
        <stp>FEC</stp>
        <tr r="D35" s="3"/>
      </tp>
      <tp>
        <v>3.65</v>
        <stp/>
        <stp>IRBR3_B_0</stp>
        <stp>ABE</stp>
        <tr r="C48" s="3"/>
      </tp>
      <tp>
        <v>23.92</v>
        <stp/>
        <stp>EMBR3_B_0</stp>
        <stp>ABE</stp>
        <tr r="C33" s="3"/>
      </tp>
      <tp>
        <v>19.59</v>
        <stp/>
        <stp>ENBR3_B_0</stp>
        <stp>ABE</stp>
        <tr r="C34" s="3"/>
      </tp>
      <tp>
        <v>26.78</v>
        <stp/>
        <stp>GGBR4_B_0</stp>
        <stp>ABE</stp>
        <tr r="C40" s="3"/>
      </tp>
      <tp>
        <v>30.16</v>
        <stp/>
        <stp>ELET6_B_0</stp>
        <stp>FEC</stp>
        <tr r="D32" s="3"/>
      </tp>
      <tp>
        <v>30.360000000000003</v>
        <stp/>
        <stp>ELET3_B_0</stp>
        <stp>FEC</stp>
        <tr r="D31" s="3"/>
      </tp>
      <tp>
        <v>15.450000000000001</v>
        <stp/>
        <stp>GOLL4_B_0</stp>
        <stp>OVD</stp>
        <tr r="F43" s="3"/>
      </tp>
      <tp>
        <v>46.290000000000013</v>
        <stp/>
        <stp>VIVT3_B_0</stp>
        <stp>ULT</stp>
        <tr r="B80" s="3"/>
      </tp>
      <tp>
        <v>6.05</v>
        <stp/>
        <stp>CPLE6_B_0</stp>
        <stp>OCP</stp>
        <tr r="E23" s="3"/>
      </tp>
      <tp>
        <v>82.59</v>
        <stp/>
        <stp>VALE3_B_0</stp>
        <stp>OCP</stp>
        <tr r="E79" s="3"/>
      </tp>
      <tp>
        <v>16.45</v>
        <stp/>
        <stp>MULT3_B_0</stp>
        <stp>OVD</stp>
        <tr r="F60" s="3"/>
      </tp>
      <tp>
        <v>0</v>
        <stp/>
        <stp>SBSP3_B_0</stp>
        <stp>PRT</stp>
        <tr r="G71" s="3"/>
      </tp>
      <tp>
        <v>5.95</v>
        <stp/>
        <stp>MGLU3_B_0</stp>
        <stp>OVD</stp>
        <tr r="F57" s="3"/>
      </tp>
      <tp>
        <v>9.92</v>
        <stp/>
        <stp>BEEF3_B_0</stp>
        <stp>FEC</stp>
        <tr r="D10" s="3"/>
      </tp>
      <tp>
        <v>0</v>
        <stp/>
        <stp>JBSS3_B_0</stp>
        <stp>PRT</stp>
        <tr r="G51" s="3"/>
      </tp>
      <tp>
        <v>15.42</v>
        <stp/>
        <stp>GOLL4_B_0</stp>
        <stp>OCP</stp>
        <tr r="E43" s="3"/>
      </tp>
      <tp>
        <v>22.990000000000002</v>
        <stp/>
        <stp>LREN3_B_0</stp>
        <stp>FEC</stp>
        <tr r="D56" s="3"/>
      </tp>
      <tp>
        <v>10.480000000000002</v>
        <stp/>
        <stp>MRVE3_B_0</stp>
        <stp>ULT</stp>
        <tr r="B59" s="3"/>
      </tp>
      <tp>
        <v>2.0500000000000003</v>
        <stp/>
        <stp>CIEL3_B_0</stp>
        <stp>FEC</stp>
        <tr r="D19" s="3"/>
      </tp>
      <tp>
        <v>24.88</v>
        <stp/>
        <stp>KLBN11_B_0</stp>
        <stp>OVD</stp>
        <tr r="F53" s="3"/>
      </tp>
      <tp>
        <v>24.86</v>
        <stp/>
        <stp>KLBN11_B_0</stp>
        <stp>OCP</stp>
        <tr r="E53" s="3"/>
      </tp>
    </main>
    <main first="srv.rtd">
      <tp t="e">
        <v>#N/A</v>
        <stp/>
        <stp>PLAYERSRANKING</stp>
        <stp>IRBR3</stp>
        <stp>8</stp>
        <stp>SALDO</stp>
        <stp>VOLF</stp>
        <tr r="BS41" s="7"/>
      </tp>
      <tp t="e">
        <v>#N/A</v>
        <stp/>
        <stp>PLAYERSRANKING</stp>
        <stp>IRBR3</stp>
        <stp>3</stp>
        <stp>SALDO</stp>
        <stp>VOLF</stp>
        <tr r="BS45" s="7"/>
      </tp>
      <tp t="e">
        <v>#N/A</v>
        <stp/>
        <stp>PLAYERSRANKING</stp>
        <stp>ENBR3</stp>
        <stp>8</stp>
        <stp>SALDO</stp>
        <stp>VOLF</stp>
        <tr r="BE41" s="7"/>
      </tp>
      <tp t="e">
        <v>#N/A</v>
        <stp/>
        <stp>PLAYERSRANKING</stp>
        <stp>ENBR3</stp>
        <stp>3</stp>
        <stp>SALDO</stp>
        <stp>VOLF</stp>
        <tr r="BE45" s="7"/>
      </tp>
      <tp t="e">
        <v>#N/A</v>
        <stp/>
        <stp>PLAYERSRANKING</stp>
        <stp>EMBR3</stp>
        <stp>8</stp>
        <stp>SALDO</stp>
        <stp>VOLF</stp>
        <tr r="BD41" s="7"/>
      </tp>
      <tp t="e">
        <v>#N/A</v>
        <stp/>
        <stp>PLAYERSRANKING</stp>
        <stp>EMBR3</stp>
        <stp>3</stp>
        <stp>SALDO</stp>
        <stp>VOLF</stp>
        <tr r="BD45" s="7"/>
      </tp>
      <tp t="e">
        <v>#N/A</v>
        <stp/>
        <stp>PLAYERSRANKING</stp>
        <stp>ECOR3</stp>
        <stp>3</stp>
        <stp>SALDO</stp>
        <stp>VOLF</stp>
        <tr r="AZ45" s="7"/>
      </tp>
      <tp t="e">
        <v>#N/A</v>
        <stp/>
        <stp>PLAYERSRANKING</stp>
        <stp>ECOR3</stp>
        <stp>8</stp>
        <stp>SALDO</stp>
        <stp>VOLF</stp>
        <tr r="AZ41" s="7"/>
      </tp>
    </main>
    <main first="srv.rtd">
      <tp t="e">
        <v>#N/A</v>
        <stp/>
        <stp>PLAYERSRANKING</stp>
        <stp>GGBR4</stp>
        <stp>8</stp>
        <stp>SALDO</stp>
        <stp>VOLF</stp>
        <tr r="BK41" s="7"/>
      </tp>
      <tp t="e">
        <v>#N/A</v>
        <stp/>
        <stp>PLAYERSRANKING</stp>
        <stp>GGBR4</stp>
        <stp>3</stp>
        <stp>SALDO</stp>
        <stp>VOLF</stp>
        <tr r="BK45" s="7"/>
      </tp>
    </main>
    <main first="srv.rtd">
      <tp t="e">
        <v>#N/A</v>
        <stp/>
        <stp>PLAYERSRANKING</stp>
        <stp>VVAR3</stp>
        <stp>8</stp>
        <stp>SALDO</stp>
        <stp>VOLF</stp>
        <tr r="CZ41" s="7"/>
      </tp>
      <tp t="e">
        <v>#N/A</v>
        <stp/>
        <stp>PLAYERSRANKING</stp>
        <stp>VVAR3</stp>
        <stp>3</stp>
        <stp>SALDO</stp>
        <stp>VOLF</stp>
        <tr r="CZ45" s="7"/>
      </tp>
      <tp t="e">
        <v>#N/A</v>
        <stp/>
        <stp>PLAYERSRANKING</stp>
        <stp>PETR4</stp>
        <stp>8</stp>
        <stp>SALDO</stp>
        <stp>VOLF</stp>
        <tr r="CI41" s="7"/>
      </tp>
      <tp t="e">
        <v>#N/A</v>
        <stp/>
        <stp>PLAYERSRANKING</stp>
        <stp>PETR4</stp>
        <stp>3</stp>
        <stp>SALDO</stp>
        <stp>VOLF</stp>
        <tr r="CI45" s="7"/>
      </tp>
    </main>
    <main first="srv.rtd">
      <tp t="e">
        <v>#N/A</v>
        <stp/>
        <stp>PLAYERSRANKING</stp>
        <stp>PETR3</stp>
        <stp>8</stp>
        <stp>SALDO</stp>
        <stp>VOLF</stp>
        <tr r="CH41" s="7"/>
      </tp>
      <tp t="e">
        <v>#N/A</v>
        <stp/>
        <stp>PLAYERSRANKING</stp>
        <stp>PETR3</stp>
        <stp>3</stp>
        <stp>SALDO</stp>
        <stp>VOLF</stp>
        <tr r="CH45" s="7"/>
      </tp>
      <tp t="e">
        <v>#N/A</v>
        <stp/>
        <stp>PLAYERSRANKING</stp>
        <stp>PCAR3</stp>
        <stp>8</stp>
        <stp>SALDO</stp>
        <stp>VOLF</stp>
        <tr r="CG41" s="7"/>
      </tp>
      <tp t="e">
        <v>#N/A</v>
        <stp/>
        <stp>PLAYERSRANKING</stp>
        <stp>PCAR3</stp>
        <stp>3</stp>
        <stp>SALDO</stp>
        <stp>VOLF</stp>
        <tr r="CG45" s="7"/>
      </tp>
    </main>
    <main first="rtdtrading.rtdserver">
      <tp>
        <v>24.6</v>
        <stp/>
        <stp>BRFS3_B_0</stp>
        <stp>FEC</stp>
        <tr r="D14" s="3"/>
      </tp>
      <tp>
        <v>0</v>
        <stp/>
        <stp>HYPE3_B_0</stp>
        <stp>PRT</stp>
        <tr r="G46" s="3"/>
      </tp>
      <tp>
        <v>11.34</v>
        <stp/>
        <stp>GOAU4_B_0</stp>
        <stp>ABE</stp>
        <tr r="C42" s="3"/>
      </tp>
      <tp>
        <v>0</v>
        <stp/>
        <stp>BTOW3_B_0</stp>
        <stp>OCP</stp>
        <tr r="E17" s="3"/>
      </tp>
      <tp>
        <v>26.44</v>
        <stp/>
        <stp>BRAP4_B_0</stp>
        <stp>ABE</stp>
        <tr r="C12" s="3"/>
      </tp>
      <tp>
        <v>0</v>
        <stp/>
        <stp>UGPA3_B_0</stp>
        <stp>PRT</stp>
        <tr r="G77" s="3"/>
      </tp>
      <tp>
        <v>0</v>
        <stp/>
        <stp>VVAR3_B_0</stp>
        <stp>ABE</stp>
        <tr r="C81" s="3"/>
      </tp>
      <tp>
        <v>18.95</v>
        <stp/>
        <stp>PCAR3_B_0</stp>
        <stp>ABE</stp>
        <tr r="C62" s="3"/>
      </tp>
      <tp>
        <v>6.96</v>
        <stp/>
        <stp>ECOR3_B_0</stp>
        <stp>OCP</stp>
        <tr r="E29" s="3"/>
      </tp>
      <tp>
        <v>28.54</v>
        <stp/>
        <stp>BBAS3_B_0</stp>
        <stp>ABE</stp>
        <tr r="C6" s="3"/>
      </tp>
      <tp>
        <v>13.96</v>
        <stp/>
        <stp>CRFB3_B_0</stp>
        <stp>FEC</stp>
        <tr r="D24" s="3"/>
      </tp>
      <tp>
        <v>0</v>
        <stp/>
        <stp>HAPV3_B_0</stp>
        <stp>PRT</stp>
        <tr r="G44" s="3"/>
      </tp>
      <tp>
        <v>6.97</v>
        <stp/>
        <stp>ECOR3_B_0</stp>
        <stp>OVD</stp>
        <tr r="F29" s="3"/>
      </tp>
      <tp>
        <v>21.17</v>
        <stp/>
        <stp>MRFG3_B_0</stp>
        <stp>FEC</stp>
        <tr r="D58" s="3"/>
      </tp>
      <tp>
        <v>23.43000000000001</v>
        <stp/>
        <stp>AZUL4_B_0</stp>
        <stp>ULT</stp>
        <tr r="B4" s="3"/>
      </tp>
      <tp>
        <v>25.34</v>
        <stp/>
        <stp>CPFE3_B_0</stp>
        <stp>FEC</stp>
        <tr r="D22" s="3"/>
      </tp>
      <tp>
        <v>0</v>
        <stp/>
        <stp>BTOW3_B_0</stp>
        <stp>OVD</stp>
        <tr r="F17" s="3"/>
      </tp>
      <tp>
        <v>22.67</v>
        <stp/>
        <stp>ITUB4_B_0</stp>
        <stp>ULT</stp>
        <tr r="B50" s="3"/>
      </tp>
      <tp>
        <v>15.35</v>
        <stp/>
        <stp>QUAL3_B_0</stp>
        <stp>ABE</stp>
        <tr r="C66" s="3"/>
      </tp>
      <tp>
        <v>21.8</v>
        <stp/>
        <stp>LCAM3_B_0</stp>
        <stp>ABE</stp>
        <tr r="C55" s="3"/>
      </tp>
      <tp>
        <v>19.810000000000002</v>
        <stp/>
        <stp>CSAN3_B_0</stp>
        <stp>ABE</stp>
        <tr r="C25" s="3"/>
      </tp>
      <tp>
        <v>11.26</v>
        <stp/>
        <stp>ASAI3_B_0</stp>
        <stp>ABE</stp>
        <tr r="C3" s="3"/>
      </tp>
      <tp>
        <v>18.55</v>
        <stp/>
        <stp>BPAC11_B_0</stp>
        <stp>ABE</stp>
        <tr r="C11" s="3"/>
      </tp>
    </main>
    <main first="rtdtrading.rtdserver">
      <tp>
        <v>48.52</v>
        <stp/>
        <stp>RENT3_B_0</stp>
        <stp>OCP</stp>
        <tr r="E69" s="3"/>
      </tp>
      <tp>
        <v>23.2</v>
        <stp/>
        <stp>CSNA3_B_0</stp>
        <stp>OVD</stp>
        <tr r="F26" s="3"/>
      </tp>
      <tp>
        <v>0</v>
        <stp/>
        <stp>HGTX3_B_0</stp>
        <stp>ULT</stp>
        <tr r="B45" s="3"/>
      </tp>
      <tp>
        <v>102900</v>
        <stp/>
        <stp>WINFUT_F_0</stp>
        <stp>ABE</stp>
        <tr r="D9" s="7"/>
      </tp>
      <tp>
        <v>5673.5</v>
        <stp/>
        <stp>WDOFUT_F_0</stp>
        <stp>ABE</stp>
        <tr r="D10" s="7"/>
      </tp>
      <tp>
        <v>28.1</v>
        <stp/>
        <stp>PETR4_B_0</stp>
        <stp>ULT</stp>
        <tr r="B64" s="3"/>
      </tp>
      <tp>
        <v>30.79</v>
        <stp/>
        <stp>PETR3_B_0</stp>
        <stp>ULT</stp>
        <tr r="B63" s="3"/>
      </tp>
      <tp>
        <v>24.539999999999974</v>
        <stp/>
        <stp>TOTS3_B_0</stp>
        <stp>ULT</stp>
        <tr r="B76" s="3"/>
      </tp>
      <tp>
        <v>23.18</v>
        <stp/>
        <stp>CSNA3_B_0</stp>
        <stp>OCP</stp>
        <tr r="E26" s="3"/>
      </tp>
      <tp>
        <v>48.57</v>
        <stp/>
        <stp>RENT3_B_0</stp>
        <stp>OVD</stp>
        <tr r="F69" s="3"/>
      </tp>
      <tp>
        <v>21.380000000000042</v>
        <stp/>
        <stp>EQTL3_B_0</stp>
        <stp>ULT</stp>
        <tr r="B37" s="3"/>
      </tp>
      <tp>
        <v>29.41</v>
        <stp/>
        <stp>WEGE3_B_0</stp>
        <stp>FEC</stp>
        <tr r="D82" s="3"/>
      </tp>
      <tp>
        <v>17.849999999999994</v>
        <stp/>
        <stp>EZTC3_B_0</stp>
        <stp>ULT</stp>
        <tr r="B38" s="3"/>
      </tp>
      <tp>
        <v>33</v>
        <stp/>
        <stp>IGTA3_B_0</stp>
        <stp>ULT</stp>
        <tr r="B47" s="3"/>
      </tp>
      <tp>
        <v>2.0700000000000003</v>
        <stp/>
        <stp>COGN3_B_0</stp>
        <stp>FEC</stp>
        <tr r="D21" s="3"/>
      </tp>
      <tp>
        <v>31.25</v>
        <stp/>
        <stp>SANB11_B_0</stp>
        <stp>ABE</stp>
        <tr r="C70" s="3"/>
      </tp>
      <tp>
        <v>36.11</v>
        <stp/>
        <stp>TAEE11_B_0</stp>
        <stp>FEC</stp>
        <tr r="D74" s="3"/>
      </tp>
    </main>
    <main first="srv.rtd">
      <tp t="e">
        <v>#N/A</v>
        <stp/>
        <stp>PLAYERSRANKING</stp>
        <stp>BRAP4</stp>
        <stp>8</stp>
        <stp>SALDO</stp>
        <stp>VOLF</stp>
        <tr r="AI41" s="7"/>
      </tp>
      <tp t="e">
        <v>#N/A</v>
        <stp/>
        <stp>PLAYERSRANKING</stp>
        <stp>BRAP4</stp>
        <stp>3</stp>
        <stp>SALDO</stp>
        <stp>VOLF</stp>
        <tr r="AI45" s="7"/>
      </tp>
    </main>
    <main first="srv.rtd">
      <tp t="e">
        <v>#N/A</v>
        <stp/>
        <stp>PLAYERSRANKING</stp>
        <stp>SBSP3</stp>
        <stp>8</stp>
        <stp>SALDO</stp>
        <stp>VOLF</stp>
        <tr r="CP41" s="7"/>
      </tp>
      <tp t="e">
        <v>#N/A</v>
        <stp/>
        <stp>PLAYERSRANKING</stp>
        <stp>SBSP3</stp>
        <stp>3</stp>
        <stp>SALDO</stp>
        <stp>VOLF</stp>
        <tr r="CP45" s="7"/>
      </tp>
    </main>
    <main first="rtdtrading.rtdserver">
      <tp>
        <v>103410</v>
        <stp/>
        <stp>WINFUT_F_0</stp>
        <stp>FEC</stp>
        <tr r="E9" s="7"/>
      </tp>
      <tp>
        <v>5666.0000000000009</v>
        <stp/>
        <stp>WDOFUT_F_0</stp>
        <stp>FEC</stp>
        <tr r="E10" s="7"/>
      </tp>
      <tp>
        <v>0</v>
        <stp/>
        <stp>MRVE3_B_0</stp>
        <stp>PRT</stp>
        <tr r="G59" s="3"/>
      </tp>
      <tp>
        <v>37.28</v>
        <stp/>
        <stp>EGIE3_B_0</stp>
        <stp>OVD</stp>
        <tr r="F30" s="3"/>
      </tp>
      <tp>
        <v>12.23</v>
        <stp/>
        <stp>CMIG4_B_0</stp>
        <stp>OVD</stp>
        <tr r="F20" s="3"/>
      </tp>
      <tp>
        <v>36.07</v>
        <stp/>
        <stp>JBSS3_B_0</stp>
        <stp>ULT</stp>
        <tr r="B51" s="3"/>
      </tp>
      <tp>
        <v>34.920000000000009</v>
        <stp/>
        <stp>SBSP3_B_0</stp>
        <stp>ULT</stp>
        <tr r="B71" s="3"/>
      </tp>
      <tp>
        <v>15.6</v>
        <stp/>
        <stp>RAIL3_B_0</stp>
        <stp>OVD</stp>
        <tr r="F68" s="3"/>
      </tp>
      <tp>
        <v>14.370000000000001</v>
        <stp/>
        <stp>USIM5_B_0</stp>
        <stp>OVD</stp>
        <tr r="F78" s="3"/>
      </tp>
      <tp>
        <v>20.07</v>
        <stp/>
        <stp>PRIO3_B_0</stp>
        <stp>OVD</stp>
        <tr r="F65" s="3"/>
      </tp>
      <tp>
        <v>37.24</v>
        <stp/>
        <stp>EGIE3_B_0</stp>
        <stp>OCP</stp>
        <tr r="E30" s="3"/>
      </tp>
      <tp>
        <v>0</v>
        <stp/>
        <stp>VIVT3_B_0</stp>
        <stp>PRT</stp>
        <tr r="G80" s="3"/>
      </tp>
      <tp>
        <v>29.31</v>
        <stp/>
        <stp>WEGE3_B_0</stp>
        <stp>ABE</stp>
        <tr r="C82" s="3"/>
      </tp>
      <tp>
        <v>12.21</v>
        <stp/>
        <stp>CMIG4_B_0</stp>
        <stp>OCP</stp>
        <tr r="E20" s="3"/>
      </tp>
      <tp>
        <v>14.36</v>
        <stp/>
        <stp>USIM5_B_0</stp>
        <stp>OCP</stp>
        <tr r="E78" s="3"/>
      </tp>
      <tp>
        <v>15.59</v>
        <stp/>
        <stp>RAIL3_B_0</stp>
        <stp>OCP</stp>
        <tr r="E68" s="3"/>
      </tp>
      <tp>
        <v>20.05</v>
        <stp/>
        <stp>PRIO3_B_0</stp>
        <stp>OCP</stp>
        <tr r="E65" s="3"/>
      </tp>
      <tp>
        <v>2.06</v>
        <stp/>
        <stp>COGN3_B_0</stp>
        <stp>ABE</stp>
        <tr r="C21" s="3"/>
      </tp>
      <tp>
        <v>9.18</v>
        <stp/>
        <stp>ITSA4_B_0</stp>
        <stp>ULT</stp>
        <tr r="B49" s="3"/>
      </tp>
      <tp>
        <v>11.06</v>
        <stp/>
        <stp>B3SA3_B_0</stp>
        <stp>ULT</stp>
        <tr r="B5" s="3"/>
      </tp>
      <tp>
        <v>4.5400000000000009</v>
        <stp/>
        <stp>JHSF3_B_0</stp>
        <stp>ULT</stp>
        <tr r="B52" s="3"/>
      </tp>
      <tp>
        <v>19.379999999999974</v>
        <stp/>
        <stp>BBSE3_B_0</stp>
        <stp>ULT</stp>
        <tr r="B9" s="3"/>
      </tp>
      <tp>
        <v>36.17</v>
        <stp/>
        <stp>TAEE11_B_0</stp>
        <stp>ABE</stp>
        <tr r="C74" s="3"/>
      </tp>
      <tp>
        <v>31.273300000000003</v>
        <stp/>
        <stp>SANB11_B_0</stp>
        <stp>FEC</stp>
        <tr r="D70" s="3"/>
      </tp>
    </main>
    <main first="srv.rtd">
      <tp t="e">
        <v>#N/A</v>
        <stp/>
        <stp>PLAYERSRANKING</stp>
        <stp>BTOW3</stp>
        <stp>3</stp>
        <stp>SALDO</stp>
        <stp>VOLF</stp>
        <tr r="AN45" s="7"/>
      </tp>
      <tp t="e">
        <v>#N/A</v>
        <stp/>
        <stp>PLAYERSRANKING</stp>
        <stp>BTOW3</stp>
        <stp>8</stp>
        <stp>SALDO</stp>
        <stp>VOLF</stp>
        <tr r="AN41" s="7"/>
      </tp>
    </main>
    <main first="rtdtrading.rtdserver">
      <tp>
        <v>28.630000000000003</v>
        <stp/>
        <stp>BBAS3_B_0</stp>
        <stp>FEC</stp>
        <tr r="D6" s="3"/>
      </tp>
      <tp>
        <v>18.95</v>
        <stp/>
        <stp>PCAR3_B_0</stp>
        <stp>FEC</stp>
        <tr r="D62" s="3"/>
      </tp>
      <tp>
        <v>0</v>
        <stp/>
        <stp>VVAR3_B_0</stp>
        <stp>FEC</stp>
        <tr r="D81" s="3"/>
      </tp>
      <tp>
        <v>16.449999999999989</v>
        <stp/>
        <stp>FLRY3_B_0</stp>
        <stp>ULT</stp>
        <tr r="B39" s="3"/>
      </tp>
      <tp>
        <v>26.66</v>
        <stp/>
        <stp>BRAP4_B_0</stp>
        <stp>FEC</stp>
        <tr r="D12" s="3"/>
      </tp>
      <tp>
        <v>11.43</v>
        <stp/>
        <stp>GOAU4_B_0</stp>
        <stp>FEC</stp>
        <tr r="D42" s="3"/>
      </tp>
      <tp>
        <v>24.37</v>
        <stp/>
        <stp>BRFS3_B_0</stp>
        <stp>ABE</stp>
        <tr r="C14" s="3"/>
      </tp>
      <tp>
        <v>25.35</v>
        <stp/>
        <stp>CPFE3_B_0</stp>
        <stp>ABE</stp>
        <tr r="C22" s="3"/>
      </tp>
      <tp>
        <v>21.259999999999998</v>
        <stp/>
        <stp>MRFG3_B_0</stp>
        <stp>ABE</stp>
        <tr r="C58" s="3"/>
      </tp>
      <tp>
        <v>11.060000000000002</v>
        <stp/>
        <stp>CCRO3_B_0</stp>
        <stp>ULT</stp>
        <tr r="B18" s="3"/>
      </tp>
      <tp>
        <v>13.889999999999999</v>
        <stp/>
        <stp>CRFB3_B_0</stp>
        <stp>ABE</stp>
        <tr r="C24" s="3"/>
      </tp>
      <tp>
        <v>11.360000000000001</v>
        <stp/>
        <stp>ASAI3_B_0</stp>
        <stp>FEC</stp>
        <tr r="D3" s="3"/>
      </tp>
      <tp>
        <v>19.810000000000002</v>
        <stp/>
        <stp>CSAN3_B_0</stp>
        <stp>FEC</stp>
        <tr r="D25" s="3"/>
      </tp>
      <tp>
        <v>22</v>
        <stp/>
        <stp>LCAM3_B_0</stp>
        <stp>FEC</stp>
        <tr r="D55" s="3"/>
      </tp>
      <tp>
        <v>15.48</v>
        <stp/>
        <stp>QUAL3_B_0</stp>
        <stp>FEC</stp>
        <tr r="D66" s="3"/>
      </tp>
      <tp>
        <v>13.669999999999998</v>
        <stp/>
        <stp>CYRE3_B_0</stp>
        <stp>ULT</stp>
        <tr r="B28" s="3"/>
      </tp>
      <tp>
        <v>18.630000000000003</v>
        <stp/>
        <stp>BPAC11_B_0</stp>
        <stp>FEC</stp>
        <tr r="D11" s="3"/>
      </tp>
    </main>
    <main first="srv.rtd">
      <tp t="e">
        <v>#N/A</v>
        <stp/>
        <stp>PLAYERSRANKING</stp>
        <stp>HAPV3</stp>
        <stp>8</stp>
        <stp>SALDO</stp>
        <stp>VOLF</stp>
        <tr r="BO41" s="7"/>
      </tp>
      <tp t="e">
        <v>#N/A</v>
        <stp/>
        <stp>PLAYERSRANKING</stp>
        <stp>HAPV3</stp>
        <stp>3</stp>
        <stp>SALDO</stp>
        <stp>VOLF</stp>
        <tr r="BO45" s="7"/>
      </tp>
      <tp t="e">
        <v>#N/A</v>
        <stp/>
        <stp>PLAYERSRANKING</stp>
        <stp>ENEV3</stp>
        <stp>8</stp>
        <stp>SALDO</stp>
        <stp>VOLF</stp>
        <tr r="BF41" s="7"/>
      </tp>
      <tp t="e">
        <v>#N/A</v>
        <stp/>
        <stp>PLAYERSRANKING</stp>
        <stp>ENEV3</stp>
        <stp>3</stp>
        <stp>SALDO</stp>
        <stp>VOLF</stp>
        <tr r="BF45" s="7"/>
      </tp>
    </main>
    <main first="srv.rtd">
      <tp t="e">
        <v>#N/A</v>
        <stp/>
        <stp>PLAYERSRANKING</stp>
        <stp>ABEV3</stp>
        <stp>8</stp>
        <stp>SALDO</stp>
        <stp>VOLF</stp>
        <tr r="Y41" s="7"/>
      </tp>
      <tp t="e">
        <v>#N/A</v>
        <stp/>
        <stp>PLAYERSRANKING</stp>
        <stp>ABEV3</stp>
        <stp>3</stp>
        <stp>SALDO</stp>
        <stp>VOLF</stp>
        <tr r="Y45" s="7"/>
      </tp>
    </main>
    <main first="rtdtrading.rtdserver">
      <tp>
        <v>30.3</v>
        <stp/>
        <stp>ELET3_B_0</stp>
        <stp>ABE</stp>
        <tr r="C31" s="3"/>
      </tp>
      <tp>
        <v>30.12</v>
        <stp/>
        <stp>ELET6_B_0</stp>
        <stp>ABE</stp>
        <tr r="C32" s="3"/>
      </tp>
      <tp>
        <v>3.6500000000000004</v>
        <stp/>
        <stp>IRBR3_B_0</stp>
        <stp>FEC</stp>
        <tr r="D48" s="3"/>
      </tp>
      <tp>
        <v>27.43</v>
        <stp/>
        <stp>GGBR4_B_0</stp>
        <stp>FEC</stp>
        <tr r="D40" s="3"/>
      </tp>
      <tp>
        <v>24.07</v>
        <stp/>
        <stp>EMBR3_B_0</stp>
        <stp>FEC</stp>
        <tr r="D33" s="3"/>
      </tp>
      <tp>
        <v>19.73</v>
        <stp/>
        <stp>ENBR3_B_0</stp>
        <stp>FEC</stp>
        <tr r="D34" s="3"/>
      </tp>
      <tp>
        <v>11.82</v>
        <stp/>
        <stp>ENEV3_B_0</stp>
        <stp>ABE</stp>
        <tr r="C35" s="3"/>
      </tp>
      <tp>
        <v>14.44</v>
        <stp/>
        <stp>ABEV3_B_0</stp>
        <stp>ABE</stp>
        <tr r="C2" s="3"/>
      </tp>
      <tp>
        <v>0</v>
        <stp/>
        <stp>IGTA3_B_0</stp>
        <stp>PRT</stp>
        <tr r="G47" s="3"/>
      </tp>
      <tp>
        <v>0</v>
        <stp/>
        <stp>EZTC3_B_0</stp>
        <stp>PRT</stp>
        <tr r="G38" s="3"/>
      </tp>
      <tp>
        <v>0</v>
        <stp/>
        <stp>EQTL3_B_0</stp>
        <stp>PRT</stp>
        <tr r="G37" s="3"/>
      </tp>
      <tp>
        <v>53.050000000000004</v>
        <stp/>
        <stp>BRKM5_B_0</stp>
        <stp>OVD</stp>
        <tr r="F15" s="3"/>
      </tp>
      <tp>
        <v>9.8899999999999988</v>
        <stp/>
        <stp>BEEF3_B_0</stp>
        <stp>ABE</stp>
        <tr r="C10" s="3"/>
      </tp>
      <tp>
        <v>0</v>
        <stp/>
        <stp>PETR4_B_0</stp>
        <stp>PRT</stp>
        <tr r="G64" s="3"/>
      </tp>
      <tp>
        <v>0</v>
        <stp/>
        <stp>PETR3_B_0</stp>
        <stp>PRT</stp>
        <tr r="G63" s="3"/>
      </tp>
      <tp>
        <v>0</v>
        <stp/>
        <stp>TOTS3_B_0</stp>
        <stp>PRT</stp>
        <tr r="G76" s="3"/>
      </tp>
      <tp>
        <v>52.96</v>
        <stp/>
        <stp>BRKM5_B_0</stp>
        <stp>OCP</stp>
        <tr r="E15" s="3"/>
      </tp>
      <tp>
        <v>2.0500000000000003</v>
        <stp/>
        <stp>CIEL3_B_0</stp>
        <stp>ABE</stp>
        <tr r="C19" s="3"/>
      </tp>
      <tp>
        <v>22.74</v>
        <stp/>
        <stp>LREN3_B_0</stp>
        <stp>ABE</stp>
        <tr r="C56" s="3"/>
      </tp>
      <tp>
        <v>0</v>
        <stp/>
        <stp>HGTX3_B_0</stp>
        <stp>PRT</stp>
        <tr r="G45" s="3"/>
      </tp>
      <tp>
        <v>39</v>
        <stp/>
        <stp>ENGI11_B_0</stp>
        <stp>OVD</stp>
        <tr r="F36" s="3"/>
      </tp>
      <tp>
        <v>38.96</v>
        <stp/>
        <stp>ENGI11_B_0</stp>
        <stp>OCP</stp>
        <tr r="E36" s="3"/>
      </tp>
    </main>
    <main first="srv.rtd">
      <tp t="e">
        <v>#N/A</v>
        <stp/>
        <stp>PLAYERSRANKING</stp>
        <stp>MGLU3</stp>
        <stp>3</stp>
        <stp>SALDO</stp>
        <stp>VOLF</stp>
        <tr r="CB45" s="7"/>
      </tp>
      <tp t="e">
        <v>#N/A</v>
        <stp/>
        <stp>PLAYERSRANKING</stp>
        <stp>MGLU3</stp>
        <stp>8</stp>
        <stp>SALDO</stp>
        <stp>VOLF</stp>
        <tr r="CB41" s="7"/>
      </tp>
      <tp t="e">
        <v>#N/A</v>
        <stp/>
        <stp>PLAYERSRANKING</stp>
        <stp>GOAU4</stp>
        <stp>8</stp>
        <stp>SALDO</stp>
        <stp>VOLF</stp>
        <tr r="BM41" s="7"/>
      </tp>
      <tp t="e">
        <v>#N/A</v>
        <stp/>
        <stp>PLAYERSRANKING</stp>
        <stp>GOAU4</stp>
        <stp>3</stp>
        <stp>SALDO</stp>
        <stp>VOLF</stp>
        <tr r="BM45" s="7"/>
      </tp>
    </main>
    <main first="rtdtrading.rtdserver">
      <tp>
        <v>22.6</v>
        <stp/>
        <stp>BRDT3_B_0</stp>
        <stp>ABE</stp>
        <tr r="C13" s="3"/>
      </tp>
      <tp>
        <v>0</v>
        <stp/>
        <stp>ITUB4_B_0</stp>
        <stp>PRT</stp>
        <tr r="G50" s="3"/>
      </tp>
      <tp>
        <v>0</v>
        <stp/>
        <stp>AZUL4_B_0</stp>
        <stp>PRT</stp>
        <tr r="G4" s="3"/>
      </tp>
      <tp>
        <v>9.7800000000000029</v>
        <stp/>
        <stp>HAPV3_B_0</stp>
        <stp>ULT</stp>
        <tr r="B44" s="3"/>
      </tp>
      <tp>
        <v>11.530000000000001</v>
        <stp/>
        <stp>CVCB3_B_0</stp>
        <stp>FEC</stp>
        <tr r="D27" s="3"/>
      </tp>
      <tp>
        <v>20.05</v>
        <stp/>
        <stp>BBDC4_B_0</stp>
        <stp>ABE</stp>
        <tr r="C8" s="3"/>
      </tp>
      <tp>
        <v>16.670000000000002</v>
        <stp/>
        <stp>BBDC3_B_0</stp>
        <stp>ABE</stp>
        <tr r="C7" s="3"/>
      </tp>
      <tp>
        <v>21.35</v>
        <stp/>
        <stp>RADL3_B_0</stp>
        <stp>ABE</stp>
        <tr r="C67" s="3"/>
      </tp>
      <tp>
        <v>12.810000000000002</v>
        <stp/>
        <stp>UGPA3_B_0</stp>
        <stp>ULT</stp>
        <tr r="B77" s="3"/>
      </tp>
      <tp>
        <v>22.11</v>
        <stp/>
        <stp>NTCO3_B_0</stp>
        <stp>FEC</stp>
        <tr r="D61" s="3"/>
      </tp>
      <tp>
        <v>57.910000000000004</v>
        <stp/>
        <stp>GNDI3_B_0</stp>
        <stp>ABE</stp>
        <tr r="C41" s="3"/>
      </tp>
      <tp>
        <v>27.019999999999978</v>
        <stp/>
        <stp>HYPE3_B_0</stp>
        <stp>ULT</stp>
        <tr r="B46" s="3"/>
      </tp>
      <tp>
        <v>23.5</v>
        <stp/>
        <stp>SULA11_B_0</stp>
        <stp>FEC</stp>
        <tr r="D72" s="3"/>
      </tp>
    </main>
    <main first="srv.rtd">
      <tp t="e">
        <v>#N/A</v>
        <stp/>
        <stp>PLAYERSRANKING</stp>
        <stp>MULT3</stp>
        <stp>3</stp>
        <stp>SALDO</stp>
        <stp>VOLF</stp>
        <tr r="CE45" s="7"/>
      </tp>
      <tp t="e">
        <v>#N/A</v>
        <stp/>
        <stp>PLAYERSRANKING</stp>
        <stp>MULT3</stp>
        <stp>8</stp>
        <stp>SALDO</stp>
        <stp>VOLF</stp>
        <tr r="CE41" s="7"/>
      </tp>
    </main>
    <main first="srv.rtd">
      <tp t="e">
        <v>#N/A</v>
        <stp/>
        <stp>PLAYERSRANKING</stp>
        <stp>ELET3</stp>
        <stp>8</stp>
        <stp>SALDO</stp>
        <stp>VOLF</stp>
        <tr r="BB41" s="7"/>
      </tp>
      <tp t="e">
        <v>#N/A</v>
        <stp/>
        <stp>PLAYERSRANKING</stp>
        <stp>ELET3</stp>
        <stp>3</stp>
        <stp>SALDO</stp>
        <stp>VOLF</stp>
        <tr r="BB45" s="7"/>
      </tp>
      <tp t="e">
        <v>#N/A</v>
        <stp/>
        <stp>PLAYERSRANKING</stp>
        <stp>BRDT3</stp>
        <stp>8</stp>
        <stp>SALDO</stp>
        <stp>VOLF</stp>
        <tr r="AJ41" s="7"/>
      </tp>
      <tp t="e">
        <v>#N/A</v>
        <stp/>
        <stp>PLAYERSRANKING</stp>
        <stp>BRDT3</stp>
        <stp>3</stp>
        <stp>SALDO</stp>
        <stp>VOLF</stp>
        <tr r="AJ45" s="7"/>
      </tp>
    </main>
    <main first="srv.rtd">
      <tp t="e">
        <v>#N/A</v>
        <stp/>
        <stp>PLAYERSRANKING</stp>
        <stp>ELET6</stp>
        <stp>8</stp>
        <stp>SALDO</stp>
        <stp>VOLF</stp>
        <tr r="BC41" s="7"/>
      </tp>
      <tp t="e">
        <v>#N/A</v>
        <stp/>
        <stp>PLAYERSRANKING</stp>
        <stp>ELET6</stp>
        <stp>3</stp>
        <stp>SALDO</stp>
        <stp>VOLF</stp>
        <tr r="BC45" s="7"/>
      </tp>
      <tp t="e">
        <v>#N/A</v>
        <stp/>
        <stp>PLAYERSRANKING</stp>
        <stp>VIVT3</stp>
        <stp>8</stp>
        <stp>SALDO</stp>
        <stp>VOLF</stp>
        <tr r="CY41" s="7"/>
      </tp>
      <tp t="e">
        <v>#N/A</v>
        <stp/>
        <stp>PLAYERSRANKING</stp>
        <stp>VIVT3</stp>
        <stp>3</stp>
        <stp>SALDO</stp>
        <stp>VOLF</stp>
        <tr r="CY45" s="7"/>
      </tp>
    </main>
    <main first="srv.rtd">
      <tp t="e">
        <v>#N/A</v>
        <stp/>
        <stp>PLAYERSRANKING</stp>
        <stp>RENT3</stp>
        <stp>3</stp>
        <stp>SALDO</stp>
        <stp>VOLF</stp>
        <tr r="CN45" s="7"/>
      </tp>
      <tp t="e">
        <v>#N/A</v>
        <stp/>
        <stp>PLAYERSRANKING</stp>
        <stp>RENT3</stp>
        <stp>8</stp>
        <stp>SALDO</stp>
        <stp>VOLF</stp>
        <tr r="CN41" s="7"/>
      </tp>
      <tp t="e">
        <v>#N/A</v>
        <stp/>
        <stp>PLAYERSRANKING</stp>
        <stp>GOAU4</stp>
        <stp>72</stp>
        <stp>SALDO</stp>
        <stp>VOLF</stp>
        <tr r="BM18" s="7"/>
      </tp>
      <tp t="e">
        <v>#N/A</v>
        <stp/>
        <stp>PLAYERSRANKING</stp>
        <stp>GOAU4</stp>
        <stp>59</stp>
        <stp>SALDO</stp>
        <stp>VOLF</stp>
        <tr r="BM37" s="7"/>
      </tp>
      <tp t="e">
        <v>#N/A</v>
        <stp/>
        <stp>PLAYERSRANKING</stp>
        <stp>GOLL4</stp>
        <stp>85</stp>
        <stp>SALDO</stp>
        <stp>VOLF</stp>
        <tr r="BN17" s="7"/>
      </tp>
      <tp t="e">
        <v>#N/A</v>
        <stp/>
        <stp>PLAYERSRANKING</stp>
        <stp>GOLL4</stp>
        <stp>88</stp>
        <stp>SALDO</stp>
        <stp>VOLF</stp>
        <tr r="BN20" s="7"/>
      </tp>
      <tp t="e">
        <v>#N/A</v>
        <stp/>
        <stp>PLAYERSRANKING</stp>
        <stp>GOAU4</stp>
        <stp>40</stp>
        <stp>SALDO</stp>
        <stp>VOLF</stp>
        <tr r="BM32" s="7"/>
      </tp>
      <tp t="e">
        <v>#N/A</v>
        <stp/>
        <stp>PLAYERSRANKING</stp>
        <stp>GOAU4</stp>
        <stp>45</stp>
        <stp>SALDO</stp>
        <stp>VOLF</stp>
        <tr r="BM21" s="7"/>
      </tp>
      <tp t="e">
        <v>#N/A</v>
        <stp/>
        <stp>PLAYERSRANKING</stp>
        <stp>GOLL4</stp>
        <stp>93</stp>
        <stp>SALDO</stp>
        <stp>VOLF</stp>
        <tr r="BN34" s="7"/>
      </tp>
      <tp t="e">
        <v>#N/A</v>
        <stp/>
        <stp>PLAYERSRANKING</stp>
        <stp>GOLL4</stp>
        <stp>92</stp>
        <stp>SALDO</stp>
        <stp>VOLF</stp>
        <tr r="BN36" s="7"/>
      </tp>
      <tp t="e">
        <v>#N/A</v>
        <stp/>
        <stp>PLAYERSRANKING</stp>
        <stp>GOAU4</stp>
        <stp>23</stp>
        <stp>SALDO</stp>
        <stp>VOLF</stp>
        <tr r="BM33" s="7"/>
      </tp>
      <tp t="e">
        <v>#N/A</v>
        <stp/>
        <stp>PLAYERSRANKING</stp>
        <stp>GOAU4</stp>
        <stp>27</stp>
        <stp>SALDO</stp>
        <stp>VOLF</stp>
        <tr r="BM38" s="7"/>
      </tp>
      <tp t="e">
        <v>#N/A</v>
        <stp/>
        <stp>PLAYERSRANKING</stp>
        <stp>GOAU4</stp>
        <stp>13</stp>
        <stp>SALDO</stp>
        <stp>VOLF</stp>
        <tr r="BM30" s="7"/>
      </tp>
      <tp t="e">
        <v>#N/A</v>
        <stp/>
        <stp>PLAYERSRANKING</stp>
        <stp>GOAU4</stp>
        <stp>16</stp>
        <stp>SALDO</stp>
        <stp>VOLF</stp>
        <tr r="BM29" s="7"/>
      </tp>
      <tp t="e">
        <v>#N/A</v>
        <stp/>
        <stp>PLAYERSRANKING</stp>
        <stp>GOLL4</stp>
        <stp>23</stp>
        <stp>SALDO</stp>
        <stp>VOLF</stp>
        <tr r="BN33" s="7"/>
      </tp>
      <tp t="e">
        <v>#N/A</v>
        <stp/>
        <stp>PLAYERSRANKING</stp>
        <stp>GOLL4</stp>
        <stp>27</stp>
        <stp>SALDO</stp>
        <stp>VOLF</stp>
        <tr r="BN38" s="7"/>
      </tp>
      <tp t="e">
        <v>#N/A</v>
        <stp/>
        <stp>PLAYERSRANKING</stp>
        <stp>GOLL4</stp>
        <stp>13</stp>
        <stp>SALDO</stp>
        <stp>VOLF</stp>
        <tr r="BN30" s="7"/>
      </tp>
      <tp t="e">
        <v>#N/A</v>
        <stp/>
        <stp>PLAYERSRANKING</stp>
        <stp>GOLL4</stp>
        <stp>16</stp>
        <stp>SALDO</stp>
        <stp>VOLF</stp>
        <tr r="BN29" s="7"/>
      </tp>
      <tp t="e">
        <v>#N/A</v>
        <stp/>
        <stp>PLAYERSRANKING</stp>
        <stp>GOLL4</stp>
        <stp>72</stp>
        <stp>SALDO</stp>
        <stp>VOLF</stp>
        <tr r="BN18" s="7"/>
      </tp>
      <tp t="e">
        <v>#N/A</v>
        <stp/>
        <stp>PLAYERSRANKING</stp>
        <stp>GOAU4</stp>
        <stp>92</stp>
        <stp>SALDO</stp>
        <stp>VOLF</stp>
        <tr r="BM36" s="7"/>
      </tp>
      <tp t="e">
        <v>#N/A</v>
        <stp/>
        <stp>PLAYERSRANKING</stp>
        <stp>GOAU4</stp>
        <stp>93</stp>
        <stp>SALDO</stp>
        <stp>VOLF</stp>
        <tr r="BM34" s="7"/>
      </tp>
      <tp t="e">
        <v>#N/A</v>
        <stp/>
        <stp>PLAYERSRANKING</stp>
        <stp>GOLL4</stp>
        <stp>40</stp>
        <stp>SALDO</stp>
        <stp>VOLF</stp>
        <tr r="BN32" s="7"/>
      </tp>
      <tp t="e">
        <v>#N/A</v>
        <stp/>
        <stp>PLAYERSRANKING</stp>
        <stp>GOLL4</stp>
        <stp>45</stp>
        <stp>SALDO</stp>
        <stp>VOLF</stp>
        <tr r="BN21" s="7"/>
      </tp>
      <tp t="e">
        <v>#N/A</v>
        <stp/>
        <stp>PLAYERSRANKING</stp>
        <stp>GOAU4</stp>
        <stp>88</stp>
        <stp>SALDO</stp>
        <stp>VOLF</stp>
        <tr r="BM20" s="7"/>
      </tp>
      <tp t="e">
        <v>#N/A</v>
        <stp/>
        <stp>PLAYERSRANKING</stp>
        <stp>GOAU4</stp>
        <stp>85</stp>
        <stp>SALDO</stp>
        <stp>VOLF</stp>
        <tr r="BM17" s="7"/>
      </tp>
      <tp t="e">
        <v>#N/A</v>
        <stp/>
        <stp>PLAYERSRANKING</stp>
        <stp>GOLL4</stp>
        <stp>59</stp>
        <stp>SALDO</stp>
        <stp>VOLF</stp>
        <tr r="BN37" s="7"/>
      </tp>
      <tp t="e">
        <v>#N/A</v>
        <stp/>
        <stp>PLAYERSRANKING</stp>
        <stp>ELET6</stp>
        <stp>23</stp>
        <stp>SALDO</stp>
        <stp>VOLF</stp>
        <tr r="BC33" s="7"/>
      </tp>
      <tp t="e">
        <v>#N/A</v>
        <stp/>
        <stp>PLAYERSRANKING</stp>
        <stp>ELET6</stp>
        <stp>27</stp>
        <stp>SALDO</stp>
        <stp>VOLF</stp>
        <tr r="BC38" s="7"/>
      </tp>
      <tp t="e">
        <v>#N/A</v>
        <stp/>
        <stp>PLAYERSRANKING</stp>
        <stp>ELET6</stp>
        <stp>13</stp>
        <stp>SALDO</stp>
        <stp>VOLF</stp>
        <tr r="BC30" s="7"/>
      </tp>
      <tp t="e">
        <v>#N/A</v>
        <stp/>
        <stp>PLAYERSRANKING</stp>
        <stp>ELET6</stp>
        <stp>16</stp>
        <stp>SALDO</stp>
        <stp>VOLF</stp>
        <tr r="BC29" s="7"/>
      </tp>
      <tp t="e">
        <v>#N/A</v>
        <stp/>
        <stp>PLAYERSRANKING</stp>
        <stp>ELET6</stp>
        <stp>72</stp>
        <stp>SALDO</stp>
        <stp>VOLF</stp>
        <tr r="BC18" s="7"/>
      </tp>
      <tp t="e">
        <v>#N/A</v>
        <stp/>
        <stp>PLAYERSRANKING</stp>
        <stp>ELET6</stp>
        <stp>59</stp>
        <stp>SALDO</stp>
        <stp>VOLF</stp>
        <tr r="BC37" s="7"/>
      </tp>
      <tp t="e">
        <v>#N/A</v>
        <stp/>
        <stp>PLAYERSRANKING</stp>
        <stp>ELET6</stp>
        <stp>40</stp>
        <stp>SALDO</stp>
        <stp>VOLF</stp>
        <tr r="BC32" s="7"/>
      </tp>
      <tp t="e">
        <v>#N/A</v>
        <stp/>
        <stp>PLAYERSRANKING</stp>
        <stp>ELET6</stp>
        <stp>45</stp>
        <stp>SALDO</stp>
        <stp>VOLF</stp>
        <tr r="BC21" s="7"/>
      </tp>
      <tp t="e">
        <v>#N/A</v>
        <stp/>
        <stp>PLAYERSRANKING</stp>
        <stp>ELET6</stp>
        <stp>93</stp>
        <stp>SALDO</stp>
        <stp>VOLF</stp>
        <tr r="BC34" s="7"/>
      </tp>
      <tp t="e">
        <v>#N/A</v>
        <stp/>
        <stp>PLAYERSRANKING</stp>
        <stp>ELET6</stp>
        <stp>92</stp>
        <stp>SALDO</stp>
        <stp>VOLF</stp>
        <tr r="BC36" s="7"/>
      </tp>
      <tp t="e">
        <v>#N/A</v>
        <stp/>
        <stp>PLAYERSRANKING</stp>
        <stp>ELET6</stp>
        <stp>88</stp>
        <stp>SALDO</stp>
        <stp>VOLF</stp>
        <tr r="BC20" s="7"/>
      </tp>
      <tp t="e">
        <v>#N/A</v>
        <stp/>
        <stp>PLAYERSRANKING</stp>
        <stp>ELET6</stp>
        <stp>85</stp>
        <stp>SALDO</stp>
        <stp>VOLF</stp>
        <tr r="BC17" s="7"/>
      </tp>
      <tp t="e">
        <v>#N/A</v>
        <stp/>
        <stp>PLAYERSRANKING</stp>
        <stp>GGBR4</stp>
        <stp>45</stp>
        <stp>SALDO</stp>
        <stp>VOLF</stp>
        <tr r="BK21" s="7"/>
      </tp>
      <tp t="e">
        <v>#N/A</v>
        <stp/>
        <stp>PLAYERSRANKING</stp>
        <stp>GGBR4</stp>
        <stp>40</stp>
        <stp>SALDO</stp>
        <stp>VOLF</stp>
        <tr r="BK32" s="7"/>
      </tp>
      <tp t="e">
        <v>#N/A</v>
        <stp/>
        <stp>PLAYERSRANKING</stp>
        <stp>GGBR4</stp>
        <stp>59</stp>
        <stp>SALDO</stp>
        <stp>VOLF</stp>
        <tr r="BK37" s="7"/>
      </tp>
      <tp t="e">
        <v>#N/A</v>
        <stp/>
        <stp>PLAYERSRANKING</stp>
        <stp>GGBR4</stp>
        <stp>72</stp>
        <stp>SALDO</stp>
        <stp>VOLF</stp>
        <tr r="BK18" s="7"/>
      </tp>
      <tp t="e">
        <v>#N/A</v>
        <stp/>
        <stp>PLAYERSRANKING</stp>
        <stp>GGBR4</stp>
        <stp>16</stp>
        <stp>SALDO</stp>
        <stp>VOLF</stp>
        <tr r="BK29" s="7"/>
      </tp>
      <tp t="e">
        <v>#N/A</v>
        <stp/>
        <stp>PLAYERSRANKING</stp>
        <stp>GGBR4</stp>
        <stp>13</stp>
        <stp>SALDO</stp>
        <stp>VOLF</stp>
        <tr r="BK30" s="7"/>
      </tp>
      <tp t="e">
        <v>#N/A</v>
        <stp/>
        <stp>PLAYERSRANKING</stp>
        <stp>GGBR4</stp>
        <stp>27</stp>
        <stp>SALDO</stp>
        <stp>VOLF</stp>
        <tr r="BK38" s="7"/>
      </tp>
      <tp t="e">
        <v>#N/A</v>
        <stp/>
        <stp>PLAYERSRANKING</stp>
        <stp>GGBR4</stp>
        <stp>23</stp>
        <stp>SALDO</stp>
        <stp>VOLF</stp>
        <tr r="BK33" s="7"/>
      </tp>
      <tp t="e">
        <v>#N/A</v>
        <stp/>
        <stp>PLAYERSRANKING</stp>
        <stp>GGBR4</stp>
        <stp>88</stp>
        <stp>SALDO</stp>
        <stp>VOLF</stp>
        <tr r="BK20" s="7"/>
      </tp>
      <tp t="e">
        <v>#N/A</v>
        <stp/>
        <stp>PLAYERSRANKING</stp>
        <stp>GGBR4</stp>
        <stp>85</stp>
        <stp>SALDO</stp>
        <stp>VOLF</stp>
        <tr r="BK17" s="7"/>
      </tp>
      <tp t="e">
        <v>#N/A</v>
        <stp/>
        <stp>PLAYERSRANKING</stp>
        <stp>GGBR4</stp>
        <stp>93</stp>
        <stp>SALDO</stp>
        <stp>VOLF</stp>
        <tr r="BK34" s="7"/>
      </tp>
      <tp t="e">
        <v>#N/A</v>
        <stp/>
        <stp>PLAYERSRANKING</stp>
        <stp>GGBR4</stp>
        <stp>92</stp>
        <stp>SALDO</stp>
        <stp>VOLF</stp>
        <tr r="BK36" s="7"/>
      </tp>
    </main>
    <main first="rtdtrading.rtdserver">
      <tp>
        <v>22.71</v>
        <stp/>
        <stp>ITUB4_B_0</stp>
        <stp>OVD</stp>
        <tr r="F50" s="3"/>
      </tp>
      <tp>
        <v>6.9699999999999989</v>
        <stp/>
        <stp>ECOR3_B_0</stp>
        <stp>ULT</stp>
        <tr r="B29" s="3"/>
      </tp>
      <tp>
        <v>23.43</v>
        <stp/>
        <stp>AZUL4_B_0</stp>
        <stp>OVD</stp>
        <tr r="F4" s="3"/>
      </tp>
      <tp>
        <v>0</v>
        <stp/>
        <stp>BTOW3_B_0</stp>
        <stp>ULT</stp>
        <tr r="B17" s="3"/>
      </tp>
    </main>
    <main first="srv.rtd">
      <tp t="e">
        <v>#N/A</v>
        <stp/>
        <stp>PLAYERSRANKING</stp>
        <stp>BPAC11</stp>
        <stp>8</stp>
        <stp>SALDO</stp>
        <stp>VOLF</stp>
        <tr r="AH41" s="7"/>
      </tp>
      <tp t="e">
        <v>#N/A</v>
        <stp/>
        <stp>PLAYERSRANKING</stp>
        <stp>BPAC11</stp>
        <stp>3</stp>
        <stp>SALDO</stp>
        <stp>VOLF</stp>
        <tr r="AH45" s="7"/>
      </tp>
    </main>
    <main first="rtdtrading.rtdserver">
      <tp>
        <v>22.67</v>
        <stp/>
        <stp>ITUB4_B_0</stp>
        <stp>OCP</stp>
        <tr r="E50" s="3"/>
      </tp>
      <tp>
        <v>23.400000000000002</v>
        <stp/>
        <stp>AZUL4_B_0</stp>
        <stp>OCP</stp>
        <tr r="E4" s="3"/>
      </tp>
    </main>
    <main first="srv.rtd">
      <tp t="e">
        <v>#N/A</v>
        <stp/>
        <stp>PLAYERSRANKING</stp>
        <stp>ABEV3</stp>
        <stp>23</stp>
        <stp>SALDO</stp>
        <stp>VOLF</stp>
        <tr r="Y33" s="7"/>
      </tp>
      <tp t="e">
        <v>#N/A</v>
        <stp/>
        <stp>PLAYERSRANKING</stp>
        <stp>ABEV3</stp>
        <stp>27</stp>
        <stp>SALDO</stp>
        <stp>VOLF</stp>
        <tr r="Y38" s="7"/>
      </tp>
      <tp t="e">
        <v>#N/A</v>
        <stp/>
        <stp>PLAYERSRANKING</stp>
        <stp>ABEV3</stp>
        <stp>13</stp>
        <stp>SALDO</stp>
        <stp>VOLF</stp>
        <tr r="Y30" s="7"/>
      </tp>
      <tp t="e">
        <v>#N/A</v>
        <stp/>
        <stp>PLAYERSRANKING</stp>
        <stp>ABEV3</stp>
        <stp>16</stp>
        <stp>SALDO</stp>
        <stp>VOLF</stp>
        <tr r="Y29" s="7"/>
      </tp>
      <tp t="e">
        <v>#N/A</v>
        <stp/>
        <stp>PLAYERSRANKING</stp>
        <stp>ABEV3</stp>
        <stp>72</stp>
        <stp>SALDO</stp>
        <stp>VOLF</stp>
        <tr r="Y18" s="7"/>
      </tp>
      <tp t="e">
        <v>#N/A</v>
        <stp/>
        <stp>PLAYERSRANKING</stp>
        <stp>ABEV3</stp>
        <stp>59</stp>
        <stp>SALDO</stp>
        <stp>VOLF</stp>
        <tr r="Y37" s="7"/>
      </tp>
      <tp t="e">
        <v>#N/A</v>
        <stp/>
        <stp>PLAYERSRANKING</stp>
        <stp>ABEV3</stp>
        <stp>40</stp>
        <stp>SALDO</stp>
        <stp>VOLF</stp>
        <tr r="Y32" s="7"/>
      </tp>
      <tp t="e">
        <v>#N/A</v>
        <stp/>
        <stp>PLAYERSRANKING</stp>
        <stp>ABEV3</stp>
        <stp>45</stp>
        <stp>SALDO</stp>
        <stp>VOLF</stp>
        <tr r="Y21" s="7"/>
      </tp>
      <tp t="e">
        <v>#N/A</v>
        <stp/>
        <stp>PLAYERSRANKING</stp>
        <stp>ABEV3</stp>
        <stp>93</stp>
        <stp>SALDO</stp>
        <stp>VOLF</stp>
        <tr r="Y34" s="7"/>
      </tp>
      <tp t="e">
        <v>#N/A</v>
        <stp/>
        <stp>PLAYERSRANKING</stp>
        <stp>ABEV3</stp>
        <stp>92</stp>
        <stp>SALDO</stp>
        <stp>VOLF</stp>
        <tr r="Y36" s="7"/>
      </tp>
      <tp t="e">
        <v>#N/A</v>
        <stp/>
        <stp>PLAYERSRANKING</stp>
        <stp>ABEV3</stp>
        <stp>88</stp>
        <stp>SALDO</stp>
        <stp>VOLF</stp>
        <tr r="Y20" s="7"/>
      </tp>
      <tp t="e">
        <v>#N/A</v>
        <stp/>
        <stp>PLAYERSRANKING</stp>
        <stp>ABEV3</stp>
        <stp>85</stp>
        <stp>SALDO</stp>
        <stp>VOLF</stp>
        <tr r="Y17" s="7"/>
      </tp>
      <tp t="e">
        <v>#N/A</v>
        <stp/>
        <stp>PLAYERSRANKING</stp>
        <stp>ASAI3</stp>
        <stp>72</stp>
        <stp>SALDO</stp>
        <stp>VOLF</stp>
        <tr r="Z18" s="7"/>
      </tp>
      <tp t="e">
        <v>#N/A</v>
        <stp/>
        <stp>PLAYERSRANKING</stp>
        <stp>ASAI3</stp>
        <stp>59</stp>
        <stp>SALDO</stp>
        <stp>VOLF</stp>
        <tr r="Z37" s="7"/>
      </tp>
      <tp t="e">
        <v>#N/A</v>
        <stp/>
        <stp>PLAYERSRANKING</stp>
        <stp>ASAI3</stp>
        <stp>45</stp>
        <stp>SALDO</stp>
        <stp>VOLF</stp>
        <tr r="Z21" s="7"/>
      </tp>
      <tp t="e">
        <v>#N/A</v>
        <stp/>
        <stp>PLAYERSRANKING</stp>
        <stp>ASAI3</stp>
        <stp>40</stp>
        <stp>SALDO</stp>
        <stp>VOLF</stp>
        <tr r="Z32" s="7"/>
      </tp>
      <tp t="e">
        <v>#N/A</v>
        <stp/>
        <stp>PLAYERSRANKING</stp>
        <stp>ASAI3</stp>
        <stp>27</stp>
        <stp>SALDO</stp>
        <stp>VOLF</stp>
        <tr r="Z38" s="7"/>
      </tp>
      <tp t="e">
        <v>#N/A</v>
        <stp/>
        <stp>PLAYERSRANKING</stp>
        <stp>ASAI3</stp>
        <stp>23</stp>
        <stp>SALDO</stp>
        <stp>VOLF</stp>
        <tr r="Z33" s="7"/>
      </tp>
      <tp t="e">
        <v>#N/A</v>
        <stp/>
        <stp>PLAYERSRANKING</stp>
        <stp>ASAI3</stp>
        <stp>16</stp>
        <stp>SALDO</stp>
        <stp>VOLF</stp>
        <tr r="Z29" s="7"/>
      </tp>
      <tp t="e">
        <v>#N/A</v>
        <stp/>
        <stp>PLAYERSRANKING</stp>
        <stp>ASAI3</stp>
        <stp>13</stp>
        <stp>SALDO</stp>
        <stp>VOLF</stp>
        <tr r="Z30" s="7"/>
      </tp>
      <tp t="e">
        <v>#N/A</v>
        <stp/>
        <stp>PLAYERSRANKING</stp>
        <stp>ASAI3</stp>
        <stp>92</stp>
        <stp>SALDO</stp>
        <stp>VOLF</stp>
        <tr r="Z36" s="7"/>
      </tp>
      <tp t="e">
        <v>#N/A</v>
        <stp/>
        <stp>PLAYERSRANKING</stp>
        <stp>ASAI3</stp>
        <stp>93</stp>
        <stp>SALDO</stp>
        <stp>VOLF</stp>
        <tr r="Z34" s="7"/>
      </tp>
      <tp t="e">
        <v>#N/A</v>
        <stp/>
        <stp>PLAYERSRANKING</stp>
        <stp>ASAI3</stp>
        <stp>85</stp>
        <stp>SALDO</stp>
        <stp>VOLF</stp>
        <tr r="Z17" s="7"/>
      </tp>
      <tp t="e">
        <v>#N/A</v>
        <stp/>
        <stp>PLAYERSRANKING</stp>
        <stp>ASAI3</stp>
        <stp>88</stp>
        <stp>SALDO</stp>
        <stp>VOLF</stp>
        <tr r="Z20" s="7"/>
      </tp>
    </main>
    <main first="rtdtrading.rtdserver">
      <tp>
        <v>0</v>
        <stp/>
        <stp>IGTA3_B_0</stp>
        <stp>OVD</stp>
        <tr r="F47" s="3"/>
      </tp>
      <tp>
        <v>17.88</v>
        <stp/>
        <stp>EZTC3_B_0</stp>
        <stp>OVD</stp>
        <tr r="F38" s="3"/>
      </tp>
      <tp>
        <v>24.55</v>
        <stp/>
        <stp>TOTS3_B_0</stp>
        <stp>OCP</stp>
        <tr r="E76" s="3"/>
      </tp>
      <tp>
        <v>30.79</v>
        <stp/>
        <stp>PETR3_B_0</stp>
        <stp>OCP</stp>
        <tr r="E63" s="3"/>
      </tp>
      <tp>
        <v>28.1</v>
        <stp/>
        <stp>PETR4_B_0</stp>
        <stp>OCP</stp>
        <tr r="E64" s="3"/>
      </tp>
      <tp>
        <v>0</v>
        <stp/>
        <stp>BRKM5_B_0</stp>
        <stp>PRT</stp>
        <tr r="G15" s="3"/>
      </tp>
      <tp>
        <v>21.38</v>
        <stp/>
        <stp>EQTL3_B_0</stp>
        <stp>OVD</stp>
        <tr r="F37" s="3"/>
      </tp>
      <tp>
        <v>0</v>
        <stp/>
        <stp>HGTX3_B_0</stp>
        <stp>OCP</stp>
        <tr r="E45" s="3"/>
      </tp>
      <tp>
        <v>48.520000000000024</v>
        <stp/>
        <stp>RENT3_B_0</stp>
        <stp>ULT</stp>
        <tr r="B69" s="3"/>
      </tp>
      <tp>
        <v>28.12</v>
        <stp/>
        <stp>PETR4_B_0</stp>
        <stp>OVD</stp>
        <tr r="F64" s="3"/>
      </tp>
      <tp>
        <v>30.810000000000002</v>
        <stp/>
        <stp>PETR3_B_0</stp>
        <stp>OVD</stp>
        <tr r="F63" s="3"/>
      </tp>
      <tp>
        <v>24.580000000000002</v>
        <stp/>
        <stp>TOTS3_B_0</stp>
        <stp>OVD</stp>
        <tr r="F76" s="3"/>
      </tp>
      <tp>
        <v>0</v>
        <stp/>
        <stp>IGTA3_B_0</stp>
        <stp>OCP</stp>
        <tr r="E47" s="3"/>
      </tp>
      <tp>
        <v>59.39</v>
        <stp/>
        <stp>SUZB3_B_0</stp>
        <stp>ABE</stp>
        <tr r="C73" s="3"/>
      </tp>
      <tp>
        <v>17.86</v>
        <stp/>
        <stp>EZTC3_B_0</stp>
        <stp>OCP</stp>
        <tr r="E38" s="3"/>
      </tp>
      <tp>
        <v>0</v>
        <stp/>
        <stp>HGTX3_B_0</stp>
        <stp>OVD</stp>
        <tr r="F45" s="3"/>
      </tp>
      <tp>
        <v>21.35</v>
        <stp/>
        <stp>EQTL3_B_0</stp>
        <stp>OCP</stp>
        <tr r="E37" s="3"/>
      </tp>
      <tp>
        <v>23.189999999999973</v>
        <stp/>
        <stp>CSNA3_B_0</stp>
        <stp>ULT</stp>
        <tr r="B26" s="3"/>
      </tp>
      <tp>
        <v>0</v>
        <stp/>
        <stp>ENGI11_B_0</stp>
        <stp>PRT</stp>
        <tr r="G36" s="3"/>
      </tp>
    </main>
    <main first="srv.rtd">
      <tp t="e">
        <v>#N/A</v>
        <stp/>
        <stp>PLAYERSRANKING</stp>
        <stp>ENGI11</stp>
        <stp/>
        <stp>SALDO</stp>
        <stp>VOLF</stp>
        <tr r="BG25" s="7"/>
        <tr r="BG24" s="7"/>
        <tr r="BG39" s="7"/>
        <tr r="BG35" s="7"/>
        <tr r="BG31" s="7"/>
      </tp>
    </main>
    <main first="srv.rtd">
      <tp t="e">
        <v>#N/A</v>
        <stp/>
        <stp>PLAYERSRANKING</stp>
        <stp>BEEF3</stp>
        <stp>23</stp>
        <stp>SALDO</stp>
        <stp>VOLF</stp>
        <tr r="AG33" s="7"/>
      </tp>
      <tp t="e">
        <v>#N/A</v>
        <stp/>
        <stp>PLAYERSRANKING</stp>
        <stp>BEEF3</stp>
        <stp>27</stp>
        <stp>SALDO</stp>
        <stp>VOLF</stp>
        <tr r="AG38" s="7"/>
      </tp>
      <tp t="e">
        <v>#N/A</v>
        <stp/>
        <stp>PLAYERSRANKING</stp>
        <stp>BEEF3</stp>
        <stp>13</stp>
        <stp>SALDO</stp>
        <stp>VOLF</stp>
        <tr r="AG30" s="7"/>
      </tp>
      <tp t="e">
        <v>#N/A</v>
        <stp/>
        <stp>PLAYERSRANKING</stp>
        <stp>BEEF3</stp>
        <stp>16</stp>
        <stp>SALDO</stp>
        <stp>VOLF</stp>
        <tr r="AG29" s="7"/>
      </tp>
      <tp t="e">
        <v>#N/A</v>
        <stp/>
        <stp>PLAYERSRANKING</stp>
        <stp>BEEF3</stp>
        <stp>72</stp>
        <stp>SALDO</stp>
        <stp>VOLF</stp>
        <tr r="AG18" s="7"/>
      </tp>
      <tp t="e">
        <v>#N/A</v>
        <stp/>
        <stp>PLAYERSRANKING</stp>
        <stp>BEEF3</stp>
        <stp>59</stp>
        <stp>SALDO</stp>
        <stp>VOLF</stp>
        <tr r="AG37" s="7"/>
      </tp>
      <tp t="e">
        <v>#N/A</v>
        <stp/>
        <stp>PLAYERSRANKING</stp>
        <stp>BEEF3</stp>
        <stp>40</stp>
        <stp>SALDO</stp>
        <stp>VOLF</stp>
        <tr r="AG32" s="7"/>
      </tp>
      <tp t="e">
        <v>#N/A</v>
        <stp/>
        <stp>PLAYERSRANKING</stp>
        <stp>BEEF3</stp>
        <stp>45</stp>
        <stp>SALDO</stp>
        <stp>VOLF</stp>
        <tr r="AG21" s="7"/>
      </tp>
      <tp t="e">
        <v>#N/A</v>
        <stp/>
        <stp>PLAYERSRANKING</stp>
        <stp>BEEF3</stp>
        <stp>93</stp>
        <stp>SALDO</stp>
        <stp>VOLF</stp>
        <tr r="AG34" s="7"/>
      </tp>
      <tp t="e">
        <v>#N/A</v>
        <stp/>
        <stp>PLAYERSRANKING</stp>
        <stp>BEEF3</stp>
        <stp>92</stp>
        <stp>SALDO</stp>
        <stp>VOLF</stp>
        <tr r="AG36" s="7"/>
      </tp>
      <tp t="e">
        <v>#N/A</v>
        <stp/>
        <stp>PLAYERSRANKING</stp>
        <stp>BEEF3</stp>
        <stp>88</stp>
        <stp>SALDO</stp>
        <stp>VOLF</stp>
        <tr r="AG20" s="7"/>
      </tp>
      <tp t="e">
        <v>#N/A</v>
        <stp/>
        <stp>PLAYERSRANKING</stp>
        <stp>BEEF3</stp>
        <stp>85</stp>
        <stp>SALDO</stp>
        <stp>VOLF</stp>
        <tr r="AG17" s="7"/>
      </tp>
      <tp t="e">
        <v>#N/A</v>
        <stp/>
        <stp>PLAYERSRANKING</stp>
        <stp>BBSE3</stp>
        <stp>59</stp>
        <stp>SALDO</stp>
        <stp>VOLF</stp>
        <tr r="AF37" s="7"/>
      </tp>
      <tp t="e">
        <v>#N/A</v>
        <stp/>
        <stp>PLAYERSRANKING</stp>
        <stp>BBSE3</stp>
        <stp>40</stp>
        <stp>SALDO</stp>
        <stp>VOLF</stp>
        <tr r="AF32" s="7"/>
      </tp>
      <tp t="e">
        <v>#N/A</v>
        <stp/>
        <stp>PLAYERSRANKING</stp>
        <stp>BBSE3</stp>
        <stp>45</stp>
        <stp>SALDO</stp>
        <stp>VOLF</stp>
        <tr r="AF21" s="7"/>
      </tp>
      <tp t="e">
        <v>#N/A</v>
        <stp/>
        <stp>PLAYERSRANKING</stp>
        <stp>BBSE3</stp>
        <stp>72</stp>
        <stp>SALDO</stp>
        <stp>VOLF</stp>
        <tr r="AF18" s="7"/>
      </tp>
      <tp t="e">
        <v>#N/A</v>
        <stp/>
        <stp>PLAYERSRANKING</stp>
        <stp>BBSE3</stp>
        <stp>13</stp>
        <stp>SALDO</stp>
        <stp>VOLF</stp>
        <tr r="AF30" s="7"/>
      </tp>
      <tp t="e">
        <v>#N/A</v>
        <stp/>
        <stp>PLAYERSRANKING</stp>
        <stp>BBSE3</stp>
        <stp>16</stp>
        <stp>SALDO</stp>
        <stp>VOLF</stp>
        <tr r="AF29" s="7"/>
      </tp>
      <tp t="e">
        <v>#N/A</v>
        <stp/>
        <stp>PLAYERSRANKING</stp>
        <stp>BBSE3</stp>
        <stp>23</stp>
        <stp>SALDO</stp>
        <stp>VOLF</stp>
        <tr r="AF33" s="7"/>
      </tp>
      <tp t="e">
        <v>#N/A</v>
        <stp/>
        <stp>PLAYERSRANKING</stp>
        <stp>BBSE3</stp>
        <stp>27</stp>
        <stp>SALDO</stp>
        <stp>VOLF</stp>
        <tr r="AF38" s="7"/>
      </tp>
      <tp t="e">
        <v>#N/A</v>
        <stp/>
        <stp>PLAYERSRANKING</stp>
        <stp>BBSE3</stp>
        <stp>92</stp>
        <stp>SALDO</stp>
        <stp>VOLF</stp>
        <tr r="AF36" s="7"/>
      </tp>
      <tp t="e">
        <v>#N/A</v>
        <stp/>
        <stp>PLAYERSRANKING</stp>
        <stp>BBSE3</stp>
        <stp>93</stp>
        <stp>SALDO</stp>
        <stp>VOLF</stp>
        <tr r="AF34" s="7"/>
      </tp>
      <tp t="e">
        <v>#N/A</v>
        <stp/>
        <stp>PLAYERSRANKING</stp>
        <stp>BBSE3</stp>
        <stp>88</stp>
        <stp>SALDO</stp>
        <stp>VOLF</stp>
        <tr r="AF20" s="7"/>
      </tp>
      <tp t="e">
        <v>#N/A</v>
        <stp/>
        <stp>PLAYERSRANKING</stp>
        <stp>BBSE3</stp>
        <stp>85</stp>
        <stp>SALDO</stp>
        <stp>VOLF</stp>
        <tr r="AF17" s="7"/>
      </tp>
      <tp t="e">
        <v>#N/A</v>
        <stp/>
        <stp>PLAYERSRANKING</stp>
        <stp>BBAS3</stp>
        <stp>72</stp>
        <stp>SALDO</stp>
        <stp>VOLF</stp>
        <tr r="AC18" s="7"/>
      </tp>
      <tp t="e">
        <v>#N/A</v>
        <stp/>
        <stp>PLAYERSRANKING</stp>
        <stp>BBDC3</stp>
        <stp>27</stp>
        <stp>SALDO</stp>
        <stp>VOLF</stp>
        <tr r="AD38" s="7"/>
      </tp>
      <tp t="e">
        <v>#N/A</v>
        <stp/>
        <stp>PLAYERSRANKING</stp>
        <stp>BBDC3</stp>
        <stp>23</stp>
        <stp>SALDO</stp>
        <stp>VOLF</stp>
        <tr r="AD33" s="7"/>
      </tp>
      <tp t="e">
        <v>#N/A</v>
        <stp/>
        <stp>PLAYERSRANKING</stp>
        <stp>BBAS3</stp>
        <stp>59</stp>
        <stp>SALDO</stp>
        <stp>VOLF</stp>
        <tr r="AC37" s="7"/>
      </tp>
      <tp t="e">
        <v>#N/A</v>
        <stp/>
        <stp>PLAYERSRANKING</stp>
        <stp>BBAS3</stp>
        <stp>45</stp>
        <stp>SALDO</stp>
        <stp>VOLF</stp>
        <tr r="AC21" s="7"/>
      </tp>
      <tp t="e">
        <v>#N/A</v>
        <stp/>
        <stp>PLAYERSRANKING</stp>
        <stp>BBAS3</stp>
        <stp>40</stp>
        <stp>SALDO</stp>
        <stp>VOLF</stp>
        <tr r="AC32" s="7"/>
      </tp>
      <tp t="e">
        <v>#N/A</v>
        <stp/>
        <stp>PLAYERSRANKING</stp>
        <stp>BBDC3</stp>
        <stp>16</stp>
        <stp>SALDO</stp>
        <stp>VOLF</stp>
        <tr r="AD29" s="7"/>
      </tp>
      <tp t="e">
        <v>#N/A</v>
        <stp/>
        <stp>PLAYERSRANKING</stp>
        <stp>BBDC3</stp>
        <stp>13</stp>
        <stp>SALDO</stp>
        <stp>VOLF</stp>
        <tr r="AD30" s="7"/>
      </tp>
      <tp t="e">
        <v>#N/A</v>
        <stp/>
        <stp>PLAYERSRANKING</stp>
        <stp>BBAS3</stp>
        <stp>27</stp>
        <stp>SALDO</stp>
        <stp>VOLF</stp>
        <tr r="AC38" s="7"/>
      </tp>
      <tp t="e">
        <v>#N/A</v>
        <stp/>
        <stp>PLAYERSRANKING</stp>
        <stp>BBAS3</stp>
        <stp>23</stp>
        <stp>SALDO</stp>
        <stp>VOLF</stp>
        <tr r="AC33" s="7"/>
      </tp>
      <tp t="e">
        <v>#N/A</v>
        <stp/>
        <stp>PLAYERSRANKING</stp>
        <stp>BBDC3</stp>
        <stp>72</stp>
        <stp>SALDO</stp>
        <stp>VOLF</stp>
        <tr r="AD18" s="7"/>
      </tp>
      <tp t="e">
        <v>#N/A</v>
        <stp/>
        <stp>PLAYERSRANKING</stp>
        <stp>BBAS3</stp>
        <stp>16</stp>
        <stp>SALDO</stp>
        <stp>VOLF</stp>
        <tr r="AC29" s="7"/>
      </tp>
      <tp t="e">
        <v>#N/A</v>
        <stp/>
        <stp>PLAYERSRANKING</stp>
        <stp>BBAS3</stp>
        <stp>13</stp>
        <stp>SALDO</stp>
        <stp>VOLF</stp>
        <tr r="AC30" s="7"/>
      </tp>
      <tp t="e">
        <v>#N/A</v>
        <stp/>
        <stp>PLAYERSRANKING</stp>
        <stp>BBDC3</stp>
        <stp>45</stp>
        <stp>SALDO</stp>
        <stp>VOLF</stp>
        <tr r="AD21" s="7"/>
      </tp>
      <tp t="e">
        <v>#N/A</v>
        <stp/>
        <stp>PLAYERSRANKING</stp>
        <stp>BBDC3</stp>
        <stp>40</stp>
        <stp>SALDO</stp>
        <stp>VOLF</stp>
        <tr r="AD32" s="7"/>
      </tp>
      <tp t="e">
        <v>#N/A</v>
        <stp/>
        <stp>PLAYERSRANKING</stp>
        <stp>BBDC3</stp>
        <stp>59</stp>
        <stp>SALDO</stp>
        <stp>VOLF</stp>
        <tr r="AD37" s="7"/>
      </tp>
      <tp t="e">
        <v>#N/A</v>
        <stp/>
        <stp>PLAYERSRANKING</stp>
        <stp>BBDC3</stp>
        <stp>88</stp>
        <stp>SALDO</stp>
        <stp>VOLF</stp>
        <tr r="AD20" s="7"/>
      </tp>
      <tp t="e">
        <v>#N/A</v>
        <stp/>
        <stp>PLAYERSRANKING</stp>
        <stp>BBDC3</stp>
        <stp>85</stp>
        <stp>SALDO</stp>
        <stp>VOLF</stp>
        <tr r="AD17" s="7"/>
      </tp>
      <tp t="e">
        <v>#N/A</v>
        <stp/>
        <stp>PLAYERSRANKING</stp>
        <stp>BBDC3</stp>
        <stp>92</stp>
        <stp>SALDO</stp>
        <stp>VOLF</stp>
        <tr r="AD36" s="7"/>
      </tp>
      <tp t="e">
        <v>#N/A</v>
        <stp/>
        <stp>PLAYERSRANKING</stp>
        <stp>BBDC3</stp>
        <stp>93</stp>
        <stp>SALDO</stp>
        <stp>VOLF</stp>
        <tr r="AD34" s="7"/>
      </tp>
      <tp t="e">
        <v>#N/A</v>
        <stp/>
        <stp>PLAYERSRANKING</stp>
        <stp>BBAS3</stp>
        <stp>92</stp>
        <stp>SALDO</stp>
        <stp>VOLF</stp>
        <tr r="AC36" s="7"/>
      </tp>
      <tp t="e">
        <v>#N/A</v>
        <stp/>
        <stp>PLAYERSRANKING</stp>
        <stp>BBAS3</stp>
        <stp>93</stp>
        <stp>SALDO</stp>
        <stp>VOLF</stp>
        <tr r="AC34" s="7"/>
      </tp>
      <tp t="e">
        <v>#N/A</v>
        <stp/>
        <stp>PLAYERSRANKING</stp>
        <stp>BBAS3</stp>
        <stp>88</stp>
        <stp>SALDO</stp>
        <stp>VOLF</stp>
        <tr r="AC20" s="7"/>
      </tp>
      <tp t="e">
        <v>#N/A</v>
        <stp/>
        <stp>PLAYERSRANKING</stp>
        <stp>BBAS3</stp>
        <stp>85</stp>
        <stp>SALDO</stp>
        <stp>VOLF</stp>
        <tr r="AC17" s="7"/>
      </tp>
      <tp t="e">
        <v>#N/A</v>
        <stp/>
        <stp>PLAYERSRANKING</stp>
        <stp>BTOW3</stp>
        <stp>92</stp>
        <stp>SALDO</stp>
        <stp>VOLF</stp>
        <tr r="AN36" s="7"/>
      </tp>
      <tp t="e">
        <v>#N/A</v>
        <stp/>
        <stp>PLAYERSRANKING</stp>
        <stp>BTOW3</stp>
        <stp>93</stp>
        <stp>SALDO</stp>
        <stp>VOLF</stp>
        <tr r="AN34" s="7"/>
      </tp>
      <tp t="e">
        <v>#N/A</v>
        <stp/>
        <stp>PLAYERSRANKING</stp>
        <stp>BTOW3</stp>
        <stp>88</stp>
        <stp>SALDO</stp>
        <stp>VOLF</stp>
        <tr r="AN20" s="7"/>
      </tp>
      <tp t="e">
        <v>#N/A</v>
        <stp/>
        <stp>PLAYERSRANKING</stp>
        <stp>BTOW3</stp>
        <stp>85</stp>
        <stp>SALDO</stp>
        <stp>VOLF</stp>
        <tr r="AN17" s="7"/>
      </tp>
      <tp t="e">
        <v>#N/A</v>
        <stp/>
        <stp>PLAYERSRANKING</stp>
        <stp>BTOW3</stp>
        <stp>13</stp>
        <stp>SALDO</stp>
        <stp>VOLF</stp>
        <tr r="AN30" s="7"/>
      </tp>
      <tp t="e">
        <v>#N/A</v>
        <stp/>
        <stp>PLAYERSRANKING</stp>
        <stp>BTOW3</stp>
        <stp>16</stp>
        <stp>SALDO</stp>
        <stp>VOLF</stp>
        <tr r="AN29" s="7"/>
      </tp>
      <tp t="e">
        <v>#N/A</v>
        <stp/>
        <stp>PLAYERSRANKING</stp>
        <stp>BTOW3</stp>
        <stp>23</stp>
        <stp>SALDO</stp>
        <stp>VOLF</stp>
        <tr r="AN33" s="7"/>
      </tp>
      <tp t="e">
        <v>#N/A</v>
        <stp/>
        <stp>PLAYERSRANKING</stp>
        <stp>BTOW3</stp>
        <stp>27</stp>
        <stp>SALDO</stp>
        <stp>VOLF</stp>
        <tr r="AN38" s="7"/>
      </tp>
      <tp t="e">
        <v>#N/A</v>
        <stp/>
        <stp>PLAYERSRANKING</stp>
        <stp>BTOW3</stp>
        <stp>59</stp>
        <stp>SALDO</stp>
        <stp>VOLF</stp>
        <tr r="AN37" s="7"/>
      </tp>
      <tp t="e">
        <v>#N/A</v>
        <stp/>
        <stp>PLAYERSRANKING</stp>
        <stp>BTOW3</stp>
        <stp>40</stp>
        <stp>SALDO</stp>
        <stp>VOLF</stp>
        <tr r="AN32" s="7"/>
      </tp>
      <tp t="e">
        <v>#N/A</v>
        <stp/>
        <stp>PLAYERSRANKING</stp>
        <stp>BTOW3</stp>
        <stp>45</stp>
        <stp>SALDO</stp>
        <stp>VOLF</stp>
        <tr r="AN21" s="7"/>
      </tp>
      <tp t="e">
        <v>#N/A</v>
        <stp/>
        <stp>PLAYERSRANKING</stp>
        <stp>BTOW3</stp>
        <stp>72</stp>
        <stp>SALDO</stp>
        <stp>VOLF</stp>
        <tr r="AN18" s="7"/>
      </tp>
      <tp t="e">
        <v>#N/A</v>
        <stp/>
        <stp>PLAYERSRANKING</stp>
        <stp>BRDT3</stp>
        <stp>23</stp>
        <stp>SALDO</stp>
        <stp>VOLF</stp>
        <tr r="AJ33" s="7"/>
      </tp>
      <tp t="e">
        <v>#N/A</v>
        <stp/>
        <stp>PLAYERSRANKING</stp>
        <stp>BRDT3</stp>
        <stp>27</stp>
        <stp>SALDO</stp>
        <stp>VOLF</stp>
        <tr r="AJ38" s="7"/>
      </tp>
      <tp t="e">
        <v>#N/A</v>
        <stp/>
        <stp>PLAYERSRANKING</stp>
        <stp>BRFS3</stp>
        <stp>16</stp>
        <stp>SALDO</stp>
        <stp>VOLF</stp>
        <tr r="AK29" s="7"/>
      </tp>
      <tp t="e">
        <v>#N/A</v>
        <stp/>
        <stp>PLAYERSRANKING</stp>
        <stp>BRFS3</stp>
        <stp>13</stp>
        <stp>SALDO</stp>
        <stp>VOLF</stp>
        <tr r="AK30" s="7"/>
      </tp>
      <tp t="e">
        <v>#N/A</v>
        <stp/>
        <stp>PLAYERSRANKING</stp>
        <stp>BRFS3</stp>
        <stp>27</stp>
        <stp>SALDO</stp>
        <stp>VOLF</stp>
        <tr r="AK38" s="7"/>
      </tp>
      <tp t="e">
        <v>#N/A</v>
        <stp/>
        <stp>PLAYERSRANKING</stp>
        <stp>BRFS3</stp>
        <stp>23</stp>
        <stp>SALDO</stp>
        <stp>VOLF</stp>
        <tr r="AK33" s="7"/>
      </tp>
      <tp t="e">
        <v>#N/A</v>
        <stp/>
        <stp>PLAYERSRANKING</stp>
        <stp>BRML3</stp>
        <stp>93</stp>
        <stp>SALDO</stp>
        <stp>VOLF</stp>
        <tr r="AM34" s="7"/>
      </tp>
      <tp t="e">
        <v>#N/A</v>
        <stp/>
        <stp>PLAYERSRANKING</stp>
        <stp>BRML3</stp>
        <stp>92</stp>
        <stp>SALDO</stp>
        <stp>VOLF</stp>
        <tr r="AM36" s="7"/>
      </tp>
      <tp t="e">
        <v>#N/A</v>
        <stp/>
        <stp>PLAYERSRANKING</stp>
        <stp>BRDT3</stp>
        <stp>13</stp>
        <stp>SALDO</stp>
        <stp>VOLF</stp>
        <tr r="AJ30" s="7"/>
      </tp>
      <tp t="e">
        <v>#N/A</v>
        <stp/>
        <stp>PLAYERSRANKING</stp>
        <stp>BRDT3</stp>
        <stp>16</stp>
        <stp>SALDO</stp>
        <stp>VOLF</stp>
        <tr r="AJ29" s="7"/>
      </tp>
      <tp t="e">
        <v>#N/A</v>
        <stp/>
        <stp>PLAYERSRANKING</stp>
        <stp>BRML3</stp>
        <stp>85</stp>
        <stp>SALDO</stp>
        <stp>VOLF</stp>
        <tr r="AM17" s="7"/>
      </tp>
      <tp t="e">
        <v>#N/A</v>
        <stp/>
        <stp>PLAYERSRANKING</stp>
        <stp>BRML3</stp>
        <stp>88</stp>
        <stp>SALDO</stp>
        <stp>VOLF</stp>
        <tr r="AM20" s="7"/>
      </tp>
      <tp t="e">
        <v>#N/A</v>
        <stp/>
        <stp>PLAYERSRANKING</stp>
        <stp>BRFS3</stp>
        <stp>45</stp>
        <stp>SALDO</stp>
        <stp>VOLF</stp>
        <tr r="AK21" s="7"/>
      </tp>
      <tp t="e">
        <v>#N/A</v>
        <stp/>
        <stp>PLAYERSRANKING</stp>
        <stp>BRFS3</stp>
        <stp>40</stp>
        <stp>SALDO</stp>
        <stp>VOLF</stp>
        <tr r="AK32" s="7"/>
      </tp>
      <tp t="e">
        <v>#N/A</v>
        <stp/>
        <stp>PLAYERSRANKING</stp>
        <stp>BRFS3</stp>
        <stp>59</stp>
        <stp>SALDO</stp>
        <stp>VOLF</stp>
        <tr r="AK37" s="7"/>
      </tp>
      <tp t="e">
        <v>#N/A</v>
        <stp/>
        <stp>PLAYERSRANKING</stp>
        <stp>BRDT3</stp>
        <stp>72</stp>
        <stp>SALDO</stp>
        <stp>VOLF</stp>
        <tr r="AJ18" s="7"/>
      </tp>
      <tp t="e">
        <v>#N/A</v>
        <stp/>
        <stp>PLAYERSRANKING</stp>
        <stp>BRDT3</stp>
        <stp>40</stp>
        <stp>SALDO</stp>
        <stp>VOLF</stp>
        <tr r="AJ32" s="7"/>
      </tp>
      <tp t="e">
        <v>#N/A</v>
        <stp/>
        <stp>PLAYERSRANKING</stp>
        <stp>BRDT3</stp>
        <stp>45</stp>
        <stp>SALDO</stp>
        <stp>VOLF</stp>
        <tr r="AJ21" s="7"/>
      </tp>
      <tp t="e">
        <v>#N/A</v>
        <stp/>
        <stp>PLAYERSRANKING</stp>
        <stp>BRDT3</stp>
        <stp>59</stp>
        <stp>SALDO</stp>
        <stp>VOLF</stp>
        <tr r="AJ37" s="7"/>
      </tp>
      <tp t="e">
        <v>#N/A</v>
        <stp/>
        <stp>PLAYERSRANKING</stp>
        <stp>BRFS3</stp>
        <stp>72</stp>
        <stp>SALDO</stp>
        <stp>VOLF</stp>
        <tr r="AK18" s="7"/>
      </tp>
      <tp t="e">
        <v>#N/A</v>
        <stp/>
        <stp>PLAYERSRANKING</stp>
        <stp>BRFS3</stp>
        <stp>88</stp>
        <stp>SALDO</stp>
        <stp>VOLF</stp>
        <tr r="AK20" s="7"/>
      </tp>
      <tp t="e">
        <v>#N/A</v>
        <stp/>
        <stp>PLAYERSRANKING</stp>
        <stp>BRFS3</stp>
        <stp>85</stp>
        <stp>SALDO</stp>
        <stp>VOLF</stp>
        <tr r="AK17" s="7"/>
      </tp>
      <tp t="e">
        <v>#N/A</v>
        <stp/>
        <stp>PLAYERSRANKING</stp>
        <stp>BRFS3</stp>
        <stp>92</stp>
        <stp>SALDO</stp>
        <stp>VOLF</stp>
        <tr r="AK36" s="7"/>
      </tp>
      <tp t="e">
        <v>#N/A</v>
        <stp/>
        <stp>PLAYERSRANKING</stp>
        <stp>BRFS3</stp>
        <stp>93</stp>
        <stp>SALDO</stp>
        <stp>VOLF</stp>
        <tr r="AK34" s="7"/>
      </tp>
      <tp t="e">
        <v>#N/A</v>
        <stp/>
        <stp>PLAYERSRANKING</stp>
        <stp>BRML3</stp>
        <stp>23</stp>
        <stp>SALDO</stp>
        <stp>VOLF</stp>
        <tr r="AM33" s="7"/>
      </tp>
      <tp t="e">
        <v>#N/A</v>
        <stp/>
        <stp>PLAYERSRANKING</stp>
        <stp>BRML3</stp>
        <stp>27</stp>
        <stp>SALDO</stp>
        <stp>VOLF</stp>
        <tr r="AM38" s="7"/>
      </tp>
      <tp t="e">
        <v>#N/A</v>
        <stp/>
        <stp>PLAYERSRANKING</stp>
        <stp>BRDT3</stp>
        <stp>88</stp>
        <stp>SALDO</stp>
        <stp>VOLF</stp>
        <tr r="AJ20" s="7"/>
      </tp>
      <tp t="e">
        <v>#N/A</v>
        <stp/>
        <stp>PLAYERSRANKING</stp>
        <stp>BRDT3</stp>
        <stp>85</stp>
        <stp>SALDO</stp>
        <stp>VOLF</stp>
        <tr r="AJ17" s="7"/>
      </tp>
      <tp t="e">
        <v>#N/A</v>
        <stp/>
        <stp>PLAYERSRANKING</stp>
        <stp>BRML3</stp>
        <stp>13</stp>
        <stp>SALDO</stp>
        <stp>VOLF</stp>
        <tr r="AM30" s="7"/>
      </tp>
      <tp t="e">
        <v>#N/A</v>
        <stp/>
        <stp>PLAYERSRANKING</stp>
        <stp>BRML3</stp>
        <stp>16</stp>
        <stp>SALDO</stp>
        <stp>VOLF</stp>
        <tr r="AM29" s="7"/>
      </tp>
      <tp t="e">
        <v>#N/A</v>
        <stp/>
        <stp>PLAYERSRANKING</stp>
        <stp>BRDT3</stp>
        <stp>93</stp>
        <stp>SALDO</stp>
        <stp>VOLF</stp>
        <tr r="AJ34" s="7"/>
      </tp>
      <tp t="e">
        <v>#N/A</v>
        <stp/>
        <stp>PLAYERSRANKING</stp>
        <stp>BRDT3</stp>
        <stp>92</stp>
        <stp>SALDO</stp>
        <stp>VOLF</stp>
        <tr r="AJ36" s="7"/>
      </tp>
      <tp t="e">
        <v>#N/A</v>
        <stp/>
        <stp>PLAYERSRANKING</stp>
        <stp>BRML3</stp>
        <stp>72</stp>
        <stp>SALDO</stp>
        <stp>VOLF</stp>
        <tr r="AM18" s="7"/>
      </tp>
      <tp t="e">
        <v>#N/A</v>
        <stp/>
        <stp>PLAYERSRANKING</stp>
        <stp>BRML3</stp>
        <stp>59</stp>
        <stp>SALDO</stp>
        <stp>VOLF</stp>
        <tr r="AM37" s="7"/>
      </tp>
      <tp t="e">
        <v>#N/A</v>
        <stp/>
        <stp>PLAYERSRANKING</stp>
        <stp>BRML3</stp>
        <stp>40</stp>
        <stp>SALDO</stp>
        <stp>VOLF</stp>
        <tr r="AM32" s="7"/>
      </tp>
      <tp t="e">
        <v>#N/A</v>
        <stp/>
        <stp>PLAYERSRANKING</stp>
        <stp>BRML3</stp>
        <stp>45</stp>
        <stp>SALDO</stp>
        <stp>VOLF</stp>
        <tr r="AM21" s="7"/>
      </tp>
    </main>
    <main first="rtdtrading.rtdserver">
      <tp>
        <v>12.319999999999999</v>
        <stp/>
        <stp>TIMS3_B_0</stp>
        <stp>ULT</stp>
        <tr r="B75" s="3"/>
      </tp>
      <tp>
        <v>7.0700000000000038</v>
        <stp/>
        <stp>BRML3_B_0</stp>
        <stp>ULT</stp>
        <tr r="B16" s="3"/>
      </tp>
      <tp>
        <v>5.080000000000001</v>
        <stp/>
        <stp>LAME4_B_0</stp>
        <stp>ULT</stp>
        <tr r="B54" s="3"/>
      </tp>
    </main>
    <main first="srv.rtd">
      <tp t="e">
        <v>#N/A</v>
        <stp/>
        <stp>PLAYERSRANKING</stp>
        <stp>GNDI3</stp>
        <stp>8</stp>
        <stp>SALDO</stp>
        <stp>VOLF</stp>
        <tr r="BL41" s="7"/>
      </tp>
      <tp t="e">
        <v>#N/A</v>
        <stp/>
        <stp>PLAYERSRANKING</stp>
        <stp>GNDI3</stp>
        <stp>3</stp>
        <stp>SALDO</stp>
        <stp>VOLF</stp>
        <tr r="BL45" s="7"/>
      </tp>
      <tp t="e">
        <v>#N/A</v>
        <stp/>
        <stp>PLAYERSRANKING</stp>
        <stp>ASAI3</stp>
        <stp>8</stp>
        <stp>SALDO</stp>
        <stp>VOLF</stp>
        <tr r="Z41" s="7"/>
      </tp>
      <tp t="e">
        <v>#N/A</v>
        <stp/>
        <stp>PLAYERSRANKING</stp>
        <stp>ASAI3</stp>
        <stp>3</stp>
        <stp>SALDO</stp>
        <stp>VOLF</stp>
        <tr r="Z45" s="7"/>
      </tp>
    </main>
    <main first="srv.rtd">
      <tp t="e">
        <v>#N/A</v>
        <stp/>
        <stp>PLAYERSRANKING</stp>
        <stp>B3SA3</stp>
        <stp>59</stp>
        <stp>SALDO</stp>
        <stp>VOLF</stp>
        <tr r="AB37" s="7"/>
      </tp>
      <tp t="e">
        <v>#N/A</v>
        <stp/>
        <stp>PLAYERSRANKING</stp>
        <stp>B3SA3</stp>
        <stp>45</stp>
        <stp>SALDO</stp>
        <stp>VOLF</stp>
        <tr r="AB21" s="7"/>
      </tp>
      <tp t="e">
        <v>#N/A</v>
        <stp/>
        <stp>PLAYERSRANKING</stp>
        <stp>B3SA3</stp>
        <stp>40</stp>
        <stp>SALDO</stp>
        <stp>VOLF</stp>
        <tr r="AB32" s="7"/>
      </tp>
      <tp t="e">
        <v>#N/A</v>
        <stp/>
        <stp>PLAYERSRANKING</stp>
        <stp>B3SA3</stp>
        <stp>72</stp>
        <stp>SALDO</stp>
        <stp>VOLF</stp>
        <tr r="AB18" s="7"/>
      </tp>
      <tp t="e">
        <v>#N/A</v>
        <stp/>
        <stp>PLAYERSRANKING</stp>
        <stp>B3SA3</stp>
        <stp>16</stp>
        <stp>SALDO</stp>
        <stp>VOLF</stp>
        <tr r="AB29" s="7"/>
      </tp>
      <tp t="e">
        <v>#N/A</v>
        <stp/>
        <stp>PLAYERSRANKING</stp>
        <stp>B3SA3</stp>
        <stp>13</stp>
        <stp>SALDO</stp>
        <stp>VOLF</stp>
        <tr r="AB30" s="7"/>
      </tp>
      <tp t="e">
        <v>#N/A</v>
        <stp/>
        <stp>PLAYERSRANKING</stp>
        <stp>B3SA3</stp>
        <stp>27</stp>
        <stp>SALDO</stp>
        <stp>VOLF</stp>
        <tr r="AB38" s="7"/>
      </tp>
      <tp t="e">
        <v>#N/A</v>
        <stp/>
        <stp>PLAYERSRANKING</stp>
        <stp>B3SA3</stp>
        <stp>23</stp>
        <stp>SALDO</stp>
        <stp>VOLF</stp>
        <tr r="AB33" s="7"/>
      </tp>
      <tp t="e">
        <v>#N/A</v>
        <stp/>
        <stp>PLAYERSRANKING</stp>
        <stp>B3SA3</stp>
        <stp>92</stp>
        <stp>SALDO</stp>
        <stp>VOLF</stp>
        <tr r="AB36" s="7"/>
      </tp>
      <tp t="e">
        <v>#N/A</v>
        <stp/>
        <stp>PLAYERSRANKING</stp>
        <stp>B3SA3</stp>
        <stp>93</stp>
        <stp>SALDO</stp>
        <stp>VOLF</stp>
        <tr r="AB34" s="7"/>
      </tp>
      <tp t="e">
        <v>#N/A</v>
        <stp/>
        <stp>PLAYERSRANKING</stp>
        <stp>B3SA3</stp>
        <stp>88</stp>
        <stp>SALDO</stp>
        <stp>VOLF</stp>
        <tr r="AB20" s="7"/>
      </tp>
      <tp t="e">
        <v>#N/A</v>
        <stp/>
        <stp>PLAYERSRANKING</stp>
        <stp>B3SA3</stp>
        <stp>85</stp>
        <stp>SALDO</stp>
        <stp>VOLF</stp>
        <tr r="AB17" s="7"/>
      </tp>
      <tp t="e">
        <v>#N/A</v>
        <stp/>
        <stp>PLAYERSRANKING</stp>
        <stp>COGN3</stp>
        <stp>13</stp>
        <stp>SALDO</stp>
        <stp>VOLF</stp>
        <tr r="AR30" s="7"/>
      </tp>
      <tp t="e">
        <v>#N/A</v>
        <stp/>
        <stp>PLAYERSRANKING</stp>
        <stp>COGN3</stp>
        <stp>16</stp>
        <stp>SALDO</stp>
        <stp>VOLF</stp>
        <tr r="AR29" s="7"/>
      </tp>
      <tp t="e">
        <v>#N/A</v>
        <stp/>
        <stp>PLAYERSRANKING</stp>
        <stp>COGN3</stp>
        <stp>23</stp>
        <stp>SALDO</stp>
        <stp>VOLF</stp>
        <tr r="AR33" s="7"/>
      </tp>
      <tp t="e">
        <v>#N/A</v>
        <stp/>
        <stp>PLAYERSRANKING</stp>
        <stp>COGN3</stp>
        <stp>27</stp>
        <stp>SALDO</stp>
        <stp>VOLF</stp>
        <tr r="AR38" s="7"/>
      </tp>
      <tp t="e">
        <v>#N/A</v>
        <stp/>
        <stp>PLAYERSRANKING</stp>
        <stp>COGN3</stp>
        <stp>59</stp>
        <stp>SALDO</stp>
        <stp>VOLF</stp>
        <tr r="AR37" s="7"/>
      </tp>
      <tp t="e">
        <v>#N/A</v>
        <stp/>
        <stp>PLAYERSRANKING</stp>
        <stp>COGN3</stp>
        <stp>40</stp>
        <stp>SALDO</stp>
        <stp>VOLF</stp>
        <tr r="AR32" s="7"/>
      </tp>
      <tp t="e">
        <v>#N/A</v>
        <stp/>
        <stp>PLAYERSRANKING</stp>
        <stp>COGN3</stp>
        <stp>45</stp>
        <stp>SALDO</stp>
        <stp>VOLF</stp>
        <tr r="AR21" s="7"/>
      </tp>
      <tp t="e">
        <v>#N/A</v>
        <stp/>
        <stp>PLAYERSRANKING</stp>
        <stp>COGN3</stp>
        <stp>72</stp>
        <stp>SALDO</stp>
        <stp>VOLF</stp>
        <tr r="AR18" s="7"/>
      </tp>
      <tp t="e">
        <v>#N/A</v>
        <stp/>
        <stp>PLAYERSRANKING</stp>
        <stp>COGN3</stp>
        <stp>93</stp>
        <stp>SALDO</stp>
        <stp>VOLF</stp>
        <tr r="AR34" s="7"/>
      </tp>
      <tp t="e">
        <v>#N/A</v>
        <stp/>
        <stp>PLAYERSRANKING</stp>
        <stp>COGN3</stp>
        <stp>92</stp>
        <stp>SALDO</stp>
        <stp>VOLF</stp>
        <tr r="AR36" s="7"/>
      </tp>
      <tp t="e">
        <v>#N/A</v>
        <stp/>
        <stp>PLAYERSRANKING</stp>
        <stp>COGN3</stp>
        <stp>85</stp>
        <stp>SALDO</stp>
        <stp>VOLF</stp>
        <tr r="AR17" s="7"/>
      </tp>
      <tp t="e">
        <v>#N/A</v>
        <stp/>
        <stp>PLAYERSRANKING</stp>
        <stp>COGN3</stp>
        <stp>88</stp>
        <stp>SALDO</stp>
        <stp>VOLF</stp>
        <tr r="AR20" s="7"/>
      </tp>
      <tp t="e">
        <v>#N/A</v>
        <stp/>
        <stp>PLAYERSRANKING</stp>
        <stp>CIEL3</stp>
        <stp>23</stp>
        <stp>SALDO</stp>
        <stp>VOLF</stp>
        <tr r="AP33" s="7"/>
      </tp>
      <tp t="e">
        <v>#N/A</v>
        <stp/>
        <stp>PLAYERSRANKING</stp>
        <stp>CIEL3</stp>
        <stp>27</stp>
        <stp>SALDO</stp>
        <stp>VOLF</stp>
        <tr r="AP38" s="7"/>
      </tp>
      <tp t="e">
        <v>#N/A</v>
        <stp/>
        <stp>PLAYERSRANKING</stp>
        <stp>CIEL3</stp>
        <stp>13</stp>
        <stp>SALDO</stp>
        <stp>VOLF</stp>
        <tr r="AP30" s="7"/>
      </tp>
      <tp t="e">
        <v>#N/A</v>
        <stp/>
        <stp>PLAYERSRANKING</stp>
        <stp>CIEL3</stp>
        <stp>16</stp>
        <stp>SALDO</stp>
        <stp>VOLF</stp>
        <tr r="AP29" s="7"/>
      </tp>
      <tp t="e">
        <v>#N/A</v>
        <stp/>
        <stp>PLAYERSRANKING</stp>
        <stp>CIEL3</stp>
        <stp>72</stp>
        <stp>SALDO</stp>
        <stp>VOLF</stp>
        <tr r="AP18" s="7"/>
      </tp>
      <tp t="e">
        <v>#N/A</v>
        <stp/>
        <stp>PLAYERSRANKING</stp>
        <stp>CIEL3</stp>
        <stp>59</stp>
        <stp>SALDO</stp>
        <stp>VOLF</stp>
        <tr r="AP37" s="7"/>
      </tp>
      <tp t="e">
        <v>#N/A</v>
        <stp/>
        <stp>PLAYERSRANKING</stp>
        <stp>CIEL3</stp>
        <stp>40</stp>
        <stp>SALDO</stp>
        <stp>VOLF</stp>
        <tr r="AP32" s="7"/>
      </tp>
      <tp t="e">
        <v>#N/A</v>
        <stp/>
        <stp>PLAYERSRANKING</stp>
        <stp>CIEL3</stp>
        <stp>45</stp>
        <stp>SALDO</stp>
        <stp>VOLF</stp>
        <tr r="AP21" s="7"/>
      </tp>
      <tp t="e">
        <v>#N/A</v>
        <stp/>
        <stp>PLAYERSRANKING</stp>
        <stp>CIEL3</stp>
        <stp>93</stp>
        <stp>SALDO</stp>
        <stp>VOLF</stp>
        <tr r="AP34" s="7"/>
      </tp>
      <tp t="e">
        <v>#N/A</v>
        <stp/>
        <stp>PLAYERSRANKING</stp>
        <stp>CIEL3</stp>
        <stp>92</stp>
        <stp>SALDO</stp>
        <stp>VOLF</stp>
        <tr r="AP36" s="7"/>
      </tp>
      <tp t="e">
        <v>#N/A</v>
        <stp/>
        <stp>PLAYERSRANKING</stp>
        <stp>CIEL3</stp>
        <stp>85</stp>
        <stp>SALDO</stp>
        <stp>VOLF</stp>
        <tr r="AP17" s="7"/>
      </tp>
      <tp t="e">
        <v>#N/A</v>
        <stp/>
        <stp>PLAYERSRANKING</stp>
        <stp>CIEL3</stp>
        <stp>88</stp>
        <stp>SALDO</stp>
        <stp>VOLF</stp>
        <tr r="AP20" s="7"/>
      </tp>
      <tp t="e">
        <v>#N/A</v>
        <stp/>
        <stp>PLAYERSRANKING</stp>
        <stp>CCRO3</stp>
        <stp>40</stp>
        <stp>SALDO</stp>
        <stp>VOLF</stp>
        <tr r="AO32" s="7"/>
      </tp>
      <tp t="e">
        <v>#N/A</v>
        <stp/>
        <stp>PLAYERSRANKING</stp>
        <stp>CCRO3</stp>
        <stp>45</stp>
        <stp>SALDO</stp>
        <stp>VOLF</stp>
        <tr r="AO21" s="7"/>
      </tp>
      <tp t="e">
        <v>#N/A</v>
        <stp/>
        <stp>PLAYERSRANKING</stp>
        <stp>CCRO3</stp>
        <stp>59</stp>
        <stp>SALDO</stp>
        <stp>VOLF</stp>
        <tr r="AO37" s="7"/>
      </tp>
      <tp t="e">
        <v>#N/A</v>
        <stp/>
        <stp>PLAYERSRANKING</stp>
        <stp>CCRO3</stp>
        <stp>72</stp>
        <stp>SALDO</stp>
        <stp>VOLF</stp>
        <tr r="AO18" s="7"/>
      </tp>
      <tp t="e">
        <v>#N/A</v>
        <stp/>
        <stp>PLAYERSRANKING</stp>
        <stp>CCRO3</stp>
        <stp>13</stp>
        <stp>SALDO</stp>
        <stp>VOLF</stp>
        <tr r="AO30" s="7"/>
      </tp>
      <tp t="e">
        <v>#N/A</v>
        <stp/>
        <stp>PLAYERSRANKING</stp>
        <stp>CCRO3</stp>
        <stp>16</stp>
        <stp>SALDO</stp>
        <stp>VOLF</stp>
        <tr r="AO29" s="7"/>
      </tp>
      <tp t="e">
        <v>#N/A</v>
        <stp/>
        <stp>PLAYERSRANKING</stp>
        <stp>CCRO3</stp>
        <stp>23</stp>
        <stp>SALDO</stp>
        <stp>VOLF</stp>
        <tr r="AO33" s="7"/>
      </tp>
      <tp t="e">
        <v>#N/A</v>
        <stp/>
        <stp>PLAYERSRANKING</stp>
        <stp>CCRO3</stp>
        <stp>27</stp>
        <stp>SALDO</stp>
        <stp>VOLF</stp>
        <tr r="AO38" s="7"/>
      </tp>
      <tp t="e">
        <v>#N/A</v>
        <stp/>
        <stp>PLAYERSRANKING</stp>
        <stp>CCRO3</stp>
        <stp>85</stp>
        <stp>SALDO</stp>
        <stp>VOLF</stp>
        <tr r="AO17" s="7"/>
      </tp>
      <tp t="e">
        <v>#N/A</v>
        <stp/>
        <stp>PLAYERSRANKING</stp>
        <stp>CCRO3</stp>
        <stp>88</stp>
        <stp>SALDO</stp>
        <stp>VOLF</stp>
        <tr r="AO20" s="7"/>
      </tp>
      <tp t="e">
        <v>#N/A</v>
        <stp/>
        <stp>PLAYERSRANKING</stp>
        <stp>CCRO3</stp>
        <stp>92</stp>
        <stp>SALDO</stp>
        <stp>VOLF</stp>
        <tr r="AO36" s="7"/>
      </tp>
      <tp t="e">
        <v>#N/A</v>
        <stp/>
        <stp>PLAYERSRANKING</stp>
        <stp>CCRO3</stp>
        <stp>93</stp>
        <stp>SALDO</stp>
        <stp>VOLF</stp>
        <tr r="AO34" s="7"/>
      </tp>
      <tp t="e">
        <v>#N/A</v>
        <stp/>
        <stp>PLAYERSRANKING</stp>
        <stp>CYRE3</stp>
        <stp>40</stp>
        <stp>SALDO</stp>
        <stp>VOLF</stp>
        <tr r="AY32" s="7"/>
      </tp>
      <tp t="e">
        <v>#N/A</v>
        <stp/>
        <stp>PLAYERSRANKING</stp>
        <stp>CYRE3</stp>
        <stp>45</stp>
        <stp>SALDO</stp>
        <stp>VOLF</stp>
        <tr r="AY21" s="7"/>
      </tp>
      <tp t="e">
        <v>#N/A</v>
        <stp/>
        <stp>PLAYERSRANKING</stp>
        <stp>CYRE3</stp>
        <stp>59</stp>
        <stp>SALDO</stp>
        <stp>VOLF</stp>
        <tr r="AY37" s="7"/>
      </tp>
      <tp t="e">
        <v>#N/A</v>
        <stp/>
        <stp>PLAYERSRANKING</stp>
        <stp>CYRE3</stp>
        <stp>72</stp>
        <stp>SALDO</stp>
        <stp>VOLF</stp>
        <tr r="AY18" s="7"/>
      </tp>
      <tp t="e">
        <v>#N/A</v>
        <stp/>
        <stp>PLAYERSRANKING</stp>
        <stp>CYRE3</stp>
        <stp>13</stp>
        <stp>SALDO</stp>
        <stp>VOLF</stp>
        <tr r="AY30" s="7"/>
      </tp>
      <tp t="e">
        <v>#N/A</v>
        <stp/>
        <stp>PLAYERSRANKING</stp>
        <stp>CYRE3</stp>
        <stp>16</stp>
        <stp>SALDO</stp>
        <stp>VOLF</stp>
        <tr r="AY29" s="7"/>
      </tp>
      <tp t="e">
        <v>#N/A</v>
        <stp/>
        <stp>PLAYERSRANKING</stp>
        <stp>CYRE3</stp>
        <stp>23</stp>
        <stp>SALDO</stp>
        <stp>VOLF</stp>
        <tr r="AY33" s="7"/>
      </tp>
      <tp t="e">
        <v>#N/A</v>
        <stp/>
        <stp>PLAYERSRANKING</stp>
        <stp>CYRE3</stp>
        <stp>27</stp>
        <stp>SALDO</stp>
        <stp>VOLF</stp>
        <tr r="AY38" s="7"/>
      </tp>
      <tp t="e">
        <v>#N/A</v>
        <stp/>
        <stp>PLAYERSRANKING</stp>
        <stp>CYRE3</stp>
        <stp>88</stp>
        <stp>SALDO</stp>
        <stp>VOLF</stp>
        <tr r="AY20" s="7"/>
      </tp>
      <tp t="e">
        <v>#N/A</v>
        <stp/>
        <stp>PLAYERSRANKING</stp>
        <stp>CYRE3</stp>
        <stp>85</stp>
        <stp>SALDO</stp>
        <stp>VOLF</stp>
        <tr r="AY17" s="7"/>
      </tp>
      <tp t="e">
        <v>#N/A</v>
        <stp/>
        <stp>PLAYERSRANKING</stp>
        <stp>CYRE3</stp>
        <stp>92</stp>
        <stp>SALDO</stp>
        <stp>VOLF</stp>
        <tr r="AY36" s="7"/>
      </tp>
      <tp t="e">
        <v>#N/A</v>
        <stp/>
        <stp>PLAYERSRANKING</stp>
        <stp>CYRE3</stp>
        <stp>93</stp>
        <stp>SALDO</stp>
        <stp>VOLF</stp>
        <tr r="AY34" s="7"/>
      </tp>
      <tp t="e">
        <v>#N/A</v>
        <stp/>
        <stp>PLAYERSRANKING</stp>
        <stp>CVCB3</stp>
        <stp>59</stp>
        <stp>SALDO</stp>
        <stp>VOLF</stp>
        <tr r="AX37" s="7"/>
      </tp>
      <tp t="e">
        <v>#N/A</v>
        <stp/>
        <stp>PLAYERSRANKING</stp>
        <stp>CVCB3</stp>
        <stp>45</stp>
        <stp>SALDO</stp>
        <stp>VOLF</stp>
        <tr r="AX21" s="7"/>
      </tp>
      <tp t="e">
        <v>#N/A</v>
        <stp/>
        <stp>PLAYERSRANKING</stp>
        <stp>CVCB3</stp>
        <stp>40</stp>
        <stp>SALDO</stp>
        <stp>VOLF</stp>
        <tr r="AX32" s="7"/>
      </tp>
      <tp t="e">
        <v>#N/A</v>
        <stp/>
        <stp>PLAYERSRANKING</stp>
        <stp>CVCB3</stp>
        <stp>72</stp>
        <stp>SALDO</stp>
        <stp>VOLF</stp>
        <tr r="AX18" s="7"/>
      </tp>
      <tp t="e">
        <v>#N/A</v>
        <stp/>
        <stp>PLAYERSRANKING</stp>
        <stp>CVCB3</stp>
        <stp>16</stp>
        <stp>SALDO</stp>
        <stp>VOLF</stp>
        <tr r="AX29" s="7"/>
      </tp>
      <tp t="e">
        <v>#N/A</v>
        <stp/>
        <stp>PLAYERSRANKING</stp>
        <stp>CVCB3</stp>
        <stp>13</stp>
        <stp>SALDO</stp>
        <stp>VOLF</stp>
        <tr r="AX30" s="7"/>
      </tp>
      <tp t="e">
        <v>#N/A</v>
        <stp/>
        <stp>PLAYERSRANKING</stp>
        <stp>CVCB3</stp>
        <stp>27</stp>
        <stp>SALDO</stp>
        <stp>VOLF</stp>
        <tr r="AX38" s="7"/>
      </tp>
      <tp t="e">
        <v>#N/A</v>
        <stp/>
        <stp>PLAYERSRANKING</stp>
        <stp>CVCB3</stp>
        <stp>23</stp>
        <stp>SALDO</stp>
        <stp>VOLF</stp>
        <tr r="AX33" s="7"/>
      </tp>
      <tp t="e">
        <v>#N/A</v>
        <stp/>
        <stp>PLAYERSRANKING</stp>
        <stp>CVCB3</stp>
        <stp>93</stp>
        <stp>SALDO</stp>
        <stp>VOLF</stp>
        <tr r="AX34" s="7"/>
      </tp>
      <tp t="e">
        <v>#N/A</v>
        <stp/>
        <stp>PLAYERSRANKING</stp>
        <stp>CVCB3</stp>
        <stp>92</stp>
        <stp>SALDO</stp>
        <stp>VOLF</stp>
        <tr r="AX36" s="7"/>
      </tp>
      <tp t="e">
        <v>#N/A</v>
        <stp/>
        <stp>PLAYERSRANKING</stp>
        <stp>CVCB3</stp>
        <stp>88</stp>
        <stp>SALDO</stp>
        <stp>VOLF</stp>
        <tr r="AX20" s="7"/>
      </tp>
      <tp t="e">
        <v>#N/A</v>
        <stp/>
        <stp>PLAYERSRANKING</stp>
        <stp>CVCB3</stp>
        <stp>85</stp>
        <stp>SALDO</stp>
        <stp>VOLF</stp>
        <tr r="AX17" s="7"/>
      </tp>
      <tp t="e">
        <v>#N/A</v>
        <stp/>
        <stp>PLAYERSRANKING</stp>
        <stp>CRFB3</stp>
        <stp>16</stp>
        <stp>SALDO</stp>
        <stp>VOLF</stp>
        <tr r="AU29" s="7"/>
      </tp>
      <tp t="e">
        <v>#N/A</v>
        <stp/>
        <stp>PLAYERSRANKING</stp>
        <stp>CRFB3</stp>
        <stp>13</stp>
        <stp>SALDO</stp>
        <stp>VOLF</stp>
        <tr r="AU30" s="7"/>
      </tp>
      <tp t="e">
        <v>#N/A</v>
        <stp/>
        <stp>PLAYERSRANKING</stp>
        <stp>CRFB3</stp>
        <stp>27</stp>
        <stp>SALDO</stp>
        <stp>VOLF</stp>
        <tr r="AU38" s="7"/>
      </tp>
      <tp t="e">
        <v>#N/A</v>
        <stp/>
        <stp>PLAYERSRANKING</stp>
        <stp>CRFB3</stp>
        <stp>23</stp>
        <stp>SALDO</stp>
        <stp>VOLF</stp>
        <tr r="AU33" s="7"/>
      </tp>
      <tp t="e">
        <v>#N/A</v>
        <stp/>
        <stp>PLAYERSRANKING</stp>
        <stp>CRFB3</stp>
        <stp>45</stp>
        <stp>SALDO</stp>
        <stp>VOLF</stp>
        <tr r="AU21" s="7"/>
      </tp>
      <tp t="e">
        <v>#N/A</v>
        <stp/>
        <stp>PLAYERSRANKING</stp>
        <stp>CRFB3</stp>
        <stp>40</stp>
        <stp>SALDO</stp>
        <stp>VOLF</stp>
        <tr r="AU32" s="7"/>
      </tp>
      <tp t="e">
        <v>#N/A</v>
        <stp/>
        <stp>PLAYERSRANKING</stp>
        <stp>CRFB3</stp>
        <stp>59</stp>
        <stp>SALDO</stp>
        <stp>VOLF</stp>
        <tr r="AU37" s="7"/>
      </tp>
      <tp t="e">
        <v>#N/A</v>
        <stp/>
        <stp>PLAYERSRANKING</stp>
        <stp>CRFB3</stp>
        <stp>72</stp>
        <stp>SALDO</stp>
        <stp>VOLF</stp>
        <tr r="AU18" s="7"/>
      </tp>
      <tp t="e">
        <v>#N/A</v>
        <stp/>
        <stp>PLAYERSRANKING</stp>
        <stp>CRFB3</stp>
        <stp>88</stp>
        <stp>SALDO</stp>
        <stp>VOLF</stp>
        <tr r="AU20" s="7"/>
      </tp>
      <tp t="e">
        <v>#N/A</v>
        <stp/>
        <stp>PLAYERSRANKING</stp>
        <stp>CRFB3</stp>
        <stp>85</stp>
        <stp>SALDO</stp>
        <stp>VOLF</stp>
        <tr r="AU17" s="7"/>
      </tp>
      <tp t="e">
        <v>#N/A</v>
        <stp/>
        <stp>PLAYERSRANKING</stp>
        <stp>CRFB3</stp>
        <stp>93</stp>
        <stp>SALDO</stp>
        <stp>VOLF</stp>
        <tr r="AU34" s="7"/>
      </tp>
      <tp t="e">
        <v>#N/A</v>
        <stp/>
        <stp>PLAYERSRANKING</stp>
        <stp>CRFB3</stp>
        <stp>92</stp>
        <stp>SALDO</stp>
        <stp>VOLF</stp>
        <tr r="AU36" s="7"/>
      </tp>
      <tp t="e">
        <v>#N/A</v>
        <stp/>
        <stp>PLAYERSRANKING</stp>
        <stp>CSAN3</stp>
        <stp>72</stp>
        <stp>SALDO</stp>
        <stp>VOLF</stp>
        <tr r="AV18" s="7"/>
      </tp>
      <tp t="e">
        <v>#N/A</v>
        <stp/>
        <stp>PLAYERSRANKING</stp>
        <stp>CSNA3</stp>
        <stp>88</stp>
        <stp>SALDO</stp>
        <stp>VOLF</stp>
        <tr r="AW20" s="7"/>
      </tp>
      <tp t="e">
        <v>#N/A</v>
        <stp/>
        <stp>PLAYERSRANKING</stp>
        <stp>CSNA3</stp>
        <stp>85</stp>
        <stp>SALDO</stp>
        <stp>VOLF</stp>
        <tr r="AW17" s="7"/>
      </tp>
      <tp t="e">
        <v>#N/A</v>
        <stp/>
        <stp>PLAYERSRANKING</stp>
        <stp>CSNA3</stp>
        <stp>92</stp>
        <stp>SALDO</stp>
        <stp>VOLF</stp>
        <tr r="AW36" s="7"/>
      </tp>
      <tp t="e">
        <v>#N/A</v>
        <stp/>
        <stp>PLAYERSRANKING</stp>
        <stp>CSNA3</stp>
        <stp>93</stp>
        <stp>SALDO</stp>
        <stp>VOLF</stp>
        <tr r="AW34" s="7"/>
      </tp>
      <tp t="e">
        <v>#N/A</v>
        <stp/>
        <stp>PLAYERSRANKING</stp>
        <stp>CSAN3</stp>
        <stp>59</stp>
        <stp>SALDO</stp>
        <stp>VOLF</stp>
        <tr r="AV37" s="7"/>
      </tp>
      <tp t="e">
        <v>#N/A</v>
        <stp/>
        <stp>PLAYERSRANKING</stp>
        <stp>CSAN3</stp>
        <stp>40</stp>
        <stp>SALDO</stp>
        <stp>VOLF</stp>
        <tr r="AV32" s="7"/>
      </tp>
      <tp t="e">
        <v>#N/A</v>
        <stp/>
        <stp>PLAYERSRANKING</stp>
        <stp>CSAN3</stp>
        <stp>45</stp>
        <stp>SALDO</stp>
        <stp>VOLF</stp>
        <tr r="AV21" s="7"/>
      </tp>
      <tp t="e">
        <v>#N/A</v>
        <stp/>
        <stp>PLAYERSRANKING</stp>
        <stp>CSAN3</stp>
        <stp>23</stp>
        <stp>SALDO</stp>
        <stp>VOLF</stp>
        <tr r="AV33" s="7"/>
      </tp>
      <tp t="e">
        <v>#N/A</v>
        <stp/>
        <stp>PLAYERSRANKING</stp>
        <stp>CSAN3</stp>
        <stp>27</stp>
        <stp>SALDO</stp>
        <stp>VOLF</stp>
        <tr r="AV38" s="7"/>
      </tp>
      <tp t="e">
        <v>#N/A</v>
        <stp/>
        <stp>PLAYERSRANKING</stp>
        <stp>CSAN3</stp>
        <stp>13</stp>
        <stp>SALDO</stp>
        <stp>VOLF</stp>
        <tr r="AV30" s="7"/>
      </tp>
      <tp t="e">
        <v>#N/A</v>
        <stp/>
        <stp>PLAYERSRANKING</stp>
        <stp>CSAN3</stp>
        <stp>16</stp>
        <stp>SALDO</stp>
        <stp>VOLF</stp>
        <tr r="AV29" s="7"/>
      </tp>
      <tp t="e">
        <v>#N/A</v>
        <stp/>
        <stp>PLAYERSRANKING</stp>
        <stp>CSNA3</stp>
        <stp>16</stp>
        <stp>SALDO</stp>
        <stp>VOLF</stp>
        <tr r="AW29" s="7"/>
      </tp>
      <tp t="e">
        <v>#N/A</v>
        <stp/>
        <stp>PLAYERSRANKING</stp>
        <stp>CSNA3</stp>
        <stp>13</stp>
        <stp>SALDO</stp>
        <stp>VOLF</stp>
        <tr r="AW30" s="7"/>
      </tp>
      <tp t="e">
        <v>#N/A</v>
        <stp/>
        <stp>PLAYERSRANKING</stp>
        <stp>CSNA3</stp>
        <stp>27</stp>
        <stp>SALDO</stp>
        <stp>VOLF</stp>
        <tr r="AW38" s="7"/>
      </tp>
      <tp t="e">
        <v>#N/A</v>
        <stp/>
        <stp>PLAYERSRANKING</stp>
        <stp>CSNA3</stp>
        <stp>23</stp>
        <stp>SALDO</stp>
        <stp>VOLF</stp>
        <tr r="AW33" s="7"/>
      </tp>
      <tp t="e">
        <v>#N/A</v>
        <stp/>
        <stp>PLAYERSRANKING</stp>
        <stp>CSNA3</stp>
        <stp>45</stp>
        <stp>SALDO</stp>
        <stp>VOLF</stp>
        <tr r="AW21" s="7"/>
      </tp>
      <tp t="e">
        <v>#N/A</v>
        <stp/>
        <stp>PLAYERSRANKING</stp>
        <stp>CSNA3</stp>
        <stp>40</stp>
        <stp>SALDO</stp>
        <stp>VOLF</stp>
        <tr r="AW32" s="7"/>
      </tp>
      <tp t="e">
        <v>#N/A</v>
        <stp/>
        <stp>PLAYERSRANKING</stp>
        <stp>CSNA3</stp>
        <stp>59</stp>
        <stp>SALDO</stp>
        <stp>VOLF</stp>
        <tr r="AW37" s="7"/>
      </tp>
      <tp t="e">
        <v>#N/A</v>
        <stp/>
        <stp>PLAYERSRANKING</stp>
        <stp>CSAN3</stp>
        <stp>93</stp>
        <stp>SALDO</stp>
        <stp>VOLF</stp>
        <tr r="AV34" s="7"/>
      </tp>
      <tp t="e">
        <v>#N/A</v>
        <stp/>
        <stp>PLAYERSRANKING</stp>
        <stp>CSAN3</stp>
        <stp>92</stp>
        <stp>SALDO</stp>
        <stp>VOLF</stp>
        <tr r="AV36" s="7"/>
      </tp>
      <tp t="e">
        <v>#N/A</v>
        <stp/>
        <stp>PLAYERSRANKING</stp>
        <stp>CSAN3</stp>
        <stp>85</stp>
        <stp>SALDO</stp>
        <stp>VOLF</stp>
        <tr r="AV17" s="7"/>
      </tp>
      <tp t="e">
        <v>#N/A</v>
        <stp/>
        <stp>PLAYERSRANKING</stp>
        <stp>CSAN3</stp>
        <stp>88</stp>
        <stp>SALDO</stp>
        <stp>VOLF</stp>
        <tr r="AV20" s="7"/>
      </tp>
      <tp t="e">
        <v>#N/A</v>
        <stp/>
        <stp>PLAYERSRANKING</stp>
        <stp>CSNA3</stp>
        <stp>72</stp>
        <stp>SALDO</stp>
        <stp>VOLF</stp>
        <tr r="AW18" s="7"/>
      </tp>
      <tp t="e">
        <v>#N/A</v>
        <stp/>
        <stp>PLAYERSRANKING</stp>
        <stp>CPFE3</stp>
        <stp>13</stp>
        <stp>SALDO</stp>
        <stp>VOLF</stp>
        <tr r="AS30" s="7"/>
      </tp>
      <tp t="e">
        <v>#N/A</v>
        <stp/>
        <stp>PLAYERSRANKING</stp>
        <stp>CPFE3</stp>
        <stp>16</stp>
        <stp>SALDO</stp>
        <stp>VOLF</stp>
        <tr r="AS29" s="7"/>
      </tp>
      <tp t="e">
        <v>#N/A</v>
        <stp/>
        <stp>PLAYERSRANKING</stp>
        <stp>CPFE3</stp>
        <stp>23</stp>
        <stp>SALDO</stp>
        <stp>VOLF</stp>
        <tr r="AS33" s="7"/>
      </tp>
      <tp t="e">
        <v>#N/A</v>
        <stp/>
        <stp>PLAYERSRANKING</stp>
        <stp>CPFE3</stp>
        <stp>27</stp>
        <stp>SALDO</stp>
        <stp>VOLF</stp>
        <tr r="AS38" s="7"/>
      </tp>
      <tp t="e">
        <v>#N/A</v>
        <stp/>
        <stp>PLAYERSRANKING</stp>
        <stp>CPFE3</stp>
        <stp>40</stp>
        <stp>SALDO</stp>
        <stp>VOLF</stp>
        <tr r="AS32" s="7"/>
      </tp>
      <tp t="e">
        <v>#N/A</v>
        <stp/>
        <stp>PLAYERSRANKING</stp>
        <stp>CPFE3</stp>
        <stp>45</stp>
        <stp>SALDO</stp>
        <stp>VOLF</stp>
        <tr r="AS21" s="7"/>
      </tp>
      <tp t="e">
        <v>#N/A</v>
        <stp/>
        <stp>PLAYERSRANKING</stp>
        <stp>CPFE3</stp>
        <stp>59</stp>
        <stp>SALDO</stp>
        <stp>VOLF</stp>
        <tr r="AS37" s="7"/>
      </tp>
      <tp t="e">
        <v>#N/A</v>
        <stp/>
        <stp>PLAYERSRANKING</stp>
        <stp>CPFE3</stp>
        <stp>72</stp>
        <stp>SALDO</stp>
        <stp>VOLF</stp>
        <tr r="AS18" s="7"/>
      </tp>
      <tp t="e">
        <v>#N/A</v>
        <stp/>
        <stp>PLAYERSRANKING</stp>
        <stp>CPFE3</stp>
        <stp>88</stp>
        <stp>SALDO</stp>
        <stp>VOLF</stp>
        <tr r="AS20" s="7"/>
      </tp>
      <tp t="e">
        <v>#N/A</v>
        <stp/>
        <stp>PLAYERSRANKING</stp>
        <stp>CPFE3</stp>
        <stp>85</stp>
        <stp>SALDO</stp>
        <stp>VOLF</stp>
        <tr r="AS17" s="7"/>
      </tp>
      <tp t="e">
        <v>#N/A</v>
        <stp/>
        <stp>PLAYERSRANKING</stp>
        <stp>CPFE3</stp>
        <stp>92</stp>
        <stp>SALDO</stp>
        <stp>VOLF</stp>
        <tr r="AS36" s="7"/>
      </tp>
      <tp t="e">
        <v>#N/A</v>
        <stp/>
        <stp>PLAYERSRANKING</stp>
        <stp>CPFE3</stp>
        <stp>93</stp>
        <stp>SALDO</stp>
        <stp>VOLF</stp>
        <tr r="AS34" s="7"/>
      </tp>
    </main>
    <main first="rtdtrading.rtdserver">
      <tp>
        <v>0</v>
        <stp/>
        <stp>EGIE3_B_0</stp>
        <stp>PRT</stp>
        <tr r="G30" s="3"/>
      </tp>
      <tp>
        <v>46.25</v>
        <stp/>
        <stp>VIVT3_B_0</stp>
        <stp>OCP</stp>
        <tr r="E80" s="3"/>
      </tp>
      <tp>
        <v>0</v>
        <stp/>
        <stp>CMIG4_B_0</stp>
        <stp>PRT</stp>
        <tr r="G20" s="3"/>
      </tp>
      <tp>
        <v>10.52</v>
        <stp/>
        <stp>MRVE3_B_0</stp>
        <stp>OVD</stp>
        <tr r="F59" s="3"/>
      </tp>
      <tp>
        <v>0</v>
        <stp/>
        <stp>RAIL3_B_0</stp>
        <stp>PRT</stp>
        <tr r="G68" s="3"/>
      </tp>
      <tp>
        <v>0</v>
        <stp/>
        <stp>USIM5_B_0</stp>
        <stp>PRT</stp>
        <tr r="G78" s="3"/>
      </tp>
      <tp>
        <v>0</v>
        <stp/>
        <stp>PRIO3_B_0</stp>
        <stp>PRT</stp>
        <tr r="G65" s="3"/>
      </tp>
      <tp>
        <v>16.439999999999976</v>
        <stp/>
        <stp>MULT3_B_0</stp>
        <stp>ULT</stp>
        <tr r="B60" s="3"/>
      </tp>
      <tp>
        <v>5.95</v>
        <stp/>
        <stp>MGLU3_B_0</stp>
        <stp>ULT</stp>
        <tr r="B57" s="3"/>
      </tp>
      <tp>
        <v>10.5</v>
        <stp/>
        <stp>MRVE3_B_0</stp>
        <stp>OCP</stp>
        <tr r="E59" s="3"/>
      </tp>
      <tp>
        <v>46.300000000000004</v>
        <stp/>
        <stp>VIVT3_B_0</stp>
        <stp>OVD</stp>
        <tr r="F80" s="3"/>
      </tp>
      <tp>
        <v>15.430000000000007</v>
        <stp/>
        <stp>GOLL4_B_0</stp>
        <stp>ULT</stp>
        <tr r="B43" s="3"/>
      </tp>
      <tp>
        <v>6.0600000000000005</v>
        <stp/>
        <stp>CPLE6_B_0</stp>
        <stp>ULT</stp>
        <tr r="B23" s="3"/>
      </tp>
      <tp>
        <v>82.61</v>
        <stp/>
        <stp>VALE3_B_0</stp>
        <stp>ULT</stp>
        <tr r="B79" s="3"/>
      </tp>
      <tp>
        <v>24.879999999999985</v>
        <stp/>
        <stp>KLBN11_B_0</stp>
        <stp>ULT</stp>
        <tr r="B53" s="3"/>
      </tp>
    </main>
    <main first="srv.rtd">
      <tp t="e">
        <v>#N/A</v>
        <stp/>
        <stp>PLAYERSRANKING</stp>
        <stp>CMIG4</stp>
        <stp>92</stp>
        <stp>SALDO</stp>
        <stp>VOLF</stp>
        <tr r="AQ36" s="7"/>
      </tp>
      <tp t="e">
        <v>#N/A</v>
        <stp/>
        <stp>PLAYERSRANKING</stp>
        <stp>CMIG4</stp>
        <stp>93</stp>
        <stp>SALDO</stp>
        <stp>VOLF</stp>
        <tr r="AQ34" s="7"/>
      </tp>
      <tp t="e">
        <v>#N/A</v>
        <stp/>
        <stp>PLAYERSRANKING</stp>
        <stp>CMIG4</stp>
        <stp>88</stp>
        <stp>SALDO</stp>
        <stp>VOLF</stp>
        <tr r="AQ20" s="7"/>
      </tp>
      <tp t="e">
        <v>#N/A</v>
        <stp/>
        <stp>PLAYERSRANKING</stp>
        <stp>CMIG4</stp>
        <stp>85</stp>
        <stp>SALDO</stp>
        <stp>VOLF</stp>
        <tr r="AQ17" s="7"/>
      </tp>
      <tp t="e">
        <v>#N/A</v>
        <stp/>
        <stp>PLAYERSRANKING</stp>
        <stp>CMIG4</stp>
        <stp>72</stp>
        <stp>SALDO</stp>
        <stp>VOLF</stp>
        <tr r="AQ18" s="7"/>
      </tp>
      <tp t="e">
        <v>#N/A</v>
        <stp/>
        <stp>PLAYERSRANKING</stp>
        <stp>CMIG4</stp>
        <stp>59</stp>
        <stp>SALDO</stp>
        <stp>VOLF</stp>
        <tr r="AQ37" s="7"/>
      </tp>
      <tp t="e">
        <v>#N/A</v>
        <stp/>
        <stp>PLAYERSRANKING</stp>
        <stp>CMIG4</stp>
        <stp>40</stp>
        <stp>SALDO</stp>
        <stp>VOLF</stp>
        <tr r="AQ32" s="7"/>
      </tp>
      <tp t="e">
        <v>#N/A</v>
        <stp/>
        <stp>PLAYERSRANKING</stp>
        <stp>CMIG4</stp>
        <stp>45</stp>
        <stp>SALDO</stp>
        <stp>VOLF</stp>
        <tr r="AQ21" s="7"/>
      </tp>
      <tp t="e">
        <v>#N/A</v>
        <stp/>
        <stp>PLAYERSRANKING</stp>
        <stp>CMIG4</stp>
        <stp>23</stp>
        <stp>SALDO</stp>
        <stp>VOLF</stp>
        <tr r="AQ33" s="7"/>
      </tp>
      <tp t="e">
        <v>#N/A</v>
        <stp/>
        <stp>PLAYERSRANKING</stp>
        <stp>CMIG4</stp>
        <stp>27</stp>
        <stp>SALDO</stp>
        <stp>VOLF</stp>
        <tr r="AQ38" s="7"/>
      </tp>
      <tp t="e">
        <v>#N/A</v>
        <stp/>
        <stp>PLAYERSRANKING</stp>
        <stp>CMIG4</stp>
        <stp>13</stp>
        <stp>SALDO</stp>
        <stp>VOLF</stp>
        <tr r="AQ30" s="7"/>
      </tp>
      <tp t="e">
        <v>#N/A</v>
        <stp/>
        <stp>PLAYERSRANKING</stp>
        <stp>CMIG4</stp>
        <stp>16</stp>
        <stp>SALDO</stp>
        <stp>VOLF</stp>
        <tr r="AQ29" s="7"/>
      </tp>
      <tp t="e">
        <v>#N/A</v>
        <stp/>
        <stp>PLAYERSRANKING</stp>
        <stp>BRKM5</stp>
        <stp>92</stp>
        <stp>SALDO</stp>
        <stp>VOLF</stp>
        <tr r="AL36" s="7"/>
      </tp>
      <tp t="e">
        <v>#N/A</v>
        <stp/>
        <stp>PLAYERSRANKING</stp>
        <stp>BRKM5</stp>
        <stp>93</stp>
        <stp>SALDO</stp>
        <stp>VOLF</stp>
        <tr r="AL34" s="7"/>
      </tp>
      <tp t="e">
        <v>#N/A</v>
        <stp/>
        <stp>PLAYERSRANKING</stp>
        <stp>BRKM5</stp>
        <stp>85</stp>
        <stp>SALDO</stp>
        <stp>VOLF</stp>
        <tr r="AL17" s="7"/>
      </tp>
      <tp t="e">
        <v>#N/A</v>
        <stp/>
        <stp>PLAYERSRANKING</stp>
        <stp>BRKM5</stp>
        <stp>88</stp>
        <stp>SALDO</stp>
        <stp>VOLF</stp>
        <tr r="AL20" s="7"/>
      </tp>
      <tp t="e">
        <v>#N/A</v>
        <stp/>
        <stp>PLAYERSRANKING</stp>
        <stp>BRKM5</stp>
        <stp>59</stp>
        <stp>SALDO</stp>
        <stp>VOLF</stp>
        <tr r="AL37" s="7"/>
      </tp>
      <tp t="e">
        <v>#N/A</v>
        <stp/>
        <stp>PLAYERSRANKING</stp>
        <stp>BRKM5</stp>
        <stp>40</stp>
        <stp>SALDO</stp>
        <stp>VOLF</stp>
        <tr r="AL32" s="7"/>
      </tp>
      <tp t="e">
        <v>#N/A</v>
        <stp/>
        <stp>PLAYERSRANKING</stp>
        <stp>BRKM5</stp>
        <stp>45</stp>
        <stp>SALDO</stp>
        <stp>VOLF</stp>
        <tr r="AL21" s="7"/>
      </tp>
      <tp t="e">
        <v>#N/A</v>
        <stp/>
        <stp>PLAYERSRANKING</stp>
        <stp>BRKM5</stp>
        <stp>72</stp>
        <stp>SALDO</stp>
        <stp>VOLF</stp>
        <tr r="AL18" s="7"/>
      </tp>
      <tp t="e">
        <v>#N/A</v>
        <stp/>
        <stp>PLAYERSRANKING</stp>
        <stp>BRKM5</stp>
        <stp>13</stp>
        <stp>SALDO</stp>
        <stp>VOLF</stp>
        <tr r="AL30" s="7"/>
      </tp>
      <tp t="e">
        <v>#N/A</v>
        <stp/>
        <stp>PLAYERSRANKING</stp>
        <stp>BRKM5</stp>
        <stp>16</stp>
        <stp>SALDO</stp>
        <stp>VOLF</stp>
        <tr r="AL29" s="7"/>
      </tp>
      <tp t="e">
        <v>#N/A</v>
        <stp/>
        <stp>PLAYERSRANKING</stp>
        <stp>BRKM5</stp>
        <stp>23</stp>
        <stp>SALDO</stp>
        <stp>VOLF</stp>
        <tr r="AL33" s="7"/>
      </tp>
      <tp t="e">
        <v>#N/A</v>
        <stp/>
        <stp>PLAYERSRANKING</stp>
        <stp>BRKM5</stp>
        <stp>27</stp>
        <stp>SALDO</stp>
        <stp>VOLF</stp>
        <tr r="AL38" s="7"/>
      </tp>
    </main>
    <main first="rtdtrading.rtdserver">
      <tp>
        <v>0</v>
        <stp/>
        <stp>CSNA3_B_0</stp>
        <stp>PRT</stp>
        <tr r="G26" s="3"/>
      </tp>
      <tp>
        <v>0</v>
        <stp/>
        <stp>RENT3_B_0</stp>
        <stp>PRT</stp>
        <tr r="G69" s="3"/>
      </tp>
      <tp>
        <v>52.9</v>
        <stp/>
        <stp>BRKM5_B_0</stp>
        <stp>ULT</stp>
        <tr r="B15" s="3"/>
      </tp>
      <tp>
        <v>39.000000000000014</v>
        <stp/>
        <stp>ENGI11_B_0</stp>
        <stp>ULT</stp>
        <tr r="B36" s="3"/>
      </tp>
    </main>
    <main first="srv.rtd">
      <tp t="e">
        <v>#N/A</v>
        <stp/>
        <stp>PLAYERSRANKING</stp>
        <stp>NTCO3</stp>
        <stp>8</stp>
        <stp>SALDO</stp>
        <stp>VOLF</stp>
        <tr r="CF41" s="7"/>
      </tp>
      <tp t="e">
        <v>#N/A</v>
        <stp/>
        <stp>PLAYERSRANKING</stp>
        <stp>NTCO3</stp>
        <stp>3</stp>
        <stp>SALDO</stp>
        <stp>VOLF</stp>
        <tr r="CF45" s="7"/>
      </tp>
    </main>
    <main first="srv.rtd">
      <tp t="e">
        <v>#N/A</v>
        <stp/>
        <stp>PLAYERSRANKING</stp>
        <stp>CCRO3</stp>
        <stp>8</stp>
        <stp>SALDO</stp>
        <stp>VOLF</stp>
        <tr r="AO41" s="7"/>
      </tp>
      <tp t="e">
        <v>#N/A</v>
        <stp/>
        <stp>PLAYERSRANKING</stp>
        <stp>CCRO3</stp>
        <stp>3</stp>
        <stp>SALDO</stp>
        <stp>VOLF</stp>
        <tr r="AO45" s="7"/>
      </tp>
    </main>
    <main first="srv.rtd">
      <tp t="e">
        <v>#N/A</v>
        <stp/>
        <stp>PLAYERSRANKING</stp>
        <stp>PRIO3</stp>
        <stp>3</stp>
        <stp>SALDO</stp>
        <stp>VOLF</stp>
        <tr r="CJ45" s="7"/>
      </tp>
      <tp t="e">
        <v>#N/A</v>
        <stp/>
        <stp>PLAYERSRANKING</stp>
        <stp>PRIO3</stp>
        <stp>8</stp>
        <stp>SALDO</stp>
        <stp>VOLF</stp>
        <tr r="CJ41" s="7"/>
      </tp>
      <tp t="e">
        <v>#N/A</v>
        <stp/>
        <stp>PLAYERSRANKING</stp>
        <stp>ENBR3</stp>
        <stp>45</stp>
        <stp>SALDO</stp>
        <stp>VOLF</stp>
        <tr r="BE21" s="7"/>
      </tp>
      <tp t="e">
        <v>#N/A</v>
        <stp/>
        <stp>PLAYERSRANKING</stp>
        <stp>ENBR3</stp>
        <stp>40</stp>
        <stp>SALDO</stp>
        <stp>VOLF</stp>
        <tr r="BE32" s="7"/>
      </tp>
      <tp t="e">
        <v>#N/A</v>
        <stp/>
        <stp>PLAYERSRANKING</stp>
        <stp>ENBR3</stp>
        <stp>59</stp>
        <stp>SALDO</stp>
        <stp>VOLF</stp>
        <tr r="BE37" s="7"/>
      </tp>
      <tp t="e">
        <v>#N/A</v>
        <stp/>
        <stp>PLAYERSRANKING</stp>
        <stp>ENEV3</stp>
        <stp>23</stp>
        <stp>SALDO</stp>
        <stp>VOLF</stp>
        <tr r="BF33" s="7"/>
      </tp>
      <tp t="e">
        <v>#N/A</v>
        <stp/>
        <stp>PLAYERSRANKING</stp>
        <stp>ENEV3</stp>
        <stp>27</stp>
        <stp>SALDO</stp>
        <stp>VOLF</stp>
        <tr r="BF38" s="7"/>
      </tp>
      <tp t="e">
        <v>#N/A</v>
        <stp/>
        <stp>PLAYERSRANKING</stp>
        <stp>ENEV3</stp>
        <stp>13</stp>
        <stp>SALDO</stp>
        <stp>VOLF</stp>
        <tr r="BF30" s="7"/>
      </tp>
      <tp t="e">
        <v>#N/A</v>
        <stp/>
        <stp>PLAYERSRANKING</stp>
        <stp>ENEV3</stp>
        <stp>16</stp>
        <stp>SALDO</stp>
        <stp>VOLF</stp>
        <tr r="BF29" s="7"/>
      </tp>
      <tp t="e">
        <v>#N/A</v>
        <stp/>
        <stp>PLAYERSRANKING</stp>
        <stp>ENBR3</stp>
        <stp>72</stp>
        <stp>SALDO</stp>
        <stp>VOLF</stp>
        <tr r="BE18" s="7"/>
      </tp>
      <tp t="e">
        <v>#N/A</v>
        <stp/>
        <stp>PLAYERSRANKING</stp>
        <stp>ENEV3</stp>
        <stp>72</stp>
        <stp>SALDO</stp>
        <stp>VOLF</stp>
        <tr r="BF18" s="7"/>
      </tp>
      <tp t="e">
        <v>#N/A</v>
        <stp/>
        <stp>PLAYERSRANKING</stp>
        <stp>ENBR3</stp>
        <stp>16</stp>
        <stp>SALDO</stp>
        <stp>VOLF</stp>
        <tr r="BE29" s="7"/>
      </tp>
      <tp t="e">
        <v>#N/A</v>
        <stp/>
        <stp>PLAYERSRANKING</stp>
        <stp>ENBR3</stp>
        <stp>13</stp>
        <stp>SALDO</stp>
        <stp>VOLF</stp>
        <tr r="BE30" s="7"/>
      </tp>
      <tp t="e">
        <v>#N/A</v>
        <stp/>
        <stp>PLAYERSRANKING</stp>
        <stp>ENEV3</stp>
        <stp>59</stp>
        <stp>SALDO</stp>
        <stp>VOLF</stp>
        <tr r="BF37" s="7"/>
      </tp>
      <tp t="e">
        <v>#N/A</v>
        <stp/>
        <stp>PLAYERSRANKING</stp>
        <stp>ENBR3</stp>
        <stp>27</stp>
        <stp>SALDO</stp>
        <stp>VOLF</stp>
        <tr r="BE38" s="7"/>
      </tp>
      <tp t="e">
        <v>#N/A</v>
        <stp/>
        <stp>PLAYERSRANKING</stp>
        <stp>ENBR3</stp>
        <stp>23</stp>
        <stp>SALDO</stp>
        <stp>VOLF</stp>
        <tr r="BE33" s="7"/>
      </tp>
      <tp t="e">
        <v>#N/A</v>
        <stp/>
        <stp>PLAYERSRANKING</stp>
        <stp>ENEV3</stp>
        <stp>40</stp>
        <stp>SALDO</stp>
        <stp>VOLF</stp>
        <tr r="BF32" s="7"/>
      </tp>
      <tp t="e">
        <v>#N/A</v>
        <stp/>
        <stp>PLAYERSRANKING</stp>
        <stp>ENEV3</stp>
        <stp>45</stp>
        <stp>SALDO</stp>
        <stp>VOLF</stp>
        <tr r="BF21" s="7"/>
      </tp>
      <tp t="e">
        <v>#N/A</v>
        <stp/>
        <stp>PLAYERSRANKING</stp>
        <stp>ENEV3</stp>
        <stp>93</stp>
        <stp>SALDO</stp>
        <stp>VOLF</stp>
        <tr r="BF34" s="7"/>
      </tp>
      <tp t="e">
        <v>#N/A</v>
        <stp/>
        <stp>PLAYERSRANKING</stp>
        <stp>ENEV3</stp>
        <stp>92</stp>
        <stp>SALDO</stp>
        <stp>VOLF</stp>
        <tr r="BF36" s="7"/>
      </tp>
      <tp t="e">
        <v>#N/A</v>
        <stp/>
        <stp>PLAYERSRANKING</stp>
        <stp>ENEV3</stp>
        <stp>88</stp>
        <stp>SALDO</stp>
        <stp>VOLF</stp>
        <tr r="BF20" s="7"/>
      </tp>
      <tp t="e">
        <v>#N/A</v>
        <stp/>
        <stp>PLAYERSRANKING</stp>
        <stp>ENEV3</stp>
        <stp>85</stp>
        <stp>SALDO</stp>
        <stp>VOLF</stp>
        <tr r="BF17" s="7"/>
      </tp>
      <tp t="e">
        <v>#N/A</v>
        <stp/>
        <stp>PLAYERSRANKING</stp>
        <stp>ENBR3</stp>
        <stp>88</stp>
        <stp>SALDO</stp>
        <stp>VOLF</stp>
        <tr r="BE20" s="7"/>
      </tp>
      <tp t="e">
        <v>#N/A</v>
        <stp/>
        <stp>PLAYERSRANKING</stp>
        <stp>ENBR3</stp>
        <stp>85</stp>
        <stp>SALDO</stp>
        <stp>VOLF</stp>
        <tr r="BE17" s="7"/>
      </tp>
      <tp t="e">
        <v>#N/A</v>
        <stp/>
        <stp>PLAYERSRANKING</stp>
        <stp>ENBR3</stp>
        <stp>93</stp>
        <stp>SALDO</stp>
        <stp>VOLF</stp>
        <tr r="BE34" s="7"/>
      </tp>
      <tp t="e">
        <v>#N/A</v>
        <stp/>
        <stp>PLAYERSRANKING</stp>
        <stp>ENBR3</stp>
        <stp>92</stp>
        <stp>SALDO</stp>
        <stp>VOLF</stp>
        <tr r="BE36" s="7"/>
      </tp>
      <tp t="e">
        <v>#N/A</v>
        <stp/>
        <stp>PLAYERSRANKING</stp>
        <stp>ELET3</stp>
        <stp>23</stp>
        <stp>SALDO</stp>
        <stp>VOLF</stp>
        <tr r="BB33" s="7"/>
      </tp>
      <tp t="e">
        <v>#N/A</v>
        <stp/>
        <stp>PLAYERSRANKING</stp>
        <stp>ELET3</stp>
        <stp>27</stp>
        <stp>SALDO</stp>
        <stp>VOLF</stp>
        <tr r="BB38" s="7"/>
      </tp>
      <tp t="e">
        <v>#N/A</v>
        <stp/>
        <stp>PLAYERSRANKING</stp>
        <stp>ELET3</stp>
        <stp>13</stp>
        <stp>SALDO</stp>
        <stp>VOLF</stp>
        <tr r="BB30" s="7"/>
      </tp>
      <tp t="e">
        <v>#N/A</v>
        <stp/>
        <stp>PLAYERSRANKING</stp>
        <stp>ELET3</stp>
        <stp>16</stp>
        <stp>SALDO</stp>
        <stp>VOLF</stp>
        <tr r="BB29" s="7"/>
      </tp>
      <tp t="e">
        <v>#N/A</v>
        <stp/>
        <stp>PLAYERSRANKING</stp>
        <stp>ELET3</stp>
        <stp>72</stp>
        <stp>SALDO</stp>
        <stp>VOLF</stp>
        <tr r="BB18" s="7"/>
      </tp>
      <tp t="e">
        <v>#N/A</v>
        <stp/>
        <stp>PLAYERSRANKING</stp>
        <stp>ELET3</stp>
        <stp>59</stp>
        <stp>SALDO</stp>
        <stp>VOLF</stp>
        <tr r="BB37" s="7"/>
      </tp>
      <tp t="e">
        <v>#N/A</v>
        <stp/>
        <stp>PLAYERSRANKING</stp>
        <stp>ELET3</stp>
        <stp>40</stp>
        <stp>SALDO</stp>
        <stp>VOLF</stp>
        <tr r="BB32" s="7"/>
      </tp>
      <tp t="e">
        <v>#N/A</v>
        <stp/>
        <stp>PLAYERSRANKING</stp>
        <stp>ELET3</stp>
        <stp>45</stp>
        <stp>SALDO</stp>
        <stp>VOLF</stp>
        <tr r="BB21" s="7"/>
      </tp>
      <tp t="e">
        <v>#N/A</v>
        <stp/>
        <stp>PLAYERSRANKING</stp>
        <stp>ELET3</stp>
        <stp>93</stp>
        <stp>SALDO</stp>
        <stp>VOLF</stp>
        <tr r="BB34" s="7"/>
      </tp>
      <tp t="e">
        <v>#N/A</v>
        <stp/>
        <stp>PLAYERSRANKING</stp>
        <stp>ELET3</stp>
        <stp>92</stp>
        <stp>SALDO</stp>
        <stp>VOLF</stp>
        <tr r="BB36" s="7"/>
      </tp>
      <tp t="e">
        <v>#N/A</v>
        <stp/>
        <stp>PLAYERSRANKING</stp>
        <stp>ELET3</stp>
        <stp>88</stp>
        <stp>SALDO</stp>
        <stp>VOLF</stp>
        <tr r="BB20" s="7"/>
      </tp>
      <tp t="e">
        <v>#N/A</v>
        <stp/>
        <stp>PLAYERSRANKING</stp>
        <stp>ELET3</stp>
        <stp>85</stp>
        <stp>SALDO</stp>
        <stp>VOLF</stp>
        <tr r="BB17" s="7"/>
      </tp>
      <tp t="e">
        <v>#N/A</v>
        <stp/>
        <stp>PLAYERSRANKING</stp>
        <stp>EMBR3</stp>
        <stp>45</stp>
        <stp>SALDO</stp>
        <stp>VOLF</stp>
        <tr r="BD21" s="7"/>
      </tp>
      <tp t="e">
        <v>#N/A</v>
        <stp/>
        <stp>PLAYERSRANKING</stp>
        <stp>EMBR3</stp>
        <stp>40</stp>
        <stp>SALDO</stp>
        <stp>VOLF</stp>
        <tr r="BD32" s="7"/>
      </tp>
      <tp t="e">
        <v>#N/A</v>
        <stp/>
        <stp>PLAYERSRANKING</stp>
        <stp>EMBR3</stp>
        <stp>59</stp>
        <stp>SALDO</stp>
        <stp>VOLF</stp>
        <tr r="BD37" s="7"/>
      </tp>
      <tp t="e">
        <v>#N/A</v>
        <stp/>
        <stp>PLAYERSRANKING</stp>
        <stp>EMBR3</stp>
        <stp>72</stp>
        <stp>SALDO</stp>
        <stp>VOLF</stp>
        <tr r="BD18" s="7"/>
      </tp>
      <tp t="e">
        <v>#N/A</v>
        <stp/>
        <stp>PLAYERSRANKING</stp>
        <stp>EMBR3</stp>
        <stp>16</stp>
        <stp>SALDO</stp>
        <stp>VOLF</stp>
        <tr r="BD29" s="7"/>
      </tp>
      <tp t="e">
        <v>#N/A</v>
        <stp/>
        <stp>PLAYERSRANKING</stp>
        <stp>EMBR3</stp>
        <stp>13</stp>
        <stp>SALDO</stp>
        <stp>VOLF</stp>
        <tr r="BD30" s="7"/>
      </tp>
      <tp t="e">
        <v>#N/A</v>
        <stp/>
        <stp>PLAYERSRANKING</stp>
        <stp>EMBR3</stp>
        <stp>27</stp>
        <stp>SALDO</stp>
        <stp>VOLF</stp>
        <tr r="BD38" s="7"/>
      </tp>
      <tp t="e">
        <v>#N/A</v>
        <stp/>
        <stp>PLAYERSRANKING</stp>
        <stp>EMBR3</stp>
        <stp>23</stp>
        <stp>SALDO</stp>
        <stp>VOLF</stp>
        <tr r="BD33" s="7"/>
      </tp>
      <tp t="e">
        <v>#N/A</v>
        <stp/>
        <stp>PLAYERSRANKING</stp>
        <stp>EMBR3</stp>
        <stp>88</stp>
        <stp>SALDO</stp>
        <stp>VOLF</stp>
        <tr r="BD20" s="7"/>
      </tp>
      <tp t="e">
        <v>#N/A</v>
        <stp/>
        <stp>PLAYERSRANKING</stp>
        <stp>EMBR3</stp>
        <stp>85</stp>
        <stp>SALDO</stp>
        <stp>VOLF</stp>
        <tr r="BD17" s="7"/>
      </tp>
      <tp t="e">
        <v>#N/A</v>
        <stp/>
        <stp>PLAYERSRANKING</stp>
        <stp>EMBR3</stp>
        <stp>93</stp>
        <stp>SALDO</stp>
        <stp>VOLF</stp>
        <tr r="BD34" s="7"/>
      </tp>
      <tp t="e">
        <v>#N/A</v>
        <stp/>
        <stp>PLAYERSRANKING</stp>
        <stp>EMBR3</stp>
        <stp>92</stp>
        <stp>SALDO</stp>
        <stp>VOLF</stp>
        <tr r="BD36" s="7"/>
      </tp>
      <tp t="e">
        <v>#N/A</v>
        <stp/>
        <stp>PLAYERSRANKING</stp>
        <stp>EGIE3</stp>
        <stp>92</stp>
        <stp>SALDO</stp>
        <stp>VOLF</stp>
        <tr r="BA36" s="7"/>
      </tp>
      <tp t="e">
        <v>#N/A</v>
        <stp/>
        <stp>PLAYERSRANKING</stp>
        <stp>EGIE3</stp>
        <stp>93</stp>
        <stp>SALDO</stp>
        <stp>VOLF</stp>
        <tr r="BA34" s="7"/>
      </tp>
      <tp t="e">
        <v>#N/A</v>
        <stp/>
        <stp>PLAYERSRANKING</stp>
        <stp>EGIE3</stp>
        <stp>88</stp>
        <stp>SALDO</stp>
        <stp>VOLF</stp>
        <tr r="BA20" s="7"/>
      </tp>
      <tp t="e">
        <v>#N/A</v>
        <stp/>
        <stp>PLAYERSRANKING</stp>
        <stp>EGIE3</stp>
        <stp>85</stp>
        <stp>SALDO</stp>
        <stp>VOLF</stp>
        <tr r="BA17" s="7"/>
      </tp>
      <tp t="e">
        <v>#N/A</v>
        <stp/>
        <stp>PLAYERSRANKING</stp>
        <stp>EGIE3</stp>
        <stp>72</stp>
        <stp>SALDO</stp>
        <stp>VOLF</stp>
        <tr r="BA18" s="7"/>
      </tp>
      <tp t="e">
        <v>#N/A</v>
        <stp/>
        <stp>PLAYERSRANKING</stp>
        <stp>EGIE3</stp>
        <stp>59</stp>
        <stp>SALDO</stp>
        <stp>VOLF</stp>
        <tr r="BA37" s="7"/>
      </tp>
      <tp t="e">
        <v>#N/A</v>
        <stp/>
        <stp>PLAYERSRANKING</stp>
        <stp>EGIE3</stp>
        <stp>40</stp>
        <stp>SALDO</stp>
        <stp>VOLF</stp>
        <tr r="BA32" s="7"/>
      </tp>
      <tp t="e">
        <v>#N/A</v>
        <stp/>
        <stp>PLAYERSRANKING</stp>
        <stp>EGIE3</stp>
        <stp>45</stp>
        <stp>SALDO</stp>
        <stp>VOLF</stp>
        <tr r="BA21" s="7"/>
      </tp>
      <tp t="e">
        <v>#N/A</v>
        <stp/>
        <stp>PLAYERSRANKING</stp>
        <stp>EGIE3</stp>
        <stp>23</stp>
        <stp>SALDO</stp>
        <stp>VOLF</stp>
        <tr r="BA33" s="7"/>
      </tp>
      <tp t="e">
        <v>#N/A</v>
        <stp/>
        <stp>PLAYERSRANKING</stp>
        <stp>EGIE3</stp>
        <stp>27</stp>
        <stp>SALDO</stp>
        <stp>VOLF</stp>
        <tr r="BA38" s="7"/>
      </tp>
      <tp t="e">
        <v>#N/A</v>
        <stp/>
        <stp>PLAYERSRANKING</stp>
        <stp>EGIE3</stp>
        <stp>13</stp>
        <stp>SALDO</stp>
        <stp>VOLF</stp>
        <tr r="BA30" s="7"/>
      </tp>
      <tp t="e">
        <v>#N/A</v>
        <stp/>
        <stp>PLAYERSRANKING</stp>
        <stp>EGIE3</stp>
        <stp>16</stp>
        <stp>SALDO</stp>
        <stp>VOLF</stp>
        <tr r="BA29" s="7"/>
      </tp>
      <tp t="e">
        <v>#N/A</v>
        <stp/>
        <stp>PLAYERSRANKING</stp>
        <stp>BBDC4</stp>
        <stp>27</stp>
        <stp>SALDO</stp>
        <stp>VOLF</stp>
        <tr r="AE38" s="7"/>
      </tp>
      <tp t="e">
        <v>#N/A</v>
        <stp/>
        <stp>PLAYERSRANKING</stp>
        <stp>BBDC4</stp>
        <stp>23</stp>
        <stp>SALDO</stp>
        <stp>VOLF</stp>
        <tr r="AE33" s="7"/>
      </tp>
      <tp t="e">
        <v>#N/A</v>
        <stp/>
        <stp>PLAYERSRANKING</stp>
        <stp>BBDC4</stp>
        <stp>16</stp>
        <stp>SALDO</stp>
        <stp>VOLF</stp>
        <tr r="AE29" s="7"/>
      </tp>
      <tp t="e">
        <v>#N/A</v>
        <stp/>
        <stp>PLAYERSRANKING</stp>
        <stp>BBDC4</stp>
        <stp>13</stp>
        <stp>SALDO</stp>
        <stp>VOLF</stp>
        <tr r="AE30" s="7"/>
      </tp>
      <tp t="e">
        <v>#N/A</v>
        <stp/>
        <stp>PLAYERSRANKING</stp>
        <stp>BBDC4</stp>
        <stp>72</stp>
        <stp>SALDO</stp>
        <stp>VOLF</stp>
        <tr r="AE18" s="7"/>
      </tp>
      <tp t="e">
        <v>#N/A</v>
        <stp/>
        <stp>PLAYERSRANKING</stp>
        <stp>BBDC4</stp>
        <stp>45</stp>
        <stp>SALDO</stp>
        <stp>VOLF</stp>
        <tr r="AE21" s="7"/>
      </tp>
      <tp t="e">
        <v>#N/A</v>
        <stp/>
        <stp>PLAYERSRANKING</stp>
        <stp>BBDC4</stp>
        <stp>40</stp>
        <stp>SALDO</stp>
        <stp>VOLF</stp>
        <tr r="AE32" s="7"/>
      </tp>
      <tp t="e">
        <v>#N/A</v>
        <stp/>
        <stp>PLAYERSRANKING</stp>
        <stp>BBDC4</stp>
        <stp>59</stp>
        <stp>SALDO</stp>
        <stp>VOLF</stp>
        <tr r="AE37" s="7"/>
      </tp>
      <tp t="e">
        <v>#N/A</v>
        <stp/>
        <stp>PLAYERSRANKING</stp>
        <stp>BBDC4</stp>
        <stp>88</stp>
        <stp>SALDO</stp>
        <stp>VOLF</stp>
        <tr r="AE20" s="7"/>
      </tp>
      <tp t="e">
        <v>#N/A</v>
        <stp/>
        <stp>PLAYERSRANKING</stp>
        <stp>BBDC4</stp>
        <stp>85</stp>
        <stp>SALDO</stp>
        <stp>VOLF</stp>
        <tr r="AE17" s="7"/>
      </tp>
      <tp t="e">
        <v>#N/A</v>
        <stp/>
        <stp>PLAYERSRANKING</stp>
        <stp>BBDC4</stp>
        <stp>92</stp>
        <stp>SALDO</stp>
        <stp>VOLF</stp>
        <tr r="AE36" s="7"/>
      </tp>
      <tp t="e">
        <v>#N/A</v>
        <stp/>
        <stp>PLAYERSRANKING</stp>
        <stp>BBDC4</stp>
        <stp>93</stp>
        <stp>SALDO</stp>
        <stp>VOLF</stp>
        <tr r="AE34" s="7"/>
      </tp>
      <tp t="e">
        <v>#N/A</v>
        <stp/>
        <stp>PLAYERSRANKING</stp>
        <stp>ECOR3</stp>
        <stp>93</stp>
        <stp>SALDO</stp>
        <stp>VOLF</stp>
        <tr r="AZ34" s="7"/>
      </tp>
      <tp t="e">
        <v>#N/A</v>
        <stp/>
        <stp>PLAYERSRANKING</stp>
        <stp>ECOR3</stp>
        <stp>92</stp>
        <stp>SALDO</stp>
        <stp>VOLF</stp>
        <tr r="AZ36" s="7"/>
      </tp>
      <tp t="e">
        <v>#N/A</v>
        <stp/>
        <stp>PLAYERSRANKING</stp>
        <stp>ECOR3</stp>
        <stp>88</stp>
        <stp>SALDO</stp>
        <stp>VOLF</stp>
        <tr r="AZ20" s="7"/>
      </tp>
      <tp t="e">
        <v>#N/A</v>
        <stp/>
        <stp>PLAYERSRANKING</stp>
        <stp>ECOR3</stp>
        <stp>85</stp>
        <stp>SALDO</stp>
        <stp>VOLF</stp>
        <tr r="AZ17" s="7"/>
      </tp>
      <tp t="e">
        <v>#N/A</v>
        <stp/>
        <stp>PLAYERSRANKING</stp>
        <stp>ECOR3</stp>
        <stp>16</stp>
        <stp>SALDO</stp>
        <stp>VOLF</stp>
        <tr r="AZ29" s="7"/>
      </tp>
      <tp t="e">
        <v>#N/A</v>
        <stp/>
        <stp>PLAYERSRANKING</stp>
        <stp>ECOR3</stp>
        <stp>13</stp>
        <stp>SALDO</stp>
        <stp>VOLF</stp>
        <tr r="AZ30" s="7"/>
      </tp>
      <tp t="e">
        <v>#N/A</v>
        <stp/>
        <stp>PLAYERSRANKING</stp>
        <stp>ECOR3</stp>
        <stp>27</stp>
        <stp>SALDO</stp>
        <stp>VOLF</stp>
        <tr r="AZ38" s="7"/>
      </tp>
      <tp t="e">
        <v>#N/A</v>
        <stp/>
        <stp>PLAYERSRANKING</stp>
        <stp>ECOR3</stp>
        <stp>23</stp>
        <stp>SALDO</stp>
        <stp>VOLF</stp>
        <tr r="AZ33" s="7"/>
      </tp>
      <tp t="e">
        <v>#N/A</v>
        <stp/>
        <stp>PLAYERSRANKING</stp>
        <stp>ECOR3</stp>
        <stp>59</stp>
        <stp>SALDO</stp>
        <stp>VOLF</stp>
        <tr r="AZ37" s="7"/>
      </tp>
      <tp t="e">
        <v>#N/A</v>
        <stp/>
        <stp>PLAYERSRANKING</stp>
        <stp>ECOR3</stp>
        <stp>45</stp>
        <stp>SALDO</stp>
        <stp>VOLF</stp>
        <tr r="AZ21" s="7"/>
      </tp>
      <tp t="e">
        <v>#N/A</v>
        <stp/>
        <stp>PLAYERSRANKING</stp>
        <stp>ECOR3</stp>
        <stp>40</stp>
        <stp>SALDO</stp>
        <stp>VOLF</stp>
        <tr r="AZ32" s="7"/>
      </tp>
      <tp t="e">
        <v>#N/A</v>
        <stp/>
        <stp>PLAYERSRANKING</stp>
        <stp>ECOR3</stp>
        <stp>72</stp>
        <stp>SALDO</stp>
        <stp>VOLF</stp>
        <tr r="AZ18" s="7"/>
      </tp>
      <tp t="e">
        <v>#N/A</v>
        <stp/>
        <stp>PLAYERSRANKING</stp>
        <stp>EZTC3</stp>
        <stp>27</stp>
        <stp>SALDO</stp>
        <stp>VOLF</stp>
        <tr r="BI38" s="7"/>
      </tp>
      <tp t="e">
        <v>#N/A</v>
        <stp/>
        <stp>PLAYERSRANKING</stp>
        <stp>EZTC3</stp>
        <stp>23</stp>
        <stp>SALDO</stp>
        <stp>VOLF</stp>
        <tr r="BI33" s="7"/>
      </tp>
      <tp t="e">
        <v>#N/A</v>
        <stp/>
        <stp>PLAYERSRANKING</stp>
        <stp>EZTC3</stp>
        <stp>16</stp>
        <stp>SALDO</stp>
        <stp>VOLF</stp>
        <tr r="BI29" s="7"/>
      </tp>
      <tp t="e">
        <v>#N/A</v>
        <stp/>
        <stp>PLAYERSRANKING</stp>
        <stp>EZTC3</stp>
        <stp>13</stp>
        <stp>SALDO</stp>
        <stp>VOLF</stp>
        <tr r="BI30" s="7"/>
      </tp>
      <tp t="e">
        <v>#N/A</v>
        <stp/>
        <stp>PLAYERSRANKING</stp>
        <stp>EZTC3</stp>
        <stp>72</stp>
        <stp>SALDO</stp>
        <stp>VOLF</stp>
        <tr r="BI18" s="7"/>
      </tp>
      <tp t="e">
        <v>#N/A</v>
        <stp/>
        <stp>PLAYERSRANKING</stp>
        <stp>EZTC3</stp>
        <stp>45</stp>
        <stp>SALDO</stp>
        <stp>VOLF</stp>
        <tr r="BI21" s="7"/>
      </tp>
      <tp t="e">
        <v>#N/A</v>
        <stp/>
        <stp>PLAYERSRANKING</stp>
        <stp>EZTC3</stp>
        <stp>40</stp>
        <stp>SALDO</stp>
        <stp>VOLF</stp>
        <tr r="BI32" s="7"/>
      </tp>
      <tp t="e">
        <v>#N/A</v>
        <stp/>
        <stp>PLAYERSRANKING</stp>
        <stp>EZTC3</stp>
        <stp>59</stp>
        <stp>SALDO</stp>
        <stp>VOLF</stp>
        <tr r="BI37" s="7"/>
      </tp>
      <tp t="e">
        <v>#N/A</v>
        <stp/>
        <stp>PLAYERSRANKING</stp>
        <stp>EZTC3</stp>
        <stp>88</stp>
        <stp>SALDO</stp>
        <stp>VOLF</stp>
        <tr r="BI20" s="7"/>
      </tp>
      <tp t="e">
        <v>#N/A</v>
        <stp/>
        <stp>PLAYERSRANKING</stp>
        <stp>EZTC3</stp>
        <stp>85</stp>
        <stp>SALDO</stp>
        <stp>VOLF</stp>
        <tr r="BI17" s="7"/>
      </tp>
      <tp t="e">
        <v>#N/A</v>
        <stp/>
        <stp>PLAYERSRANKING</stp>
        <stp>EZTC3</stp>
        <stp>92</stp>
        <stp>SALDO</stp>
        <stp>VOLF</stp>
        <tr r="BI36" s="7"/>
      </tp>
      <tp t="e">
        <v>#N/A</v>
        <stp/>
        <stp>PLAYERSRANKING</stp>
        <stp>EZTC3</stp>
        <stp>93</stp>
        <stp>SALDO</stp>
        <stp>VOLF</stp>
        <tr r="BI34" s="7"/>
      </tp>
      <tp t="e">
        <v>#N/A</v>
        <stp/>
        <stp>PLAYERSRANKING</stp>
        <stp>BRAP4</stp>
        <stp>72</stp>
        <stp>SALDO</stp>
        <stp>VOLF</stp>
        <tr r="AI18" s="7"/>
      </tp>
      <tp t="e">
        <v>#N/A</v>
        <stp/>
        <stp>PLAYERSRANKING</stp>
        <stp>BRAP4</stp>
        <stp>59</stp>
        <stp>SALDO</stp>
        <stp>VOLF</stp>
        <tr r="AI37" s="7"/>
      </tp>
      <tp t="e">
        <v>#N/A</v>
        <stp/>
        <stp>PLAYERSRANKING</stp>
        <stp>BRAP4</stp>
        <stp>45</stp>
        <stp>SALDO</stp>
        <stp>VOLF</stp>
        <tr r="AI21" s="7"/>
      </tp>
      <tp t="e">
        <v>#N/A</v>
        <stp/>
        <stp>PLAYERSRANKING</stp>
        <stp>BRAP4</stp>
        <stp>40</stp>
        <stp>SALDO</stp>
        <stp>VOLF</stp>
        <tr r="AI32" s="7"/>
      </tp>
      <tp t="e">
        <v>#N/A</v>
        <stp/>
        <stp>PLAYERSRANKING</stp>
        <stp>BRAP4</stp>
        <stp>27</stp>
        <stp>SALDO</stp>
        <stp>VOLF</stp>
        <tr r="AI38" s="7"/>
      </tp>
      <tp t="e">
        <v>#N/A</v>
        <stp/>
        <stp>PLAYERSRANKING</stp>
        <stp>BRAP4</stp>
        <stp>23</stp>
        <stp>SALDO</stp>
        <stp>VOLF</stp>
        <tr r="AI33" s="7"/>
      </tp>
      <tp t="e">
        <v>#N/A</v>
        <stp/>
        <stp>PLAYERSRANKING</stp>
        <stp>BRAP4</stp>
        <stp>16</stp>
        <stp>SALDO</stp>
        <stp>VOLF</stp>
        <tr r="AI29" s="7"/>
      </tp>
      <tp t="e">
        <v>#N/A</v>
        <stp/>
        <stp>PLAYERSRANKING</stp>
        <stp>BRAP4</stp>
        <stp>13</stp>
        <stp>SALDO</stp>
        <stp>VOLF</stp>
        <tr r="AI30" s="7"/>
      </tp>
      <tp t="e">
        <v>#N/A</v>
        <stp/>
        <stp>PLAYERSRANKING</stp>
        <stp>BRAP4</stp>
        <stp>93</stp>
        <stp>SALDO</stp>
        <stp>VOLF</stp>
        <tr r="AI34" s="7"/>
      </tp>
      <tp t="e">
        <v>#N/A</v>
        <stp/>
        <stp>PLAYERSRANKING</stp>
        <stp>BRAP4</stp>
        <stp>92</stp>
        <stp>SALDO</stp>
        <stp>VOLF</stp>
        <tr r="AI36" s="7"/>
      </tp>
      <tp t="e">
        <v>#N/A</v>
        <stp/>
        <stp>PLAYERSRANKING</stp>
        <stp>BRAP4</stp>
        <stp>88</stp>
        <stp>SALDO</stp>
        <stp>VOLF</stp>
        <tr r="AI20" s="7"/>
      </tp>
      <tp t="e">
        <v>#N/A</v>
        <stp/>
        <stp>PLAYERSRANKING</stp>
        <stp>BRAP4</stp>
        <stp>85</stp>
        <stp>SALDO</stp>
        <stp>VOLF</stp>
        <tr r="AI17" s="7"/>
      </tp>
      <tp t="e">
        <v>#N/A</v>
        <stp/>
        <stp>PLAYERSRANKING</stp>
        <stp>EQTL3</stp>
        <stp>23</stp>
        <stp>SALDO</stp>
        <stp>VOLF</stp>
        <tr r="BH33" s="7"/>
      </tp>
      <tp t="e">
        <v>#N/A</v>
        <stp/>
        <stp>PLAYERSRANKING</stp>
        <stp>EQTL3</stp>
        <stp>27</stp>
        <stp>SALDO</stp>
        <stp>VOLF</stp>
        <tr r="BH38" s="7"/>
      </tp>
      <tp t="e">
        <v>#N/A</v>
        <stp/>
        <stp>PLAYERSRANKING</stp>
        <stp>EQTL3</stp>
        <stp>13</stp>
        <stp>SALDO</stp>
        <stp>VOLF</stp>
        <tr r="BH30" s="7"/>
      </tp>
      <tp t="e">
        <v>#N/A</v>
        <stp/>
        <stp>PLAYERSRANKING</stp>
        <stp>EQTL3</stp>
        <stp>16</stp>
        <stp>SALDO</stp>
        <stp>VOLF</stp>
        <tr r="BH29" s="7"/>
      </tp>
      <tp t="e">
        <v>#N/A</v>
        <stp/>
        <stp>PLAYERSRANKING</stp>
        <stp>EQTL3</stp>
        <stp>72</stp>
        <stp>SALDO</stp>
        <stp>VOLF</stp>
        <tr r="BH18" s="7"/>
      </tp>
      <tp t="e">
        <v>#N/A</v>
        <stp/>
        <stp>PLAYERSRANKING</stp>
        <stp>EQTL3</stp>
        <stp>40</stp>
        <stp>SALDO</stp>
        <stp>VOLF</stp>
        <tr r="BH32" s="7"/>
      </tp>
      <tp t="e">
        <v>#N/A</v>
        <stp/>
        <stp>PLAYERSRANKING</stp>
        <stp>EQTL3</stp>
        <stp>45</stp>
        <stp>SALDO</stp>
        <stp>VOLF</stp>
        <tr r="BH21" s="7"/>
      </tp>
      <tp t="e">
        <v>#N/A</v>
        <stp/>
        <stp>PLAYERSRANKING</stp>
        <stp>EQTL3</stp>
        <stp>59</stp>
        <stp>SALDO</stp>
        <stp>VOLF</stp>
        <tr r="BH37" s="7"/>
      </tp>
      <tp t="e">
        <v>#N/A</v>
        <stp/>
        <stp>PLAYERSRANKING</stp>
        <stp>EQTL3</stp>
        <stp>85</stp>
        <stp>SALDO</stp>
        <stp>VOLF</stp>
        <tr r="BH17" s="7"/>
      </tp>
      <tp t="e">
        <v>#N/A</v>
        <stp/>
        <stp>PLAYERSRANKING</stp>
        <stp>EQTL3</stp>
        <stp>88</stp>
        <stp>SALDO</stp>
        <stp>VOLF</stp>
        <tr r="BH20" s="7"/>
      </tp>
      <tp t="e">
        <v>#N/A</v>
        <stp/>
        <stp>PLAYERSRANKING</stp>
        <stp>EQTL3</stp>
        <stp>93</stp>
        <stp>SALDO</stp>
        <stp>VOLF</stp>
        <tr r="BH34" s="7"/>
      </tp>
      <tp t="e">
        <v>#N/A</v>
        <stp/>
        <stp>PLAYERSRANKING</stp>
        <stp>EQTL3</stp>
        <stp>92</stp>
        <stp>SALDO</stp>
        <stp>VOLF</stp>
        <tr r="BH36" s="7"/>
      </tp>
    </main>
    <main first="rtdtrading.rtdserver">
      <tp>
        <v>12.83</v>
        <stp/>
        <stp>UGPA3_B_0</stp>
        <stp>OVD</stp>
        <tr r="F77" s="3"/>
      </tp>
      <tp>
        <v>9.7799999999999994</v>
        <stp/>
        <stp>HAPV3_B_0</stp>
        <stp>OCP</stp>
        <tr r="E44" s="3"/>
      </tp>
      <tp>
        <v>27.03</v>
        <stp/>
        <stp>HYPE3_B_0</stp>
        <stp>OVD</stp>
        <tr r="F46" s="3"/>
      </tp>
      <tp>
        <v>27</v>
        <stp/>
        <stp>HYPE3_B_0</stp>
        <stp>OCP</stp>
        <tr r="E46" s="3"/>
      </tp>
      <tp>
        <v>0</v>
        <stp/>
        <stp>BTOW3_B_0</stp>
        <stp>PRT</stp>
        <tr r="G17" s="3"/>
      </tp>
      <tp>
        <v>12.8</v>
        <stp/>
        <stp>UGPA3_B_0</stp>
        <stp>OCP</stp>
        <tr r="E77" s="3"/>
      </tp>
      <tp>
        <v>0</v>
        <stp/>
        <stp>ECOR3_B_0</stp>
        <stp>PRT</stp>
        <tr r="G29" s="3"/>
      </tp>
      <tp>
        <v>9.8000000000000007</v>
        <stp/>
        <stp>HAPV3_B_0</stp>
        <stp>OVD</stp>
        <tr r="F44" s="3"/>
      </tp>
    </main>
    <main first="srv.rtd">
      <tp t="e">
        <v>#N/A</v>
        <stp/>
        <stp>PLAYERSRANKING</stp>
        <stp>LREN3</stp>
        <stp>8</stp>
        <stp>SALDO</stp>
        <stp>VOLF</stp>
        <tr r="CA41" s="7"/>
      </tp>
      <tp t="e">
        <v>#N/A</v>
        <stp/>
        <stp>PLAYERSRANKING</stp>
        <stp>LREN3</stp>
        <stp>3</stp>
        <stp>SALDO</stp>
        <stp>VOLF</stp>
        <tr r="CA45" s="7"/>
      </tp>
    </main>
    <main first="srv.rtd">
      <tp t="e">
        <v>#N/A</v>
        <stp/>
        <stp>PLAYERSRANKING</stp>
        <stp>CSAN3</stp>
        <stp>8</stp>
        <stp>SALDO</stp>
        <stp>VOLF</stp>
        <tr r="AV41" s="7"/>
      </tp>
      <tp t="e">
        <v>#N/A</v>
        <stp/>
        <stp>PLAYERSRANKING</stp>
        <stp>CSAN3</stp>
        <stp>3</stp>
        <stp>SALDO</stp>
        <stp>VOLF</stp>
        <tr r="AV45" s="7"/>
      </tp>
      <tp t="e">
        <v>#N/A</v>
        <stp/>
        <stp>PLAYERSRANKING</stp>
        <stp>COGN3</stp>
        <stp>8</stp>
        <stp>SALDO</stp>
        <stp>VOLF</stp>
        <tr r="AR41" s="7"/>
      </tp>
      <tp t="e">
        <v>#N/A</v>
        <stp/>
        <stp>PLAYERSRANKING</stp>
        <stp>COGN3</stp>
        <stp>3</stp>
        <stp>SALDO</stp>
        <stp>VOLF</stp>
        <tr r="AR45" s="7"/>
      </tp>
    </main>
    <main first="srv.rtd">
      <tp t="e">
        <v>#N/A</v>
        <stp/>
        <stp>PLAYERSRANKING</stp>
        <stp>FLRY3</stp>
        <stp>45</stp>
        <stp>SALDO</stp>
        <stp>VOLF</stp>
        <tr r="BJ21" s="7"/>
      </tp>
      <tp t="e">
        <v>#N/A</v>
        <stp/>
        <stp>PLAYERSRANKING</stp>
        <stp>FLRY3</stp>
        <stp>40</stp>
        <stp>SALDO</stp>
        <stp>VOLF</stp>
        <tr r="BJ32" s="7"/>
      </tp>
      <tp t="e">
        <v>#N/A</v>
        <stp/>
        <stp>PLAYERSRANKING</stp>
        <stp>FLRY3</stp>
        <stp>59</stp>
        <stp>SALDO</stp>
        <stp>VOLF</stp>
        <tr r="BJ37" s="7"/>
      </tp>
      <tp t="e">
        <v>#N/A</v>
        <stp/>
        <stp>PLAYERSRANKING</stp>
        <stp>FLRY3</stp>
        <stp>72</stp>
        <stp>SALDO</stp>
        <stp>VOLF</stp>
        <tr r="BJ18" s="7"/>
      </tp>
      <tp t="e">
        <v>#N/A</v>
        <stp/>
        <stp>PLAYERSRANKING</stp>
        <stp>FLRY3</stp>
        <stp>16</stp>
        <stp>SALDO</stp>
        <stp>VOLF</stp>
        <tr r="BJ29" s="7"/>
      </tp>
      <tp t="e">
        <v>#N/A</v>
        <stp/>
        <stp>PLAYERSRANKING</stp>
        <stp>FLRY3</stp>
        <stp>13</stp>
        <stp>SALDO</stp>
        <stp>VOLF</stp>
        <tr r="BJ30" s="7"/>
      </tp>
      <tp t="e">
        <v>#N/A</v>
        <stp/>
        <stp>PLAYERSRANKING</stp>
        <stp>FLRY3</stp>
        <stp>27</stp>
        <stp>SALDO</stp>
        <stp>VOLF</stp>
        <tr r="BJ38" s="7"/>
      </tp>
      <tp t="e">
        <v>#N/A</v>
        <stp/>
        <stp>PLAYERSRANKING</stp>
        <stp>FLRY3</stp>
        <stp>23</stp>
        <stp>SALDO</stp>
        <stp>VOLF</stp>
        <tr r="BJ33" s="7"/>
      </tp>
      <tp t="e">
        <v>#N/A</v>
        <stp/>
        <stp>PLAYERSRANKING</stp>
        <stp>FLRY3</stp>
        <stp>85</stp>
        <stp>SALDO</stp>
        <stp>VOLF</stp>
        <tr r="BJ17" s="7"/>
      </tp>
      <tp t="e">
        <v>#N/A</v>
        <stp/>
        <stp>PLAYERSRANKING</stp>
        <stp>FLRY3</stp>
        <stp>88</stp>
        <stp>SALDO</stp>
        <stp>VOLF</stp>
        <tr r="BJ20" s="7"/>
      </tp>
      <tp t="e">
        <v>#N/A</v>
        <stp/>
        <stp>PLAYERSRANKING</stp>
        <stp>FLRY3</stp>
        <stp>92</stp>
        <stp>SALDO</stp>
        <stp>VOLF</stp>
        <tr r="BJ36" s="7"/>
      </tp>
      <tp t="e">
        <v>#N/A</v>
        <stp/>
        <stp>PLAYERSRANKING</stp>
        <stp>FLRY3</stp>
        <stp>93</stp>
        <stp>SALDO</stp>
        <stp>VOLF</stp>
        <tr r="BJ34" s="7"/>
      </tp>
      <tp t="e">
        <v>#N/A</v>
        <stp/>
        <stp>PLAYERSRANKING</stp>
        <stp>AZUL4</stp>
        <stp>23</stp>
        <stp>SALDO</stp>
        <stp>VOLF</stp>
        <tr r="AA33" s="7"/>
      </tp>
      <tp t="e">
        <v>#N/A</v>
        <stp/>
        <stp>PLAYERSRANKING</stp>
        <stp>AZUL4</stp>
        <stp>27</stp>
        <stp>SALDO</stp>
        <stp>VOLF</stp>
        <tr r="AA38" s="7"/>
      </tp>
      <tp t="e">
        <v>#N/A</v>
        <stp/>
        <stp>PLAYERSRANKING</stp>
        <stp>AZUL4</stp>
        <stp>13</stp>
        <stp>SALDO</stp>
        <stp>VOLF</stp>
        <tr r="AA30" s="7"/>
      </tp>
      <tp t="e">
        <v>#N/A</v>
        <stp/>
        <stp>PLAYERSRANKING</stp>
        <stp>AZUL4</stp>
        <stp>16</stp>
        <stp>SALDO</stp>
        <stp>VOLF</stp>
        <tr r="AA29" s="7"/>
      </tp>
      <tp t="e">
        <v>#N/A</v>
        <stp/>
        <stp>PLAYERSRANKING</stp>
        <stp>AZUL4</stp>
        <stp>72</stp>
        <stp>SALDO</stp>
        <stp>VOLF</stp>
        <tr r="AA18" s="7"/>
      </tp>
      <tp t="e">
        <v>#N/A</v>
        <stp/>
        <stp>PLAYERSRANKING</stp>
        <stp>AZUL4</stp>
        <stp>59</stp>
        <stp>SALDO</stp>
        <stp>VOLF</stp>
        <tr r="AA37" s="7"/>
      </tp>
      <tp t="e">
        <v>#N/A</v>
        <stp/>
        <stp>PLAYERSRANKING</stp>
        <stp>AZUL4</stp>
        <stp>40</stp>
        <stp>SALDO</stp>
        <stp>VOLF</stp>
        <tr r="AA32" s="7"/>
      </tp>
      <tp t="e">
        <v>#N/A</v>
        <stp/>
        <stp>PLAYERSRANKING</stp>
        <stp>AZUL4</stp>
        <stp>45</stp>
        <stp>SALDO</stp>
        <stp>VOLF</stp>
        <tr r="AA21" s="7"/>
      </tp>
      <tp t="e">
        <v>#N/A</v>
        <stp/>
        <stp>PLAYERSRANKING</stp>
        <stp>AZUL4</stp>
        <stp>93</stp>
        <stp>SALDO</stp>
        <stp>VOLF</stp>
        <tr r="AA34" s="7"/>
      </tp>
      <tp t="e">
        <v>#N/A</v>
        <stp/>
        <stp>PLAYERSRANKING</stp>
        <stp>AZUL4</stp>
        <stp>92</stp>
        <stp>SALDO</stp>
        <stp>VOLF</stp>
        <tr r="AA36" s="7"/>
      </tp>
      <tp t="e">
        <v>#N/A</v>
        <stp/>
        <stp>PLAYERSRANKING</stp>
        <stp>AZUL4</stp>
        <stp>85</stp>
        <stp>SALDO</stp>
        <stp>VOLF</stp>
        <tr r="AA17" s="7"/>
      </tp>
      <tp t="e">
        <v>#N/A</v>
        <stp/>
        <stp>PLAYERSRANKING</stp>
        <stp>AZUL4</stp>
        <stp>88</stp>
        <stp>SALDO</stp>
        <stp>VOLF</stp>
        <tr r="AA20" s="7"/>
      </tp>
      <tp t="e">
        <v>#N/A</v>
        <stp/>
        <stp>PLAYERSRANKING</stp>
        <stp>CPLE6</stp>
        <stp>88</stp>
        <stp>SALDO</stp>
        <stp>VOLF</stp>
        <tr r="AT20" s="7"/>
      </tp>
      <tp t="e">
        <v>#N/A</v>
        <stp/>
        <stp>PLAYERSRANKING</stp>
        <stp>CPLE6</stp>
        <stp>85</stp>
        <stp>SALDO</stp>
        <stp>VOLF</stp>
        <tr r="AT17" s="7"/>
      </tp>
      <tp t="e">
        <v>#N/A</v>
        <stp/>
        <stp>PLAYERSRANKING</stp>
        <stp>CPLE6</stp>
        <stp>92</stp>
        <stp>SALDO</stp>
        <stp>VOLF</stp>
        <tr r="AT36" s="7"/>
      </tp>
      <tp t="e">
        <v>#N/A</v>
        <stp/>
        <stp>PLAYERSRANKING</stp>
        <stp>CPLE6</stp>
        <stp>93</stp>
        <stp>SALDO</stp>
        <stp>VOLF</stp>
        <tr r="AT34" s="7"/>
      </tp>
      <tp t="e">
        <v>#N/A</v>
        <stp/>
        <stp>PLAYERSRANKING</stp>
        <stp>CPLE6</stp>
        <stp>23</stp>
        <stp>SALDO</stp>
        <stp>VOLF</stp>
        <tr r="AT33" s="7"/>
      </tp>
      <tp t="e">
        <v>#N/A</v>
        <stp/>
        <stp>PLAYERSRANKING</stp>
        <stp>CPLE6</stp>
        <stp>27</stp>
        <stp>SALDO</stp>
        <stp>VOLF</stp>
        <tr r="AT38" s="7"/>
      </tp>
      <tp t="e">
        <v>#N/A</v>
        <stp/>
        <stp>PLAYERSRANKING</stp>
        <stp>CPLE6</stp>
        <stp>13</stp>
        <stp>SALDO</stp>
        <stp>VOLF</stp>
        <tr r="AT30" s="7"/>
      </tp>
      <tp t="e">
        <v>#N/A</v>
        <stp/>
        <stp>PLAYERSRANKING</stp>
        <stp>CPLE6</stp>
        <stp>16</stp>
        <stp>SALDO</stp>
        <stp>VOLF</stp>
        <tr r="AT29" s="7"/>
      </tp>
      <tp t="e">
        <v>#N/A</v>
        <stp/>
        <stp>PLAYERSRANKING</stp>
        <stp>CPLE6</stp>
        <stp>72</stp>
        <stp>SALDO</stp>
        <stp>VOLF</stp>
        <tr r="AT18" s="7"/>
      </tp>
      <tp t="e">
        <v>#N/A</v>
        <stp/>
        <stp>PLAYERSRANKING</stp>
        <stp>CPLE6</stp>
        <stp>40</stp>
        <stp>SALDO</stp>
        <stp>VOLF</stp>
        <tr r="AT32" s="7"/>
      </tp>
      <tp t="e">
        <v>#N/A</v>
        <stp/>
        <stp>PLAYERSRANKING</stp>
        <stp>CPLE6</stp>
        <stp>45</stp>
        <stp>SALDO</stp>
        <stp>VOLF</stp>
        <tr r="AT21" s="7"/>
      </tp>
      <tp t="e">
        <v>#N/A</v>
        <stp/>
        <stp>PLAYERSRANKING</stp>
        <stp>CPLE6</stp>
        <stp>59</stp>
        <stp>SALDO</stp>
        <stp>VOLF</stp>
        <tr r="AT37" s="7"/>
      </tp>
    </main>
    <main first="rtdtrading.rtdserver">
      <tp>
        <v>0</v>
        <stp/>
        <stp>CPLE6_B_0</stp>
        <stp>PRT</stp>
        <tr r="G23" s="3"/>
      </tp>
      <tp>
        <v>9.18</v>
        <stp/>
        <stp>ITSA4_B_0</stp>
        <stp>OVD</stp>
        <tr r="F49" s="3"/>
      </tp>
      <tp>
        <v>0</v>
        <stp/>
        <stp>VALE3_B_0</stp>
        <stp>PRT</stp>
        <tr r="G79" s="3"/>
      </tp>
      <tp>
        <v>11.07</v>
        <stp/>
        <stp>B3SA3_B_0</stp>
        <stp>OVD</stp>
        <tr r="F5" s="3"/>
      </tp>
      <tp>
        <v>34.92</v>
        <stp/>
        <stp>SBSP3_B_0</stp>
        <stp>OCP</stp>
        <tr r="E71" s="3"/>
      </tp>
      <tp>
        <v>19.39</v>
        <stp/>
        <stp>BBSE3_B_0</stp>
        <stp>OVD</stp>
        <tr r="F9" s="3"/>
      </tp>
      <tp>
        <v>36.06</v>
        <stp/>
        <stp>JBSS3_B_0</stp>
        <stp>OCP</stp>
        <tr r="E51" s="3"/>
      </tp>
      <tp>
        <v>4.55</v>
        <stp/>
        <stp>JHSF3_B_0</stp>
        <stp>OVD</stp>
        <tr r="F52" s="3"/>
      </tp>
      <tp>
        <v>0</v>
        <stp/>
        <stp>GOLL4_B_0</stp>
        <stp>PRT</stp>
        <tr r="G43" s="3"/>
      </tp>
      <tp>
        <v>0</v>
        <stp/>
        <stp>MULT3_B_0</stp>
        <stp>PRT</stp>
        <tr r="G60" s="3"/>
      </tp>
      <tp>
        <v>19.37</v>
        <stp/>
        <stp>BBSE3_B_0</stp>
        <stp>OCP</stp>
        <tr r="E9" s="3"/>
      </tp>
      <tp>
        <v>34.97</v>
        <stp/>
        <stp>SBSP3_B_0</stp>
        <stp>OVD</stp>
        <tr r="F71" s="3"/>
      </tp>
      <tp>
        <v>0</v>
        <stp/>
        <stp>MGLU3_B_0</stp>
        <stp>PRT</stp>
        <tr r="G57" s="3"/>
      </tp>
      <tp>
        <v>59.32</v>
        <stp/>
        <stp>SUZB3_B_0</stp>
        <stp>FEC</stp>
        <tr r="D73" s="3"/>
      </tp>
      <tp>
        <v>4.53</v>
        <stp/>
        <stp>JHSF3_B_0</stp>
        <stp>OCP</stp>
        <tr r="E52" s="3"/>
      </tp>
      <tp>
        <v>36.090000000000003</v>
        <stp/>
        <stp>JBSS3_B_0</stp>
        <stp>OVD</stp>
        <tr r="F51" s="3"/>
      </tp>
      <tp>
        <v>9.17</v>
        <stp/>
        <stp>ITSA4_B_0</stp>
        <stp>OCP</stp>
        <tr r="E49" s="3"/>
      </tp>
      <tp>
        <v>11.06</v>
        <stp/>
        <stp>B3SA3_B_0</stp>
        <stp>OCP</stp>
        <tr r="E5" s="3"/>
      </tp>
      <tp>
        <v>20.050000000000015</v>
        <stp/>
        <stp>PRIO3_B_0</stp>
        <stp>ULT</stp>
        <tr r="B65" s="3"/>
      </tp>
      <tp>
        <v>15.590000000000005</v>
        <stp/>
        <stp>RAIL3_B_0</stp>
        <stp>ULT</stp>
        <tr r="B68" s="3"/>
      </tp>
      <tp>
        <v>14.37</v>
        <stp/>
        <stp>USIM5_B_0</stp>
        <stp>ULT</stp>
        <tr r="B78" s="3"/>
      </tp>
      <tp>
        <v>12.219999999999999</v>
        <stp/>
        <stp>CMIG4_B_0</stp>
        <stp>ULT</stp>
        <tr r="B20" s="3"/>
      </tp>
      <tp>
        <v>37.240000000000009</v>
        <stp/>
        <stp>EGIE3_B_0</stp>
        <stp>ULT</stp>
        <tr r="B30" s="3"/>
      </tp>
      <tp>
        <v>0</v>
        <stp/>
        <stp>KLBN11_B_0</stp>
        <stp>PRT</stp>
        <tr r="G53" s="3"/>
      </tp>
    </main>
    <main first="srv.rtd">
      <tp t="e">
        <v>#N/A</v>
        <stp/>
        <stp>PLAYERSRANKING</stp>
        <stp>LCAM3</stp>
        <stp>8</stp>
        <stp>SALDO</stp>
        <stp>VOLF</stp>
        <tr r="BZ41" s="7"/>
      </tp>
      <tp t="e">
        <v>#N/A</v>
        <stp/>
        <stp>PLAYERSRANKING</stp>
        <stp>LCAM3</stp>
        <stp>3</stp>
        <stp>SALDO</stp>
        <stp>VOLF</stp>
        <tr r="BZ45" s="7"/>
      </tp>
      <tp t="e">
        <v>#N/A</v>
        <stp/>
        <stp>PLAYERSRANKING</stp>
        <stp>KLBN11</stp>
        <stp/>
        <stp>SALDO</stp>
        <stp>VOLF</stp>
        <tr r="BX25" s="7"/>
        <tr r="BX24" s="7"/>
        <tr r="BX39" s="7"/>
        <tr r="BX35" s="7"/>
        <tr r="BX31" s="7"/>
      </tp>
      <tp t="e">
        <v>#N/A</v>
        <stp/>
        <stp>PLAYERSRANKING</stp>
        <stp>BRKM5</stp>
        <stp>3</stp>
        <stp>SALDO</stp>
        <stp>VOLF</stp>
        <tr r="AL45" s="7"/>
      </tp>
      <tp t="e">
        <v>#N/A</v>
        <stp/>
        <stp>PLAYERSRANKING</stp>
        <stp>BRKM5</stp>
        <stp>8</stp>
        <stp>SALDO</stp>
        <stp>VOLF</stp>
        <tr r="AL41" s="7"/>
      </tp>
    </main>
    <main first="srv.rtd">
      <tp t="e">
        <v>#N/A</v>
        <stp/>
        <stp>PLAYERSRANKING</stp>
        <stp>USIM5</stp>
        <stp>3</stp>
        <stp>SALDO</stp>
        <stp>VOLF</stp>
        <tr r="CW45" s="7"/>
      </tp>
      <tp t="e">
        <v>#N/A</v>
        <stp/>
        <stp>PLAYERSRANKING</stp>
        <stp>USIM5</stp>
        <stp>8</stp>
        <stp>SALDO</stp>
        <stp>VOLF</stp>
        <tr r="CW41" s="7"/>
      </tp>
      <tp t="e">
        <v>#N/A</v>
        <stp/>
        <stp>PLAYERSRANKING</stp>
        <stp>GNDI3</stp>
        <stp>27</stp>
        <stp>SALDO</stp>
        <stp>VOLF</stp>
        <tr r="BL38" s="7"/>
      </tp>
      <tp t="e">
        <v>#N/A</v>
        <stp/>
        <stp>PLAYERSRANKING</stp>
        <stp>GNDI3</stp>
        <stp>23</stp>
        <stp>SALDO</stp>
        <stp>VOLF</stp>
        <tr r="BL33" s="7"/>
      </tp>
      <tp t="e">
        <v>#N/A</v>
        <stp/>
        <stp>PLAYERSRANKING</stp>
        <stp>GNDI3</stp>
        <stp>16</stp>
        <stp>SALDO</stp>
        <stp>VOLF</stp>
        <tr r="BL29" s="7"/>
      </tp>
      <tp t="e">
        <v>#N/A</v>
        <stp/>
        <stp>PLAYERSRANKING</stp>
        <stp>GNDI3</stp>
        <stp>13</stp>
        <stp>SALDO</stp>
        <stp>VOLF</stp>
        <tr r="BL30" s="7"/>
      </tp>
      <tp t="e">
        <v>#N/A</v>
        <stp/>
        <stp>PLAYERSRANKING</stp>
        <stp>GNDI3</stp>
        <stp>72</stp>
        <stp>SALDO</stp>
        <stp>VOLF</stp>
        <tr r="BL18" s="7"/>
      </tp>
      <tp t="e">
        <v>#N/A</v>
        <stp/>
        <stp>PLAYERSRANKING</stp>
        <stp>GNDI3</stp>
        <stp>45</stp>
        <stp>SALDO</stp>
        <stp>VOLF</stp>
        <tr r="BL21" s="7"/>
      </tp>
      <tp t="e">
        <v>#N/A</v>
        <stp/>
        <stp>PLAYERSRANKING</stp>
        <stp>GNDI3</stp>
        <stp>40</stp>
        <stp>SALDO</stp>
        <stp>VOLF</stp>
        <tr r="BL32" s="7"/>
      </tp>
      <tp t="e">
        <v>#N/A</v>
        <stp/>
        <stp>PLAYERSRANKING</stp>
        <stp>GNDI3</stp>
        <stp>59</stp>
        <stp>SALDO</stp>
        <stp>VOLF</stp>
        <tr r="BL37" s="7"/>
      </tp>
      <tp t="e">
        <v>#N/A</v>
        <stp/>
        <stp>PLAYERSRANKING</stp>
        <stp>GNDI3</stp>
        <stp>85</stp>
        <stp>SALDO</stp>
        <stp>VOLF</stp>
        <tr r="BL17" s="7"/>
      </tp>
      <tp t="e">
        <v>#N/A</v>
        <stp/>
        <stp>PLAYERSRANKING</stp>
        <stp>GNDI3</stp>
        <stp>88</stp>
        <stp>SALDO</stp>
        <stp>VOLF</stp>
        <tr r="BL20" s="7"/>
      </tp>
      <tp t="e">
        <v>#N/A</v>
        <stp/>
        <stp>PLAYERSRANKING</stp>
        <stp>GNDI3</stp>
        <stp>92</stp>
        <stp>SALDO</stp>
        <stp>VOLF</stp>
        <tr r="BL36" s="7"/>
      </tp>
      <tp t="e">
        <v>#N/A</v>
        <stp/>
        <stp>PLAYERSRANKING</stp>
        <stp>GNDI3</stp>
        <stp>93</stp>
        <stp>SALDO</stp>
        <stp>VOLF</stp>
        <tr r="BL34" s="7"/>
      </tp>
    </main>
    <main first="rtdtrading.rtdserver">
      <tp>
        <v>0</v>
        <stp/>
        <stp>LAME4_B_0</stp>
        <stp>PRT</stp>
        <tr r="G54" s="3"/>
      </tp>
      <tp>
        <v>13.67</v>
        <stp/>
        <stp>CYRE3_B_0</stp>
        <stp>OVD</stp>
        <tr r="F28" s="3"/>
      </tp>
      <tp>
        <v>0</v>
        <stp/>
        <stp>BRML3_B_0</stp>
        <stp>PRT</stp>
        <tr r="G16" s="3"/>
      </tp>
      <tp>
        <v>16.46</v>
        <stp/>
        <stp>FLRY3_B_0</stp>
        <stp>OCP</stp>
        <tr r="E39" s="3"/>
      </tp>
      <tp>
        <v>11.06</v>
        <stp/>
        <stp>CCRO3_B_0</stp>
        <stp>OVD</stp>
        <tr r="F18" s="3"/>
      </tp>
      <tp>
        <v>13.65</v>
        <stp/>
        <stp>CYRE3_B_0</stp>
        <stp>OCP</stp>
        <tr r="E28" s="3"/>
      </tp>
    </main>
    <main first="srv.rtd">
      <tp t="e">
        <v>#N/A</v>
        <stp/>
        <stp>PLAYERSRANKING</stp>
        <stp>ENGI11</stp>
        <stp>3</stp>
        <stp>SALDO</stp>
        <stp>VOLF</stp>
        <tr r="BG45" s="7"/>
      </tp>
      <tp t="e">
        <v>#N/A</v>
        <stp/>
        <stp>PLAYERSRANKING</stp>
        <stp>ENGI11</stp>
        <stp>8</stp>
        <stp>SALDO</stp>
        <stp>VOLF</stp>
        <tr r="BG41" s="7"/>
      </tp>
    </main>
    <main first="rtdtrading.rtdserver">
      <tp>
        <v>0</v>
        <stp/>
        <stp>TIMS3_B_0</stp>
        <stp>PRT</stp>
        <tr r="G75" s="3"/>
      </tp>
      <tp>
        <v>16.490000000000002</v>
        <stp/>
        <stp>FLRY3_B_0</stp>
        <stp>OVD</stp>
        <tr r="F39" s="3"/>
      </tp>
      <tp>
        <v>11.05</v>
        <stp/>
        <stp>CCRO3_B_0</stp>
        <stp>OCP</stp>
        <tr r="E18" s="3"/>
      </tp>
    </main>
    <main first="srv.rtd">
      <tp t="e">
        <v>#N/A</v>
        <stp/>
        <stp>PLAYERSRANKING</stp>
        <stp>AZUL4</stp>
        <stp>8</stp>
        <stp>SALDO</stp>
        <stp>VOLF</stp>
        <tr r="AA41" s="7"/>
      </tp>
      <tp t="e">
        <v>#N/A</v>
        <stp/>
        <stp>PLAYERSRANKING</stp>
        <stp>AZUL4</stp>
        <stp>3</stp>
        <stp>SALDO</stp>
        <stp>VOLF</stp>
        <tr r="AA45" s="7"/>
      </tp>
    </main>
    <main first="srv.rtd">
      <tp t="e">
        <v>#N/A</v>
        <stp/>
        <stp>PLAYERSRANKING</stp>
        <stp>EQTL3</stp>
        <stp>8</stp>
        <stp>SALDO</stp>
        <stp>VOLF</stp>
        <tr r="BH41" s="7"/>
      </tp>
      <tp t="e">
        <v>#N/A</v>
        <stp/>
        <stp>PLAYERSRANKING</stp>
        <stp>EQTL3</stp>
        <stp>3</stp>
        <stp>SALDO</stp>
        <stp>VOLF</stp>
        <tr r="BH45" s="7"/>
      </tp>
      <tp t="e">
        <v>#N/A</v>
        <stp/>
        <stp>PLAYERSRANKING</stp>
        <stp>BRML3</stp>
        <stp>3</stp>
        <stp>SALDO</stp>
        <stp>VOLF</stp>
        <tr r="AM45" s="7"/>
      </tp>
      <tp t="e">
        <v>#N/A</v>
        <stp/>
        <stp>PLAYERSRANKING</stp>
        <stp>BRML3</stp>
        <stp>8</stp>
        <stp>SALDO</stp>
        <stp>VOLF</stp>
        <tr r="AM41" s="7"/>
      </tp>
    </main>
    <main first="srv.rtd">
      <tp t="e">
        <v>#N/A</v>
        <stp/>
        <stp>PLAYERSRANKING</stp>
        <stp>CIEL3</stp>
        <stp>8</stp>
        <stp>SALDO</stp>
        <stp>VOLF</stp>
        <tr r="AP41" s="7"/>
      </tp>
      <tp t="e">
        <v>#N/A</v>
        <stp/>
        <stp>PLAYERSRANKING</stp>
        <stp>CIEL3</stp>
        <stp>3</stp>
        <stp>SALDO</stp>
        <stp>VOLF</stp>
        <tr r="AP45" s="7"/>
      </tp>
      <tp t="e">
        <v>#N/A</v>
        <stp/>
        <stp>PLAYERSRANKING</stp>
        <stp>GOLL4</stp>
        <stp>3</stp>
        <stp>SALDO</stp>
        <stp>VOLF</stp>
        <tr r="BN45" s="7"/>
      </tp>
      <tp t="e">
        <v>#N/A</v>
        <stp/>
        <stp>PLAYERSRANKING</stp>
        <stp>GOLL4</stp>
        <stp>8</stp>
        <stp>SALDO</stp>
        <stp>VOLF</stp>
        <tr r="BN41" s="7"/>
      </tp>
    </main>
    <main first="srv.rtd">
      <tp t="e">
        <v>#N/A</v>
        <stp/>
        <stp>PLAYERSRANKING</stp>
        <stp>RADL3</stp>
        <stp>8</stp>
        <stp>SALDO</stp>
        <stp>VOLF</stp>
        <tr r="CL41" s="7"/>
      </tp>
      <tp t="e">
        <v>#N/A</v>
        <stp/>
        <stp>PLAYERSRANKING</stp>
        <stp>RAIL3</stp>
        <stp>3</stp>
        <stp>SALDO</stp>
        <stp>VOLF</stp>
        <tr r="CM45" s="7"/>
      </tp>
      <tp t="e">
        <v>#N/A</v>
        <stp/>
        <stp>PLAYERSRANKING</stp>
        <stp>RADL3</stp>
        <stp>3</stp>
        <stp>SALDO</stp>
        <stp>VOLF</stp>
        <tr r="CL45" s="7"/>
      </tp>
      <tp t="e">
        <v>#N/A</v>
        <stp/>
        <stp>PLAYERSRANKING</stp>
        <stp>RAIL3</stp>
        <stp>8</stp>
        <stp>SALDO</stp>
        <stp>VOLF</stp>
        <tr r="CM41" s="7"/>
      </tp>
      <tp t="e">
        <v>#N/A</v>
        <stp/>
        <stp>PLAYERSRANKING</stp>
        <stp>QUAL3</stp>
        <stp>8</stp>
        <stp>SALDO</stp>
        <stp>VOLF</stp>
        <tr r="CK41" s="7"/>
      </tp>
      <tp t="e">
        <v>#N/A</v>
        <stp/>
        <stp>PLAYERSRANKING</stp>
        <stp>QUAL3</stp>
        <stp>3</stp>
        <stp>SALDO</stp>
        <stp>VOLF</stp>
        <tr r="CK45" s="7"/>
      </tp>
      <tp t="e">
        <v>#N/A</v>
        <stp/>
        <stp>PLAYERSRANKING</stp>
        <stp>HGTX3</stp>
        <stp>27</stp>
        <stp>SALDO</stp>
        <stp>VOLF</stp>
        <tr r="BP38" s="7"/>
      </tp>
      <tp t="e">
        <v>#N/A</v>
        <stp/>
        <stp>PLAYERSRANKING</stp>
        <stp>HGTX3</stp>
        <stp>23</stp>
        <stp>SALDO</stp>
        <stp>VOLF</stp>
        <tr r="BP33" s="7"/>
      </tp>
      <tp t="e">
        <v>#N/A</v>
        <stp/>
        <stp>PLAYERSRANKING</stp>
        <stp>HGTX3</stp>
        <stp>16</stp>
        <stp>SALDO</stp>
        <stp>VOLF</stp>
        <tr r="BP29" s="7"/>
      </tp>
      <tp t="e">
        <v>#N/A</v>
        <stp/>
        <stp>PLAYERSRANKING</stp>
        <stp>HGTX3</stp>
        <stp>13</stp>
        <stp>SALDO</stp>
        <stp>VOLF</stp>
        <tr r="BP30" s="7"/>
      </tp>
      <tp t="e">
        <v>#N/A</v>
        <stp/>
        <stp>PLAYERSRANKING</stp>
        <stp>HGTX3</stp>
        <stp>72</stp>
        <stp>SALDO</stp>
        <stp>VOLF</stp>
        <tr r="BP18" s="7"/>
      </tp>
      <tp t="e">
        <v>#N/A</v>
        <stp/>
        <stp>PLAYERSRANKING</stp>
        <stp>HGTX3</stp>
        <stp>45</stp>
        <stp>SALDO</stp>
        <stp>VOLF</stp>
        <tr r="BP21" s="7"/>
      </tp>
      <tp t="e">
        <v>#N/A</v>
        <stp/>
        <stp>PLAYERSRANKING</stp>
        <stp>HGTX3</stp>
        <stp>40</stp>
        <stp>SALDO</stp>
        <stp>VOLF</stp>
        <tr r="BP32" s="7"/>
      </tp>
      <tp t="e">
        <v>#N/A</v>
        <stp/>
        <stp>PLAYERSRANKING</stp>
        <stp>HGTX3</stp>
        <stp>59</stp>
        <stp>SALDO</stp>
        <stp>VOLF</stp>
        <tr r="BP37" s="7"/>
      </tp>
      <tp t="e">
        <v>#N/A</v>
        <stp/>
        <stp>PLAYERSRANKING</stp>
        <stp>HGTX3</stp>
        <stp>85</stp>
        <stp>SALDO</stp>
        <stp>VOLF</stp>
        <tr r="BP17" s="7"/>
      </tp>
      <tp t="e">
        <v>#N/A</v>
        <stp/>
        <stp>PLAYERSRANKING</stp>
        <stp>HGTX3</stp>
        <stp>88</stp>
        <stp>SALDO</stp>
        <stp>VOLF</stp>
        <tr r="BP20" s="7"/>
      </tp>
      <tp t="e">
        <v>#N/A</v>
        <stp/>
        <stp>PLAYERSRANKING</stp>
        <stp>HGTX3</stp>
        <stp>93</stp>
        <stp>SALDO</stp>
        <stp>VOLF</stp>
        <tr r="BP34" s="7"/>
      </tp>
      <tp t="e">
        <v>#N/A</v>
        <stp/>
        <stp>PLAYERSRANKING</stp>
        <stp>HGTX3</stp>
        <stp>92</stp>
        <stp>SALDO</stp>
        <stp>VOLF</stp>
        <tr r="BP36" s="7"/>
      </tp>
      <tp t="e">
        <v>#N/A</v>
        <stp/>
        <stp>PLAYERSRANKING</stp>
        <stp>HAPV3</stp>
        <stp>72</stp>
        <stp>SALDO</stp>
        <stp>VOLF</stp>
        <tr r="BO18" s="7"/>
      </tp>
      <tp t="e">
        <v>#N/A</v>
        <stp/>
        <stp>PLAYERSRANKING</stp>
        <stp>HAPV3</stp>
        <stp>40</stp>
        <stp>SALDO</stp>
        <stp>VOLF</stp>
        <tr r="BO32" s="7"/>
      </tp>
      <tp t="e">
        <v>#N/A</v>
        <stp/>
        <stp>PLAYERSRANKING</stp>
        <stp>HAPV3</stp>
        <stp>45</stp>
        <stp>SALDO</stp>
        <stp>VOLF</stp>
        <tr r="BO21" s="7"/>
      </tp>
      <tp t="e">
        <v>#N/A</v>
        <stp/>
        <stp>PLAYERSRANKING</stp>
        <stp>HAPV3</stp>
        <stp>59</stp>
        <stp>SALDO</stp>
        <stp>VOLF</stp>
        <tr r="BO37" s="7"/>
      </tp>
      <tp t="e">
        <v>#N/A</v>
        <stp/>
        <stp>PLAYERSRANKING</stp>
        <stp>HAPV3</stp>
        <stp>23</stp>
        <stp>SALDO</stp>
        <stp>VOLF</stp>
        <tr r="BO33" s="7"/>
      </tp>
      <tp t="e">
        <v>#N/A</v>
        <stp/>
        <stp>PLAYERSRANKING</stp>
        <stp>HAPV3</stp>
        <stp>27</stp>
        <stp>SALDO</stp>
        <stp>VOLF</stp>
        <tr r="BO38" s="7"/>
      </tp>
      <tp t="e">
        <v>#N/A</v>
        <stp/>
        <stp>PLAYERSRANKING</stp>
        <stp>HAPV3</stp>
        <stp>13</stp>
        <stp>SALDO</stp>
        <stp>VOLF</stp>
        <tr r="BO30" s="7"/>
      </tp>
      <tp t="e">
        <v>#N/A</v>
        <stp/>
        <stp>PLAYERSRANKING</stp>
        <stp>HAPV3</stp>
        <stp>16</stp>
        <stp>SALDO</stp>
        <stp>VOLF</stp>
        <tr r="BO29" s="7"/>
      </tp>
      <tp t="e">
        <v>#N/A</v>
        <stp/>
        <stp>PLAYERSRANKING</stp>
        <stp>HAPV3</stp>
        <stp>88</stp>
        <stp>SALDO</stp>
        <stp>VOLF</stp>
        <tr r="BO20" s="7"/>
      </tp>
      <tp t="e">
        <v>#N/A</v>
        <stp/>
        <stp>PLAYERSRANKING</stp>
        <stp>HAPV3</stp>
        <stp>85</stp>
        <stp>SALDO</stp>
        <stp>VOLF</stp>
        <tr r="BO17" s="7"/>
      </tp>
      <tp t="e">
        <v>#N/A</v>
        <stp/>
        <stp>PLAYERSRANKING</stp>
        <stp>HAPV3</stp>
        <stp>93</stp>
        <stp>SALDO</stp>
        <stp>VOLF</stp>
        <tr r="BO34" s="7"/>
      </tp>
      <tp t="e">
        <v>#N/A</v>
        <stp/>
        <stp>PLAYERSRANKING</stp>
        <stp>HAPV3</stp>
        <stp>92</stp>
        <stp>SALDO</stp>
        <stp>VOLF</stp>
        <tr r="BO36" s="7"/>
      </tp>
      <tp t="e">
        <v>#N/A</v>
        <stp/>
        <stp>PLAYERSRANKING</stp>
        <stp>HYPE3</stp>
        <stp>72</stp>
        <stp>SALDO</stp>
        <stp>VOLF</stp>
        <tr r="BQ18" s="7"/>
      </tp>
      <tp t="e">
        <v>#N/A</v>
        <stp/>
        <stp>PLAYERSRANKING</stp>
        <stp>HYPE3</stp>
        <stp>40</stp>
        <stp>SALDO</stp>
        <stp>VOLF</stp>
        <tr r="BQ32" s="7"/>
      </tp>
      <tp t="e">
        <v>#N/A</v>
        <stp/>
        <stp>PLAYERSRANKING</stp>
        <stp>HYPE3</stp>
        <stp>45</stp>
        <stp>SALDO</stp>
        <stp>VOLF</stp>
        <tr r="BQ21" s="7"/>
      </tp>
      <tp t="e">
        <v>#N/A</v>
        <stp/>
        <stp>PLAYERSRANKING</stp>
        <stp>HYPE3</stp>
        <stp>59</stp>
        <stp>SALDO</stp>
        <stp>VOLF</stp>
        <tr r="BQ37" s="7"/>
      </tp>
      <tp t="e">
        <v>#N/A</v>
        <stp/>
        <stp>PLAYERSRANKING</stp>
        <stp>HYPE3</stp>
        <stp>23</stp>
        <stp>SALDO</stp>
        <stp>VOLF</stp>
        <tr r="BQ33" s="7"/>
      </tp>
      <tp t="e">
        <v>#N/A</v>
        <stp/>
        <stp>PLAYERSRANKING</stp>
        <stp>HYPE3</stp>
        <stp>27</stp>
        <stp>SALDO</stp>
        <stp>VOLF</stp>
        <tr r="BQ38" s="7"/>
      </tp>
      <tp t="e">
        <v>#N/A</v>
        <stp/>
        <stp>PLAYERSRANKING</stp>
        <stp>HYPE3</stp>
        <stp>13</stp>
        <stp>SALDO</stp>
        <stp>VOLF</stp>
        <tr r="BQ30" s="7"/>
      </tp>
      <tp t="e">
        <v>#N/A</v>
        <stp/>
        <stp>PLAYERSRANKING</stp>
        <stp>HYPE3</stp>
        <stp>16</stp>
        <stp>SALDO</stp>
        <stp>VOLF</stp>
        <tr r="BQ29" s="7"/>
      </tp>
      <tp t="e">
        <v>#N/A</v>
        <stp/>
        <stp>PLAYERSRANKING</stp>
        <stp>HYPE3</stp>
        <stp>88</stp>
        <stp>SALDO</stp>
        <stp>VOLF</stp>
        <tr r="BQ20" s="7"/>
      </tp>
      <tp t="e">
        <v>#N/A</v>
        <stp/>
        <stp>PLAYERSRANKING</stp>
        <stp>HYPE3</stp>
        <stp>85</stp>
        <stp>SALDO</stp>
        <stp>VOLF</stp>
        <tr r="BQ17" s="7"/>
      </tp>
      <tp t="e">
        <v>#N/A</v>
        <stp/>
        <stp>PLAYERSRANKING</stp>
        <stp>HYPE3</stp>
        <stp>92</stp>
        <stp>SALDO</stp>
        <stp>VOLF</stp>
        <tr r="BQ36" s="7"/>
      </tp>
      <tp t="e">
        <v>#N/A</v>
        <stp/>
        <stp>PLAYERSRANKING</stp>
        <stp>HYPE3</stp>
        <stp>93</stp>
        <stp>SALDO</stp>
        <stp>VOLF</stp>
        <tr r="BQ34" s="7"/>
      </tp>
    </main>
    <main first="rtdtrading.rtdserver">
      <tp>
        <v>25.1</v>
        <stp/>
        <stp>TOTS3_B_0</stp>
        <stp>FEC</stp>
        <tr r="D76" s="3"/>
      </tp>
      <tp>
        <v>30.830000000000002</v>
        <stp/>
        <stp>PETR3_B_0</stp>
        <stp>FEC</stp>
        <tr r="D63" s="3"/>
      </tp>
      <tp>
        <v>28.18</v>
        <stp/>
        <stp>PETR4_B_0</stp>
        <stp>FEC</stp>
        <tr r="D64" s="3"/>
      </tp>
      <tp>
        <v>35.15</v>
        <stp/>
        <stp>SBSP3_B_0</stp>
        <stp>ABE</stp>
        <tr r="C71" s="3"/>
      </tp>
      <tp>
        <v>35.229999999999997</v>
        <stp/>
        <stp>JBSS3_B_0</stp>
        <stp>ABE</stp>
        <tr r="C51" s="3"/>
      </tp>
      <tp>
        <v>0</v>
        <stp/>
        <stp>HGTX3_B_0</stp>
        <stp>FEC</stp>
        <tr r="D45" s="3"/>
      </tp>
      <tp>
        <v>18.03</v>
        <stp/>
        <stp>EZTC3_B_0</stp>
        <stp>FEC</stp>
        <tr r="D38" s="3"/>
      </tp>
      <tp>
        <v>19.759999999999998</v>
        <stp/>
        <stp>BBSE3_B_0</stp>
        <stp>ABE</stp>
        <tr r="C9" s="3"/>
      </tp>
      <tp>
        <v>33.07</v>
        <stp/>
        <stp>IGTA3_B_0</stp>
        <stp>FEC</stp>
        <tr r="D47" s="3"/>
      </tp>
      <tp>
        <v>4.58</v>
        <stp/>
        <stp>JHSF3_B_0</stp>
        <stp>ABE</stp>
        <tr r="C52" s="3"/>
      </tp>
      <tp>
        <v>2.0500000000000003</v>
        <stp/>
        <stp>COGN3_B_0</stp>
        <stp>ULT</stp>
        <tr r="B21" s="3"/>
      </tp>
      <tp>
        <v>9.15</v>
        <stp/>
        <stp>ITSA4_B_0</stp>
        <stp>ABE</stp>
        <tr r="C49" s="3"/>
      </tp>
      <tp>
        <v>11.1</v>
        <stp/>
        <stp>B3SA3_B_0</stp>
        <stp>ABE</stp>
        <tr r="C5" s="3"/>
      </tp>
      <tp>
        <v>0</v>
        <stp/>
        <stp>IRBR3_B_0</stp>
        <stp>PRT</stp>
        <tr r="G48" s="3"/>
      </tp>
      <tp>
        <v>0</v>
        <stp/>
        <stp>EMBR3_B_0</stp>
        <stp>PRT</stp>
        <tr r="G33" s="3"/>
      </tp>
      <tp>
        <v>0</v>
        <stp/>
        <stp>ENBR3_B_0</stp>
        <stp>PRT</stp>
        <tr r="G34" s="3"/>
      </tp>
      <tp>
        <v>0</v>
        <stp/>
        <stp>GGBR4_B_0</stp>
        <stp>PRT</stp>
        <tr r="G40" s="3"/>
      </tp>
      <tp>
        <v>29.16999999999998</v>
        <stp/>
        <stp>WEGE3_B_0</stp>
        <stp>ULT</stp>
        <tr r="B82" s="3"/>
      </tp>
      <tp>
        <v>21.35</v>
        <stp/>
        <stp>EQTL3_B_0</stp>
        <stp>FEC</stp>
        <tr r="D37" s="3"/>
      </tp>
      <tp>
        <v>36.250000000000021</v>
        <stp/>
        <stp>TAEE11_B_0</stp>
        <stp>ULT</stp>
        <tr r="B74" s="3"/>
      </tp>
    </main>
    <main first="srv.rtd">
      <tp t="e">
        <v>#N/A</v>
        <stp/>
        <stp>PLAYERSRANKING</stp>
        <stp>EZTC3</stp>
        <stp>8</stp>
        <stp>SALDO</stp>
        <stp>VOLF</stp>
        <tr r="BI41" s="7"/>
      </tp>
      <tp t="e">
        <v>#N/A</v>
        <stp/>
        <stp>PLAYERSRANKING</stp>
        <stp>EZTC3</stp>
        <stp>3</stp>
        <stp>SALDO</stp>
        <stp>VOLF</stp>
        <tr r="BI45" s="7"/>
      </tp>
      <tp t="e">
        <v>#N/A</v>
        <stp/>
        <stp>PLAYERSRANKING</stp>
        <stp>BBDC4</stp>
        <stp>8</stp>
        <stp>SALDO</stp>
        <stp>VOLF</stp>
        <tr r="AE41" s="7"/>
      </tp>
      <tp t="e">
        <v>#N/A</v>
        <stp/>
        <stp>PLAYERSRANKING</stp>
        <stp>BBDC4</stp>
        <stp>3</stp>
        <stp>SALDO</stp>
        <stp>VOLF</stp>
        <tr r="AE45" s="7"/>
      </tp>
      <tp t="e">
        <v>#N/A</v>
        <stp/>
        <stp>PLAYERSRANKING</stp>
        <stp>BBDC3</stp>
        <stp>8</stp>
        <stp>SALDO</stp>
        <stp>VOLF</stp>
        <tr r="AD41" s="7"/>
      </tp>
      <tp t="e">
        <v>#N/A</v>
        <stp/>
        <stp>PLAYERSRANKING</stp>
        <stp>BBDC3</stp>
        <stp>3</stp>
        <stp>SALDO</stp>
        <stp>VOLF</stp>
        <tr r="AD45" s="7"/>
      </tp>
    </main>
    <main first="srv.rtd">
      <tp t="e">
        <v>#N/A</v>
        <stp/>
        <stp>PLAYERSRANKING</stp>
        <stp>IGTA3</stp>
        <stp>27</stp>
        <stp>SALDO</stp>
        <stp>VOLF</stp>
        <tr r="BR38" s="7"/>
      </tp>
      <tp t="e">
        <v>#N/A</v>
        <stp/>
        <stp>PLAYERSRANKING</stp>
        <stp>IGTA3</stp>
        <stp>23</stp>
        <stp>SALDO</stp>
        <stp>VOLF</stp>
        <tr r="BR33" s="7"/>
      </tp>
      <tp t="e">
        <v>#N/A</v>
        <stp/>
        <stp>PLAYERSRANKING</stp>
        <stp>IGTA3</stp>
        <stp>16</stp>
        <stp>SALDO</stp>
        <stp>VOLF</stp>
        <tr r="BR29" s="7"/>
      </tp>
      <tp t="e">
        <v>#N/A</v>
        <stp/>
        <stp>PLAYERSRANKING</stp>
        <stp>IGTA3</stp>
        <stp>13</stp>
        <stp>SALDO</stp>
        <stp>VOLF</stp>
        <tr r="BR30" s="7"/>
      </tp>
      <tp t="e">
        <v>#N/A</v>
        <stp/>
        <stp>PLAYERSRANKING</stp>
        <stp>IGTA3</stp>
        <stp>72</stp>
        <stp>SALDO</stp>
        <stp>VOLF</stp>
        <tr r="BR18" s="7"/>
      </tp>
      <tp t="e">
        <v>#N/A</v>
        <stp/>
        <stp>PLAYERSRANKING</stp>
        <stp>IGTA3</stp>
        <stp>45</stp>
        <stp>SALDO</stp>
        <stp>VOLF</stp>
        <tr r="BR21" s="7"/>
      </tp>
      <tp t="e">
        <v>#N/A</v>
        <stp/>
        <stp>PLAYERSRANKING</stp>
        <stp>IGTA3</stp>
        <stp>40</stp>
        <stp>SALDO</stp>
        <stp>VOLF</stp>
        <tr r="BR32" s="7"/>
      </tp>
      <tp t="e">
        <v>#N/A</v>
        <stp/>
        <stp>PLAYERSRANKING</stp>
        <stp>IGTA3</stp>
        <stp>59</stp>
        <stp>SALDO</stp>
        <stp>VOLF</stp>
        <tr r="BR37" s="7"/>
      </tp>
      <tp t="e">
        <v>#N/A</v>
        <stp/>
        <stp>PLAYERSRANKING</stp>
        <stp>IGTA3</stp>
        <stp>88</stp>
        <stp>SALDO</stp>
        <stp>VOLF</stp>
        <tr r="BR20" s="7"/>
      </tp>
      <tp t="e">
        <v>#N/A</v>
        <stp/>
        <stp>PLAYERSRANKING</stp>
        <stp>IGTA3</stp>
        <stp>85</stp>
        <stp>SALDO</stp>
        <stp>VOLF</stp>
        <tr r="BR17" s="7"/>
      </tp>
      <tp t="e">
        <v>#N/A</v>
        <stp/>
        <stp>PLAYERSRANKING</stp>
        <stp>IGTA3</stp>
        <stp>92</stp>
        <stp>SALDO</stp>
        <stp>VOLF</stp>
        <tr r="BR36" s="7"/>
      </tp>
      <tp t="e">
        <v>#N/A</v>
        <stp/>
        <stp>PLAYERSRANKING</stp>
        <stp>IGTA3</stp>
        <stp>93</stp>
        <stp>SALDO</stp>
        <stp>VOLF</stp>
        <tr r="BR34" s="7"/>
      </tp>
      <tp t="e">
        <v>#N/A</v>
        <stp/>
        <stp>PLAYERSRANKING</stp>
        <stp>IRBR3</stp>
        <stp>45</stp>
        <stp>SALDO</stp>
        <stp>VOLF</stp>
        <tr r="BS21" s="7"/>
      </tp>
      <tp t="e">
        <v>#N/A</v>
        <stp/>
        <stp>PLAYERSRANKING</stp>
        <stp>IRBR3</stp>
        <stp>40</stp>
        <stp>SALDO</stp>
        <stp>VOLF</stp>
        <tr r="BS32" s="7"/>
      </tp>
      <tp t="e">
        <v>#N/A</v>
        <stp/>
        <stp>PLAYERSRANKING</stp>
        <stp>IRBR3</stp>
        <stp>59</stp>
        <stp>SALDO</stp>
        <stp>VOLF</stp>
        <tr r="BS37" s="7"/>
      </tp>
      <tp t="e">
        <v>#N/A</v>
        <stp/>
        <stp>PLAYERSRANKING</stp>
        <stp>IRBR3</stp>
        <stp>72</stp>
        <stp>SALDO</stp>
        <stp>VOLF</stp>
        <tr r="BS18" s="7"/>
      </tp>
      <tp t="e">
        <v>#N/A</v>
        <stp/>
        <stp>PLAYERSRANKING</stp>
        <stp>IRBR3</stp>
        <stp>16</stp>
        <stp>SALDO</stp>
        <stp>VOLF</stp>
        <tr r="BS29" s="7"/>
      </tp>
      <tp t="e">
        <v>#N/A</v>
        <stp/>
        <stp>PLAYERSRANKING</stp>
        <stp>IRBR3</stp>
        <stp>13</stp>
        <stp>SALDO</stp>
        <stp>VOLF</stp>
        <tr r="BS30" s="7"/>
      </tp>
      <tp t="e">
        <v>#N/A</v>
        <stp/>
        <stp>PLAYERSRANKING</stp>
        <stp>IRBR3</stp>
        <stp>27</stp>
        <stp>SALDO</stp>
        <stp>VOLF</stp>
        <tr r="BS38" s="7"/>
      </tp>
      <tp t="e">
        <v>#N/A</v>
        <stp/>
        <stp>PLAYERSRANKING</stp>
        <stp>IRBR3</stp>
        <stp>23</stp>
        <stp>SALDO</stp>
        <stp>VOLF</stp>
        <tr r="BS33" s="7"/>
      </tp>
      <tp t="e">
        <v>#N/A</v>
        <stp/>
        <stp>PLAYERSRANKING</stp>
        <stp>IRBR3</stp>
        <stp>88</stp>
        <stp>SALDO</stp>
        <stp>VOLF</stp>
        <tr r="BS20" s="7"/>
      </tp>
      <tp t="e">
        <v>#N/A</v>
        <stp/>
        <stp>PLAYERSRANKING</stp>
        <stp>IRBR3</stp>
        <stp>85</stp>
        <stp>SALDO</stp>
        <stp>VOLF</stp>
        <tr r="BS17" s="7"/>
      </tp>
      <tp t="e">
        <v>#N/A</v>
        <stp/>
        <stp>PLAYERSRANKING</stp>
        <stp>IRBR3</stp>
        <stp>93</stp>
        <stp>SALDO</stp>
        <stp>VOLF</stp>
        <tr r="BS34" s="7"/>
      </tp>
      <tp t="e">
        <v>#N/A</v>
        <stp/>
        <stp>PLAYERSRANKING</stp>
        <stp>IRBR3</stp>
        <stp>92</stp>
        <stp>SALDO</stp>
        <stp>VOLF</stp>
        <tr r="BS36" s="7"/>
      </tp>
    </main>
    <main first="rtdtrading.rtdserver">
      <tp>
        <v>0</v>
        <stp/>
        <stp>CVCB3_B_0</stp>
        <stp>PRT</stp>
        <tr r="G27" s="3"/>
      </tp>
      <tp>
        <v>24.590000000000003</v>
        <stp/>
        <stp>BRFS3_B_0</stp>
        <stp>ULT</stp>
        <tr r="B14" s="3"/>
      </tp>
      <tp>
        <v>0</v>
        <stp/>
        <stp>NTCO3_B_0</stp>
        <stp>PRT</stp>
        <tr r="G61" s="3"/>
      </tp>
      <tp>
        <v>16.57</v>
        <stp/>
        <stp>FLRY3_B_0</stp>
        <stp>ABE</stp>
        <tr r="C39" s="3"/>
      </tp>
      <tp>
        <v>22.630000000000003</v>
        <stp/>
        <stp>ITUB4_B_0</stp>
        <stp>FEC</stp>
        <tr r="D50" s="3"/>
      </tp>
      <tp>
        <v>13.72</v>
        <stp/>
        <stp>CYRE3_B_0</stp>
        <stp>ABE</stp>
        <tr r="C28" s="3"/>
      </tp>
    </main>
    <main first="srv.rtd">
      <tp t="e">
        <v>#N/A</v>
        <stp/>
        <stp>PLAYERSRANKING</stp>
        <stp>KLBN11</stp>
        <stp>3</stp>
        <stp>SALDO</stp>
        <stp>VOLF</stp>
        <tr r="BX45" s="7"/>
      </tp>
      <tp t="e">
        <v>#N/A</v>
        <stp/>
        <stp>PLAYERSRANKING</stp>
        <stp>KLBN11</stp>
        <stp>8</stp>
        <stp>SALDO</stp>
        <stp>VOLF</stp>
        <tr r="BX41" s="7"/>
      </tp>
    </main>
    <main first="rtdtrading.rtdserver">
      <tp>
        <v>13.800000000000002</v>
        <stp/>
        <stp>CRFB3_B_0</stp>
        <stp>ULT</stp>
        <tr r="B24" s="3"/>
      </tp>
      <tp>
        <v>11.2</v>
        <stp/>
        <stp>CCRO3_B_0</stp>
        <stp>ABE</stp>
        <tr r="C18" s="3"/>
      </tp>
      <tp>
        <v>21.610000000000042</v>
        <stp/>
        <stp>MRFG3_B_0</stp>
        <stp>ULT</stp>
        <tr r="B58" s="3"/>
      </tp>
      <tp>
        <v>25.229999999999968</v>
        <stp/>
        <stp>CPFE3_B_0</stp>
        <stp>ULT</stp>
        <tr r="B22" s="3"/>
      </tp>
      <tp>
        <v>23.900000000000002</v>
        <stp/>
        <stp>AZUL4_B_0</stp>
        <stp>FEC</stp>
        <tr r="D4" s="3"/>
      </tp>
      <tp>
        <v>0</v>
        <stp/>
        <stp>SULA11_B_0</stp>
        <stp>PRT</stp>
        <tr r="G72" s="3"/>
      </tp>
    </main>
    <main first="srv.rtd">
      <tp t="e">
        <v>#N/A</v>
        <stp/>
        <stp>PLAYERSRANKING</stp>
        <stp>ITUB4</stp>
        <stp>8</stp>
        <stp>SALDO</stp>
        <stp>VOLF</stp>
        <tr r="BU41" s="7"/>
      </tp>
      <tp t="e">
        <v>#N/A</v>
        <stp/>
        <stp>PLAYERSRANKING</stp>
        <stp>ITUB4</stp>
        <stp>3</stp>
        <stp>SALDO</stp>
        <stp>VOLF</stp>
        <tr r="BU45" s="7"/>
      </tp>
    </main>
    <main first="srv.rtd">
      <tp t="e">
        <v>#N/A</v>
        <stp/>
        <stp>PLAYERSRANKING</stp>
        <stp>CVCB3</stp>
        <stp>8</stp>
        <stp>SALDO</stp>
        <stp>VOLF</stp>
        <tr r="AX41" s="7"/>
      </tp>
      <tp t="e">
        <v>#N/A</v>
        <stp/>
        <stp>PLAYERSRANKING</stp>
        <stp>CVCB3</stp>
        <stp>3</stp>
        <stp>SALDO</stp>
        <stp>VOLF</stp>
        <tr r="AX45" s="7"/>
      </tp>
      <tp t="e">
        <v>#N/A</v>
        <stp/>
        <stp>PLAYERSRANKING</stp>
        <stp>CRFB3</stp>
        <stp>8</stp>
        <stp>SALDO</stp>
        <stp>VOLF</stp>
        <tr r="AU41" s="7"/>
      </tp>
      <tp t="e">
        <v>#N/A</v>
        <stp/>
        <stp>PLAYERSRANKING</stp>
        <stp>CRFB3</stp>
        <stp>3</stp>
        <stp>SALDO</stp>
        <stp>VOLF</stp>
        <tr r="AU45" s="7"/>
      </tp>
    </main>
    <main first="srv.rtd">
      <tp t="e">
        <v>#N/A</v>
        <stp/>
        <stp>PLAYERSRANKING</stp>
        <stp>SUZB3</stp>
        <stp>3</stp>
        <stp>SALDO</stp>
        <stp>VOLF</stp>
        <tr r="CR45" s="7"/>
      </tp>
      <tp t="e">
        <v>#N/A</v>
        <stp/>
        <stp>PLAYERSRANKING</stp>
        <stp>SUZB3</stp>
        <stp>8</stp>
        <stp>SALDO</stp>
        <stp>VOLF</stp>
        <tr r="CR41" s="7"/>
      </tp>
      <tp t="e">
        <v>#N/A</v>
        <stp/>
        <stp>PLAYERSRANKING</stp>
        <stp>SULA11</stp>
        <stp/>
        <stp>SALDO</stp>
        <stp>VOLF</stp>
        <tr r="CQ25" s="7"/>
        <tr r="CQ24" s="7"/>
        <tr r="CQ39" s="7"/>
        <tr r="CQ35" s="7"/>
        <tr r="CQ31" s="7"/>
      </tp>
      <tp t="e">
        <v>#N/A</v>
        <stp/>
        <stp>PLAYERSRANKING</stp>
        <stp>JHSF3</stp>
        <stp>59</stp>
        <stp>SALDO</stp>
        <stp>VOLF</stp>
        <tr r="BW37" s="7"/>
      </tp>
      <tp t="e">
        <v>#N/A</v>
        <stp/>
        <stp>PLAYERSRANKING</stp>
        <stp>JHSF3</stp>
        <stp>40</stp>
        <stp>SALDO</stp>
        <stp>VOLF</stp>
        <tr r="BW32" s="7"/>
      </tp>
      <tp t="e">
        <v>#N/A</v>
        <stp/>
        <stp>PLAYERSRANKING</stp>
        <stp>JHSF3</stp>
        <stp>45</stp>
        <stp>SALDO</stp>
        <stp>VOLF</stp>
        <tr r="BW21" s="7"/>
      </tp>
      <tp t="e">
        <v>#N/A</v>
        <stp/>
        <stp>PLAYERSRANKING</stp>
        <stp>JHSF3</stp>
        <stp>72</stp>
        <stp>SALDO</stp>
        <stp>VOLF</stp>
        <tr r="BW18" s="7"/>
      </tp>
      <tp t="e">
        <v>#N/A</v>
        <stp/>
        <stp>PLAYERSRANKING</stp>
        <stp>JHSF3</stp>
        <stp>13</stp>
        <stp>SALDO</stp>
        <stp>VOLF</stp>
        <tr r="BW30" s="7"/>
      </tp>
      <tp t="e">
        <v>#N/A</v>
        <stp/>
        <stp>PLAYERSRANKING</stp>
        <stp>JHSF3</stp>
        <stp>16</stp>
        <stp>SALDO</stp>
        <stp>VOLF</stp>
        <tr r="BW29" s="7"/>
      </tp>
      <tp t="e">
        <v>#N/A</v>
        <stp/>
        <stp>PLAYERSRANKING</stp>
        <stp>JHSF3</stp>
        <stp>23</stp>
        <stp>SALDO</stp>
        <stp>VOLF</stp>
        <tr r="BW33" s="7"/>
      </tp>
      <tp t="e">
        <v>#N/A</v>
        <stp/>
        <stp>PLAYERSRANKING</stp>
        <stp>JHSF3</stp>
        <stp>27</stp>
        <stp>SALDO</stp>
        <stp>VOLF</stp>
        <tr r="BW38" s="7"/>
      </tp>
      <tp t="e">
        <v>#N/A</v>
        <stp/>
        <stp>PLAYERSRANKING</stp>
        <stp>JHSF3</stp>
        <stp>93</stp>
        <stp>SALDO</stp>
        <stp>VOLF</stp>
        <tr r="BW34" s="7"/>
      </tp>
      <tp t="e">
        <v>#N/A</v>
        <stp/>
        <stp>PLAYERSRANKING</stp>
        <stp>JHSF3</stp>
        <stp>92</stp>
        <stp>SALDO</stp>
        <stp>VOLF</stp>
        <tr r="BW36" s="7"/>
      </tp>
      <tp t="e">
        <v>#N/A</v>
        <stp/>
        <stp>PLAYERSRANKING</stp>
        <stp>JHSF3</stp>
        <stp>88</stp>
        <stp>SALDO</stp>
        <stp>VOLF</stp>
        <tr r="BW20" s="7"/>
      </tp>
      <tp t="e">
        <v>#N/A</v>
        <stp/>
        <stp>PLAYERSRANKING</stp>
        <stp>JHSF3</stp>
        <stp>85</stp>
        <stp>SALDO</stp>
        <stp>VOLF</stp>
        <tr r="BW17" s="7"/>
      </tp>
      <tp t="e">
        <v>#N/A</v>
        <stp/>
        <stp>PLAYERSRANKING</stp>
        <stp>JBSS3</stp>
        <stp>59</stp>
        <stp>SALDO</stp>
        <stp>VOLF</stp>
        <tr r="BV37" s="7"/>
      </tp>
      <tp t="e">
        <v>#N/A</v>
        <stp/>
        <stp>PLAYERSRANKING</stp>
        <stp>JBSS3</stp>
        <stp>45</stp>
        <stp>SALDO</stp>
        <stp>VOLF</stp>
        <tr r="BV21" s="7"/>
      </tp>
      <tp t="e">
        <v>#N/A</v>
        <stp/>
        <stp>PLAYERSRANKING</stp>
        <stp>JBSS3</stp>
        <stp>40</stp>
        <stp>SALDO</stp>
        <stp>VOLF</stp>
        <tr r="BV32" s="7"/>
      </tp>
      <tp t="e">
        <v>#N/A</v>
        <stp/>
        <stp>PLAYERSRANKING</stp>
        <stp>JBSS3</stp>
        <stp>72</stp>
        <stp>SALDO</stp>
        <stp>VOLF</stp>
        <tr r="BV18" s="7"/>
      </tp>
      <tp t="e">
        <v>#N/A</v>
        <stp/>
        <stp>PLAYERSRANKING</stp>
        <stp>JBSS3</stp>
        <stp>16</stp>
        <stp>SALDO</stp>
        <stp>VOLF</stp>
        <tr r="BV29" s="7"/>
      </tp>
      <tp t="e">
        <v>#N/A</v>
        <stp/>
        <stp>PLAYERSRANKING</stp>
        <stp>JBSS3</stp>
        <stp>13</stp>
        <stp>SALDO</stp>
        <stp>VOLF</stp>
        <tr r="BV30" s="7"/>
      </tp>
      <tp t="e">
        <v>#N/A</v>
        <stp/>
        <stp>PLAYERSRANKING</stp>
        <stp>JBSS3</stp>
        <stp>27</stp>
        <stp>SALDO</stp>
        <stp>VOLF</stp>
        <tr r="BV38" s="7"/>
      </tp>
      <tp t="e">
        <v>#N/A</v>
        <stp/>
        <stp>PLAYERSRANKING</stp>
        <stp>JBSS3</stp>
        <stp>23</stp>
        <stp>SALDO</stp>
        <stp>VOLF</stp>
        <tr r="BV33" s="7"/>
      </tp>
      <tp t="e">
        <v>#N/A</v>
        <stp/>
        <stp>PLAYERSRANKING</stp>
        <stp>JBSS3</stp>
        <stp>92</stp>
        <stp>SALDO</stp>
        <stp>VOLF</stp>
        <tr r="BV36" s="7"/>
      </tp>
      <tp t="e">
        <v>#N/A</v>
        <stp/>
        <stp>PLAYERSRANKING</stp>
        <stp>JBSS3</stp>
        <stp>93</stp>
        <stp>SALDO</stp>
        <stp>VOLF</stp>
        <tr r="BV34" s="7"/>
      </tp>
      <tp t="e">
        <v>#N/A</v>
        <stp/>
        <stp>PLAYERSRANKING</stp>
        <stp>JBSS3</stp>
        <stp>88</stp>
        <stp>SALDO</stp>
        <stp>VOLF</stp>
        <tr r="BV20" s="7"/>
      </tp>
      <tp t="e">
        <v>#N/A</v>
        <stp/>
        <stp>PLAYERSRANKING</stp>
        <stp>JBSS3</stp>
        <stp>85</stp>
        <stp>SALDO</stp>
        <stp>VOLF</stp>
        <tr r="BV17" s="7"/>
      </tp>
    </main>
    <main first="rtdtrading.rtdserver">
      <tp>
        <v>46.660000000000004</v>
        <stp/>
        <stp>VIVT3_B_0</stp>
        <stp>FEC</stp>
        <tr r="D80" s="3"/>
      </tp>
      <tp>
        <v>11.81</v>
        <stp/>
        <stp>ENEV3_B_0</stp>
        <stp>ULT</stp>
        <tr r="B35" s="3"/>
      </tp>
      <tp>
        <v>14.41</v>
        <stp/>
        <stp>ABEV3_B_0</stp>
        <stp>ULT</stp>
        <tr r="B2" s="3"/>
      </tp>
      <tp>
        <v>30.540000000000031</v>
        <stp/>
        <stp>ELET3_B_0</stp>
        <stp>ULT</stp>
        <tr r="B31" s="3"/>
      </tp>
      <tp>
        <v>30.159999999999997</v>
        <stp/>
        <stp>ELET6_B_0</stp>
        <stp>ULT</stp>
        <tr r="B32" s="3"/>
      </tp>
      <tp>
        <v>22.750000000000011</v>
        <stp/>
        <stp>LREN3_B_0</stp>
        <stp>ULT</stp>
        <tr r="B56" s="3"/>
      </tp>
      <tp>
        <v>2.04</v>
        <stp/>
        <stp>CIEL3_B_0</stp>
        <stp>ULT</stp>
        <tr r="B19" s="3"/>
      </tp>
      <tp>
        <v>10.58</v>
        <stp/>
        <stp>MRVE3_B_0</stp>
        <stp>FEC</stp>
        <tr r="D59" s="3"/>
      </tp>
      <tp>
        <v>9.9699999999999989</v>
        <stp/>
        <stp>BEEF3_B_0</stp>
        <stp>ULT</stp>
        <tr r="B10" s="3"/>
      </tp>
      <tp>
        <v>0</v>
        <stp/>
        <stp>SANB11_B_0</stp>
        <stp>PRT</stp>
        <tr r="G70" s="3"/>
      </tp>
    </main>
    <main first="srv.rtd">
      <tp t="e">
        <v>#N/A</v>
        <stp/>
        <stp>PLAYERSRANKING</stp>
        <stp>ITSA4</stp>
        <stp>8</stp>
        <stp>SALDO</stp>
        <stp>VOLF</stp>
        <tr r="BT41" s="7"/>
      </tp>
      <tp t="e">
        <v>#N/A</v>
        <stp/>
        <stp>PLAYERSRANKING</stp>
        <stp>ITSA4</stp>
        <stp>3</stp>
        <stp>SALDO</stp>
        <stp>VOLF</stp>
        <tr r="BT45" s="7"/>
      </tp>
      <tp t="e">
        <v>#N/A</v>
        <stp/>
        <stp>PLAYERSRANKING</stp>
        <stp>IGTA3</stp>
        <stp>8</stp>
        <stp>SALDO</stp>
        <stp>VOLF</stp>
        <tr r="BR41" s="7"/>
      </tp>
      <tp t="e">
        <v>#N/A</v>
        <stp/>
        <stp>PLAYERSRANKING</stp>
        <stp>IGTA3</stp>
        <stp>3</stp>
        <stp>SALDO</stp>
        <stp>VOLF</stp>
        <tr r="BR45" s="7"/>
      </tp>
      <tp t="e">
        <v>#N/A</v>
        <stp/>
        <stp>PLAYERSRANKING</stp>
        <stp>B3SA3</stp>
        <stp>8</stp>
        <stp>SALDO</stp>
        <stp>VOLF</stp>
        <tr r="AB41" s="7"/>
      </tp>
      <tp t="e">
        <v>#N/A</v>
        <stp/>
        <stp>PLAYERSRANKING</stp>
        <stp>B3SA3</stp>
        <stp>3</stp>
        <stp>SALDO</stp>
        <stp>VOLF</stp>
        <tr r="AB45" s="7"/>
      </tp>
      <tp t="e">
        <v>#N/A</v>
        <stp/>
        <stp>PLAYERSRANKING</stp>
        <stp>CSNA3</stp>
        <stp>3</stp>
        <stp>SALDO</stp>
        <stp>VOLF</stp>
        <tr r="AW45" s="7"/>
      </tp>
      <tp t="e">
        <v>#N/A</v>
        <stp/>
        <stp>PLAYERSRANKING</stp>
        <stp>CSNA3</stp>
        <stp>8</stp>
        <stp>SALDO</stp>
        <stp>VOLF</stp>
        <tr r="AW41" s="7"/>
      </tp>
    </main>
    <main first="srv.rtd">
      <tp t="e">
        <v>#N/A</v>
        <stp/>
        <stp>PLAYERSRANKING</stp>
        <stp>UGPA3</stp>
        <stp>8</stp>
        <stp>SALDO</stp>
        <stp>VOLF</stp>
        <tr r="CV41" s="7"/>
      </tp>
      <tp t="e">
        <v>#N/A</v>
        <stp/>
        <stp>PLAYERSRANKING</stp>
        <stp>UGPA3</stp>
        <stp>3</stp>
        <stp>SALDO</stp>
        <stp>VOLF</stp>
        <tr r="CV45" s="7"/>
      </tp>
      <tp t="e">
        <v>#N/A</v>
        <stp/>
        <stp>PLAYERSRANKING</stp>
        <stp>SANB11</stp>
        <stp/>
        <stp>SALDO</stp>
        <stp>VOLF</stp>
        <tr r="CO24" s="7"/>
        <tr r="CO39" s="7"/>
        <tr r="CO35" s="7"/>
        <tr r="CO31" s="7"/>
        <tr r="CO25" s="7"/>
      </tp>
      <tp t="e">
        <v>#N/A</v>
        <stp/>
        <stp>PLAYERSRANKING</stp>
        <stp>LAME4</stp>
        <stp>92</stp>
        <stp>SALDO</stp>
        <stp>VOLF</stp>
        <tr r="BY36" s="7"/>
      </tp>
      <tp t="e">
        <v>#N/A</v>
        <stp/>
        <stp>PLAYERSRANKING</stp>
        <stp>LAME4</stp>
        <stp>93</stp>
        <stp>SALDO</stp>
        <stp>VOLF</stp>
        <tr r="BY34" s="7"/>
      </tp>
      <tp t="e">
        <v>#N/A</v>
        <stp/>
        <stp>PLAYERSRANKING</stp>
        <stp>LAME4</stp>
        <stp>88</stp>
        <stp>SALDO</stp>
        <stp>VOLF</stp>
        <tr r="BY20" s="7"/>
      </tp>
      <tp t="e">
        <v>#N/A</v>
        <stp/>
        <stp>PLAYERSRANKING</stp>
        <stp>LAME4</stp>
        <stp>85</stp>
        <stp>SALDO</stp>
        <stp>VOLF</stp>
        <tr r="BY17" s="7"/>
      </tp>
      <tp t="e">
        <v>#N/A</v>
        <stp/>
        <stp>PLAYERSRANKING</stp>
        <stp>LAME4</stp>
        <stp>23</stp>
        <stp>SALDO</stp>
        <stp>VOLF</stp>
        <tr r="BY33" s="7"/>
      </tp>
      <tp t="e">
        <v>#N/A</v>
        <stp/>
        <stp>PLAYERSRANKING</stp>
        <stp>LAME4</stp>
        <stp>27</stp>
        <stp>SALDO</stp>
        <stp>VOLF</stp>
        <tr r="BY38" s="7"/>
      </tp>
      <tp t="e">
        <v>#N/A</v>
        <stp/>
        <stp>PLAYERSRANKING</stp>
        <stp>LAME4</stp>
        <stp>13</stp>
        <stp>SALDO</stp>
        <stp>VOLF</stp>
        <tr r="BY30" s="7"/>
      </tp>
      <tp t="e">
        <v>#N/A</v>
        <stp/>
        <stp>PLAYERSRANKING</stp>
        <stp>LAME4</stp>
        <stp>16</stp>
        <stp>SALDO</stp>
        <stp>VOLF</stp>
        <tr r="BY29" s="7"/>
      </tp>
      <tp t="e">
        <v>#N/A</v>
        <stp/>
        <stp>PLAYERSRANKING</stp>
        <stp>LAME4</stp>
        <stp>72</stp>
        <stp>SALDO</stp>
        <stp>VOLF</stp>
        <tr r="BY18" s="7"/>
      </tp>
      <tp t="e">
        <v>#N/A</v>
        <stp/>
        <stp>PLAYERSRANKING</stp>
        <stp>LAME4</stp>
        <stp>59</stp>
        <stp>SALDO</stp>
        <stp>VOLF</stp>
        <tr r="BY37" s="7"/>
      </tp>
      <tp t="e">
        <v>#N/A</v>
        <stp/>
        <stp>PLAYERSRANKING</stp>
        <stp>LAME4</stp>
        <stp>40</stp>
        <stp>SALDO</stp>
        <stp>VOLF</stp>
        <tr r="BY32" s="7"/>
      </tp>
      <tp t="e">
        <v>#N/A</v>
        <stp/>
        <stp>PLAYERSRANKING</stp>
        <stp>LAME4</stp>
        <stp>45</stp>
        <stp>SALDO</stp>
        <stp>VOLF</stp>
        <tr r="BY21" s="7"/>
      </tp>
    </main>
    <main first="rtdtrading.rtdserver">
      <tp>
        <v>9.8899999999999988</v>
        <stp/>
        <stp>HAPV3_B_0</stp>
        <stp>ABE</stp>
        <tr r="C44" s="3"/>
      </tp>
      <tp>
        <v>0</v>
        <stp/>
        <stp>QUAL3_B_0</stp>
        <stp>PRT</stp>
        <tr r="G66" s="3"/>
      </tp>
      <tp>
        <v>0</v>
        <stp/>
        <stp>LCAM3_B_0</stp>
        <stp>PRT</stp>
        <tr r="G55" s="3"/>
      </tp>
      <tp>
        <v>0</v>
        <stp/>
        <stp>CSAN3_B_0</stp>
        <stp>PRT</stp>
        <tr r="G25" s="3"/>
      </tp>
      <tp>
        <v>0</v>
        <stp/>
        <stp>ASAI3_B_0</stp>
        <stp>PRT</stp>
        <tr r="G3" s="3"/>
      </tp>
      <tp>
        <v>22.03</v>
        <stp/>
        <stp>BRDT3_B_0</stp>
        <stp>ULT</stp>
        <tr r="B13" s="3"/>
      </tp>
      <tp>
        <v>0</v>
        <stp/>
        <stp>GOAU4_B_0</stp>
        <stp>PRT</stp>
        <tr r="G42" s="3"/>
      </tp>
      <tp>
        <v>27.279999999999998</v>
        <stp/>
        <stp>HYPE3_B_0</stp>
        <stp>ABE</stp>
        <tr r="C46" s="3"/>
      </tp>
      <tp>
        <v>57.229999999999968</v>
        <stp/>
        <stp>GNDI3_B_0</stp>
        <stp>ULT</stp>
        <tr r="B41" s="3"/>
      </tp>
      <tp>
        <v>0</v>
        <stp/>
        <stp>BRAP4_B_0</stp>
        <stp>PRT</stp>
        <tr r="G12" s="3"/>
      </tp>
      <tp>
        <v>12.950000000000001</v>
        <stp/>
        <stp>UGPA3_B_0</stp>
        <stp>ABE</stp>
        <tr r="C77" s="3"/>
      </tp>
      <tp>
        <v>0</v>
        <stp/>
        <stp>VVAR3_B_0</stp>
        <stp>PRT</stp>
        <tr r="G81" s="3"/>
      </tp>
      <tp>
        <v>21.330000000000002</v>
        <stp/>
        <stp>RADL3_B_0</stp>
        <stp>ULT</stp>
        <tr r="B67" s="3"/>
      </tp>
      <tp>
        <v>0</v>
        <stp/>
        <stp>PCAR3_B_0</stp>
        <stp>PRT</stp>
        <tr r="G62" s="3"/>
      </tp>
      <tp>
        <v>0</v>
        <stp/>
        <stp>BBAS3_B_0</stp>
        <stp>PRT</stp>
        <tr r="G6" s="3"/>
      </tp>
      <tp>
        <v>20.240000000000002</v>
        <stp/>
        <stp>BBDC4_B_0</stp>
        <stp>ULT</stp>
        <tr r="B8" s="3"/>
      </tp>
      <tp>
        <v>16.780000000000015</v>
        <stp/>
        <stp>BBDC3_B_0</stp>
        <stp>ULT</stp>
        <tr r="B7" s="3"/>
      </tp>
      <tp>
        <v>0</v>
        <stp/>
        <stp>BPAC11_B_0</stp>
        <stp>PRT</stp>
        <tr r="G11" s="3"/>
      </tp>
    </main>
    <main first="srv.rtd">
      <tp t="e">
        <v>#N/A</v>
        <stp/>
        <stp>PLAYERSRANKING</stp>
        <stp>BPAC11</stp>
        <stp/>
        <stp>SALDO</stp>
        <stp>VOLF</stp>
        <tr r="AH39" s="7"/>
        <tr r="AH31" s="7"/>
        <tr r="AH25" s="7"/>
        <tr r="AH35" s="7"/>
        <tr r="AH24" s="7"/>
      </tp>
    </main>
    <main first="srv.rtd">
      <tp t="e">
        <v>#N/A</v>
        <stp/>
        <stp>PLAYERSRANKING</stp>
        <stp>LCAM3</stp>
        <stp>72</stp>
        <stp>SALDO</stp>
        <stp>VOLF</stp>
        <tr r="BZ18" s="7"/>
      </tp>
      <tp t="e">
        <v>#N/A</v>
        <stp/>
        <stp>PLAYERSRANKING</stp>
        <stp>LCAM3</stp>
        <stp>59</stp>
        <stp>SALDO</stp>
        <stp>VOLF</stp>
        <tr r="BZ37" s="7"/>
      </tp>
      <tp t="e">
        <v>#N/A</v>
        <stp/>
        <stp>PLAYERSRANKING</stp>
        <stp>LCAM3</stp>
        <stp>40</stp>
        <stp>SALDO</stp>
        <stp>VOLF</stp>
        <tr r="BZ32" s="7"/>
      </tp>
      <tp t="e">
        <v>#N/A</v>
        <stp/>
        <stp>PLAYERSRANKING</stp>
        <stp>LCAM3</stp>
        <stp>45</stp>
        <stp>SALDO</stp>
        <stp>VOLF</stp>
        <tr r="BZ21" s="7"/>
      </tp>
      <tp t="e">
        <v>#N/A</v>
        <stp/>
        <stp>PLAYERSRANKING</stp>
        <stp>LCAM3</stp>
        <stp>23</stp>
        <stp>SALDO</stp>
        <stp>VOLF</stp>
        <tr r="BZ33" s="7"/>
      </tp>
      <tp t="e">
        <v>#N/A</v>
        <stp/>
        <stp>PLAYERSRANKING</stp>
        <stp>LCAM3</stp>
        <stp>27</stp>
        <stp>SALDO</stp>
        <stp>VOLF</stp>
        <tr r="BZ38" s="7"/>
      </tp>
      <tp t="e">
        <v>#N/A</v>
        <stp/>
        <stp>PLAYERSRANKING</stp>
        <stp>LCAM3</stp>
        <stp>13</stp>
        <stp>SALDO</stp>
        <stp>VOLF</stp>
        <tr r="BZ30" s="7"/>
      </tp>
      <tp t="e">
        <v>#N/A</v>
        <stp/>
        <stp>PLAYERSRANKING</stp>
        <stp>LCAM3</stp>
        <stp>16</stp>
        <stp>SALDO</stp>
        <stp>VOLF</stp>
        <tr r="BZ29" s="7"/>
      </tp>
      <tp t="e">
        <v>#N/A</v>
        <stp/>
        <stp>PLAYERSRANKING</stp>
        <stp>LCAM3</stp>
        <stp>92</stp>
        <stp>SALDO</stp>
        <stp>VOLF</stp>
        <tr r="BZ36" s="7"/>
      </tp>
      <tp t="e">
        <v>#N/A</v>
        <stp/>
        <stp>PLAYERSRANKING</stp>
        <stp>LCAM3</stp>
        <stp>93</stp>
        <stp>SALDO</stp>
        <stp>VOLF</stp>
        <tr r="BZ34" s="7"/>
      </tp>
      <tp t="e">
        <v>#N/A</v>
        <stp/>
        <stp>PLAYERSRANKING</stp>
        <stp>LCAM3</stp>
        <stp>85</stp>
        <stp>SALDO</stp>
        <stp>VOLF</stp>
        <tr r="BZ17" s="7"/>
      </tp>
      <tp t="e">
        <v>#N/A</v>
        <stp/>
        <stp>PLAYERSRANKING</stp>
        <stp>LCAM3</stp>
        <stp>88</stp>
        <stp>SALDO</stp>
        <stp>VOLF</stp>
        <tr r="BZ20" s="7"/>
      </tp>
      <tp t="e">
        <v>#N/A</v>
        <stp/>
        <stp>PLAYERSRANKING</stp>
        <stp>LREN3</stp>
        <stp>23</stp>
        <stp>SALDO</stp>
        <stp>VOLF</stp>
        <tr r="CA33" s="7"/>
      </tp>
      <tp t="e">
        <v>#N/A</v>
        <stp/>
        <stp>PLAYERSRANKING</stp>
        <stp>LREN3</stp>
        <stp>27</stp>
        <stp>SALDO</stp>
        <stp>VOLF</stp>
        <tr r="CA38" s="7"/>
      </tp>
      <tp t="e">
        <v>#N/A</v>
        <stp/>
        <stp>PLAYERSRANKING</stp>
        <stp>LREN3</stp>
        <stp>13</stp>
        <stp>SALDO</stp>
        <stp>VOLF</stp>
        <tr r="CA30" s="7"/>
      </tp>
      <tp t="e">
        <v>#N/A</v>
        <stp/>
        <stp>PLAYERSRANKING</stp>
        <stp>LREN3</stp>
        <stp>16</stp>
        <stp>SALDO</stp>
        <stp>VOLF</stp>
        <tr r="CA29" s="7"/>
      </tp>
      <tp t="e">
        <v>#N/A</v>
        <stp/>
        <stp>PLAYERSRANKING</stp>
        <stp>LREN3</stp>
        <stp>72</stp>
        <stp>SALDO</stp>
        <stp>VOLF</stp>
        <tr r="CA18" s="7"/>
      </tp>
      <tp t="e">
        <v>#N/A</v>
        <stp/>
        <stp>PLAYERSRANKING</stp>
        <stp>LREN3</stp>
        <stp>59</stp>
        <stp>SALDO</stp>
        <stp>VOLF</stp>
        <tr r="CA37" s="7"/>
      </tp>
      <tp t="e">
        <v>#N/A</v>
        <stp/>
        <stp>PLAYERSRANKING</stp>
        <stp>LREN3</stp>
        <stp>40</stp>
        <stp>SALDO</stp>
        <stp>VOLF</stp>
        <tr r="CA32" s="7"/>
      </tp>
      <tp t="e">
        <v>#N/A</v>
        <stp/>
        <stp>PLAYERSRANKING</stp>
        <stp>LREN3</stp>
        <stp>45</stp>
        <stp>SALDO</stp>
        <stp>VOLF</stp>
        <tr r="CA21" s="7"/>
      </tp>
      <tp t="e">
        <v>#N/A</v>
        <stp/>
        <stp>PLAYERSRANKING</stp>
        <stp>LREN3</stp>
        <stp>93</stp>
        <stp>SALDO</stp>
        <stp>VOLF</stp>
        <tr r="CA34" s="7"/>
      </tp>
      <tp t="e">
        <v>#N/A</v>
        <stp/>
        <stp>PLAYERSRANKING</stp>
        <stp>LREN3</stp>
        <stp>92</stp>
        <stp>SALDO</stp>
        <stp>VOLF</stp>
        <tr r="CA36" s="7"/>
      </tp>
      <tp t="e">
        <v>#N/A</v>
        <stp/>
        <stp>PLAYERSRANKING</stp>
        <stp>LREN3</stp>
        <stp>85</stp>
        <stp>SALDO</stp>
        <stp>VOLF</stp>
        <tr r="CA17" s="7"/>
      </tp>
      <tp t="e">
        <v>#N/A</v>
        <stp/>
        <stp>PLAYERSRANKING</stp>
        <stp>LREN3</stp>
        <stp>88</stp>
        <stp>SALDO</stp>
        <stp>VOLF</stp>
        <tr r="CA20" s="7"/>
      </tp>
    </main>
    <main first="rtdtrading.rtdserver">
      <tp>
        <v>0</v>
        <stp/>
        <stp>CPFE3_B_0</stp>
        <stp>PRT</stp>
        <tr r="G22" s="3"/>
      </tp>
      <tp>
        <v>0</v>
        <stp/>
        <stp>MRFG3_B_0</stp>
        <stp>PRT</stp>
        <tr r="G58" s="3"/>
      </tp>
      <tp>
        <v>9.92</v>
        <stp/>
        <stp>HAPV3_B_0</stp>
        <stp>FEC</stp>
        <tr r="D44" s="3"/>
      </tp>
      <tp>
        <v>0</v>
        <stp/>
        <stp>CRFB3_B_0</stp>
        <stp>PRT</stp>
        <tr r="G24" s="3"/>
      </tp>
      <tp>
        <v>12.950000000000001</v>
        <stp/>
        <stp>UGPA3_B_0</stp>
        <stp>FEC</stp>
        <tr r="D77" s="3"/>
      </tp>
      <tp>
        <v>21.970000000000024</v>
        <stp/>
        <stp>NTCO3_B_0</stp>
        <stp>ULT</stp>
        <tr r="B61" s="3"/>
      </tp>
      <tp>
        <v>27.290000000000003</v>
        <stp/>
        <stp>HYPE3_B_0</stp>
        <stp>FEC</stp>
        <tr r="D46" s="3"/>
      </tp>
      <tp>
        <v>0</v>
        <stp/>
        <stp>BRFS3_B_0</stp>
        <stp>PRT</stp>
        <tr r="G14" s="3"/>
      </tp>
      <tp>
        <v>11.349999999999998</v>
        <stp/>
        <stp>CVCB3_B_0</stp>
        <stp>ULT</stp>
        <tr r="B27" s="3"/>
      </tp>
      <tp>
        <v>23.119999999999994</v>
        <stp/>
        <stp>SULA11_B_0</stp>
        <stp>ULT</stp>
        <tr r="B72" s="3"/>
      </tp>
    </main>
    <main first="srv.rtd">
      <tp t="e">
        <v>#N/A</v>
        <stp/>
        <stp>PLAYERSRANKING</stp>
        <stp>MRFG3</stp>
        <stp>8</stp>
        <stp>SALDO</stp>
        <stp>VOLF</stp>
        <tr r="CC41" s="7"/>
      </tp>
      <tp t="e">
        <v>#N/A</v>
        <stp/>
        <stp>PLAYERSRANKING</stp>
        <stp>MRFG3</stp>
        <stp>3</stp>
        <stp>SALDO</stp>
        <stp>VOLF</stp>
        <tr r="CC45" s="7"/>
      </tp>
    </main>
    <main first="srv.rtd">
      <tp t="e">
        <v>#N/A</v>
        <stp/>
        <stp>PLAYERSRANKING</stp>
        <stp>CMIG4</stp>
        <stp>3</stp>
        <stp>SALDO</stp>
        <stp>VOLF</stp>
        <tr r="AQ45" s="7"/>
      </tp>
      <tp t="e">
        <v>#N/A</v>
        <stp/>
        <stp>PLAYERSRANKING</stp>
        <stp>CMIG4</stp>
        <stp>8</stp>
        <stp>SALDO</stp>
        <stp>VOLF</stp>
        <tr r="AQ41" s="7"/>
      </tp>
    </main>
    <main first="srv.rtd">
      <tp t="e">
        <v>#N/A</v>
        <stp/>
        <stp>PLAYERSRANKING</stp>
        <stp>MGLU3</stp>
        <stp>88</stp>
        <stp>SALDO</stp>
        <stp>VOLF</stp>
        <tr r="CB20" s="7"/>
      </tp>
      <tp t="e">
        <v>#N/A</v>
        <stp/>
        <stp>PLAYERSRANKING</stp>
        <stp>MGLU3</stp>
        <stp>85</stp>
        <stp>SALDO</stp>
        <stp>VOLF</stp>
        <tr r="CB17" s="7"/>
      </tp>
      <tp t="e">
        <v>#N/A</v>
        <stp/>
        <stp>PLAYERSRANKING</stp>
        <stp>MGLU3</stp>
        <stp>92</stp>
        <stp>SALDO</stp>
        <stp>VOLF</stp>
        <tr r="CB36" s="7"/>
      </tp>
      <tp t="e">
        <v>#N/A</v>
        <stp/>
        <stp>PLAYERSRANKING</stp>
        <stp>MGLU3</stp>
        <stp>93</stp>
        <stp>SALDO</stp>
        <stp>VOLF</stp>
        <tr r="CB34" s="7"/>
      </tp>
      <tp t="e">
        <v>#N/A</v>
        <stp/>
        <stp>PLAYERSRANKING</stp>
        <stp>MGLU3</stp>
        <stp>23</stp>
        <stp>SALDO</stp>
        <stp>VOLF</stp>
        <tr r="CB33" s="7"/>
      </tp>
      <tp t="e">
        <v>#N/A</v>
        <stp/>
        <stp>PLAYERSRANKING</stp>
        <stp>MGLU3</stp>
        <stp>27</stp>
        <stp>SALDO</stp>
        <stp>VOLF</stp>
        <tr r="CB38" s="7"/>
      </tp>
      <tp t="e">
        <v>#N/A</v>
        <stp/>
        <stp>PLAYERSRANKING</stp>
        <stp>MGLU3</stp>
        <stp>13</stp>
        <stp>SALDO</stp>
        <stp>VOLF</stp>
        <tr r="CB30" s="7"/>
      </tp>
      <tp t="e">
        <v>#N/A</v>
        <stp/>
        <stp>PLAYERSRANKING</stp>
        <stp>MGLU3</stp>
        <stp>16</stp>
        <stp>SALDO</stp>
        <stp>VOLF</stp>
        <tr r="CB29" s="7"/>
      </tp>
      <tp t="e">
        <v>#N/A</v>
        <stp/>
        <stp>PLAYERSRANKING</stp>
        <stp>MGLU3</stp>
        <stp>72</stp>
        <stp>SALDO</stp>
        <stp>VOLF</stp>
        <tr r="CB18" s="7"/>
      </tp>
      <tp t="e">
        <v>#N/A</v>
        <stp/>
        <stp>PLAYERSRANKING</stp>
        <stp>MGLU3</stp>
        <stp>40</stp>
        <stp>SALDO</stp>
        <stp>VOLF</stp>
        <tr r="CB32" s="7"/>
      </tp>
      <tp t="e">
        <v>#N/A</v>
        <stp/>
        <stp>PLAYERSRANKING</stp>
        <stp>MGLU3</stp>
        <stp>45</stp>
        <stp>SALDO</stp>
        <stp>VOLF</stp>
        <tr r="CB21" s="7"/>
      </tp>
      <tp t="e">
        <v>#N/A</v>
        <stp/>
        <stp>PLAYERSRANKING</stp>
        <stp>MGLU3</stp>
        <stp>59</stp>
        <stp>SALDO</stp>
        <stp>VOLF</stp>
        <tr r="CB37" s="7"/>
      </tp>
      <tp t="e">
        <v>#N/A</v>
        <stp/>
        <stp>PLAYERSRANKING</stp>
        <stp>MULT3</stp>
        <stp>88</stp>
        <stp>SALDO</stp>
        <stp>VOLF</stp>
        <tr r="CE20" s="7"/>
      </tp>
      <tp t="e">
        <v>#N/A</v>
        <stp/>
        <stp>PLAYERSRANKING</stp>
        <stp>MULT3</stp>
        <stp>85</stp>
        <stp>SALDO</stp>
        <stp>VOLF</stp>
        <tr r="CE17" s="7"/>
      </tp>
      <tp t="e">
        <v>#N/A</v>
        <stp/>
        <stp>PLAYERSRANKING</stp>
        <stp>MULT3</stp>
        <stp>93</stp>
        <stp>SALDO</stp>
        <stp>VOLF</stp>
        <tr r="CE34" s="7"/>
      </tp>
      <tp t="e">
        <v>#N/A</v>
        <stp/>
        <stp>PLAYERSRANKING</stp>
        <stp>MULT3</stp>
        <stp>92</stp>
        <stp>SALDO</stp>
        <stp>VOLF</stp>
        <tr r="CE36" s="7"/>
      </tp>
      <tp t="e">
        <v>#N/A</v>
        <stp/>
        <stp>PLAYERSRANKING</stp>
        <stp>MULT3</stp>
        <stp>23</stp>
        <stp>SALDO</stp>
        <stp>VOLF</stp>
        <tr r="CE33" s="7"/>
      </tp>
      <tp t="e">
        <v>#N/A</v>
        <stp/>
        <stp>PLAYERSRANKING</stp>
        <stp>MULT3</stp>
        <stp>27</stp>
        <stp>SALDO</stp>
        <stp>VOLF</stp>
        <tr r="CE38" s="7"/>
      </tp>
      <tp t="e">
        <v>#N/A</v>
        <stp/>
        <stp>PLAYERSRANKING</stp>
        <stp>MULT3</stp>
        <stp>13</stp>
        <stp>SALDO</stp>
        <stp>VOLF</stp>
        <tr r="CE30" s="7"/>
      </tp>
      <tp t="e">
        <v>#N/A</v>
        <stp/>
        <stp>PLAYERSRANKING</stp>
        <stp>MULT3</stp>
        <stp>16</stp>
        <stp>SALDO</stp>
        <stp>VOLF</stp>
        <tr r="CE29" s="7"/>
      </tp>
      <tp t="e">
        <v>#N/A</v>
        <stp/>
        <stp>PLAYERSRANKING</stp>
        <stp>MULT3</stp>
        <stp>72</stp>
        <stp>SALDO</stp>
        <stp>VOLF</stp>
        <tr r="CE18" s="7"/>
      </tp>
      <tp t="e">
        <v>#N/A</v>
        <stp/>
        <stp>PLAYERSRANKING</stp>
        <stp>MULT3</stp>
        <stp>40</stp>
        <stp>SALDO</stp>
        <stp>VOLF</stp>
        <tr r="CE32" s="7"/>
      </tp>
      <tp t="e">
        <v>#N/A</v>
        <stp/>
        <stp>PLAYERSRANKING</stp>
        <stp>MULT3</stp>
        <stp>45</stp>
        <stp>SALDO</stp>
        <stp>VOLF</stp>
        <tr r="CE21" s="7"/>
      </tp>
      <tp t="e">
        <v>#N/A</v>
        <stp/>
        <stp>PLAYERSRANKING</stp>
        <stp>MULT3</stp>
        <stp>59</stp>
        <stp>SALDO</stp>
        <stp>VOLF</stp>
        <tr r="CE37" s="7"/>
      </tp>
      <tp t="e">
        <v>#N/A</v>
        <stp/>
        <stp>PLAYERSRANKING</stp>
        <stp>MRVE3</stp>
        <stp>13</stp>
        <stp>SALDO</stp>
        <stp>VOLF</stp>
        <tr r="CD30" s="7"/>
      </tp>
      <tp t="e">
        <v>#N/A</v>
        <stp/>
        <stp>PLAYERSRANKING</stp>
        <stp>MRVE3</stp>
        <stp>16</stp>
        <stp>SALDO</stp>
        <stp>VOLF</stp>
        <tr r="CD29" s="7"/>
      </tp>
      <tp t="e">
        <v>#N/A</v>
        <stp/>
        <stp>PLAYERSRANKING</stp>
        <stp>MRVE3</stp>
        <stp>23</stp>
        <stp>SALDO</stp>
        <stp>VOLF</stp>
        <tr r="CD33" s="7"/>
      </tp>
      <tp t="e">
        <v>#N/A</v>
        <stp/>
        <stp>PLAYERSRANKING</stp>
        <stp>MRVE3</stp>
        <stp>27</stp>
        <stp>SALDO</stp>
        <stp>VOLF</stp>
        <tr r="CD38" s="7"/>
      </tp>
      <tp t="e">
        <v>#N/A</v>
        <stp/>
        <stp>PLAYERSRANKING</stp>
        <stp>MRVE3</stp>
        <stp>40</stp>
        <stp>SALDO</stp>
        <stp>VOLF</stp>
        <tr r="CD32" s="7"/>
      </tp>
      <tp t="e">
        <v>#N/A</v>
        <stp/>
        <stp>PLAYERSRANKING</stp>
        <stp>MRVE3</stp>
        <stp>45</stp>
        <stp>SALDO</stp>
        <stp>VOLF</stp>
        <tr r="CD21" s="7"/>
      </tp>
      <tp t="e">
        <v>#N/A</v>
        <stp/>
        <stp>PLAYERSRANKING</stp>
        <stp>MRVE3</stp>
        <stp>59</stp>
        <stp>SALDO</stp>
        <stp>VOLF</stp>
        <tr r="CD37" s="7"/>
      </tp>
      <tp t="e">
        <v>#N/A</v>
        <stp/>
        <stp>PLAYERSRANKING</stp>
        <stp>MRVE3</stp>
        <stp>72</stp>
        <stp>SALDO</stp>
        <stp>VOLF</stp>
        <tr r="CD18" s="7"/>
      </tp>
      <tp t="e">
        <v>#N/A</v>
        <stp/>
        <stp>PLAYERSRANKING</stp>
        <stp>MRVE3</stp>
        <stp>88</stp>
        <stp>SALDO</stp>
        <stp>VOLF</stp>
        <tr r="CD20" s="7"/>
      </tp>
      <tp t="e">
        <v>#N/A</v>
        <stp/>
        <stp>PLAYERSRANKING</stp>
        <stp>MRVE3</stp>
        <stp>85</stp>
        <stp>SALDO</stp>
        <stp>VOLF</stp>
        <tr r="CD17" s="7"/>
      </tp>
      <tp t="e">
        <v>#N/A</v>
        <stp/>
        <stp>PLAYERSRANKING</stp>
        <stp>MRVE3</stp>
        <stp>92</stp>
        <stp>SALDO</stp>
        <stp>VOLF</stp>
        <tr r="CD36" s="7"/>
      </tp>
      <tp t="e">
        <v>#N/A</v>
        <stp/>
        <stp>PLAYERSRANKING</stp>
        <stp>MRVE3</stp>
        <stp>93</stp>
        <stp>SALDO</stp>
        <stp>VOLF</stp>
        <tr r="CD34" s="7"/>
      </tp>
      <tp t="e">
        <v>#N/A</v>
        <stp/>
        <stp>PLAYERSRANKING</stp>
        <stp>MRFG3</stp>
        <stp>13</stp>
        <stp>SALDO</stp>
        <stp>VOLF</stp>
        <tr r="CC30" s="7"/>
      </tp>
      <tp t="e">
        <v>#N/A</v>
        <stp/>
        <stp>PLAYERSRANKING</stp>
        <stp>MRFG3</stp>
        <stp>16</stp>
        <stp>SALDO</stp>
        <stp>VOLF</stp>
        <tr r="CC29" s="7"/>
      </tp>
      <tp t="e">
        <v>#N/A</v>
        <stp/>
        <stp>PLAYERSRANKING</stp>
        <stp>MRFG3</stp>
        <stp>23</stp>
        <stp>SALDO</stp>
        <stp>VOLF</stp>
        <tr r="CC33" s="7"/>
      </tp>
      <tp t="e">
        <v>#N/A</v>
        <stp/>
        <stp>PLAYERSRANKING</stp>
        <stp>MRFG3</stp>
        <stp>27</stp>
        <stp>SALDO</stp>
        <stp>VOLF</stp>
        <tr r="CC38" s="7"/>
      </tp>
      <tp t="e">
        <v>#N/A</v>
        <stp/>
        <stp>PLAYERSRANKING</stp>
        <stp>MRFG3</stp>
        <stp>40</stp>
        <stp>SALDO</stp>
        <stp>VOLF</stp>
        <tr r="CC32" s="7"/>
      </tp>
      <tp t="e">
        <v>#N/A</v>
        <stp/>
        <stp>PLAYERSRANKING</stp>
        <stp>MRFG3</stp>
        <stp>45</stp>
        <stp>SALDO</stp>
        <stp>VOLF</stp>
        <tr r="CC21" s="7"/>
      </tp>
      <tp t="e">
        <v>#N/A</v>
        <stp/>
        <stp>PLAYERSRANKING</stp>
        <stp>MRFG3</stp>
        <stp>59</stp>
        <stp>SALDO</stp>
        <stp>VOLF</stp>
        <tr r="CC37" s="7"/>
      </tp>
      <tp t="e">
        <v>#N/A</v>
        <stp/>
        <stp>PLAYERSRANKING</stp>
        <stp>MRFG3</stp>
        <stp>72</stp>
        <stp>SALDO</stp>
        <stp>VOLF</stp>
        <tr r="CC18" s="7"/>
      </tp>
      <tp t="e">
        <v>#N/A</v>
        <stp/>
        <stp>PLAYERSRANKING</stp>
        <stp>MRFG3</stp>
        <stp>88</stp>
        <stp>SALDO</stp>
        <stp>VOLF</stp>
        <tr r="CC20" s="7"/>
      </tp>
      <tp t="e">
        <v>#N/A</v>
        <stp/>
        <stp>PLAYERSRANKING</stp>
        <stp>MRFG3</stp>
        <stp>85</stp>
        <stp>SALDO</stp>
        <stp>VOLF</stp>
        <tr r="CC17" s="7"/>
      </tp>
      <tp t="e">
        <v>#N/A</v>
        <stp/>
        <stp>PLAYERSRANKING</stp>
        <stp>MRFG3</stp>
        <stp>92</stp>
        <stp>SALDO</stp>
        <stp>VOLF</stp>
        <tr r="CC36" s="7"/>
      </tp>
      <tp t="e">
        <v>#N/A</v>
        <stp/>
        <stp>PLAYERSRANKING</stp>
        <stp>MRFG3</stp>
        <stp>93</stp>
        <stp>SALDO</stp>
        <stp>VOLF</stp>
        <tr r="CC34" s="7"/>
      </tp>
    </main>
    <main first="rtdtrading.rtdserver">
      <tp>
        <v>46.230000000000004</v>
        <stp/>
        <stp>VIVT3_B_0</stp>
        <stp>ABE</stp>
        <tr r="C80" s="3"/>
      </tp>
      <tp>
        <v>0</v>
        <stp/>
        <stp>WEGE3_B_0</stp>
        <stp>PRT</stp>
        <tr r="G82" s="3"/>
      </tp>
      <tp>
        <v>3.6200000000000006</v>
        <stp/>
        <stp>IRBR3_B_0</stp>
        <stp>ULT</stp>
        <tr r="B48" s="3"/>
      </tp>
      <tp>
        <v>24.200000000000017</v>
        <stp/>
        <stp>EMBR3_B_0</stp>
        <stp>ULT</stp>
        <tr r="B33" s="3"/>
      </tp>
      <tp>
        <v>19.639999999999997</v>
        <stp/>
        <stp>ENBR3_B_0</stp>
        <stp>ULT</stp>
        <tr r="B34" s="3"/>
      </tp>
      <tp>
        <v>27.150000000000048</v>
        <stp/>
        <stp>GGBR4_B_0</stp>
        <stp>ULT</stp>
        <tr r="B40" s="3"/>
      </tp>
      <tp>
        <v>0</v>
        <stp/>
        <stp>COGN3_B_0</stp>
        <stp>PRT</stp>
        <tr r="G21" s="3"/>
      </tp>
      <tp>
        <v>10.549999999999999</v>
        <stp/>
        <stp>MRVE3_B_0</stp>
        <stp>ABE</stp>
        <tr r="C59" s="3"/>
      </tp>
      <tp>
        <v>0</v>
        <stp/>
        <stp>TAEE11_B_0</stp>
        <stp>PRT</stp>
        <tr r="G74" s="3"/>
      </tp>
    </main>
    <main first="srv.rtd">
      <tp t="e">
        <v>#N/A</v>
        <stp/>
        <stp>PLAYERSRANKING</stp>
        <stp>JHSF3</stp>
        <stp>8</stp>
        <stp>SALDO</stp>
        <stp>VOLF</stp>
        <tr r="BW41" s="7"/>
      </tp>
      <tp t="e">
        <v>#N/A</v>
        <stp/>
        <stp>PLAYERSRANKING</stp>
        <stp>JHSF3</stp>
        <stp>3</stp>
        <stp>SALDO</stp>
        <stp>VOLF</stp>
        <tr r="BW45" s="7"/>
      </tp>
      <tp t="e">
        <v>#N/A</v>
        <stp/>
        <stp>PLAYERSRANKING</stp>
        <stp>BEEF3</stp>
        <stp>8</stp>
        <stp>SALDO</stp>
        <stp>VOLF</stp>
        <tr r="AG41" s="7"/>
      </tp>
      <tp t="e">
        <v>#N/A</v>
        <stp/>
        <stp>PLAYERSRANKING</stp>
        <stp>BEEF3</stp>
        <stp>3</stp>
        <stp>SALDO</stp>
        <stp>VOLF</stp>
        <tr r="AG45" s="7"/>
      </tp>
    </main>
    <main first="srv.rtd">
      <tp t="e">
        <v>#N/A</v>
        <stp/>
        <stp>PLAYERSRANKING</stp>
        <stp>TAEE11</stp>
        <stp/>
        <stp>SALDO</stp>
        <stp>VOLF</stp>
        <tr r="CS39" s="7"/>
        <tr r="CS35" s="7"/>
        <tr r="CS31" s="7"/>
        <tr r="CS24" s="7"/>
        <tr r="CS25" s="7"/>
      </tp>
    </main>
    <main first="srv.rtd">
      <tp t="e">
        <v>#N/A</v>
        <stp/>
        <stp>PLAYERSRANKING</stp>
        <stp>INDFUT</stp>
        <stp/>
        <stp>SALDO</stp>
        <stp>VOLF</stp>
        <tr r="U24" s="7"/>
        <tr r="U25" s="7"/>
        <tr r="U31" s="7"/>
        <tr r="U35" s="7"/>
        <tr r="U39" s="7"/>
      </tp>
      <tp t="e">
        <v>#N/A</v>
        <stp/>
        <stp>PLAYERSRANKING</stp>
        <stp>DOLFUT</stp>
        <stp/>
        <stp>SALDO</stp>
        <stp>VOLF</stp>
        <tr r="W24" s="7"/>
        <tr r="W25" s="7"/>
        <tr r="W31" s="7"/>
        <tr r="W35" s="7"/>
        <tr r="W39" s="7"/>
      </tp>
      <tp t="e">
        <v>#N/A</v>
        <stp/>
        <stp>PLAYERSRANKING</stp>
        <stp>ITSA4</stp>
        <stp>59</stp>
        <stp>SALDO</stp>
        <stp>VOLF</stp>
        <tr r="BT37" s="7"/>
      </tp>
      <tp t="e">
        <v>#N/A</v>
        <stp/>
        <stp>PLAYERSRANKING</stp>
        <stp>ITUB4</stp>
        <stp>27</stp>
        <stp>SALDO</stp>
        <stp>VOLF</stp>
        <tr r="BU38" s="7"/>
      </tp>
      <tp t="e">
        <v>#N/A</v>
        <stp/>
        <stp>PLAYERSRANKING</stp>
        <stp>ITSA4</stp>
        <stp>45</stp>
        <stp>SALDO</stp>
        <stp>VOLF</stp>
        <tr r="BT21" s="7"/>
      </tp>
      <tp t="e">
        <v>#N/A</v>
        <stp/>
        <stp>PLAYERSRANKING</stp>
        <stp>ITSA4</stp>
        <stp>40</stp>
        <stp>SALDO</stp>
        <stp>VOLF</stp>
        <tr r="BT32" s="7"/>
      </tp>
      <tp t="e">
        <v>#N/A</v>
        <stp/>
        <stp>PLAYERSRANKING</stp>
        <stp>ITUB4</stp>
        <stp>23</stp>
        <stp>SALDO</stp>
        <stp>VOLF</stp>
        <tr r="BU33" s="7"/>
      </tp>
      <tp t="e">
        <v>#N/A</v>
        <stp/>
        <stp>PLAYERSRANKING</stp>
        <stp>ITUB4</stp>
        <stp>16</stp>
        <stp>SALDO</stp>
        <stp>VOLF</stp>
        <tr r="BU29" s="7"/>
      </tp>
      <tp t="e">
        <v>#N/A</v>
        <stp/>
        <stp>PLAYERSRANKING</stp>
        <stp>ITSA4</stp>
        <stp>72</stp>
        <stp>SALDO</stp>
        <stp>VOLF</stp>
        <tr r="BT18" s="7"/>
      </tp>
      <tp t="e">
        <v>#N/A</v>
        <stp/>
        <stp>PLAYERSRANKING</stp>
        <stp>ITUB4</stp>
        <stp>13</stp>
        <stp>SALDO</stp>
        <stp>VOLF</stp>
        <tr r="BU30" s="7"/>
      </tp>
      <tp t="e">
        <v>#N/A</v>
        <stp/>
        <stp>PLAYERSRANKING</stp>
        <stp>ITSA4</stp>
        <stp>16</stp>
        <stp>SALDO</stp>
        <stp>VOLF</stp>
        <tr r="BT29" s="7"/>
      </tp>
      <tp t="e">
        <v>#N/A</v>
        <stp/>
        <stp>PLAYERSRANKING</stp>
        <stp>ITSA4</stp>
        <stp>13</stp>
        <stp>SALDO</stp>
        <stp>VOLF</stp>
        <tr r="BT30" s="7"/>
      </tp>
      <tp t="e">
        <v>#N/A</v>
        <stp/>
        <stp>PLAYERSRANKING</stp>
        <stp>ITUB4</stp>
        <stp>72</stp>
        <stp>SALDO</stp>
        <stp>VOLF</stp>
        <tr r="BU18" s="7"/>
      </tp>
      <tp t="e">
        <v>#N/A</v>
        <stp/>
        <stp>PLAYERSRANKING</stp>
        <stp>ITUB4</stp>
        <stp>59</stp>
        <stp>SALDO</stp>
        <stp>VOLF</stp>
        <tr r="BU37" s="7"/>
      </tp>
      <tp t="e">
        <v>#N/A</v>
        <stp/>
        <stp>PLAYERSRANKING</stp>
        <stp>ITUB4</stp>
        <stp>45</stp>
        <stp>SALDO</stp>
        <stp>VOLF</stp>
        <tr r="BU21" s="7"/>
      </tp>
      <tp t="e">
        <v>#N/A</v>
        <stp/>
        <stp>PLAYERSRANKING</stp>
        <stp>ITSA4</stp>
        <stp>27</stp>
        <stp>SALDO</stp>
        <stp>VOLF</stp>
        <tr r="BT38" s="7"/>
      </tp>
      <tp t="e">
        <v>#N/A</v>
        <stp/>
        <stp>PLAYERSRANKING</stp>
        <stp>ITSA4</stp>
        <stp>23</stp>
        <stp>SALDO</stp>
        <stp>VOLF</stp>
        <tr r="BT33" s="7"/>
      </tp>
      <tp t="e">
        <v>#N/A</v>
        <stp/>
        <stp>PLAYERSRANKING</stp>
        <stp>ITUB4</stp>
        <stp>40</stp>
        <stp>SALDO</stp>
        <stp>VOLF</stp>
        <tr r="BU32" s="7"/>
      </tp>
      <tp t="e">
        <v>#N/A</v>
        <stp/>
        <stp>PLAYERSRANKING</stp>
        <stp>ITUB4</stp>
        <stp>93</stp>
        <stp>SALDO</stp>
        <stp>VOLF</stp>
        <tr r="BU34" s="7"/>
      </tp>
      <tp t="e">
        <v>#N/A</v>
        <stp/>
        <stp>PLAYERSRANKING</stp>
        <stp>ITUB4</stp>
        <stp>92</stp>
        <stp>SALDO</stp>
        <stp>VOLF</stp>
        <tr r="BU36" s="7"/>
      </tp>
      <tp t="e">
        <v>#N/A</v>
        <stp/>
        <stp>PLAYERSRANKING</stp>
        <stp>ITUB4</stp>
        <stp>88</stp>
        <stp>SALDO</stp>
        <stp>VOLF</stp>
        <tr r="BU20" s="7"/>
      </tp>
      <tp t="e">
        <v>#N/A</v>
        <stp/>
        <stp>PLAYERSRANKING</stp>
        <stp>ITUB4</stp>
        <stp>85</stp>
        <stp>SALDO</stp>
        <stp>VOLF</stp>
        <tr r="BU17" s="7"/>
      </tp>
      <tp t="e">
        <v>#N/A</v>
        <stp/>
        <stp>PLAYERSRANKING</stp>
        <stp>ITSA4</stp>
        <stp>92</stp>
        <stp>SALDO</stp>
        <stp>VOLF</stp>
        <tr r="BT36" s="7"/>
      </tp>
      <tp t="e">
        <v>#N/A</v>
        <stp/>
        <stp>PLAYERSRANKING</stp>
        <stp>ITSA4</stp>
        <stp>93</stp>
        <stp>SALDO</stp>
        <stp>VOLF</stp>
        <tr r="BT34" s="7"/>
      </tp>
      <tp t="e">
        <v>#N/A</v>
        <stp/>
        <stp>PLAYERSRANKING</stp>
        <stp>ITSA4</stp>
        <stp>88</stp>
        <stp>SALDO</stp>
        <stp>VOLF</stp>
        <tr r="BT20" s="7"/>
      </tp>
      <tp t="e">
        <v>#N/A</v>
        <stp/>
        <stp>PLAYERSRANKING</stp>
        <stp>ITSA4</stp>
        <stp>85</stp>
        <stp>SALDO</stp>
        <stp>VOLF</stp>
        <tr r="BT17" s="7"/>
      </tp>
      <tp t="e">
        <v>#N/A</v>
        <stp/>
        <stp>PLAYERSRANKING</stp>
        <stp>NTCO3</stp>
        <stp>59</stp>
        <stp>SALDO</stp>
        <stp>VOLF</stp>
        <tr r="CF37" s="7"/>
      </tp>
      <tp t="e">
        <v>#N/A</v>
        <stp/>
        <stp>PLAYERSRANKING</stp>
        <stp>NTCO3</stp>
        <stp>40</stp>
        <stp>SALDO</stp>
        <stp>VOLF</stp>
        <tr r="CF32" s="7"/>
      </tp>
      <tp t="e">
        <v>#N/A</v>
        <stp/>
        <stp>PLAYERSRANKING</stp>
        <stp>NTCO3</stp>
        <stp>45</stp>
        <stp>SALDO</stp>
        <stp>VOLF</stp>
        <tr r="CF21" s="7"/>
      </tp>
      <tp t="e">
        <v>#N/A</v>
        <stp/>
        <stp>PLAYERSRANKING</stp>
        <stp>NTCO3</stp>
        <stp>72</stp>
        <stp>SALDO</stp>
        <stp>VOLF</stp>
        <tr r="CF18" s="7"/>
      </tp>
      <tp t="e">
        <v>#N/A</v>
        <stp/>
        <stp>PLAYERSRANKING</stp>
        <stp>NTCO3</stp>
        <stp>13</stp>
        <stp>SALDO</stp>
        <stp>VOLF</stp>
        <tr r="CF30" s="7"/>
      </tp>
      <tp t="e">
        <v>#N/A</v>
        <stp/>
        <stp>PLAYERSRANKING</stp>
        <stp>NTCO3</stp>
        <stp>16</stp>
        <stp>SALDO</stp>
        <stp>VOLF</stp>
        <tr r="CF29" s="7"/>
      </tp>
      <tp t="e">
        <v>#N/A</v>
        <stp/>
        <stp>PLAYERSRANKING</stp>
        <stp>NTCO3</stp>
        <stp>23</stp>
        <stp>SALDO</stp>
        <stp>VOLF</stp>
        <tr r="CF33" s="7"/>
      </tp>
      <tp t="e">
        <v>#N/A</v>
        <stp/>
        <stp>PLAYERSRANKING</stp>
        <stp>NTCO3</stp>
        <stp>27</stp>
        <stp>SALDO</stp>
        <stp>VOLF</stp>
        <tr r="CF38" s="7"/>
      </tp>
      <tp t="e">
        <v>#N/A</v>
        <stp/>
        <stp>PLAYERSRANKING</stp>
        <stp>NTCO3</stp>
        <stp>92</stp>
        <stp>SALDO</stp>
        <stp>VOLF</stp>
        <tr r="CF36" s="7"/>
      </tp>
      <tp t="e">
        <v>#N/A</v>
        <stp/>
        <stp>PLAYERSRANKING</stp>
        <stp>NTCO3</stp>
        <stp>93</stp>
        <stp>SALDO</stp>
        <stp>VOLF</stp>
        <tr r="CF34" s="7"/>
      </tp>
      <tp t="e">
        <v>#N/A</v>
        <stp/>
        <stp>PLAYERSRANKING</stp>
        <stp>NTCO3</stp>
        <stp>85</stp>
        <stp>SALDO</stp>
        <stp>VOLF</stp>
        <tr r="CF17" s="7"/>
      </tp>
      <tp t="e">
        <v>#N/A</v>
        <stp/>
        <stp>PLAYERSRANKING</stp>
        <stp>NTCO3</stp>
        <stp>88</stp>
        <stp>SALDO</stp>
        <stp>VOLF</stp>
        <tr r="CF20" s="7"/>
      </tp>
      <tp t="e">
        <v>#N/A</v>
        <stp/>
        <stp>PLAYERSRANKING</stp>
        <stp>WINFUT</stp>
        <stp/>
        <stp>SALDO</stp>
        <stp>VOLF</stp>
        <tr r="V35" s="7"/>
        <tr r="V25" s="7"/>
        <tr r="V31" s="7"/>
        <tr r="V24" s="7"/>
        <tr r="V39" s="7"/>
      </tp>
      <tp t="e">
        <v>#N/A</v>
        <stp/>
        <stp>PLAYERSRANKING</stp>
        <stp>WDOFUT</stp>
        <stp/>
        <stp>SALDO</stp>
        <stp>VOLF</stp>
        <tr r="X24" s="7"/>
        <tr r="X25" s="7"/>
        <tr r="X31" s="7"/>
        <tr r="X35" s="7"/>
        <tr r="X39" s="7"/>
      </tp>
    </main>
    <main first="rtdtrading.rtdserver">
      <tp>
        <v>0</v>
        <stp/>
        <stp>BBDC4_B_0</stp>
        <stp>PRT</stp>
        <tr r="G8" s="3"/>
      </tp>
      <tp>
        <v>0</v>
        <stp/>
        <stp>BBDC3_B_0</stp>
        <stp>PRT</stp>
        <tr r="G7" s="3"/>
      </tp>
      <tp>
        <v>0</v>
        <stp/>
        <stp>VVAR3_B_0</stp>
        <stp>ULT</stp>
        <tr r="B81" s="3"/>
      </tp>
      <tp>
        <v>0</v>
        <stp/>
        <stp>RADL3_B_0</stp>
        <stp>PRT</stp>
        <tr r="G67" s="3"/>
      </tp>
      <tp>
        <v>19.059999999999999</v>
        <stp/>
        <stp>PCAR3_B_0</stp>
        <stp>ULT</stp>
        <tr r="B62" s="3"/>
      </tp>
      <tp>
        <v>28.86</v>
        <stp/>
        <stp>BBAS3_B_0</stp>
        <stp>ULT</stp>
        <tr r="B6" s="3"/>
      </tp>
      <tp>
        <v>26.3</v>
        <stp/>
        <stp>BRAP4_B_0</stp>
        <stp>ULT</stp>
        <tr r="B12" s="3"/>
      </tp>
      <tp>
        <v>16.580000000000002</v>
        <stp/>
        <stp>FLRY3_B_0</stp>
        <stp>FEC</stp>
        <tr r="D39" s="3"/>
      </tp>
      <tp>
        <v>0</v>
        <stp/>
        <stp>GNDI3_B_0</stp>
        <stp>PRT</stp>
        <tr r="G41" s="3"/>
      </tp>
      <tp>
        <v>11.37</v>
        <stp/>
        <stp>GOAU4_B_0</stp>
        <stp>ULT</stp>
        <tr r="B42" s="3"/>
      </tp>
      <tp>
        <v>0</v>
        <stp/>
        <stp>BRDT3_B_0</stp>
        <stp>PRT</stp>
        <tr r="G13" s="3"/>
      </tp>
      <tp>
        <v>11.25</v>
        <stp/>
        <stp>ASAI3_B_0</stp>
        <stp>ULT</stp>
        <tr r="B3" s="3"/>
      </tp>
      <tp>
        <v>19.70999999999999</v>
        <stp/>
        <stp>CSAN3_B_0</stp>
        <stp>ULT</stp>
        <tr r="B25" s="3"/>
      </tp>
      <tp>
        <v>22.57</v>
        <stp/>
        <stp>ITUB4_B_0</stp>
        <stp>ABE</stp>
        <tr r="C50" s="3"/>
      </tp>
      <tp>
        <v>13.96</v>
        <stp/>
        <stp>CYRE3_B_0</stp>
        <stp>FEC</stp>
        <tr r="D28" s="3"/>
      </tp>
      <tp>
        <v>15.140000000000004</v>
        <stp/>
        <stp>QUAL3_B_0</stp>
        <stp>ULT</stp>
        <tr r="B66" s="3"/>
      </tp>
      <tp>
        <v>21.519999999999978</v>
        <stp/>
        <stp>LCAM3_B_0</stp>
        <stp>ULT</stp>
        <tr r="B55" s="3"/>
      </tp>
      <tp>
        <v>23.43</v>
        <stp/>
        <stp>AZUL4_B_0</stp>
        <stp>ABE</stp>
        <tr r="C4" s="3"/>
      </tp>
      <tp>
        <v>11.26</v>
        <stp/>
        <stp>CCRO3_B_0</stp>
        <stp>FEC</stp>
        <tr r="D18" s="3"/>
      </tp>
      <tp>
        <v>18.420000000000009</v>
        <stp/>
        <stp>BPAC11_B_0</stp>
        <stp>ULT</stp>
        <tr r="B11" s="3"/>
      </tp>
    </main>
    <main first="srv.rtd">
      <tp t="e">
        <v>#N/A</v>
        <stp/>
        <stp>PLAYERSRANKING</stp>
        <stp>MRVE3</stp>
        <stp>8</stp>
        <stp>SALDO</stp>
        <stp>VOLF</stp>
        <tr r="CD41" s="7"/>
      </tp>
      <tp t="e">
        <v>#N/A</v>
        <stp/>
        <stp>PLAYERSRANKING</stp>
        <stp>MRVE3</stp>
        <stp>3</stp>
        <stp>SALDO</stp>
        <stp>VOLF</stp>
        <tr r="CD45" s="7"/>
      </tp>
      <tp t="e">
        <v>#N/A</v>
        <stp/>
        <stp>PLAYERSRANKING</stp>
        <stp>LAME4</stp>
        <stp>3</stp>
        <stp>SALDO</stp>
        <stp>VOLF</stp>
        <tr r="BY45" s="7"/>
      </tp>
      <tp t="e">
        <v>#N/A</v>
        <stp/>
        <stp>PLAYERSRANKING</stp>
        <stp>LAME4</stp>
        <stp>8</stp>
        <stp>SALDO</stp>
        <stp>VOLF</stp>
        <tr r="BY41" s="7"/>
      </tp>
      <tp t="e">
        <v>#N/A</v>
        <stp/>
        <stp>PLAYERSRANKING</stp>
        <stp>HYPE3</stp>
        <stp>8</stp>
        <stp>SALDO</stp>
        <stp>VOLF</stp>
        <tr r="BQ41" s="7"/>
      </tp>
      <tp t="e">
        <v>#N/A</v>
        <stp/>
        <stp>PLAYERSRANKING</stp>
        <stp>HYPE3</stp>
        <stp>3</stp>
        <stp>SALDO</stp>
        <stp>VOLF</stp>
        <tr r="BQ45" s="7"/>
      </tp>
      <tp t="e">
        <v>#N/A</v>
        <stp/>
        <stp>PLAYERSRANKING</stp>
        <stp>CPLE6</stp>
        <stp>3</stp>
        <stp>SALDO</stp>
        <stp>VOLF</stp>
        <tr r="AT45" s="7"/>
      </tp>
      <tp t="e">
        <v>#N/A</v>
        <stp/>
        <stp>PLAYERSRANKING</stp>
        <stp>CPLE6</stp>
        <stp>8</stp>
        <stp>SALDO</stp>
        <stp>VOLF</stp>
        <tr r="AT41" s="7"/>
      </tp>
      <tp t="e">
        <v>#N/A</v>
        <stp/>
        <stp>PLAYERSRANKING</stp>
        <stp>EGIE3</stp>
        <stp>3</stp>
        <stp>SALDO</stp>
        <stp>VOLF</stp>
        <tr r="BA45" s="7"/>
      </tp>
      <tp t="e">
        <v>#N/A</v>
        <stp/>
        <stp>PLAYERSRANKING</stp>
        <stp>EGIE3</stp>
        <stp>8</stp>
        <stp>SALDO</stp>
        <stp>VOLF</stp>
        <tr r="BA41" s="7"/>
      </tp>
      <tp t="e">
        <v>#N/A</v>
        <stp/>
        <stp>PLAYERSRANKING</stp>
        <stp>BBSE3</stp>
        <stp>8</stp>
        <stp>SALDO</stp>
        <stp>VOLF</stp>
        <tr r="AF41" s="7"/>
      </tp>
      <tp t="e">
        <v>#N/A</v>
        <stp/>
        <stp>PLAYERSRANKING</stp>
        <stp>BBSE3</stp>
        <stp>3</stp>
        <stp>SALDO</stp>
        <stp>VOLF</stp>
        <tr r="AF45" s="7"/>
      </tp>
      <tp t="e">
        <v>#N/A</v>
        <stp/>
        <stp>PLAYERSRANKING</stp>
        <stp>CYRE3</stp>
        <stp>8</stp>
        <stp>SALDO</stp>
        <stp>VOLF</stp>
        <tr r="AY41" s="7"/>
      </tp>
      <tp t="e">
        <v>#N/A</v>
        <stp/>
        <stp>PLAYERSRANKING</stp>
        <stp>CYRE3</stp>
        <stp>3</stp>
        <stp>SALDO</stp>
        <stp>VOLF</stp>
        <tr r="AY45" s="7"/>
      </tp>
      <tp t="e">
        <v>#N/A</v>
        <stp/>
        <stp>PLAYERSRANKING</stp>
        <stp>CPFE3</stp>
        <stp>8</stp>
        <stp>SALDO</stp>
        <stp>VOLF</stp>
        <tr r="AS41" s="7"/>
      </tp>
      <tp t="e">
        <v>#N/A</v>
        <stp/>
        <stp>PLAYERSRANKING</stp>
        <stp>CPFE3</stp>
        <stp>3</stp>
        <stp>SALDO</stp>
        <stp>VOLF</stp>
        <tr r="AS45" s="7"/>
      </tp>
    </main>
    <main first="srv.rtd">
      <tp t="e">
        <v>#N/A</v>
        <stp/>
        <stp>PLAYERSRANKING</stp>
        <stp>VALE3</stp>
        <stp>3</stp>
        <stp>SALDO</stp>
        <stp>VOLF</stp>
        <tr r="CX45" s="7"/>
      </tp>
      <tp t="e">
        <v>#N/A</v>
        <stp/>
        <stp>PLAYERSRANKING</stp>
        <stp>VALE3</stp>
        <stp>8</stp>
        <stp>SALDO</stp>
        <stp>VOLF</stp>
        <tr r="CX41" s="7"/>
      </tp>
      <tp t="e">
        <v>#N/A</v>
        <stp/>
        <stp>PLAYERSRANKING</stp>
        <stp>WEGE3</stp>
        <stp>8</stp>
        <stp>SALDO</stp>
        <stp>VOLF</stp>
        <tr r="DA41" s="7"/>
      </tp>
      <tp t="e">
        <v>#N/A</v>
        <stp/>
        <stp>PLAYERSRANKING</stp>
        <stp>WEGE3</stp>
        <stp>3</stp>
        <stp>SALDO</stp>
        <stp>VOLF</stp>
        <tr r="DA45" s="7"/>
      </tp>
    </main>
    <main first="rtdtrading.rtdserver">
      <tp>
        <v>35.24</v>
        <stp/>
        <stp>JBSS3_B_0</stp>
        <stp>FEC</stp>
        <tr r="D51" s="3"/>
      </tp>
      <tp>
        <v>59.74</v>
        <stp/>
        <stp>SUZB3_B_0</stp>
        <stp>OVD</stp>
        <tr r="F73" s="3"/>
      </tp>
      <tp>
        <v>0</v>
        <stp/>
        <stp>BEEF3_B_0</stp>
        <stp>PRT</stp>
        <tr r="G10" s="3"/>
      </tp>
      <tp>
        <v>35.46</v>
        <stp/>
        <stp>SBSP3_B_0</stp>
        <stp>FEC</stp>
        <tr r="D71" s="3"/>
      </tp>
      <tp>
        <v>27.99</v>
        <stp/>
        <stp>PETR4_B_0</stp>
        <stp>ABE</stp>
        <tr r="C64" s="3"/>
      </tp>
      <tp>
        <v>30.7</v>
        <stp/>
        <stp>PETR3_B_0</stp>
        <stp>ABE</stp>
        <tr r="C63" s="3"/>
      </tp>
      <tp>
        <v>24.919999999999998</v>
        <stp/>
        <stp>TOTS3_B_0</stp>
        <stp>ABE</stp>
        <tr r="C76" s="3"/>
      </tp>
      <tp>
        <v>0</v>
        <stp/>
        <stp>CIEL3_B_0</stp>
        <stp>PRT</stp>
        <tr r="G19" s="3"/>
      </tp>
      <tp>
        <v>102680</v>
        <stp/>
        <stp>WINFUT_F_0</stp>
        <stp>ULT</stp>
        <tr r="C9" s="7"/>
      </tp>
      <tp>
        <v>5676.5</v>
        <stp/>
        <stp>WDOFUT_F_0</stp>
        <stp>ULT</stp>
        <tr r="C10" s="7"/>
      </tp>
      <tp>
        <v>0</v>
        <stp/>
        <stp>LREN3_B_0</stp>
        <stp>PRT</stp>
        <tr r="G56" s="3"/>
      </tp>
      <tp>
        <v>0</v>
        <stp/>
        <stp>HGTX3_B_0</stp>
        <stp>ABE</stp>
        <tr r="C45" s="3"/>
      </tp>
      <tp>
        <v>0</v>
        <stp/>
        <stp>ELET3_B_0</stp>
        <stp>PRT</stp>
        <tr r="G31" s="3"/>
      </tp>
      <tp>
        <v>0</v>
        <stp/>
        <stp>ELET6_B_0</stp>
        <stp>PRT</stp>
        <tr r="G32" s="3"/>
      </tp>
      <tp>
        <v>0</v>
        <stp/>
        <stp>ENEV3_B_0</stp>
        <stp>PRT</stp>
        <tr r="G35" s="3"/>
      </tp>
      <tp>
        <v>0</v>
        <stp/>
        <stp>ABEV3_B_0</stp>
        <stp>PRT</stp>
        <tr r="G2" s="3"/>
      </tp>
      <tp>
        <v>9.18</v>
        <stp/>
        <stp>ITSA4_B_0</stp>
        <stp>FEC</stp>
        <tr r="D49" s="3"/>
      </tp>
      <tp>
        <v>11.24</v>
        <stp/>
        <stp>B3SA3_B_0</stp>
        <stp>FEC</stp>
        <tr r="D5" s="3"/>
      </tp>
      <tp>
        <v>4.6100000000000003</v>
        <stp/>
        <stp>JHSF3_B_0</stp>
        <stp>FEC</stp>
        <tr r="D52" s="3"/>
      </tp>
      <tp>
        <v>33.08</v>
        <stp/>
        <stp>IGTA3_B_0</stp>
        <stp>ABE</stp>
        <tr r="C47" s="3"/>
      </tp>
      <tp>
        <v>19.8</v>
        <stp/>
        <stp>BBSE3_B_0</stp>
        <stp>FEC</stp>
        <tr r="D9" s="3"/>
      </tp>
      <tp>
        <v>59.660000000000004</v>
        <stp/>
        <stp>SUZB3_B_0</stp>
        <stp>OCP</stp>
        <tr r="E73" s="3"/>
      </tp>
      <tp>
        <v>17.899999999999999</v>
        <stp/>
        <stp>EZTC3_B_0</stp>
        <stp>ABE</stp>
        <tr r="C38" s="3"/>
      </tp>
      <tp>
        <v>21.23</v>
        <stp/>
        <stp>EQTL3_B_0</stp>
        <stp>ABE</stp>
        <tr r="C37" s="3"/>
      </tp>
      <tp>
        <v>31.35</v>
        <stp/>
        <stp>SANB11_B_0</stp>
        <stp>ULT</stp>
        <tr r="B70" s="3"/>
      </tp>
    </main>
    <main first="srv.rtd">
      <tp t="e">
        <v>#N/A</v>
        <stp/>
        <stp>PLAYERSRANKING</stp>
        <stp>EQTL3</stp>
        <stp>120</stp>
        <stp>SALDO</stp>
        <stp>VOLF</stp>
        <tr r="BH22" s="7"/>
      </tp>
      <tp t="e">
        <v>#N/A</v>
        <stp/>
        <stp>PLAYERSRANKING</stp>
        <stp>EQTL3</stp>
        <stp>122</stp>
        <stp>SALDO</stp>
        <stp>VOLF</stp>
        <tr r="BH15" s="7"/>
      </tp>
      <tp t="e">
        <v>#N/A</v>
        <stp/>
        <stp>PLAYERSRANKING</stp>
        <stp>EQTL3</stp>
        <stp>127</stp>
        <stp>SALDO</stp>
        <stp>VOLF</stp>
        <tr r="BH40" s="7"/>
      </tp>
      <tp t="e">
        <v>#N/A</v>
        <stp/>
        <stp>PLAYERSRANKING</stp>
        <stp>EQTL3</stp>
        <stp>114</stp>
        <stp>SALDO</stp>
        <stp>VOLF</stp>
        <tr r="BH28" s="7"/>
      </tp>
      <tp t="e">
        <v>#N/A</v>
        <stp/>
        <stp>PLAYERSRANKING</stp>
        <stp>EQTL3</stp>
        <stp>147</stp>
        <stp>SALDO</stp>
        <stp>VOLF</stp>
        <tr r="BH14" s="7"/>
      </tp>
      <tp t="e">
        <v>#N/A</v>
        <stp/>
        <stp>PLAYERSRANKING</stp>
        <stp>EQTL3</stp>
        <stp>386</stp>
        <stp>SALDO</stp>
        <stp>VOLF</stp>
        <tr r="BH44" s="7"/>
      </tp>
      <tp t="e">
        <v>#N/A</v>
        <stp/>
        <stp>PLAYERSRANKING</stp>
        <stp>EQTL3</stp>
        <stp>308</stp>
        <stp>SALDO</stp>
        <stp>VOLF</stp>
        <tr r="BH42" s="7"/>
      </tp>
      <tp t="e">
        <v>#N/A</v>
        <stp/>
        <stp>PLAYERSRANKING</stp>
        <stp>EQTL3</stp>
        <stp>238</stp>
        <stp>SALDO</stp>
        <stp>VOLF</stp>
        <tr r="BH23" s="7"/>
      </tp>
      <tp t="e">
        <v>#N/A</v>
        <stp/>
        <stp>PLAYERSRANKING</stp>
        <stp>BRKM5</stp>
        <stp/>
        <stp>SALDO</stp>
        <stp>VOLF</stp>
        <tr r="AL39" s="7"/>
        <tr r="AL35" s="7"/>
        <tr r="AL25" s="7"/>
        <tr r="AL31" s="7"/>
        <tr r="AL24" s="7"/>
      </tp>
      <tp t="e">
        <v>#N/A</v>
        <stp/>
        <stp>PLAYERSRANKING</stp>
        <stp>CPFE3</stp>
        <stp>308</stp>
        <stp>SALDO</stp>
        <stp>VOLF</stp>
        <tr r="AS42" s="7"/>
      </tp>
      <tp t="e">
        <v>#N/A</v>
        <stp/>
        <stp>PLAYERSRANKING</stp>
        <stp>CPFE3</stp>
        <stp>386</stp>
        <stp>SALDO</stp>
        <stp>VOLF</stp>
        <tr r="AS44" s="7"/>
      </tp>
      <tp t="e">
        <v>#N/A</v>
        <stp/>
        <stp>PLAYERSRANKING</stp>
        <stp>CPFE3</stp>
        <stp>238</stp>
        <stp>SALDO</stp>
        <stp>VOLF</stp>
        <tr r="AS23" s="7"/>
      </tp>
      <tp t="e">
        <v>#N/A</v>
        <stp/>
        <stp>PLAYERSRANKING</stp>
        <stp>CPFE3</stp>
        <stp>127</stp>
        <stp>SALDO</stp>
        <stp>VOLF</stp>
        <tr r="AS40" s="7"/>
      </tp>
      <tp t="e">
        <v>#N/A</v>
        <stp/>
        <stp>PLAYERSRANKING</stp>
        <stp>CPFE3</stp>
        <stp>122</stp>
        <stp>SALDO</stp>
        <stp>VOLF</stp>
        <tr r="AS15" s="7"/>
      </tp>
      <tp t="e">
        <v>#N/A</v>
        <stp/>
        <stp>PLAYERSRANKING</stp>
        <stp>CPFE3</stp>
        <stp>120</stp>
        <stp>SALDO</stp>
        <stp>VOLF</stp>
        <tr r="AS22" s="7"/>
      </tp>
      <tp t="e">
        <v>#N/A</v>
        <stp/>
        <stp>PLAYERSRANKING</stp>
        <stp>CPFE3</stp>
        <stp>114</stp>
        <stp>SALDO</stp>
        <stp>VOLF</stp>
        <tr r="AS28" s="7"/>
      </tp>
      <tp t="e">
        <v>#N/A</v>
        <stp/>
        <stp>PLAYERSRANKING</stp>
        <stp>CPFE3</stp>
        <stp>147</stp>
        <stp>SALDO</stp>
        <stp>VOLF</stp>
        <tr r="AS14" s="7"/>
      </tp>
      <tp t="e">
        <v>#N/A</v>
        <stp/>
        <stp>PLAYERSRANKING</stp>
        <stp>CPLE6</stp>
        <stp>122</stp>
        <stp>SALDO</stp>
        <stp>VOLF</stp>
        <tr r="AT15" s="7"/>
      </tp>
      <tp t="e">
        <v>#N/A</v>
        <stp/>
        <stp>PLAYERSRANKING</stp>
        <stp>CPLE6</stp>
        <stp>120</stp>
        <stp>SALDO</stp>
        <stp>VOLF</stp>
        <tr r="AT22" s="7"/>
      </tp>
      <tp t="e">
        <v>#N/A</v>
        <stp/>
        <stp>PLAYERSRANKING</stp>
        <stp>CPLE6</stp>
        <stp>127</stp>
        <stp>SALDO</stp>
        <stp>VOLF</stp>
        <tr r="AT40" s="7"/>
      </tp>
      <tp t="e">
        <v>#N/A</v>
        <stp/>
        <stp>PLAYERSRANKING</stp>
        <stp>CPLE6</stp>
        <stp>114</stp>
        <stp>SALDO</stp>
        <stp>VOLF</stp>
        <tr r="AT28" s="7"/>
      </tp>
      <tp t="e">
        <v>#N/A</v>
        <stp/>
        <stp>PLAYERSRANKING</stp>
        <stp>CPLE6</stp>
        <stp>147</stp>
        <stp>SALDO</stp>
        <stp>VOLF</stp>
        <tr r="AT14" s="7"/>
      </tp>
      <tp t="e">
        <v>#N/A</v>
        <stp/>
        <stp>PLAYERSRANKING</stp>
        <stp>CPLE6</stp>
        <stp>308</stp>
        <stp>SALDO</stp>
        <stp>VOLF</stp>
        <tr r="AT42" s="7"/>
      </tp>
      <tp t="e">
        <v>#N/A</v>
        <stp/>
        <stp>PLAYERSRANKING</stp>
        <stp>CPLE6</stp>
        <stp>386</stp>
        <stp>SALDO</stp>
        <stp>VOLF</stp>
        <tr r="AT44" s="7"/>
      </tp>
      <tp t="e">
        <v>#N/A</v>
        <stp/>
        <stp>PLAYERSRANKING</stp>
        <stp>CPLE6</stp>
        <stp>238</stp>
        <stp>SALDO</stp>
        <stp>VOLF</stp>
        <tr r="AT23" s="7"/>
      </tp>
      <tp t="e">
        <v>#N/A</v>
        <stp/>
        <stp>PLAYERSRANKING</stp>
        <stp>WINFUT</stp>
        <stp>8</stp>
        <stp>SALDO</stp>
        <stp>VOLF</stp>
        <tr r="V41" s="7"/>
      </tp>
      <tp t="e">
        <v>#N/A</v>
        <stp/>
        <stp>PLAYERSRANKING</stp>
        <stp>WINFUT</stp>
        <stp>3</stp>
        <stp>SALDO</stp>
        <stp>VOLF</stp>
        <tr r="V45" s="7"/>
      </tp>
      <tp t="e">
        <v>#N/A</v>
        <stp/>
        <stp>PLAYERSRANKING</stp>
        <stp>WDOFUT</stp>
        <stp>8</stp>
        <stp>SALDO</stp>
        <stp>VOLF</stp>
        <tr r="X41" s="7"/>
      </tp>
      <tp t="e">
        <v>#N/A</v>
        <stp/>
        <stp>PLAYERSRANKING</stp>
        <stp>WDOFUT</stp>
        <stp>3</stp>
        <stp>SALDO</stp>
        <stp>VOLF</stp>
        <tr r="X45" s="7"/>
      </tp>
      <tp t="e">
        <v>#N/A</v>
        <stp/>
        <stp>PLAYERSRANKING</stp>
        <stp>CSAN3</stp>
        <stp>114</stp>
        <stp>SALDO</stp>
        <stp>VOLF</stp>
        <tr r="AV28" s="7"/>
      </tp>
      <tp t="e">
        <v>#N/A</v>
        <stp/>
        <stp>PLAYERSRANKING</stp>
        <stp>CSAN3</stp>
        <stp>127</stp>
        <stp>SALDO</stp>
        <stp>VOLF</stp>
        <tr r="AV40" s="7"/>
      </tp>
      <tp t="e">
        <v>#N/A</v>
        <stp/>
        <stp>PLAYERSRANKING</stp>
        <stp>CSAN3</stp>
        <stp>122</stp>
        <stp>SALDO</stp>
        <stp>VOLF</stp>
        <tr r="AV15" s="7"/>
      </tp>
      <tp t="e">
        <v>#N/A</v>
        <stp/>
        <stp>PLAYERSRANKING</stp>
        <stp>CSAN3</stp>
        <stp>120</stp>
        <stp>SALDO</stp>
        <stp>VOLF</stp>
        <tr r="AV22" s="7"/>
      </tp>
      <tp t="e">
        <v>#N/A</v>
        <stp/>
        <stp>PLAYERSRANKING</stp>
        <stp>ASAI3</stp>
        <stp>147</stp>
        <stp>SALDO</stp>
        <stp>VOLF</stp>
        <tr r="Z14" s="7"/>
      </tp>
      <tp t="e">
        <v>#N/A</v>
        <stp/>
        <stp>PLAYERSRANKING</stp>
        <stp>CSAN3</stp>
        <stp>147</stp>
        <stp>SALDO</stp>
        <stp>VOLF</stp>
        <tr r="AV14" s="7"/>
      </tp>
      <tp t="e">
        <v>#N/A</v>
        <stp/>
        <stp>PLAYERSRANKING</stp>
        <stp>ASAI3</stp>
        <stp>127</stp>
        <stp>SALDO</stp>
        <stp>VOLF</stp>
        <tr r="Z40" s="7"/>
      </tp>
      <tp t="e">
        <v>#N/A</v>
        <stp/>
        <stp>PLAYERSRANKING</stp>
        <stp>ASAI3</stp>
        <stp>120</stp>
        <stp>SALDO</stp>
        <stp>VOLF</stp>
        <tr r="Z22" s="7"/>
      </tp>
      <tp t="e">
        <v>#N/A</v>
        <stp/>
        <stp>PLAYERSRANKING</stp>
        <stp>ASAI3</stp>
        <stp>122</stp>
        <stp>SALDO</stp>
        <stp>VOLF</stp>
        <tr r="Z15" s="7"/>
      </tp>
      <tp t="e">
        <v>#N/A</v>
        <stp/>
        <stp>PLAYERSRANKING</stp>
        <stp>ASAI3</stp>
        <stp>114</stp>
        <stp>SALDO</stp>
        <stp>VOLF</stp>
        <tr r="Z28" s="7"/>
      </tp>
      <tp t="e">
        <v>#N/A</v>
        <stp/>
        <stp>PLAYERSRANKING</stp>
        <stp>CSAN3</stp>
        <stp>238</stp>
        <stp>SALDO</stp>
        <stp>VOLF</stp>
        <tr r="AV23" s="7"/>
      </tp>
      <tp t="e">
        <v>#N/A</v>
        <stp/>
        <stp>PLAYERSRANKING</stp>
        <stp>ASAI3</stp>
        <stp>238</stp>
        <stp>SALDO</stp>
        <stp>VOLF</stp>
        <tr r="Z23" s="7"/>
      </tp>
      <tp t="e">
        <v>#N/A</v>
        <stp/>
        <stp>PLAYERSRANKING</stp>
        <stp>CSAN3</stp>
        <stp>386</stp>
        <stp>SALDO</stp>
        <stp>VOLF</stp>
        <tr r="AV44" s="7"/>
      </tp>
      <tp t="e">
        <v>#N/A</v>
        <stp/>
        <stp>PLAYERSRANKING</stp>
        <stp>ASAI3</stp>
        <stp>386</stp>
        <stp>SALDO</stp>
        <stp>VOLF</stp>
        <tr r="Z44" s="7"/>
      </tp>
      <tp t="e">
        <v>#N/A</v>
        <stp/>
        <stp>PLAYERSRANKING</stp>
        <stp>CSAN3</stp>
        <stp>308</stp>
        <stp>SALDO</stp>
        <stp>VOLF</stp>
        <tr r="AV42" s="7"/>
      </tp>
      <tp t="e">
        <v>#N/A</v>
        <stp/>
        <stp>PLAYERSRANKING</stp>
        <stp>ASAI3</stp>
        <stp>308</stp>
        <stp>SALDO</stp>
        <stp>VOLF</stp>
        <tr r="Z42" s="7"/>
      </tp>
      <tp t="e">
        <v>#N/A</v>
        <stp/>
        <stp>PLAYERSRANKING</stp>
        <stp>CSNA3</stp>
        <stp>308</stp>
        <stp>SALDO</stp>
        <stp>VOLF</stp>
        <tr r="AW42" s="7"/>
      </tp>
      <tp t="e">
        <v>#N/A</v>
        <stp/>
        <stp>PLAYERSRANKING</stp>
        <stp>CSNA3</stp>
        <stp>386</stp>
        <stp>SALDO</stp>
        <stp>VOLF</stp>
        <tr r="AW44" s="7"/>
      </tp>
      <tp t="e">
        <v>#N/A</v>
        <stp/>
        <stp>PLAYERSRANKING</stp>
        <stp>CSNA3</stp>
        <stp>238</stp>
        <stp>SALDO</stp>
        <stp>VOLF</stp>
        <tr r="AW23" s="7"/>
      </tp>
      <tp t="e">
        <v>#N/A</v>
        <stp/>
        <stp>PLAYERSRANKING</stp>
        <stp>CSNA3</stp>
        <stp>147</stp>
        <stp>SALDO</stp>
        <stp>VOLF</stp>
        <tr r="AW14" s="7"/>
      </tp>
      <tp t="e">
        <v>#N/A</v>
        <stp/>
        <stp>PLAYERSRANKING</stp>
        <stp>CSNA3</stp>
        <stp>127</stp>
        <stp>SALDO</stp>
        <stp>VOLF</stp>
        <tr r="AW40" s="7"/>
      </tp>
      <tp t="e">
        <v>#N/A</v>
        <stp/>
        <stp>PLAYERSRANKING</stp>
        <stp>CSNA3</stp>
        <stp>122</stp>
        <stp>SALDO</stp>
        <stp>VOLF</stp>
        <tr r="AW15" s="7"/>
      </tp>
      <tp t="e">
        <v>#N/A</v>
        <stp/>
        <stp>PLAYERSRANKING</stp>
        <stp>CSNA3</stp>
        <stp>120</stp>
        <stp>SALDO</stp>
        <stp>VOLF</stp>
        <tr r="AW22" s="7"/>
      </tp>
      <tp t="e">
        <v>#N/A</v>
        <stp/>
        <stp>PLAYERSRANKING</stp>
        <stp>CSNA3</stp>
        <stp>114</stp>
        <stp>SALDO</stp>
        <stp>VOLF</stp>
        <tr r="AW28" s="7"/>
      </tp>
      <tp t="e">
        <v>#N/A</v>
        <stp/>
        <stp>PLAYERSRANKING</stp>
        <stp>USIM5</stp>
        <stp>127</stp>
        <stp>SALDO</stp>
        <stp>VOLF</stp>
        <tr r="CW40" s="7"/>
      </tp>
      <tp t="e">
        <v>#N/A</v>
        <stp/>
        <stp>PLAYERSRANKING</stp>
        <stp>USIM5</stp>
        <stp>122</stp>
        <stp>SALDO</stp>
        <stp>VOLF</stp>
        <tr r="CW15" s="7"/>
      </tp>
      <tp t="e">
        <v>#N/A</v>
        <stp/>
        <stp>PLAYERSRANKING</stp>
        <stp>USIM5</stp>
        <stp>120</stp>
        <stp>SALDO</stp>
        <stp>VOLF</stp>
        <tr r="CW22" s="7"/>
      </tp>
      <tp t="e">
        <v>#N/A</v>
        <stp/>
        <stp>PLAYERSRANKING</stp>
        <stp>USIM5</stp>
        <stp>114</stp>
        <stp>SALDO</stp>
        <stp>VOLF</stp>
        <tr r="CW28" s="7"/>
      </tp>
      <tp t="e">
        <v>#N/A</v>
        <stp/>
        <stp>PLAYERSRANKING</stp>
        <stp>USIM5</stp>
        <stp>147</stp>
        <stp>SALDO</stp>
        <stp>VOLF</stp>
        <tr r="CW14" s="7"/>
      </tp>
      <tp t="e">
        <v>#N/A</v>
        <stp/>
        <stp>PLAYERSRANKING</stp>
        <stp>USIM5</stp>
        <stp>238</stp>
        <stp>SALDO</stp>
        <stp>VOLF</stp>
        <tr r="CW23" s="7"/>
      </tp>
      <tp t="e">
        <v>#N/A</v>
        <stp/>
        <stp>PLAYERSRANKING</stp>
        <stp>USIM5</stp>
        <stp>386</stp>
        <stp>SALDO</stp>
        <stp>VOLF</stp>
        <tr r="CW44" s="7"/>
      </tp>
      <tp t="e">
        <v>#N/A</v>
        <stp/>
        <stp>PLAYERSRANKING</stp>
        <stp>USIM5</stp>
        <stp>308</stp>
        <stp>SALDO</stp>
        <stp>VOLF</stp>
        <tr r="CW42" s="7"/>
      </tp>
      <tp t="e">
        <v>#N/A</v>
        <stp/>
        <stp>PLAYERSRANKING</stp>
        <stp>EGIE3</stp>
        <stp/>
        <stp>SALDO</stp>
        <stp>VOLF</stp>
        <tr r="BA39" s="7"/>
        <tr r="BA35" s="7"/>
        <tr r="BA31" s="7"/>
        <tr r="BA24" s="7"/>
        <tr r="BA25" s="7"/>
      </tp>
      <tp t="e">
        <v>#N/A</v>
        <stp/>
        <stp>PLAYERSRANKING</stp>
        <stp>CMIG4</stp>
        <stp/>
        <stp>SALDO</stp>
        <stp>VOLF</stp>
        <tr r="AQ25" s="7"/>
        <tr r="AQ24" s="7"/>
        <tr r="AQ39" s="7"/>
        <tr r="AQ35" s="7"/>
        <tr r="AQ31" s="7"/>
      </tp>
      <tp t="e">
        <v>#N/A</v>
        <stp/>
        <stp>PLAYERSRANKING</stp>
        <stp>USIM5</stp>
        <stp/>
        <stp>SALDO</stp>
        <stp>VOLF</stp>
        <tr r="CW39" s="7"/>
        <tr r="CW35" s="7"/>
        <tr r="CW31" s="7"/>
        <tr r="CW24" s="7"/>
        <tr r="CW25" s="7"/>
      </tp>
      <tp t="e">
        <v>#N/A</v>
        <stp/>
        <stp>PLAYERSRANKING</stp>
        <stp>RAIL3</stp>
        <stp/>
        <stp>SALDO</stp>
        <stp>VOLF</stp>
        <tr r="CM25" s="7"/>
        <tr r="CM24" s="7"/>
        <tr r="CM39" s="7"/>
        <tr r="CM35" s="7"/>
        <tr r="CM31" s="7"/>
      </tp>
      <tp t="e">
        <v>#N/A</v>
        <stp/>
        <stp>PLAYERSRANKING</stp>
        <stp>PRIO3</stp>
        <stp/>
        <stp>SALDO</stp>
        <stp>VOLF</stp>
        <tr r="CJ25" s="7"/>
        <tr r="CJ24" s="7"/>
        <tr r="CJ39" s="7"/>
        <tr r="CJ35" s="7"/>
        <tr r="CJ31" s="7"/>
      </tp>
      <tp t="e">
        <v>#N/A</v>
        <stp/>
        <stp>PLAYERSRANKING</stp>
        <stp>MRFG3</stp>
        <stp>308</stp>
        <stp>SALDO</stp>
        <stp>VOLF</stp>
        <tr r="CC42" s="7"/>
      </tp>
      <tp t="e">
        <v>#N/A</v>
        <stp/>
        <stp>PLAYERSRANKING</stp>
        <stp>CRFB3</stp>
        <stp>308</stp>
        <stp>SALDO</stp>
        <stp>VOLF</stp>
        <tr r="AU42" s="7"/>
      </tp>
      <tp t="e">
        <v>#N/A</v>
        <stp/>
        <stp>PLAYERSRANKING</stp>
        <stp>MRFG3</stp>
        <stp>386</stp>
        <stp>SALDO</stp>
        <stp>VOLF</stp>
        <tr r="CC44" s="7"/>
      </tp>
      <tp t="e">
        <v>#N/A</v>
        <stp/>
        <stp>PLAYERSRANKING</stp>
        <stp>CRFB3</stp>
        <stp>386</stp>
        <stp>SALDO</stp>
        <stp>VOLF</stp>
        <tr r="AU44" s="7"/>
      </tp>
      <tp t="e">
        <v>#N/A</v>
        <stp/>
        <stp>PLAYERSRANKING</stp>
        <stp>BRDT3</stp>
        <stp>127</stp>
        <stp>SALDO</stp>
        <stp>VOLF</stp>
        <tr r="AJ40" s="7"/>
      </tp>
      <tp t="e">
        <v>#N/A</v>
        <stp/>
        <stp>PLAYERSRANKING</stp>
        <stp>BRDT3</stp>
        <stp>122</stp>
        <stp>SALDO</stp>
        <stp>VOLF</stp>
        <tr r="AJ15" s="7"/>
      </tp>
      <tp t="e">
        <v>#N/A</v>
        <stp/>
        <stp>PLAYERSRANKING</stp>
        <stp>BRDT3</stp>
        <stp>120</stp>
        <stp>SALDO</stp>
        <stp>VOLF</stp>
        <tr r="AJ22" s="7"/>
      </tp>
      <tp t="e">
        <v>#N/A</v>
        <stp/>
        <stp>PLAYERSRANKING</stp>
        <stp>BRDT3</stp>
        <stp>114</stp>
        <stp>SALDO</stp>
        <stp>VOLF</stp>
        <tr r="AJ28" s="7"/>
      </tp>
      <tp t="e">
        <v>#N/A</v>
        <stp/>
        <stp>PLAYERSRANKING</stp>
        <stp>BRFS3</stp>
        <stp>308</stp>
        <stp>SALDO</stp>
        <stp>VOLF</stp>
        <tr r="AK42" s="7"/>
      </tp>
      <tp t="e">
        <v>#N/A</v>
        <stp/>
        <stp>PLAYERSRANKING</stp>
        <stp>BRDT3</stp>
        <stp>147</stp>
        <stp>SALDO</stp>
        <stp>VOLF</stp>
        <tr r="AJ14" s="7"/>
      </tp>
      <tp t="e">
        <v>#N/A</v>
        <stp/>
        <stp>PLAYERSRANKING</stp>
        <stp>BRFS3</stp>
        <stp>386</stp>
        <stp>SALDO</stp>
        <stp>VOLF</stp>
        <tr r="AK44" s="7"/>
      </tp>
      <tp t="e">
        <v>#N/A</v>
        <stp/>
        <stp>PLAYERSRANKING</stp>
        <stp>MRFG3</stp>
        <stp>238</stp>
        <stp>SALDO</stp>
        <stp>VOLF</stp>
        <tr r="CC23" s="7"/>
      </tp>
      <tp t="e">
        <v>#N/A</v>
        <stp/>
        <stp>PLAYERSRANKING</stp>
        <stp>CRFB3</stp>
        <stp>238</stp>
        <stp>SALDO</stp>
        <stp>VOLF</stp>
        <tr r="AU23" s="7"/>
      </tp>
      <tp t="e">
        <v>#N/A</v>
        <stp/>
        <stp>PLAYERSRANKING</stp>
        <stp>LREN3</stp>
        <stp>114</stp>
        <stp>SALDO</stp>
        <stp>VOLF</stp>
        <tr r="CA28" s="7"/>
      </tp>
      <tp t="e">
        <v>#N/A</v>
        <stp/>
        <stp>PLAYERSRANKING</stp>
        <stp>LREN3</stp>
        <stp>120</stp>
        <stp>SALDO</stp>
        <stp>VOLF</stp>
        <tr r="CA22" s="7"/>
      </tp>
      <tp t="e">
        <v>#N/A</v>
        <stp/>
        <stp>PLAYERSRANKING</stp>
        <stp>LREN3</stp>
        <stp>122</stp>
        <stp>SALDO</stp>
        <stp>VOLF</stp>
        <tr r="CA15" s="7"/>
      </tp>
      <tp t="e">
        <v>#N/A</v>
        <stp/>
        <stp>PLAYERSRANKING</stp>
        <stp>LREN3</stp>
        <stp>127</stp>
        <stp>SALDO</stp>
        <stp>VOLF</stp>
        <tr r="CA40" s="7"/>
      </tp>
      <tp t="e">
        <v>#N/A</v>
        <stp/>
        <stp>PLAYERSRANKING</stp>
        <stp>LREN3</stp>
        <stp>147</stp>
        <stp>SALDO</stp>
        <stp>VOLF</stp>
        <tr r="CA14" s="7"/>
      </tp>
      <tp t="e">
        <v>#N/A</v>
        <stp/>
        <stp>PLAYERSRANKING</stp>
        <stp>BRFS3</stp>
        <stp>238</stp>
        <stp>SALDO</stp>
        <stp>VOLF</stp>
        <tr r="AK23" s="7"/>
      </tp>
      <tp t="e">
        <v>#N/A</v>
        <stp/>
        <stp>PLAYERSRANKING</stp>
        <stp>CRFB3</stp>
        <stp>147</stp>
        <stp>SALDO</stp>
        <stp>VOLF</stp>
        <tr r="AU14" s="7"/>
      </tp>
      <tp t="e">
        <v>#N/A</v>
        <stp/>
        <stp>PLAYERSRANKING</stp>
        <stp>MRFG3</stp>
        <stp>114</stp>
        <stp>SALDO</stp>
        <stp>VOLF</stp>
        <tr r="CC28" s="7"/>
      </tp>
      <tp t="e">
        <v>#N/A</v>
        <stp/>
        <stp>PLAYERSRANKING</stp>
        <stp>MRFG3</stp>
        <stp>120</stp>
        <stp>SALDO</stp>
        <stp>VOLF</stp>
        <tr r="CC22" s="7"/>
      </tp>
      <tp t="e">
        <v>#N/A</v>
        <stp/>
        <stp>PLAYERSRANKING</stp>
        <stp>MRFG3</stp>
        <stp>122</stp>
        <stp>SALDO</stp>
        <stp>VOLF</stp>
        <tr r="CC15" s="7"/>
      </tp>
      <tp t="e">
        <v>#N/A</v>
        <stp/>
        <stp>PLAYERSRANKING</stp>
        <stp>MRFG3</stp>
        <stp>127</stp>
        <stp>SALDO</stp>
        <stp>VOLF</stp>
        <tr r="CC40" s="7"/>
      </tp>
      <tp t="e">
        <v>#N/A</v>
        <stp/>
        <stp>PLAYERSRANKING</stp>
        <stp>CRFB3</stp>
        <stp>114</stp>
        <stp>SALDO</stp>
        <stp>VOLF</stp>
        <tr r="AU28" s="7"/>
      </tp>
      <tp t="e">
        <v>#N/A</v>
        <stp/>
        <stp>PLAYERSRANKING</stp>
        <stp>MRFG3</stp>
        <stp>147</stp>
        <stp>SALDO</stp>
        <stp>VOLF</stp>
        <tr r="CC14" s="7"/>
      </tp>
      <tp t="e">
        <v>#N/A</v>
        <stp/>
        <stp>PLAYERSRANKING</stp>
        <stp>CRFB3</stp>
        <stp>127</stp>
        <stp>SALDO</stp>
        <stp>VOLF</stp>
        <tr r="AU40" s="7"/>
      </tp>
      <tp t="e">
        <v>#N/A</v>
        <stp/>
        <stp>PLAYERSRANKING</stp>
        <stp>CRFB3</stp>
        <stp>122</stp>
        <stp>SALDO</stp>
        <stp>VOLF</stp>
        <tr r="AU15" s="7"/>
      </tp>
      <tp t="e">
        <v>#N/A</v>
        <stp/>
        <stp>PLAYERSRANKING</stp>
        <stp>CRFB3</stp>
        <stp>120</stp>
        <stp>SALDO</stp>
        <stp>VOLF</stp>
        <tr r="AU22" s="7"/>
      </tp>
      <tp t="e">
        <v>#N/A</v>
        <stp/>
        <stp>PLAYERSRANKING</stp>
        <stp>LREN3</stp>
        <stp>238</stp>
        <stp>SALDO</stp>
        <stp>VOLF</stp>
        <tr r="CA23" s="7"/>
      </tp>
      <tp t="e">
        <v>#N/A</v>
        <stp/>
        <stp>PLAYERSRANKING</stp>
        <stp>BRFS3</stp>
        <stp>147</stp>
        <stp>SALDO</stp>
        <stp>VOLF</stp>
        <tr r="AK14" s="7"/>
      </tp>
      <tp t="e">
        <v>#N/A</v>
        <stp/>
        <stp>PLAYERSRANKING</stp>
        <stp>BRDT3</stp>
        <stp>308</stp>
        <stp>SALDO</stp>
        <stp>VOLF</stp>
        <tr r="AJ42" s="7"/>
      </tp>
      <tp t="e">
        <v>#N/A</v>
        <stp/>
        <stp>PLAYERSRANKING</stp>
        <stp>BRFS3</stp>
        <stp>114</stp>
        <stp>SALDO</stp>
        <stp>VOLF</stp>
        <tr r="AK28" s="7"/>
      </tp>
      <tp t="e">
        <v>#N/A</v>
        <stp/>
        <stp>PLAYERSRANKING</stp>
        <stp>BRFS3</stp>
        <stp>127</stp>
        <stp>SALDO</stp>
        <stp>VOLF</stp>
        <tr r="AK40" s="7"/>
      </tp>
      <tp t="e">
        <v>#N/A</v>
        <stp/>
        <stp>PLAYERSRANKING</stp>
        <stp>BRFS3</stp>
        <stp>122</stp>
        <stp>SALDO</stp>
        <stp>VOLF</stp>
        <tr r="AK15" s="7"/>
      </tp>
      <tp t="e">
        <v>#N/A</v>
        <stp/>
        <stp>PLAYERSRANKING</stp>
        <stp>BRFS3</stp>
        <stp>120</stp>
        <stp>SALDO</stp>
        <stp>VOLF</stp>
        <tr r="AK22" s="7"/>
      </tp>
      <tp t="e">
        <v>#N/A</v>
        <stp/>
        <stp>PLAYERSRANKING</stp>
        <stp>BRDT3</stp>
        <stp>386</stp>
        <stp>SALDO</stp>
        <stp>VOLF</stp>
        <tr r="AJ44" s="7"/>
      </tp>
      <tp t="e">
        <v>#N/A</v>
        <stp/>
        <stp>PLAYERSRANKING</stp>
        <stp>LREN3</stp>
        <stp>386</stp>
        <stp>SALDO</stp>
        <stp>VOLF</stp>
        <tr r="CA44" s="7"/>
      </tp>
      <tp t="e">
        <v>#N/A</v>
        <stp/>
        <stp>PLAYERSRANKING</stp>
        <stp>LREN3</stp>
        <stp>308</stp>
        <stp>SALDO</stp>
        <stp>VOLF</stp>
        <tr r="CA42" s="7"/>
      </tp>
      <tp t="e">
        <v>#N/A</v>
        <stp/>
        <stp>PLAYERSRANKING</stp>
        <stp>BRDT3</stp>
        <stp>238</stp>
        <stp>SALDO</stp>
        <stp>VOLF</stp>
        <tr r="AJ23" s="7"/>
      </tp>
      <tp t="e">
        <v>#N/A</v>
        <stp/>
        <stp>PLAYERSRANKING</stp>
        <stp>IRBR3</stp>
        <stp>308</stp>
        <stp>SALDO</stp>
        <stp>VOLF</stp>
        <tr r="BS42" s="7"/>
      </tp>
      <tp t="e">
        <v>#N/A</v>
        <stp/>
        <stp>PLAYERSRANKING</stp>
        <stp>IRBR3</stp>
        <stp>386</stp>
        <stp>SALDO</stp>
        <stp>VOLF</stp>
        <tr r="BS44" s="7"/>
      </tp>
      <tp t="e">
        <v>#N/A</v>
        <stp/>
        <stp>PLAYERSRANKING</stp>
        <stp>BRAP4</stp>
        <stp>147</stp>
        <stp>SALDO</stp>
        <stp>VOLF</stp>
        <tr r="AI14" s="7"/>
      </tp>
      <tp t="e">
        <v>#N/A</v>
        <stp/>
        <stp>PLAYERSRANKING</stp>
        <stp>BRAP4</stp>
        <stp>120</stp>
        <stp>SALDO</stp>
        <stp>VOLF</stp>
        <tr r="AI22" s="7"/>
      </tp>
      <tp t="e">
        <v>#N/A</v>
        <stp/>
        <stp>PLAYERSRANKING</stp>
        <stp>BRAP4</stp>
        <stp>122</stp>
        <stp>SALDO</stp>
        <stp>VOLF</stp>
        <tr r="AI15" s="7"/>
      </tp>
      <tp t="e">
        <v>#N/A</v>
        <stp/>
        <stp>PLAYERSRANKING</stp>
        <stp>BRAP4</stp>
        <stp>127</stp>
        <stp>SALDO</stp>
        <stp>VOLF</stp>
        <tr r="AI40" s="7"/>
      </tp>
      <tp t="e">
        <v>#N/A</v>
        <stp/>
        <stp>PLAYERSRANKING</stp>
        <stp>BRAP4</stp>
        <stp>114</stp>
        <stp>SALDO</stp>
        <stp>VOLF</stp>
        <tr r="AI28" s="7"/>
      </tp>
      <tp t="e">
        <v>#N/A</v>
        <stp/>
        <stp>PLAYERSRANKING</stp>
        <stp>IRBR3</stp>
        <stp>238</stp>
        <stp>SALDO</stp>
        <stp>VOLF</stp>
        <tr r="BS23" s="7"/>
      </tp>
      <tp t="e">
        <v>#N/A</v>
        <stp/>
        <stp>PLAYERSRANKING</stp>
        <stp>IRBR3</stp>
        <stp>147</stp>
        <stp>SALDO</stp>
        <stp>VOLF</stp>
        <tr r="BS14" s="7"/>
      </tp>
      <tp t="e">
        <v>#N/A</v>
        <stp/>
        <stp>PLAYERSRANKING</stp>
        <stp>BRAP4</stp>
        <stp>238</stp>
        <stp>SALDO</stp>
        <stp>VOLF</stp>
        <tr r="AI23" s="7"/>
      </tp>
      <tp t="e">
        <v>#N/A</v>
        <stp/>
        <stp>PLAYERSRANKING</stp>
        <stp>IRBR3</stp>
        <stp>114</stp>
        <stp>SALDO</stp>
        <stp>VOLF</stp>
        <tr r="BS28" s="7"/>
      </tp>
      <tp t="e">
        <v>#N/A</v>
        <stp/>
        <stp>PLAYERSRANKING</stp>
        <stp>IRBR3</stp>
        <stp>127</stp>
        <stp>SALDO</stp>
        <stp>VOLF</stp>
        <tr r="BS40" s="7"/>
      </tp>
      <tp t="e">
        <v>#N/A</v>
        <stp/>
        <stp>PLAYERSRANKING</stp>
        <stp>IRBR3</stp>
        <stp>120</stp>
        <stp>SALDO</stp>
        <stp>VOLF</stp>
        <tr r="BS22" s="7"/>
      </tp>
      <tp t="e">
        <v>#N/A</v>
        <stp/>
        <stp>PLAYERSRANKING</stp>
        <stp>IRBR3</stp>
        <stp>122</stp>
        <stp>SALDO</stp>
        <stp>VOLF</stp>
        <tr r="BS15" s="7"/>
      </tp>
      <tp t="e">
        <v>#N/A</v>
        <stp/>
        <stp>PLAYERSRANKING</stp>
        <stp>BRAP4</stp>
        <stp>308</stp>
        <stp>SALDO</stp>
        <stp>VOLF</stp>
        <tr r="AI42" s="7"/>
      </tp>
      <tp t="e">
        <v>#N/A</v>
        <stp/>
        <stp>PLAYERSRANKING</stp>
        <stp>BRAP4</stp>
        <stp>386</stp>
        <stp>SALDO</stp>
        <stp>VOLF</stp>
        <tr r="AI44" s="7"/>
      </tp>
      <tp t="e">
        <v>#N/A</v>
        <stp/>
        <stp>PLAYERSRANKING</stp>
        <stp>BRML3</stp>
        <stp>127</stp>
        <stp>SALDO</stp>
        <stp>VOLF</stp>
        <tr r="AM40" s="7"/>
      </tp>
      <tp t="e">
        <v>#N/A</v>
        <stp/>
        <stp>PLAYERSRANKING</stp>
        <stp>BRML3</stp>
        <stp>122</stp>
        <stp>SALDO</stp>
        <stp>VOLF</stp>
        <tr r="AM15" s="7"/>
      </tp>
      <tp t="e">
        <v>#N/A</v>
        <stp/>
        <stp>PLAYERSRANKING</stp>
        <stp>BRML3</stp>
        <stp>120</stp>
        <stp>SALDO</stp>
        <stp>VOLF</stp>
        <tr r="AM22" s="7"/>
      </tp>
      <tp t="e">
        <v>#N/A</v>
        <stp/>
        <stp>PLAYERSRANKING</stp>
        <stp>BRML3</stp>
        <stp>114</stp>
        <stp>SALDO</stp>
        <stp>VOLF</stp>
        <tr r="AM28" s="7"/>
      </tp>
      <tp t="e">
        <v>#N/A</v>
        <stp/>
        <stp>PLAYERSRANKING</stp>
        <stp>BRML3</stp>
        <stp>147</stp>
        <stp>SALDO</stp>
        <stp>VOLF</stp>
        <tr r="AM14" s="7"/>
      </tp>
      <tp t="e">
        <v>#N/A</v>
        <stp/>
        <stp>PLAYERSRANKING</stp>
        <stp>BRML3</stp>
        <stp>238</stp>
        <stp>SALDO</stp>
        <stp>VOLF</stp>
        <tr r="AM23" s="7"/>
      </tp>
      <tp t="e">
        <v>#N/A</v>
        <stp/>
        <stp>PLAYERSRANKING</stp>
        <stp>BRML3</stp>
        <stp>386</stp>
        <stp>SALDO</stp>
        <stp>VOLF</stp>
        <tr r="AM44" s="7"/>
      </tp>
      <tp t="e">
        <v>#N/A</v>
        <stp/>
        <stp>PLAYERSRANKING</stp>
        <stp>BRML3</stp>
        <stp>308</stp>
        <stp>SALDO</stp>
        <stp>VOLF</stp>
        <tr r="AM42" s="7"/>
      </tp>
      <tp t="e">
        <v>#N/A</v>
        <stp/>
        <stp>PLAYERSRANKING</stp>
        <stp>BRKM5</stp>
        <stp>238</stp>
        <stp>SALDO</stp>
        <stp>VOLF</stp>
        <tr r="AL23" s="7"/>
      </tp>
      <tp t="e">
        <v>#N/A</v>
        <stp/>
        <stp>PLAYERSRANKING</stp>
        <stp>BRKM5</stp>
        <stp>386</stp>
        <stp>SALDO</stp>
        <stp>VOLF</stp>
        <tr r="AL44" s="7"/>
      </tp>
      <tp t="e">
        <v>#N/A</v>
        <stp/>
        <stp>PLAYERSRANKING</stp>
        <stp>PRIO3</stp>
        <stp>114</stp>
        <stp>SALDO</stp>
        <stp>VOLF</stp>
        <tr r="CJ28" s="7"/>
      </tp>
      <tp t="e">
        <v>#N/A</v>
        <stp/>
        <stp>PLAYERSRANKING</stp>
        <stp>PRIO3</stp>
        <stp>127</stp>
        <stp>SALDO</stp>
        <stp>VOLF</stp>
        <tr r="CJ40" s="7"/>
      </tp>
      <tp t="e">
        <v>#N/A</v>
        <stp/>
        <stp>PLAYERSRANKING</stp>
        <stp>PRIO3</stp>
        <stp>120</stp>
        <stp>SALDO</stp>
        <stp>VOLF</stp>
        <tr r="CJ22" s="7"/>
      </tp>
      <tp t="e">
        <v>#N/A</v>
        <stp/>
        <stp>PLAYERSRANKING</stp>
        <stp>PRIO3</stp>
        <stp>122</stp>
        <stp>SALDO</stp>
        <stp>VOLF</stp>
        <tr r="CJ15" s="7"/>
      </tp>
      <tp t="e">
        <v>#N/A</v>
        <stp/>
        <stp>PLAYERSRANKING</stp>
        <stp>BRKM5</stp>
        <stp>308</stp>
        <stp>SALDO</stp>
        <stp>VOLF</stp>
        <tr r="AL42" s="7"/>
      </tp>
      <tp t="e">
        <v>#N/A</v>
        <stp/>
        <stp>PLAYERSRANKING</stp>
        <stp>PRIO3</stp>
        <stp>147</stp>
        <stp>SALDO</stp>
        <stp>VOLF</stp>
        <tr r="CJ14" s="7"/>
      </tp>
      <tp t="e">
        <v>#N/A</v>
        <stp/>
        <stp>PLAYERSRANKING</stp>
        <stp>PRIO3</stp>
        <stp>238</stp>
        <stp>SALDO</stp>
        <stp>VOLF</stp>
        <tr r="CJ23" s="7"/>
      </tp>
      <tp t="e">
        <v>#N/A</v>
        <stp/>
        <stp>PLAYERSRANKING</stp>
        <stp>PRIO3</stp>
        <stp>386</stp>
        <stp>SALDO</stp>
        <stp>VOLF</stp>
        <tr r="CJ44" s="7"/>
      </tp>
      <tp t="e">
        <v>#N/A</v>
        <stp/>
        <stp>PLAYERSRANKING</stp>
        <stp>PRIO3</stp>
        <stp>308</stp>
        <stp>SALDO</stp>
        <stp>VOLF</stp>
        <tr r="CJ42" s="7"/>
      </tp>
      <tp t="e">
        <v>#N/A</v>
        <stp/>
        <stp>PLAYERSRANKING</stp>
        <stp>BRKM5</stp>
        <stp>120</stp>
        <stp>SALDO</stp>
        <stp>VOLF</stp>
        <tr r="AL22" s="7"/>
      </tp>
      <tp t="e">
        <v>#N/A</v>
        <stp/>
        <stp>PLAYERSRANKING</stp>
        <stp>BRKM5</stp>
        <stp>122</stp>
        <stp>SALDO</stp>
        <stp>VOLF</stp>
        <tr r="AL15" s="7"/>
      </tp>
      <tp t="e">
        <v>#N/A</v>
        <stp/>
        <stp>PLAYERSRANKING</stp>
        <stp>BRKM5</stp>
        <stp>127</stp>
        <stp>SALDO</stp>
        <stp>VOLF</stp>
        <tr r="AL40" s="7"/>
      </tp>
      <tp t="e">
        <v>#N/A</v>
        <stp/>
        <stp>PLAYERSRANKING</stp>
        <stp>BRKM5</stp>
        <stp>114</stp>
        <stp>SALDO</stp>
        <stp>VOLF</stp>
        <tr r="AL28" s="7"/>
      </tp>
      <tp t="e">
        <v>#N/A</v>
        <stp/>
        <stp>PLAYERSRANKING</stp>
        <stp>BRKM5</stp>
        <stp>147</stp>
        <stp>SALDO</stp>
        <stp>VOLF</stp>
        <tr r="AL14" s="7"/>
      </tp>
      <tp t="e">
        <v>#N/A</v>
        <stp/>
        <stp>PLAYERSRANKING</stp>
        <stp>MRVE3</stp>
        <stp>308</stp>
        <stp>SALDO</stp>
        <stp>VOLF</stp>
        <tr r="CD42" s="7"/>
      </tp>
      <tp t="e">
        <v>#N/A</v>
        <stp/>
        <stp>PLAYERSRANKING</stp>
        <stp>MRVE3</stp>
        <stp>386</stp>
        <stp>SALDO</stp>
        <stp>VOLF</stp>
        <tr r="CD44" s="7"/>
      </tp>
      <tp t="e">
        <v>#N/A</v>
        <stp/>
        <stp>PLAYERSRANKING</stp>
        <stp>MRVE3</stp>
        <stp>238</stp>
        <stp>SALDO</stp>
        <stp>VOLF</stp>
        <tr r="CD23" s="7"/>
      </tp>
      <tp t="e">
        <v>#N/A</v>
        <stp/>
        <stp>PLAYERSRANKING</stp>
        <stp>MRVE3</stp>
        <stp>120</stp>
        <stp>SALDO</stp>
        <stp>VOLF</stp>
        <tr r="CD22" s="7"/>
      </tp>
      <tp t="e">
        <v>#N/A</v>
        <stp/>
        <stp>PLAYERSRANKING</stp>
        <stp>MRVE3</stp>
        <stp>122</stp>
        <stp>SALDO</stp>
        <stp>VOLF</stp>
        <tr r="CD15" s="7"/>
      </tp>
      <tp t="e">
        <v>#N/A</v>
        <stp/>
        <stp>PLAYERSRANKING</stp>
        <stp>MRVE3</stp>
        <stp>127</stp>
        <stp>SALDO</stp>
        <stp>VOLF</stp>
        <tr r="CD40" s="7"/>
      </tp>
      <tp t="e">
        <v>#N/A</v>
        <stp/>
        <stp>PLAYERSRANKING</stp>
        <stp>MRVE3</stp>
        <stp>114</stp>
        <stp>SALDO</stp>
        <stp>VOLF</stp>
        <tr r="CD28" s="7"/>
      </tp>
      <tp t="e">
        <v>#N/A</v>
        <stp/>
        <stp>PLAYERSRANKING</stp>
        <stp>MRVE3</stp>
        <stp>147</stp>
        <stp>SALDO</stp>
        <stp>VOLF</stp>
        <tr r="CD14" s="7"/>
      </tp>
      <tp t="e">
        <v>#N/A</v>
        <stp/>
        <stp>PLAYERSRANKING</stp>
        <stp>QUAL3</stp>
        <stp>127</stp>
        <stp>SALDO</stp>
        <stp>VOLF</stp>
        <tr r="CK40" s="7"/>
      </tp>
      <tp t="e">
        <v>#N/A</v>
        <stp/>
        <stp>PLAYERSRANKING</stp>
        <stp>QUAL3</stp>
        <stp>120</stp>
        <stp>SALDO</stp>
        <stp>VOLF</stp>
        <tr r="CK22" s="7"/>
      </tp>
      <tp t="e">
        <v>#N/A</v>
        <stp/>
        <stp>PLAYERSRANKING</stp>
        <stp>QUAL3</stp>
        <stp>122</stp>
        <stp>SALDO</stp>
        <stp>VOLF</stp>
        <tr r="CK15" s="7"/>
      </tp>
      <tp t="e">
        <v>#N/A</v>
        <stp/>
        <stp>PLAYERSRANKING</stp>
        <stp>QUAL3</stp>
        <stp>114</stp>
        <stp>SALDO</stp>
        <stp>VOLF</stp>
        <tr r="CK28" s="7"/>
      </tp>
      <tp t="e">
        <v>#N/A</v>
        <stp/>
        <stp>PLAYERSRANKING</stp>
        <stp>QUAL3</stp>
        <stp>147</stp>
        <stp>SALDO</stp>
        <stp>VOLF</stp>
        <tr r="CK14" s="7"/>
      </tp>
      <tp t="e">
        <v>#N/A</v>
        <stp/>
        <stp>PLAYERSRANKING</stp>
        <stp>QUAL3</stp>
        <stp>238</stp>
        <stp>SALDO</stp>
        <stp>VOLF</stp>
        <tr r="CK23" s="7"/>
      </tp>
      <tp t="e">
        <v>#N/A</v>
        <stp/>
        <stp>PLAYERSRANKING</stp>
        <stp>QUAL3</stp>
        <stp>386</stp>
        <stp>SALDO</stp>
        <stp>VOLF</stp>
        <tr r="CK44" s="7"/>
      </tp>
      <tp t="e">
        <v>#N/A</v>
        <stp/>
        <stp>PLAYERSRANKING</stp>
        <stp>QUAL3</stp>
        <stp>308</stp>
        <stp>SALDO</stp>
        <stp>VOLF</stp>
        <tr r="CK42" s="7"/>
      </tp>
      <tp t="e">
        <v>#N/A</v>
        <stp/>
        <stp>PLAYERSRANKING</stp>
        <stp>MULT3</stp>
        <stp>120</stp>
        <stp>SALDO</stp>
        <stp>VOLF</stp>
        <tr r="CE22" s="7"/>
      </tp>
      <tp t="e">
        <v>#N/A</v>
        <stp/>
        <stp>PLAYERSRANKING</stp>
        <stp>MULT3</stp>
        <stp>122</stp>
        <stp>SALDO</stp>
        <stp>VOLF</stp>
        <tr r="CE15" s="7"/>
      </tp>
      <tp t="e">
        <v>#N/A</v>
        <stp/>
        <stp>PLAYERSRANKING</stp>
        <stp>MULT3</stp>
        <stp>127</stp>
        <stp>SALDO</stp>
        <stp>VOLF</stp>
        <tr r="CE40" s="7"/>
      </tp>
      <tp t="e">
        <v>#N/A</v>
        <stp/>
        <stp>PLAYERSRANKING</stp>
        <stp>MULT3</stp>
        <stp>114</stp>
        <stp>SALDO</stp>
        <stp>VOLF</stp>
        <tr r="CE28" s="7"/>
      </tp>
      <tp t="e">
        <v>#N/A</v>
        <stp/>
        <stp>PLAYERSRANKING</stp>
        <stp>MULT3</stp>
        <stp>147</stp>
        <stp>SALDO</stp>
        <stp>VOLF</stp>
        <tr r="CE14" s="7"/>
      </tp>
      <tp t="e">
        <v>#N/A</v>
        <stp/>
        <stp>PLAYERSRANKING</stp>
        <stp>MULT3</stp>
        <stp>308</stp>
        <stp>SALDO</stp>
        <stp>VOLF</stp>
        <tr r="CE42" s="7"/>
      </tp>
      <tp t="e">
        <v>#N/A</v>
        <stp/>
        <stp>PLAYERSRANKING</stp>
        <stp>MULT3</stp>
        <stp>386</stp>
        <stp>SALDO</stp>
        <stp>VOLF</stp>
        <tr r="CE44" s="7"/>
      </tp>
      <tp t="e">
        <v>#N/A</v>
        <stp/>
        <stp>PLAYERSRANKING</stp>
        <stp>MULT3</stp>
        <stp>238</stp>
        <stp>SALDO</stp>
        <stp>VOLF</stp>
        <tr r="CE23" s="7"/>
      </tp>
      <tp t="e">
        <v>#N/A</v>
        <stp/>
        <stp>PLAYERSRANKING</stp>
        <stp>SUZB3</stp>
        <stp>308</stp>
        <stp>SALDO</stp>
        <stp>VOLF</stp>
        <tr r="CR42" s="7"/>
      </tp>
      <tp t="e">
        <v>#N/A</v>
        <stp/>
        <stp>PLAYERSRANKING</stp>
        <stp>SUZB3</stp>
        <stp>386</stp>
        <stp>SALDO</stp>
        <stp>VOLF</stp>
        <tr r="CR44" s="7"/>
      </tp>
      <tp t="e">
        <v>#N/A</v>
        <stp/>
        <stp>PLAYERSRANKING</stp>
        <stp>SUZB3</stp>
        <stp>238</stp>
        <stp>SALDO</stp>
        <stp>VOLF</stp>
        <tr r="CR23" s="7"/>
      </tp>
      <tp t="e">
        <v>#N/A</v>
        <stp/>
        <stp>PLAYERSRANKING</stp>
        <stp>SUZB3</stp>
        <stp>147</stp>
        <stp>SALDO</stp>
        <stp>VOLF</stp>
        <tr r="CR14" s="7"/>
      </tp>
      <tp t="e">
        <v>#N/A</v>
        <stp/>
        <stp>PLAYERSRANKING</stp>
        <stp>SUZB3</stp>
        <stp>114</stp>
        <stp>SALDO</stp>
        <stp>VOLF</stp>
        <tr r="CR28" s="7"/>
      </tp>
      <tp t="e">
        <v>#N/A</v>
        <stp/>
        <stp>PLAYERSRANKING</stp>
        <stp>SUZB3</stp>
        <stp>127</stp>
        <stp>SALDO</stp>
        <stp>VOLF</stp>
        <tr r="CR40" s="7"/>
      </tp>
      <tp t="e">
        <v>#N/A</v>
        <stp/>
        <stp>PLAYERSRANKING</stp>
        <stp>SUZB3</stp>
        <stp>122</stp>
        <stp>SALDO</stp>
        <stp>VOLF</stp>
        <tr r="CR15" s="7"/>
      </tp>
      <tp t="e">
        <v>#N/A</v>
        <stp/>
        <stp>PLAYERSRANKING</stp>
        <stp>SUZB3</stp>
        <stp>120</stp>
        <stp>SALDO</stp>
        <stp>VOLF</stp>
        <tr r="CR22" s="7"/>
      </tp>
      <tp t="e">
        <v>#N/A</v>
        <stp/>
        <stp>PLAYERSRANKING</stp>
        <stp>DOLFUT</stp>
        <stp>147</stp>
        <stp>SALDO</stp>
        <stp>VOLF</stp>
        <tr r="W14" s="7"/>
      </tp>
      <tp t="e">
        <v>#N/A</v>
        <stp/>
        <stp>PLAYERSRANKING</stp>
        <stp>DOLFUT</stp>
        <stp>127</stp>
        <stp>SALDO</stp>
        <stp>VOLF</stp>
        <tr r="W40" s="7"/>
      </tp>
      <tp t="e">
        <v>#N/A</v>
        <stp/>
        <stp>PLAYERSRANKING</stp>
        <stp>DOLFUT</stp>
        <stp>120</stp>
        <stp>SALDO</stp>
        <stp>VOLF</stp>
        <tr r="W22" s="7"/>
      </tp>
      <tp t="e">
        <v>#N/A</v>
        <stp/>
        <stp>PLAYERSRANKING</stp>
        <stp>DOLFUT</stp>
        <stp>122</stp>
        <stp>SALDO</stp>
        <stp>VOLF</stp>
        <tr r="W15" s="7"/>
      </tp>
      <tp t="e">
        <v>#N/A</v>
        <stp/>
        <stp>PLAYERSRANKING</stp>
        <stp>DOLFUT</stp>
        <stp>114</stp>
        <stp>SALDO</stp>
        <stp>VOLF</stp>
        <tr r="W28" s="7"/>
      </tp>
      <tp t="e">
        <v>#N/A</v>
        <stp/>
        <stp>PLAYERSRANKING</stp>
        <stp>DOLFUT</stp>
        <stp>238</stp>
        <stp>SALDO</stp>
        <stp>VOLF</stp>
        <tr r="W23" s="7"/>
      </tp>
      <tp t="e">
        <v>#N/A</v>
        <stp/>
        <stp>PLAYERSRANKING</stp>
        <stp>DOLFUT</stp>
        <stp>386</stp>
        <stp>SALDO</stp>
        <stp>VOLF</stp>
        <tr r="W44" s="7"/>
      </tp>
      <tp t="e">
        <v>#N/A</v>
        <stp/>
        <stp>PLAYERSRANKING</stp>
        <stp>DOLFUT</stp>
        <stp>308</stp>
        <stp>SALDO</stp>
        <stp>VOLF</stp>
        <tr r="W42" s="7"/>
      </tp>
      <tp t="e">
        <v>#N/A</v>
        <stp/>
        <stp>PLAYERSRANKING</stp>
        <stp>SULA11</stp>
        <stp>386</stp>
        <stp>SALDO</stp>
        <stp>VOLF</stp>
        <tr r="CQ44" s="7"/>
      </tp>
      <tp t="e">
        <v>#N/A</v>
        <stp/>
        <stp>PLAYERSRANKING</stp>
        <stp>SULA11</stp>
        <stp>308</stp>
        <stp>SALDO</stp>
        <stp>VOLF</stp>
        <tr r="CQ42" s="7"/>
      </tp>
      <tp t="e">
        <v>#N/A</v>
        <stp/>
        <stp>PLAYERSRANKING</stp>
        <stp>SULA11</stp>
        <stp>238</stp>
        <stp>SALDO</stp>
        <stp>VOLF</stp>
        <tr r="CQ23" s="7"/>
      </tp>
      <tp t="e">
        <v>#N/A</v>
        <stp/>
        <stp>PLAYERSRANKING</stp>
        <stp>SULA11</stp>
        <stp>147</stp>
        <stp>SALDO</stp>
        <stp>VOLF</stp>
        <tr r="CQ14" s="7"/>
      </tp>
      <tp t="e">
        <v>#N/A</v>
        <stp/>
        <stp>PLAYERSRANKING</stp>
        <stp>SULA11</stp>
        <stp>114</stp>
        <stp>SALDO</stp>
        <stp>VOLF</stp>
        <tr r="CQ28" s="7"/>
      </tp>
      <tp t="e">
        <v>#N/A</v>
        <stp/>
        <stp>PLAYERSRANKING</stp>
        <stp>SULA11</stp>
        <stp>122</stp>
        <stp>SALDO</stp>
        <stp>VOLF</stp>
        <tr r="CQ15" s="7"/>
      </tp>
      <tp t="e">
        <v>#N/A</v>
        <stp/>
        <stp>PLAYERSRANKING</stp>
        <stp>SULA11</stp>
        <stp>120</stp>
        <stp>SALDO</stp>
        <stp>VOLF</stp>
        <tr r="CQ22" s="7"/>
      </tp>
      <tp t="e">
        <v>#N/A</v>
        <stp/>
        <stp>PLAYERSRANKING</stp>
        <stp>SULA11</stp>
        <stp>127</stp>
        <stp>SALDO</stp>
        <stp>VOLF</stp>
        <tr r="CQ40" s="7"/>
      </tp>
      <tp t="e">
        <v>#N/A</v>
        <stp/>
        <stp>PLAYERSRANKING</stp>
        <stp>BTOW3</stp>
        <stp/>
        <stp>SALDO</stp>
        <stp>VOLF</stp>
        <tr r="AN24" s="7"/>
        <tr r="AN39" s="7"/>
        <tr r="AN35" s="7"/>
        <tr r="AN31" s="7"/>
        <tr r="AN25" s="7"/>
      </tp>
      <tp t="e">
        <v>#N/A</v>
        <stp/>
        <stp>PLAYERSRANKING</stp>
        <stp>ECOR3</stp>
        <stp/>
        <stp>SALDO</stp>
        <stp>VOLF</stp>
        <tr r="AZ25" s="7"/>
        <tr r="AZ24" s="7"/>
        <tr r="AZ39" s="7"/>
        <tr r="AZ35" s="7"/>
        <tr r="AZ31" s="7"/>
      </tp>
      <tp t="e">
        <v>#N/A</v>
        <stp/>
        <stp>PLAYERSRANKING</stp>
        <stp>NTCO3</stp>
        <stp>238</stp>
        <stp>SALDO</stp>
        <stp>VOLF</stp>
        <tr r="CF23" s="7"/>
      </tp>
      <tp t="e">
        <v>#N/A</v>
        <stp/>
        <stp>PLAYERSRANKING</stp>
        <stp>NTCO3</stp>
        <stp>386</stp>
        <stp>SALDO</stp>
        <stp>VOLF</stp>
        <tr r="CF44" s="7"/>
      </tp>
      <tp t="e">
        <v>#N/A</v>
        <stp/>
        <stp>PLAYERSRANKING</stp>
        <stp>NTCO3</stp>
        <stp>308</stp>
        <stp>SALDO</stp>
        <stp>VOLF</stp>
        <tr r="CF42" s="7"/>
      </tp>
      <tp t="e">
        <v>#N/A</v>
        <stp/>
        <stp>PLAYERSRANKING</stp>
        <stp>NTCO3</stp>
        <stp>114</stp>
        <stp>SALDO</stp>
        <stp>VOLF</stp>
        <tr r="CF28" s="7"/>
      </tp>
      <tp t="e">
        <v>#N/A</v>
        <stp/>
        <stp>PLAYERSRANKING</stp>
        <stp>NTCO3</stp>
        <stp>122</stp>
        <stp>SALDO</stp>
        <stp>VOLF</stp>
        <tr r="CF15" s="7"/>
      </tp>
      <tp t="e">
        <v>#N/A</v>
        <stp/>
        <stp>PLAYERSRANKING</stp>
        <stp>NTCO3</stp>
        <stp>120</stp>
        <stp>SALDO</stp>
        <stp>VOLF</stp>
        <tr r="CF22" s="7"/>
      </tp>
      <tp t="e">
        <v>#N/A</v>
        <stp/>
        <stp>PLAYERSRANKING</stp>
        <stp>NTCO3</stp>
        <stp>127</stp>
        <stp>SALDO</stp>
        <stp>VOLF</stp>
        <tr r="CF40" s="7"/>
      </tp>
      <tp t="e">
        <v>#N/A</v>
        <stp/>
        <stp>PLAYERSRANKING</stp>
        <stp>NTCO3</stp>
        <stp>147</stp>
        <stp>SALDO</stp>
        <stp>VOLF</stp>
        <tr r="CF14" s="7"/>
      </tp>
      <tp t="e">
        <v>#N/A</v>
        <stp/>
        <stp>PLAYERSRANKING</stp>
        <stp>BTOW3</stp>
        <stp>238</stp>
        <stp>SALDO</stp>
        <stp>VOLF</stp>
        <tr r="AN23" s="7"/>
      </tp>
      <tp t="e">
        <v>#N/A</v>
        <stp/>
        <stp>PLAYERSRANKING</stp>
        <stp>BTOW3</stp>
        <stp>308</stp>
        <stp>SALDO</stp>
        <stp>VOLF</stp>
        <tr r="AN42" s="7"/>
      </tp>
      <tp t="e">
        <v>#N/A</v>
        <stp/>
        <stp>PLAYERSRANKING</stp>
        <stp>BTOW3</stp>
        <stp>386</stp>
        <stp>SALDO</stp>
        <stp>VOLF</stp>
        <tr r="AN44" s="7"/>
      </tp>
      <tp t="e">
        <v>#N/A</v>
        <stp/>
        <stp>PLAYERSRANKING</stp>
        <stp>BTOW3</stp>
        <stp>114</stp>
        <stp>SALDO</stp>
        <stp>VOLF</stp>
        <tr r="AN28" s="7"/>
      </tp>
      <tp t="e">
        <v>#N/A</v>
        <stp/>
        <stp>PLAYERSRANKING</stp>
        <stp>BTOW3</stp>
        <stp>127</stp>
        <stp>SALDO</stp>
        <stp>VOLF</stp>
        <tr r="AN40" s="7"/>
      </tp>
      <tp t="e">
        <v>#N/A</v>
        <stp/>
        <stp>PLAYERSRANKING</stp>
        <stp>BTOW3</stp>
        <stp>122</stp>
        <stp>SALDO</stp>
        <stp>VOLF</stp>
        <tr r="AN15" s="7"/>
      </tp>
      <tp t="e">
        <v>#N/A</v>
        <stp/>
        <stp>PLAYERSRANKING</stp>
        <stp>BTOW3</stp>
        <stp>120</stp>
        <stp>SALDO</stp>
        <stp>VOLF</stp>
        <tr r="AN22" s="7"/>
      </tp>
      <tp t="e">
        <v>#N/A</v>
        <stp/>
        <stp>PLAYERSRANKING</stp>
        <stp>BTOW3</stp>
        <stp>147</stp>
        <stp>SALDO</stp>
        <stp>VOLF</stp>
        <tr r="AN14" s="7"/>
      </tp>
      <tp t="e">
        <v>#N/A</v>
        <stp/>
        <stp>PLAYERSRANKING</stp>
        <stp>ITUB4</stp>
        <stp>147</stp>
        <stp>SALDO</stp>
        <stp>VOLF</stp>
        <tr r="BU14" s="7"/>
      </tp>
      <tp t="e">
        <v>#N/A</v>
        <stp/>
        <stp>PLAYERSRANKING</stp>
        <stp>ITUB4</stp>
        <stp>114</stp>
        <stp>SALDO</stp>
        <stp>VOLF</stp>
        <tr r="BU28" s="7"/>
      </tp>
      <tp t="e">
        <v>#N/A</v>
        <stp/>
        <stp>PLAYERSRANKING</stp>
        <stp>ITUB4</stp>
        <stp>122</stp>
        <stp>SALDO</stp>
        <stp>VOLF</stp>
        <tr r="BU15" s="7"/>
      </tp>
      <tp t="e">
        <v>#N/A</v>
        <stp/>
        <stp>PLAYERSRANKING</stp>
        <stp>ITUB4</stp>
        <stp>120</stp>
        <stp>SALDO</stp>
        <stp>VOLF</stp>
        <tr r="BU22" s="7"/>
      </tp>
      <tp t="e">
        <v>#N/A</v>
        <stp/>
        <stp>PLAYERSRANKING</stp>
        <stp>ITUB4</stp>
        <stp>127</stp>
        <stp>SALDO</stp>
        <stp>VOLF</stp>
        <tr r="BU40" s="7"/>
      </tp>
      <tp t="e">
        <v>#N/A</v>
        <stp/>
        <stp>PLAYERSRANKING</stp>
        <stp>ITUB4</stp>
        <stp>238</stp>
        <stp>SALDO</stp>
        <stp>VOLF</stp>
        <tr r="BU23" s="7"/>
      </tp>
      <tp t="e">
        <v>#N/A</v>
        <stp/>
        <stp>PLAYERSRANKING</stp>
        <stp>ITUB4</stp>
        <stp>308</stp>
        <stp>SALDO</stp>
        <stp>VOLF</stp>
        <tr r="BU42" s="7"/>
      </tp>
      <tp t="e">
        <v>#N/A</v>
        <stp/>
        <stp>PLAYERSRANKING</stp>
        <stp>ITUB4</stp>
        <stp>386</stp>
        <stp>SALDO</stp>
        <stp>VOLF</stp>
        <tr r="BU44" s="7"/>
      </tp>
      <tp t="e">
        <v>#N/A</v>
        <stp/>
        <stp>PLAYERSRANKING</stp>
        <stp>ITSA4</stp>
        <stp>238</stp>
        <stp>SALDO</stp>
        <stp>VOLF</stp>
        <tr r="BT23" s="7"/>
      </tp>
      <tp t="e">
        <v>#N/A</v>
        <stp/>
        <stp>PLAYERSRANKING</stp>
        <stp>ITSA4</stp>
        <stp>308</stp>
        <stp>SALDO</stp>
        <stp>VOLF</stp>
        <tr r="BT42" s="7"/>
      </tp>
      <tp t="e">
        <v>#N/A</v>
        <stp/>
        <stp>PLAYERSRANKING</stp>
        <stp>ITSA4</stp>
        <stp>386</stp>
        <stp>SALDO</stp>
        <stp>VOLF</stp>
        <tr r="BT44" s="7"/>
      </tp>
      <tp t="e">
        <v>#N/A</v>
        <stp/>
        <stp>PLAYERSRANKING</stp>
        <stp>ITSA4</stp>
        <stp>147</stp>
        <stp>SALDO</stp>
        <stp>VOLF</stp>
        <tr r="BT14" s="7"/>
      </tp>
      <tp t="e">
        <v>#N/A</v>
        <stp/>
        <stp>PLAYERSRANKING</stp>
        <stp>ITSA4</stp>
        <stp>122</stp>
        <stp>SALDO</stp>
        <stp>VOLF</stp>
        <tr r="BT15" s="7"/>
      </tp>
      <tp t="e">
        <v>#N/A</v>
        <stp/>
        <stp>PLAYERSRANKING</stp>
        <stp>ITSA4</stp>
        <stp>120</stp>
        <stp>SALDO</stp>
        <stp>VOLF</stp>
        <tr r="BT22" s="7"/>
      </tp>
      <tp t="e">
        <v>#N/A</v>
        <stp/>
        <stp>PLAYERSRANKING</stp>
        <stp>ITSA4</stp>
        <stp>127</stp>
        <stp>SALDO</stp>
        <stp>VOLF</stp>
        <tr r="BT40" s="7"/>
      </tp>
      <tp t="e">
        <v>#N/A</v>
        <stp/>
        <stp>PLAYERSRANKING</stp>
        <stp>ITSA4</stp>
        <stp>114</stp>
        <stp>SALDO</stp>
        <stp>VOLF</stp>
        <tr r="BT28" s="7"/>
      </tp>
      <tp t="e">
        <v>#N/A</v>
        <stp/>
        <stp>PLAYERSRANKING</stp>
        <stp>CSNA3</stp>
        <stp/>
        <stp>SALDO</stp>
        <stp>VOLF</stp>
        <tr r="AW39" s="7"/>
        <tr r="AW35" s="7"/>
        <tr r="AW31" s="7"/>
        <tr r="AW24" s="7"/>
        <tr r="AW25" s="7"/>
      </tp>
      <tp t="e">
        <v>#N/A</v>
        <stp/>
        <stp>PLAYERSRANKING</stp>
        <stp>RENT3</stp>
        <stp/>
        <stp>SALDO</stp>
        <stp>VOLF</stp>
        <tr r="CN24" s="7"/>
        <tr r="CN39" s="7"/>
        <tr r="CN35" s="7"/>
        <tr r="CN31" s="7"/>
        <tr r="CN25" s="7"/>
      </tp>
      <tp t="e">
        <v>#N/A</v>
        <stp/>
        <stp>PLAYERSRANKING</stp>
        <stp>WINFUT</stp>
        <stp>147</stp>
        <stp>SALDO</stp>
        <stp>VOLF</stp>
        <tr r="V14" s="7"/>
      </tp>
      <tp t="e">
        <v>#N/A</v>
        <stp/>
        <stp>PLAYERSRANKING</stp>
        <stp>WINFUT</stp>
        <stp>114</stp>
        <stp>SALDO</stp>
        <stp>VOLF</stp>
        <tr r="V28" s="7"/>
      </tp>
      <tp t="e">
        <v>#N/A</v>
        <stp/>
        <stp>PLAYERSRANKING</stp>
        <stp>WINFUT</stp>
        <stp>122</stp>
        <stp>SALDO</stp>
        <stp>VOLF</stp>
        <tr r="V15" s="7"/>
      </tp>
      <tp t="e">
        <v>#N/A</v>
        <stp/>
        <stp>PLAYERSRANKING</stp>
        <stp>WINFUT</stp>
        <stp>120</stp>
        <stp>SALDO</stp>
        <stp>VOLF</stp>
        <tr r="V22" s="7"/>
      </tp>
      <tp t="e">
        <v>#N/A</v>
        <stp/>
        <stp>PLAYERSRANKING</stp>
        <stp>WINFUT</stp>
        <stp>127</stp>
        <stp>SALDO</stp>
        <stp>VOLF</stp>
        <tr r="V40" s="7"/>
      </tp>
      <tp t="e">
        <v>#N/A</v>
        <stp/>
        <stp>PLAYERSRANKING</stp>
        <stp>WINFUT</stp>
        <stp>238</stp>
        <stp>SALDO</stp>
        <stp>VOLF</stp>
        <tr r="V23" s="7"/>
      </tp>
      <tp t="e">
        <v>#N/A</v>
        <stp/>
        <stp>PLAYERSRANKING</stp>
        <stp>WINFUT</stp>
        <stp>386</stp>
        <stp>SALDO</stp>
        <stp>VOLF</stp>
        <tr r="V44" s="7"/>
      </tp>
      <tp t="e">
        <v>#N/A</v>
        <stp/>
        <stp>PLAYERSRANKING</stp>
        <stp>WINFUT</stp>
        <stp>308</stp>
        <stp>SALDO</stp>
        <stp>VOLF</stp>
        <tr r="V42" s="7"/>
      </tp>
      <tp t="e">
        <v>#N/A</v>
        <stp/>
        <stp>PLAYERSRANKING</stp>
        <stp>SANB11</stp>
        <stp>147</stp>
        <stp>SALDO</stp>
        <stp>VOLF</stp>
        <tr r="CO14" s="7"/>
      </tp>
      <tp t="e">
        <v>#N/A</v>
        <stp/>
        <stp>PLAYERSRANKING</stp>
        <stp>SANB11</stp>
        <stp>114</stp>
        <stp>SALDO</stp>
        <stp>VOLF</stp>
        <tr r="CO28" s="7"/>
      </tp>
      <tp t="e">
        <v>#N/A</v>
        <stp/>
        <stp>PLAYERSRANKING</stp>
        <stp>SANB11</stp>
        <stp>127</stp>
        <stp>SALDO</stp>
        <stp>VOLF</stp>
        <tr r="CO40" s="7"/>
      </tp>
      <tp t="e">
        <v>#N/A</v>
        <stp/>
        <stp>PLAYERSRANKING</stp>
        <stp>SANB11</stp>
        <stp>122</stp>
        <stp>SALDO</stp>
        <stp>VOLF</stp>
        <tr r="CO15" s="7"/>
      </tp>
      <tp t="e">
        <v>#N/A</v>
        <stp/>
        <stp>PLAYERSRANKING</stp>
        <stp>SANB11</stp>
        <stp>120</stp>
        <stp>SALDO</stp>
        <stp>VOLF</stp>
        <tr r="CO22" s="7"/>
      </tp>
      <tp t="e">
        <v>#N/A</v>
        <stp/>
        <stp>PLAYERSRANKING</stp>
        <stp>SANB11</stp>
        <stp>238</stp>
        <stp>SALDO</stp>
        <stp>VOLF</stp>
        <tr r="CO23" s="7"/>
      </tp>
      <tp t="e">
        <v>#N/A</v>
        <stp/>
        <stp>PLAYERSRANKING</stp>
        <stp>SANB11</stp>
        <stp>386</stp>
        <stp>SALDO</stp>
        <stp>VOLF</stp>
        <tr r="CO44" s="7"/>
      </tp>
      <tp t="e">
        <v>#N/A</v>
        <stp/>
        <stp>PLAYERSRANKING</stp>
        <stp>SANB11</stp>
        <stp>308</stp>
        <stp>SALDO</stp>
        <stp>VOLF</stp>
        <tr r="CO42" s="7"/>
      </tp>
      <tp t="e">
        <v>#N/A</v>
        <stp/>
        <stp>PLAYERSRANKING</stp>
        <stp>LAME4</stp>
        <stp/>
        <stp>SALDO</stp>
        <stp>VOLF</stp>
        <tr r="BY39" s="7"/>
        <tr r="BY35" s="7"/>
        <tr r="BY31" s="7"/>
        <tr r="BY24" s="7"/>
        <tr r="BY25" s="7"/>
      </tp>
      <tp t="e">
        <v>#N/A</v>
        <stp/>
        <stp>PLAYERSRANKING</stp>
        <stp>BRML3</stp>
        <stp/>
        <stp>SALDO</stp>
        <stp>VOLF</stp>
        <tr r="AM25" s="7"/>
        <tr r="AM24" s="7"/>
        <tr r="AM39" s="7"/>
        <tr r="AM35" s="7"/>
        <tr r="AM31" s="7"/>
      </tp>
      <tp t="e">
        <v>#N/A</v>
        <stp/>
        <stp>PLAYERSRANKING</stp>
        <stp>TIMS3</stp>
        <stp/>
        <stp>SALDO</stp>
        <stp>VOLF</stp>
        <tr r="CT39" s="7"/>
        <tr r="CT35" s="7"/>
        <tr r="CT25" s="7"/>
        <tr r="CT31" s="7"/>
        <tr r="CT24" s="7"/>
      </tp>
      <tp t="e">
        <v>#N/A</v>
        <stp/>
        <stp>PLAYERSRANKING</stp>
        <stp>CVCB3</stp>
        <stp>238</stp>
        <stp>SALDO</stp>
        <stp>VOLF</stp>
        <tr r="AX23" s="7"/>
      </tp>
      <tp t="e">
        <v>#N/A</v>
        <stp/>
        <stp>PLAYERSRANKING</stp>
        <stp>CVCB3</stp>
        <stp>308</stp>
        <stp>SALDO</stp>
        <stp>VOLF</stp>
        <tr r="AX42" s="7"/>
      </tp>
      <tp t="e">
        <v>#N/A</v>
        <stp/>
        <stp>PLAYERSRANKING</stp>
        <stp>CVCB3</stp>
        <stp>386</stp>
        <stp>SALDO</stp>
        <stp>VOLF</stp>
        <tr r="AX44" s="7"/>
      </tp>
      <tp t="e">
        <v>#N/A</v>
        <stp/>
        <stp>PLAYERSRANKING</stp>
        <stp>VVAR3</stp>
        <stp>147</stp>
        <stp>SALDO</stp>
        <stp>VOLF</stp>
        <tr r="CZ14" s="7"/>
      </tp>
      <tp t="e">
        <v>#N/A</v>
        <stp/>
        <stp>PLAYERSRANKING</stp>
        <stp>VVAR3</stp>
        <stp>114</stp>
        <stp>SALDO</stp>
        <stp>VOLF</stp>
        <tr r="CZ28" s="7"/>
      </tp>
      <tp t="e">
        <v>#N/A</v>
        <stp/>
        <stp>PLAYERSRANKING</stp>
        <stp>VVAR3</stp>
        <stp>122</stp>
        <stp>SALDO</stp>
        <stp>VOLF</stp>
        <tr r="CZ15" s="7"/>
      </tp>
      <tp t="e">
        <v>#N/A</v>
        <stp/>
        <stp>PLAYERSRANKING</stp>
        <stp>VVAR3</stp>
        <stp>120</stp>
        <stp>SALDO</stp>
        <stp>VOLF</stp>
        <tr r="CZ22" s="7"/>
      </tp>
      <tp t="e">
        <v>#N/A</v>
        <stp/>
        <stp>PLAYERSRANKING</stp>
        <stp>VVAR3</stp>
        <stp>127</stp>
        <stp>SALDO</stp>
        <stp>VOLF</stp>
        <tr r="CZ40" s="7"/>
      </tp>
      <tp t="e">
        <v>#N/A</v>
        <stp/>
        <stp>PLAYERSRANKING</stp>
        <stp>VVAR3</stp>
        <stp>238</stp>
        <stp>SALDO</stp>
        <stp>VOLF</stp>
        <tr r="CZ23" s="7"/>
      </tp>
      <tp t="e">
        <v>#N/A</v>
        <stp/>
        <stp>PLAYERSRANKING</stp>
        <stp>CVCB3</stp>
        <stp>147</stp>
        <stp>SALDO</stp>
        <stp>VOLF</stp>
        <tr r="AX14" s="7"/>
      </tp>
      <tp t="e">
        <v>#N/A</v>
        <stp/>
        <stp>PLAYERSRANKING</stp>
        <stp>CVCB3</stp>
        <stp>114</stp>
        <stp>SALDO</stp>
        <stp>VOLF</stp>
        <tr r="AX28" s="7"/>
      </tp>
      <tp t="e">
        <v>#N/A</v>
        <stp/>
        <stp>PLAYERSRANKING</stp>
        <stp>CVCB3</stp>
        <stp>127</stp>
        <stp>SALDO</stp>
        <stp>VOLF</stp>
        <tr r="AX40" s="7"/>
      </tp>
      <tp t="e">
        <v>#N/A</v>
        <stp/>
        <stp>PLAYERSRANKING</stp>
        <stp>CVCB3</stp>
        <stp>122</stp>
        <stp>SALDO</stp>
        <stp>VOLF</stp>
        <tr r="AX15" s="7"/>
      </tp>
      <tp t="e">
        <v>#N/A</v>
        <stp/>
        <stp>PLAYERSRANKING</stp>
        <stp>CVCB3</stp>
        <stp>120</stp>
        <stp>SALDO</stp>
        <stp>VOLF</stp>
        <tr r="AX22" s="7"/>
      </tp>
      <tp t="e">
        <v>#N/A</v>
        <stp/>
        <stp>PLAYERSRANKING</stp>
        <stp>VVAR3</stp>
        <stp>308</stp>
        <stp>SALDO</stp>
        <stp>VOLF</stp>
        <tr r="CZ42" s="7"/>
      </tp>
      <tp t="e">
        <v>#N/A</v>
        <stp/>
        <stp>PLAYERSRANKING</stp>
        <stp>VVAR3</stp>
        <stp>386</stp>
        <stp>SALDO</stp>
        <stp>VOLF</stp>
        <tr r="CZ44" s="7"/>
      </tp>
      <tp t="e">
        <v>#N/A</v>
        <stp/>
        <stp>PLAYERSRANKING</stp>
        <stp>WDOFUT</stp>
        <stp>147</stp>
        <stp>SALDO</stp>
        <stp>VOLF</stp>
        <tr r="X14" s="7"/>
      </tp>
      <tp t="e">
        <v>#N/A</v>
        <stp/>
        <stp>PLAYERSRANKING</stp>
        <stp>WDOFUT</stp>
        <stp>114</stp>
        <stp>SALDO</stp>
        <stp>VOLF</stp>
        <tr r="X28" s="7"/>
      </tp>
      <tp t="e">
        <v>#N/A</v>
        <stp/>
        <stp>PLAYERSRANKING</stp>
        <stp>WDOFUT</stp>
        <stp>127</stp>
        <stp>SALDO</stp>
        <stp>VOLF</stp>
        <tr r="X40" s="7"/>
      </tp>
      <tp t="e">
        <v>#N/A</v>
        <stp/>
        <stp>PLAYERSRANKING</stp>
        <stp>WDOFUT</stp>
        <stp>122</stp>
        <stp>SALDO</stp>
        <stp>VOLF</stp>
        <tr r="X15" s="7"/>
      </tp>
      <tp t="e">
        <v>#N/A</v>
        <stp/>
        <stp>PLAYERSRANKING</stp>
        <stp>WDOFUT</stp>
        <stp>120</stp>
        <stp>SALDO</stp>
        <stp>VOLF</stp>
        <tr r="X22" s="7"/>
      </tp>
      <tp t="e">
        <v>#N/A</v>
        <stp/>
        <stp>PLAYERSRANKING</stp>
        <stp>WDOFUT</stp>
        <stp>238</stp>
        <stp>SALDO</stp>
        <stp>VOLF</stp>
        <tr r="X23" s="7"/>
      </tp>
      <tp t="e">
        <v>#N/A</v>
        <stp/>
        <stp>PLAYERSRANKING</stp>
        <stp>WDOFUT</stp>
        <stp>386</stp>
        <stp>SALDO</stp>
        <stp>VOLF</stp>
        <tr r="X44" s="7"/>
      </tp>
      <tp t="e">
        <v>#N/A</v>
        <stp/>
        <stp>PLAYERSRANKING</stp>
        <stp>WDOFUT</stp>
        <stp>308</stp>
        <stp>SALDO</stp>
        <stp>VOLF</stp>
        <tr r="X42" s="7"/>
      </tp>
      <tp t="e">
        <v>#N/A</v>
        <stp/>
        <stp>PLAYERSRANKING</stp>
        <stp>VALE3</stp>
        <stp/>
        <stp>SALDO</stp>
        <stp>VOLF</stp>
        <tr r="CX39" s="7"/>
        <tr r="CX31" s="7"/>
        <tr r="CX25" s="7"/>
        <tr r="CX35" s="7"/>
        <tr r="CX24" s="7"/>
      </tp>
      <tp t="e">
        <v>#N/A</v>
        <stp/>
        <stp>PLAYERSRANKING</stp>
        <stp>CPLE6</stp>
        <stp/>
        <stp>SALDO</stp>
        <stp>VOLF</stp>
        <tr r="AT25" s="7"/>
        <tr r="AT39" s="7"/>
        <tr r="AT35" s="7"/>
        <tr r="AT31" s="7"/>
        <tr r="AT24" s="7"/>
      </tp>
      <tp t="e">
        <v>#N/A</v>
        <stp/>
        <stp>PLAYERSRANKING</stp>
        <stp>GOLL4</stp>
        <stp/>
        <stp>SALDO</stp>
        <stp>VOLF</stp>
        <tr r="BN31" s="7"/>
        <tr r="BN25" s="7"/>
        <tr r="BN39" s="7"/>
        <tr r="BN35" s="7"/>
        <tr r="BN24" s="7"/>
      </tp>
      <tp t="e">
        <v>#N/A</v>
        <stp/>
        <stp>PLAYERSRANKING</stp>
        <stp>MGLU3</stp>
        <stp/>
        <stp>SALDO</stp>
        <stp>VOLF</stp>
        <tr r="CB24" s="7"/>
        <tr r="CB39" s="7"/>
        <tr r="CB35" s="7"/>
        <tr r="CB31" s="7"/>
        <tr r="CB25" s="7"/>
      </tp>
      <tp t="e">
        <v>#N/A</v>
        <stp/>
        <stp>PLAYERSRANKING</stp>
        <stp>MULT3</stp>
        <stp/>
        <stp>SALDO</stp>
        <stp>VOLF</stp>
        <tr r="CE25" s="7"/>
        <tr r="CE24" s="7"/>
        <tr r="CE39" s="7"/>
        <tr r="CE35" s="7"/>
        <tr r="CE31" s="7"/>
      </tp>
      <tp t="e">
        <v>#N/A</v>
        <stp/>
        <stp>PLAYERSRANKING</stp>
        <stp>HYPE3</stp>
        <stp>127</stp>
        <stp>SALDO</stp>
        <stp>VOLF</stp>
        <tr r="BQ40" s="7"/>
      </tp>
      <tp t="e">
        <v>#N/A</v>
        <stp/>
        <stp>PLAYERSRANKING</stp>
        <stp>HYPE3</stp>
        <stp>120</stp>
        <stp>SALDO</stp>
        <stp>VOLF</stp>
        <tr r="BQ22" s="7"/>
      </tp>
      <tp t="e">
        <v>#N/A</v>
        <stp/>
        <stp>PLAYERSRANKING</stp>
        <stp>HYPE3</stp>
        <stp>122</stp>
        <stp>SALDO</stp>
        <stp>VOLF</stp>
        <tr r="BQ15" s="7"/>
      </tp>
      <tp t="e">
        <v>#N/A</v>
        <stp/>
        <stp>PLAYERSRANKING</stp>
        <stp>HYPE3</stp>
        <stp>114</stp>
        <stp>SALDO</stp>
        <stp>VOLF</stp>
        <tr r="BQ28" s="7"/>
      </tp>
      <tp t="e">
        <v>#N/A</v>
        <stp/>
        <stp>PLAYERSRANKING</stp>
        <stp>CYRE3</stp>
        <stp>308</stp>
        <stp>SALDO</stp>
        <stp>VOLF</stp>
        <tr r="AY42" s="7"/>
      </tp>
      <tp t="e">
        <v>#N/A</v>
        <stp/>
        <stp>PLAYERSRANKING</stp>
        <stp>HYPE3</stp>
        <stp>147</stp>
        <stp>SALDO</stp>
        <stp>VOLF</stp>
        <tr r="BQ14" s="7"/>
      </tp>
      <tp t="e">
        <v>#N/A</v>
        <stp/>
        <stp>PLAYERSRANKING</stp>
        <stp>CYRE3</stp>
        <stp>386</stp>
        <stp>SALDO</stp>
        <stp>VOLF</stp>
        <tr r="AY44" s="7"/>
      </tp>
      <tp t="e">
        <v>#N/A</v>
        <stp/>
        <stp>PLAYERSRANKING</stp>
        <stp>CYRE3</stp>
        <stp>238</stp>
        <stp>SALDO</stp>
        <stp>VOLF</stp>
        <tr r="AY23" s="7"/>
      </tp>
      <tp t="e">
        <v>#N/A</v>
        <stp/>
        <stp>PLAYERSRANKING</stp>
        <stp>CYRE3</stp>
        <stp>127</stp>
        <stp>SALDO</stp>
        <stp>VOLF</stp>
        <tr r="AY40" s="7"/>
      </tp>
      <tp t="e">
        <v>#N/A</v>
        <stp/>
        <stp>PLAYERSRANKING</stp>
        <stp>CYRE3</stp>
        <stp>122</stp>
        <stp>SALDO</stp>
        <stp>VOLF</stp>
        <tr r="AY15" s="7"/>
      </tp>
      <tp t="e">
        <v>#N/A</v>
        <stp/>
        <stp>PLAYERSRANKING</stp>
        <stp>CYRE3</stp>
        <stp>120</stp>
        <stp>SALDO</stp>
        <stp>VOLF</stp>
        <tr r="AY22" s="7"/>
      </tp>
      <tp t="e">
        <v>#N/A</v>
        <stp/>
        <stp>PLAYERSRANKING</stp>
        <stp>CYRE3</stp>
        <stp>114</stp>
        <stp>SALDO</stp>
        <stp>VOLF</stp>
        <tr r="AY28" s="7"/>
      </tp>
      <tp t="e">
        <v>#N/A</v>
        <stp/>
        <stp>PLAYERSRANKING</stp>
        <stp>HYPE3</stp>
        <stp>308</stp>
        <stp>SALDO</stp>
        <stp>VOLF</stp>
        <tr r="BQ42" s="7"/>
      </tp>
      <tp t="e">
        <v>#N/A</v>
        <stp/>
        <stp>PLAYERSRANKING</stp>
        <stp>CYRE3</stp>
        <stp>147</stp>
        <stp>SALDO</stp>
        <stp>VOLF</stp>
        <tr r="AY14" s="7"/>
      </tp>
      <tp t="e">
        <v>#N/A</v>
        <stp/>
        <stp>PLAYERSRANKING</stp>
        <stp>HYPE3</stp>
        <stp>386</stp>
        <stp>SALDO</stp>
        <stp>VOLF</stp>
        <tr r="BQ44" s="7"/>
      </tp>
      <tp t="e">
        <v>#N/A</v>
        <stp/>
        <stp>PLAYERSRANKING</stp>
        <stp>HYPE3</stp>
        <stp>238</stp>
        <stp>SALDO</stp>
        <stp>VOLF</stp>
        <tr r="BQ23" s="7"/>
      </tp>
      <tp t="e">
        <v>#N/A</v>
        <stp/>
        <stp>PLAYERSRANKING</stp>
        <stp>CVCB3</stp>
        <stp/>
        <stp>SALDO</stp>
        <stp>VOLF</stp>
        <tr r="AX31" s="7"/>
        <tr r="AX39" s="7"/>
        <tr r="AX35" s="7"/>
        <tr r="AX25" s="7"/>
        <tr r="AX24" s="7"/>
      </tp>
      <tp t="e">
        <v>#N/A</v>
        <stp/>
        <stp>PLAYERSRANKING</stp>
        <stp>NTCO3</stp>
        <stp/>
        <stp>SALDO</stp>
        <stp>VOLF</stp>
        <tr r="CF24" s="7"/>
        <tr r="CF25" s="7"/>
        <tr r="CF39" s="7"/>
        <tr r="CF35" s="7"/>
        <tr r="CF31" s="7"/>
      </tp>
      <tp t="e">
        <v>#N/A</v>
        <stp/>
        <stp>PLAYERSRANKING</stp>
        <stp>BPAC11</stp>
        <stp>147</stp>
        <stp>SALDO</stp>
        <stp>VOLF</stp>
        <tr r="AH14" s="7"/>
      </tp>
      <tp t="e">
        <v>#N/A</v>
        <stp/>
        <stp>PLAYERSRANKING</stp>
        <stp>BPAC11</stp>
        <stp>114</stp>
        <stp>SALDO</stp>
        <stp>VOLF</stp>
        <tr r="AH28" s="7"/>
      </tp>
      <tp t="e">
        <v>#N/A</v>
        <stp/>
        <stp>PLAYERSRANKING</stp>
        <stp>BPAC11</stp>
        <stp>127</stp>
        <stp>SALDO</stp>
        <stp>VOLF</stp>
        <tr r="AH40" s="7"/>
      </tp>
      <tp t="e">
        <v>#N/A</v>
        <stp/>
        <stp>PLAYERSRANKING</stp>
        <stp>BPAC11</stp>
        <stp>122</stp>
        <stp>SALDO</stp>
        <stp>VOLF</stp>
        <tr r="AH15" s="7"/>
      </tp>
      <tp t="e">
        <v>#N/A</v>
        <stp/>
        <stp>PLAYERSRANKING</stp>
        <stp>BPAC11</stp>
        <stp>120</stp>
        <stp>SALDO</stp>
        <stp>VOLF</stp>
        <tr r="AH22" s="7"/>
      </tp>
      <tp t="e">
        <v>#N/A</v>
        <stp/>
        <stp>PLAYERSRANKING</stp>
        <stp>BPAC11</stp>
        <stp>386</stp>
        <stp>SALDO</stp>
        <stp>VOLF</stp>
        <tr r="AH44" s="7"/>
      </tp>
      <tp t="e">
        <v>#N/A</v>
        <stp/>
        <stp>PLAYERSRANKING</stp>
        <stp>BPAC11</stp>
        <stp>308</stp>
        <stp>SALDO</stp>
        <stp>VOLF</stp>
        <tr r="AH42" s="7"/>
      </tp>
      <tp t="e">
        <v>#N/A</v>
        <stp/>
        <stp>PLAYERSRANKING</stp>
        <stp>BPAC11</stp>
        <stp>238</stp>
        <stp>SALDO</stp>
        <stp>VOLF</stp>
        <tr r="AH23" s="7"/>
      </tp>
      <tp t="e">
        <v>#N/A</v>
        <stp/>
        <stp>PLAYERSRANKING</stp>
        <stp>IRBR3</stp>
        <stp/>
        <stp>SALDO</stp>
        <stp>VOLF</stp>
        <tr r="BS25" s="7"/>
        <tr r="BS24" s="7"/>
        <tr r="BS39" s="7"/>
        <tr r="BS35" s="7"/>
        <tr r="BS31" s="7"/>
      </tp>
      <tp t="e">
        <v>#N/A</v>
        <stp/>
        <stp>PLAYERSRANKING</stp>
        <stp>ENBR3</stp>
        <stp/>
        <stp>SALDO</stp>
        <stp>VOLF</stp>
        <tr r="BE24" s="7"/>
        <tr r="BE39" s="7"/>
        <tr r="BE35" s="7"/>
        <tr r="BE31" s="7"/>
        <tr r="BE25" s="7"/>
      </tp>
      <tp t="e">
        <v>#N/A</v>
        <stp/>
        <stp>PLAYERSRANKING</stp>
        <stp>EMBR3</stp>
        <stp/>
        <stp>SALDO</stp>
        <stp>VOLF</stp>
        <tr r="BD24" s="7"/>
        <tr r="BD39" s="7"/>
        <tr r="BD35" s="7"/>
        <tr r="BD31" s="7"/>
        <tr r="BD25" s="7"/>
      </tp>
      <tp t="e">
        <v>#N/A</v>
        <stp/>
        <stp>PLAYERSRANKING</stp>
        <stp>GGBR4</stp>
        <stp/>
        <stp>SALDO</stp>
        <stp>VOLF</stp>
        <tr r="BK25" s="7"/>
        <tr r="BK24" s="7"/>
        <tr r="BK39" s="7"/>
        <tr r="BK35" s="7"/>
        <tr r="BK31" s="7"/>
      </tp>
      <tp t="e">
        <v>#N/A</v>
        <stp/>
        <stp>PLAYERSRANKING</stp>
        <stp>KLBN11</stp>
        <stp>147</stp>
        <stp>SALDO</stp>
        <stp>VOLF</stp>
        <tr r="BX14" s="7"/>
      </tp>
      <tp t="e">
        <v>#N/A</v>
        <stp/>
        <stp>PLAYERSRANKING</stp>
        <stp>KLBN11</stp>
        <stp>114</stp>
        <stp>SALDO</stp>
        <stp>VOLF</stp>
        <tr r="BX28" s="7"/>
      </tp>
      <tp t="e">
        <v>#N/A</v>
        <stp/>
        <stp>PLAYERSRANKING</stp>
        <stp>KLBN11</stp>
        <stp>122</stp>
        <stp>SALDO</stp>
        <stp>VOLF</stp>
        <tr r="BX15" s="7"/>
      </tp>
      <tp t="e">
        <v>#N/A</v>
        <stp/>
        <stp>PLAYERSRANKING</stp>
        <stp>KLBN11</stp>
        <stp>120</stp>
        <stp>SALDO</stp>
        <stp>VOLF</stp>
        <tr r="BX22" s="7"/>
      </tp>
      <tp t="e">
        <v>#N/A</v>
        <stp/>
        <stp>PLAYERSRANKING</stp>
        <stp>KLBN11</stp>
        <stp>127</stp>
        <stp>SALDO</stp>
        <stp>VOLF</stp>
        <tr r="BX40" s="7"/>
      </tp>
      <tp t="e">
        <v>#N/A</v>
        <stp/>
        <stp>PLAYERSRANKING</stp>
        <stp>KLBN11</stp>
        <stp>238</stp>
        <stp>SALDO</stp>
        <stp>VOLF</stp>
        <tr r="BX23" s="7"/>
      </tp>
      <tp t="e">
        <v>#N/A</v>
        <stp/>
        <stp>PLAYERSRANKING</stp>
        <stp>KLBN11</stp>
        <stp>308</stp>
        <stp>SALDO</stp>
        <stp>VOLF</stp>
        <tr r="BX42" s="7"/>
      </tp>
      <tp t="e">
        <v>#N/A</v>
        <stp/>
        <stp>PLAYERSRANKING</stp>
        <stp>KLBN11</stp>
        <stp>386</stp>
        <stp>SALDO</stp>
        <stp>VOLF</stp>
        <tr r="BX44" s="7"/>
      </tp>
      <tp t="e">
        <v>#N/A</v>
        <stp/>
        <stp>PLAYERSRANKING</stp>
        <stp>LCAM3</stp>
        <stp/>
        <stp>SALDO</stp>
        <stp>VOLF</stp>
        <tr r="BZ39" s="7"/>
        <tr r="BZ31" s="7"/>
        <tr r="BZ25" s="7"/>
        <tr r="BZ35" s="7"/>
        <tr r="BZ24" s="7"/>
      </tp>
      <tp t="e">
        <v>#N/A</v>
        <stp/>
        <stp>PLAYERSRANKING</stp>
        <stp>QUAL3</stp>
        <stp/>
        <stp>SALDO</stp>
        <stp>VOLF</stp>
        <tr r="CK39" s="7"/>
        <tr r="CK35" s="7"/>
        <tr r="CK31" s="7"/>
        <tr r="CK24" s="7"/>
        <tr r="CK25" s="7"/>
      </tp>
      <tp t="e">
        <v>#N/A</v>
        <stp/>
        <stp>PLAYERSRANKING</stp>
        <stp>CSAN3</stp>
        <stp/>
        <stp>SALDO</stp>
        <stp>VOLF</stp>
        <tr r="AV24" s="7"/>
        <tr r="AV25" s="7"/>
        <tr r="AV39" s="7"/>
        <tr r="AV35" s="7"/>
        <tr r="AV31" s="7"/>
      </tp>
      <tp t="e">
        <v>#N/A</v>
        <stp/>
        <stp>PLAYERSRANKING</stp>
        <stp>ASAI3</stp>
        <stp/>
        <stp>SALDO</stp>
        <stp>VOLF</stp>
        <tr r="Z39" s="7"/>
        <tr r="Z35" s="7"/>
        <tr r="Z31" s="7"/>
        <tr r="Z25" s="7"/>
        <tr r="Z24" s="7"/>
      </tp>
      <tp t="e">
        <v>#N/A</v>
        <stp/>
        <stp>PLAYERSRANKING</stp>
        <stp>GOAU4</stp>
        <stp/>
        <stp>SALDO</stp>
        <stp>VOLF</stp>
        <tr r="BM39" s="7"/>
        <tr r="BM35" s="7"/>
        <tr r="BM31" s="7"/>
        <tr r="BM24" s="7"/>
        <tr r="BM25" s="7"/>
      </tp>
      <tp t="e">
        <v>#N/A</v>
        <stp/>
        <stp>PLAYERSRANKING</stp>
        <stp>BRAP4</stp>
        <stp/>
        <stp>SALDO</stp>
        <stp>VOLF</stp>
        <tr r="AI25" s="7"/>
        <tr r="AI24" s="7"/>
        <tr r="AI39" s="7"/>
        <tr r="AI35" s="7"/>
        <tr r="AI31" s="7"/>
      </tp>
      <tp t="e">
        <v>#N/A</v>
        <stp/>
        <stp>PLAYERSRANKING</stp>
        <stp>BBAS3</stp>
        <stp/>
        <stp>SALDO</stp>
        <stp>VOLF</stp>
        <tr r="AC39" s="7"/>
        <tr r="AC35" s="7"/>
        <tr r="AC31" s="7"/>
        <tr r="AC24" s="7"/>
        <tr r="AC25" s="7"/>
      </tp>
      <tp t="e">
        <v>#N/A</v>
        <stp/>
        <stp>PLAYERSRANKING</stp>
        <stp>VVAR3</stp>
        <stp/>
        <stp>SALDO</stp>
        <stp>VOLF</stp>
        <tr r="CZ39" s="7"/>
        <tr r="CZ35" s="7"/>
        <tr r="CZ31" s="7"/>
        <tr r="CZ25" s="7"/>
        <tr r="CZ24" s="7"/>
      </tp>
      <tp t="e">
        <v>#N/A</v>
        <stp/>
        <stp>PLAYERSRANKING</stp>
        <stp>PCAR3</stp>
        <stp/>
        <stp>SALDO</stp>
        <stp>VOLF</stp>
        <tr r="CG39" s="7"/>
        <tr r="CG35" s="7"/>
        <tr r="CG31" s="7"/>
        <tr r="CG24" s="7"/>
        <tr r="CG25" s="7"/>
      </tp>
      <tp t="e">
        <v>#N/A</v>
        <stp/>
        <stp>PLAYERSRANKING</stp>
        <stp>EZTC3</stp>
        <stp>147</stp>
        <stp>SALDO</stp>
        <stp>VOLF</stp>
        <tr r="BI14" s="7"/>
      </tp>
      <tp t="e">
        <v>#N/A</v>
        <stp/>
        <stp>PLAYERSRANKING</stp>
        <stp>EZTC3</stp>
        <stp>114</stp>
        <stp>SALDO</stp>
        <stp>VOLF</stp>
        <tr r="BI28" s="7"/>
      </tp>
      <tp t="e">
        <v>#N/A</v>
        <stp/>
        <stp>PLAYERSRANKING</stp>
        <stp>EZTC3</stp>
        <stp>120</stp>
        <stp>SALDO</stp>
        <stp>VOLF</stp>
        <tr r="BI22" s="7"/>
      </tp>
      <tp t="e">
        <v>#N/A</v>
        <stp/>
        <stp>PLAYERSRANKING</stp>
        <stp>EZTC3</stp>
        <stp>122</stp>
        <stp>SALDO</stp>
        <stp>VOLF</stp>
        <tr r="BI15" s="7"/>
      </tp>
      <tp t="e">
        <v>#N/A</v>
        <stp/>
        <stp>PLAYERSRANKING</stp>
        <stp>EZTC3</stp>
        <stp>127</stp>
        <stp>SALDO</stp>
        <stp>VOLF</stp>
        <tr r="BI40" s="7"/>
      </tp>
      <tp t="e">
        <v>#N/A</v>
        <stp/>
        <stp>PLAYERSRANKING</stp>
        <stp>AZUL4</stp>
        <stp>122</stp>
        <stp>SALDO</stp>
        <stp>VOLF</stp>
        <tr r="AA15" s="7"/>
      </tp>
      <tp t="e">
        <v>#N/A</v>
        <stp/>
        <stp>PLAYERSRANKING</stp>
        <stp>AZUL4</stp>
        <stp>120</stp>
        <stp>SALDO</stp>
        <stp>VOLF</stp>
        <tr r="AA22" s="7"/>
      </tp>
      <tp t="e">
        <v>#N/A</v>
        <stp/>
        <stp>PLAYERSRANKING</stp>
        <stp>AZUL4</stp>
        <stp>127</stp>
        <stp>SALDO</stp>
        <stp>VOLF</stp>
        <tr r="AA40" s="7"/>
      </tp>
      <tp t="e">
        <v>#N/A</v>
        <stp/>
        <stp>PLAYERSRANKING</stp>
        <stp>AZUL4</stp>
        <stp>114</stp>
        <stp>SALDO</stp>
        <stp>VOLF</stp>
        <tr r="AA28" s="7"/>
      </tp>
      <tp t="e">
        <v>#N/A</v>
        <stp/>
        <stp>PLAYERSRANKING</stp>
        <stp>AZUL4</stp>
        <stp>147</stp>
        <stp>SALDO</stp>
        <stp>VOLF</stp>
        <tr r="AA14" s="7"/>
      </tp>
      <tp t="e">
        <v>#N/A</v>
        <stp/>
        <stp>PLAYERSRANKING</stp>
        <stp>EZTC3</stp>
        <stp>308</stp>
        <stp>SALDO</stp>
        <stp>VOLF</stp>
        <tr r="BI42" s="7"/>
      </tp>
      <tp t="e">
        <v>#N/A</v>
        <stp/>
        <stp>PLAYERSRANKING</stp>
        <stp>AZUL4</stp>
        <stp>238</stp>
        <stp>SALDO</stp>
        <stp>VOLF</stp>
        <tr r="AA23" s="7"/>
      </tp>
      <tp t="e">
        <v>#N/A</v>
        <stp/>
        <stp>PLAYERSRANKING</stp>
        <stp>EZTC3</stp>
        <stp>386</stp>
        <stp>SALDO</stp>
        <stp>VOLF</stp>
        <tr r="BI44" s="7"/>
      </tp>
      <tp t="e">
        <v>#N/A</v>
        <stp/>
        <stp>PLAYERSRANKING</stp>
        <stp>AZUL4</stp>
        <stp>386</stp>
        <stp>SALDO</stp>
        <stp>VOLF</stp>
        <tr r="AA44" s="7"/>
      </tp>
      <tp t="e">
        <v>#N/A</v>
        <stp/>
        <stp>PLAYERSRANKING</stp>
        <stp>EZTC3</stp>
        <stp>238</stp>
        <stp>SALDO</stp>
        <stp>VOLF</stp>
        <tr r="BI23" s="7"/>
      </tp>
      <tp t="e">
        <v>#N/A</v>
        <stp/>
        <stp>PLAYERSRANKING</stp>
        <stp>AZUL4</stp>
        <stp>308</stp>
        <stp>SALDO</stp>
        <stp>VOLF</stp>
        <tr r="AA42" s="7"/>
      </tp>
      <tp t="e">
        <v>#N/A</v>
        <stp/>
        <stp>PLAYERSRANKING</stp>
        <stp>INDFUT</stp>
        <stp>127</stp>
        <stp>SALDO</stp>
        <stp>VOLF</stp>
        <tr r="U40" s="7"/>
      </tp>
      <tp t="e">
        <v>#N/A</v>
        <stp/>
        <stp>PLAYERSRANKING</stp>
        <stp>INDFUT</stp>
        <stp>120</stp>
        <stp>SALDO</stp>
        <stp>VOLF</stp>
        <tr r="U22" s="7"/>
      </tp>
      <tp t="e">
        <v>#N/A</v>
        <stp/>
        <stp>PLAYERSRANKING</stp>
        <stp>INDFUT</stp>
        <stp>122</stp>
        <stp>SALDO</stp>
        <stp>VOLF</stp>
        <tr r="U15" s="7"/>
      </tp>
      <tp t="e">
        <v>#N/A</v>
        <stp/>
        <stp>PLAYERSRANKING</stp>
        <stp>INDFUT</stp>
        <stp>114</stp>
        <stp>SALDO</stp>
        <stp>VOLF</stp>
        <tr r="U28" s="7"/>
      </tp>
      <tp t="e">
        <v>#N/A</v>
        <stp/>
        <stp>PLAYERSRANKING</stp>
        <stp>INDFUT</stp>
        <stp>147</stp>
        <stp>SALDO</stp>
        <stp>VOLF</stp>
        <tr r="U14" s="7"/>
      </tp>
      <tp t="e">
        <v>#N/A</v>
        <stp/>
        <stp>PLAYERSRANKING</stp>
        <stp>INDFUT</stp>
        <stp>238</stp>
        <stp>SALDO</stp>
        <stp>VOLF</stp>
        <tr r="U23" s="7"/>
      </tp>
      <tp t="e">
        <v>#N/A</v>
        <stp/>
        <stp>PLAYERSRANKING</stp>
        <stp>INDFUT</stp>
        <stp>308</stp>
        <stp>SALDO</stp>
        <stp>VOLF</stp>
        <tr r="U42" s="7"/>
      </tp>
      <tp t="e">
        <v>#N/A</v>
        <stp/>
        <stp>PLAYERSRANKING</stp>
        <stp>INDFUT</stp>
        <stp>386</stp>
        <stp>SALDO</stp>
        <stp>VOLF</stp>
        <tr r="U44" s="7"/>
      </tp>
      <tp t="e">
        <v>#N/A</v>
        <stp/>
        <stp>PLAYERSRANKING</stp>
        <stp>WEGE3</stp>
        <stp/>
        <stp>SALDO</stp>
        <stp>VOLF</stp>
        <tr r="DA39" s="7"/>
        <tr r="DA35" s="7"/>
        <tr r="DA25" s="7"/>
        <tr r="DA24" s="7"/>
        <tr r="DA31" s="7"/>
      </tp>
      <tp t="e">
        <v>#N/A</v>
        <stp/>
        <stp>PLAYERSRANKING</stp>
        <stp>COGN3</stp>
        <stp/>
        <stp>SALDO</stp>
        <stp>VOLF</stp>
        <tr r="AR25" s="7"/>
        <tr r="AR24" s="7"/>
        <tr r="AR39" s="7"/>
        <tr r="AR35" s="7"/>
        <tr r="AR31" s="7"/>
      </tp>
      <tp t="e">
        <v>#N/A</v>
        <stp/>
        <stp>PLAYERSRANKING</stp>
        <stp>TAEE11</stp>
        <stp>386</stp>
        <stp>SALDO</stp>
        <stp>VOLF</stp>
        <tr r="CS44" s="7"/>
      </tp>
      <tp t="e">
        <v>#N/A</v>
        <stp/>
        <stp>PLAYERSRANKING</stp>
        <stp>TAEE11</stp>
        <stp>308</stp>
        <stp>SALDO</stp>
        <stp>VOLF</stp>
        <tr r="CS42" s="7"/>
      </tp>
      <tp t="e">
        <v>#N/A</v>
        <stp/>
        <stp>PLAYERSRANKING</stp>
        <stp>TAEE11</stp>
        <stp>238</stp>
        <stp>SALDO</stp>
        <stp>VOLF</stp>
        <tr r="CS23" s="7"/>
      </tp>
      <tp t="e">
        <v>#N/A</v>
        <stp/>
        <stp>PLAYERSRANKING</stp>
        <stp>TAEE11</stp>
        <stp>127</stp>
        <stp>SALDO</stp>
        <stp>VOLF</stp>
        <tr r="CS40" s="7"/>
      </tp>
      <tp t="e">
        <v>#N/A</v>
        <stp/>
        <stp>PLAYERSRANKING</stp>
        <stp>TAEE11</stp>
        <stp>122</stp>
        <stp>SALDO</stp>
        <stp>VOLF</stp>
        <tr r="CS15" s="7"/>
      </tp>
      <tp t="e">
        <v>#N/A</v>
        <stp/>
        <stp>PLAYERSRANKING</stp>
        <stp>TAEE11</stp>
        <stp>120</stp>
        <stp>SALDO</stp>
        <stp>VOLF</stp>
        <tr r="CS22" s="7"/>
      </tp>
      <tp t="e">
        <v>#N/A</v>
        <stp/>
        <stp>PLAYERSRANKING</stp>
        <stp>TAEE11</stp>
        <stp>114</stp>
        <stp>SALDO</stp>
        <stp>VOLF</stp>
        <tr r="CS28" s="7"/>
      </tp>
      <tp t="e">
        <v>#N/A</v>
        <stp/>
        <stp>PLAYERSRANKING</stp>
        <stp>TAEE11</stp>
        <stp>147</stp>
        <stp>SALDO</stp>
        <stp>VOLF</stp>
        <tr r="CS14" s="7"/>
      </tp>
      <tp t="e">
        <v>#N/A</v>
        <stp/>
        <stp>PLAYERSRANKING</stp>
        <stp>CPFE3</stp>
        <stp/>
        <stp>SALDO</stp>
        <stp>VOLF</stp>
        <tr r="AS24" s="7"/>
        <tr r="AS39" s="7"/>
        <tr r="AS35" s="7"/>
        <tr r="AS31" s="7"/>
        <tr r="AS25" s="7"/>
      </tp>
      <tp t="e">
        <v>#N/A</v>
        <stp/>
        <stp>PLAYERSRANKING</stp>
        <stp>MRFG3</stp>
        <stp/>
        <stp>SALDO</stp>
        <stp>VOLF</stp>
        <tr r="CC24" s="7"/>
        <tr r="CC39" s="7"/>
        <tr r="CC35" s="7"/>
        <tr r="CC31" s="7"/>
        <tr r="CC25" s="7"/>
      </tp>
      <tp t="e">
        <v>#N/A</v>
        <stp/>
        <stp>PLAYERSRANKING</stp>
        <stp>CRFB3</stp>
        <stp/>
        <stp>SALDO</stp>
        <stp>VOLF</stp>
        <tr r="AU25" s="7"/>
        <tr r="AU24" s="7"/>
        <tr r="AU39" s="7"/>
        <tr r="AU35" s="7"/>
        <tr r="AU31" s="7"/>
      </tp>
      <tp t="e">
        <v>#N/A</v>
        <stp/>
        <stp>PLAYERSRANKING</stp>
        <stp>BRFS3</stp>
        <stp/>
        <stp>SALDO</stp>
        <stp>VOLF</stp>
        <tr r="AK39" s="7"/>
        <tr r="AK35" s="7"/>
        <tr r="AK31" s="7"/>
        <tr r="AK24" s="7"/>
        <tr r="AK25" s="7"/>
      </tp>
    </main>
    <main first="srv.rtd">
      <tp t="e">
        <v>#N/A</v>
        <stp/>
        <stp>PLAYERSRANKING</stp>
        <stp>BEEF3</stp>
        <stp/>
        <stp>SALDO</stp>
        <stp>VOLF</stp>
        <tr r="AG24" s="7"/>
        <tr r="AG39" s="7"/>
        <tr r="AG35" s="7"/>
        <tr r="AG31" s="7"/>
        <tr r="AG25" s="7"/>
      </tp>
      <tp t="e">
        <v>#N/A</v>
        <stp/>
        <stp>PLAYERSRANKING</stp>
        <stp>CIEL3</stp>
        <stp/>
        <stp>SALDO</stp>
        <stp>VOLF</stp>
        <tr r="AP39" s="7"/>
        <tr r="AP35" s="7"/>
        <tr r="AP31" s="7"/>
        <tr r="AP25" s="7"/>
        <tr r="AP24" s="7"/>
      </tp>
      <tp t="e">
        <v>#N/A</v>
        <stp/>
        <stp>PLAYERSRANKING</stp>
        <stp>LREN3</stp>
        <stp/>
        <stp>SALDO</stp>
        <stp>VOLF</stp>
        <tr r="CA25" s="7"/>
        <tr r="CA24" s="7"/>
        <tr r="CA39" s="7"/>
        <tr r="CA35" s="7"/>
        <tr r="CA31" s="7"/>
      </tp>
      <tp t="e">
        <v>#N/A</v>
        <stp/>
        <stp>PLAYERSRANKING</stp>
        <stp>ELET3</stp>
        <stp/>
        <stp>SALDO</stp>
        <stp>VOLF</stp>
        <tr r="BB39" s="7"/>
        <tr r="BB31" s="7"/>
        <tr r="BB25" s="7"/>
        <tr r="BB35" s="7"/>
        <tr r="BB24" s="7"/>
      </tp>
      <tp t="e">
        <v>#N/A</v>
        <stp/>
        <stp>PLAYERSRANKING</stp>
        <stp>ELET6</stp>
        <stp/>
        <stp>SALDO</stp>
        <stp>VOLF</stp>
        <tr r="BC25" s="7"/>
        <tr r="BC24" s="7"/>
        <tr r="BC39" s="7"/>
        <tr r="BC35" s="7"/>
        <tr r="BC31" s="7"/>
      </tp>
      <tp t="e">
        <v>#N/A</v>
        <stp/>
        <stp>PLAYERSRANKING</stp>
        <stp>ENEV3</stp>
        <stp/>
        <stp>SALDO</stp>
        <stp>VOLF</stp>
        <tr r="BF35" s="7"/>
        <tr r="BF25" s="7"/>
        <tr r="BF39" s="7"/>
        <tr r="BF31" s="7"/>
        <tr r="BF24" s="7"/>
      </tp>
      <tp t="e">
        <v>#N/A</v>
        <stp/>
        <stp>PLAYERSRANKING</stp>
        <stp>ABEV3</stp>
        <stp/>
        <stp>SALDO</stp>
        <stp>VOLF</stp>
        <tr r="Y31" s="7"/>
        <tr r="Y39" s="7"/>
        <tr r="Y25" s="7"/>
        <tr r="Y35" s="7"/>
        <tr r="Y24" s="7"/>
      </tp>
    </main>
    <main first="srv.rtd">
      <tp t="e">
        <v>#N/A</v>
        <stp/>
        <stp>PLAYERSRANKING</stp>
        <stp>ENGI11</stp>
        <stp>386</stp>
        <stp>SALDO</stp>
        <stp>VOLF</stp>
        <tr r="BG44" s="7"/>
      </tp>
      <tp t="e">
        <v>#N/A</v>
        <stp/>
        <stp>PLAYERSRANKING</stp>
        <stp>ENGI11</stp>
        <stp>308</stp>
        <stp>SALDO</stp>
        <stp>VOLF</stp>
        <tr r="BG42" s="7"/>
      </tp>
      <tp t="e">
        <v>#N/A</v>
        <stp/>
        <stp>PLAYERSRANKING</stp>
        <stp>ENGI11</stp>
        <stp>238</stp>
        <stp>SALDO</stp>
        <stp>VOLF</stp>
        <tr r="BG23" s="7"/>
      </tp>
      <tp t="e">
        <v>#N/A</v>
        <stp/>
        <stp>PLAYERSRANKING</stp>
        <stp>ENGI11</stp>
        <stp>120</stp>
        <stp>SALDO</stp>
        <stp>VOLF</stp>
        <tr r="BG22" s="7"/>
      </tp>
      <tp t="e">
        <v>#N/A</v>
        <stp/>
        <stp>PLAYERSRANKING</stp>
        <stp>ENGI11</stp>
        <stp>122</stp>
        <stp>SALDO</stp>
        <stp>VOLF</stp>
        <tr r="BG15" s="7"/>
      </tp>
      <tp t="e">
        <v>#N/A</v>
        <stp/>
        <stp>PLAYERSRANKING</stp>
        <stp>ENGI11</stp>
        <stp>127</stp>
        <stp>SALDO</stp>
        <stp>VOLF</stp>
        <tr r="BG40" s="7"/>
      </tp>
      <tp t="e">
        <v>#N/A</v>
        <stp/>
        <stp>PLAYERSRANKING</stp>
        <stp>ENGI11</stp>
        <stp>114</stp>
        <stp>SALDO</stp>
        <stp>VOLF</stp>
        <tr r="BG28" s="7"/>
      </tp>
      <tp t="e">
        <v>#N/A</v>
        <stp/>
        <stp>PLAYERSRANKING</stp>
        <stp>ENGI11</stp>
        <stp>147</stp>
        <stp>SALDO</stp>
        <stp>VOLF</stp>
        <tr r="BG14" s="7"/>
      </tp>
      <tp t="e">
        <v>#N/A</v>
        <stp/>
        <stp>PLAYERSRANKING</stp>
        <stp>BBDC4</stp>
        <stp/>
        <stp>SALDO</stp>
        <stp>VOLF</stp>
        <tr r="AE25" s="7"/>
        <tr r="AE24" s="7"/>
        <tr r="AE39" s="7"/>
        <tr r="AE35" s="7"/>
        <tr r="AE31" s="7"/>
      </tp>
      <tp t="e">
        <v>#N/A</v>
        <stp/>
        <stp>PLAYERSRANKING</stp>
        <stp>BBDC3</stp>
        <stp/>
        <stp>SALDO</stp>
        <stp>VOLF</stp>
        <tr r="AD35" s="7"/>
        <tr r="AD31" s="7"/>
        <tr r="AD25" s="7"/>
        <tr r="AD39" s="7"/>
        <tr r="AD24" s="7"/>
      </tp>
      <tp t="e">
        <v>#N/A</v>
        <stp/>
        <stp>PLAYERSRANKING</stp>
        <stp>RADL3</stp>
        <stp/>
        <stp>SALDO</stp>
        <stp>VOLF</stp>
        <tr r="CL39" s="7"/>
        <tr r="CL31" s="7"/>
        <tr r="CL25" s="7"/>
        <tr r="CL35" s="7"/>
        <tr r="CL24" s="7"/>
      </tp>
      <tp t="e">
        <v>#N/A</v>
        <stp/>
        <stp>PLAYERSRANKING</stp>
        <stp>GNDI3</stp>
        <stp/>
        <stp>SALDO</stp>
        <stp>VOLF</stp>
        <tr r="BL25" s="7"/>
        <tr r="BL24" s="7"/>
        <tr r="BL39" s="7"/>
        <tr r="BL35" s="7"/>
        <tr r="BL31" s="7"/>
      </tp>
      <tp t="e">
        <v>#N/A</v>
        <stp/>
        <stp>PLAYERSRANKING</stp>
        <stp>BRDT3</stp>
        <stp/>
        <stp>SALDO</stp>
        <stp>VOLF</stp>
        <tr r="AJ24" s="7"/>
        <tr r="AJ25" s="7"/>
        <tr r="AJ39" s="7"/>
        <tr r="AJ35" s="7"/>
        <tr r="AJ31" s="7"/>
      </tp>
      <tp t="e">
        <v>#N/A</v>
        <stp/>
        <stp>PLAYERSRANKING</stp>
        <stp>RADL3</stp>
        <stp>127</stp>
        <stp>SALDO</stp>
        <stp>VOLF</stp>
        <tr r="CL40" s="7"/>
      </tp>
      <tp t="e">
        <v>#N/A</v>
        <stp/>
        <stp>PLAYERSRANKING</stp>
        <stp>RADL3</stp>
        <stp>122</stp>
        <stp>SALDO</stp>
        <stp>VOLF</stp>
        <tr r="CL15" s="7"/>
      </tp>
      <tp t="e">
        <v>#N/A</v>
        <stp/>
        <stp>PLAYERSRANKING</stp>
        <stp>RADL3</stp>
        <stp>120</stp>
        <stp>SALDO</stp>
        <stp>VOLF</stp>
        <tr r="CL22" s="7"/>
      </tp>
      <tp t="e">
        <v>#N/A</v>
        <stp/>
        <stp>PLAYERSRANKING</stp>
        <stp>RADL3</stp>
        <stp>114</stp>
        <stp>SALDO</stp>
        <stp>VOLF</stp>
        <tr r="CL28" s="7"/>
      </tp>
      <tp t="e">
        <v>#N/A</v>
        <stp/>
        <stp>PLAYERSRANKING</stp>
        <stp>RADL3</stp>
        <stp>147</stp>
        <stp>SALDO</stp>
        <stp>VOLF</stp>
        <tr r="CL14" s="7"/>
      </tp>
      <tp t="e">
        <v>#N/A</v>
        <stp/>
        <stp>PLAYERSRANKING</stp>
        <stp>RADL3</stp>
        <stp>386</stp>
        <stp>SALDO</stp>
        <stp>VOLF</stp>
        <tr r="CL44" s="7"/>
      </tp>
      <tp t="e">
        <v>#N/A</v>
        <stp/>
        <stp>PLAYERSRANKING</stp>
        <stp>RADL3</stp>
        <stp>308</stp>
        <stp>SALDO</stp>
        <stp>VOLF</stp>
        <tr r="CL42" s="7"/>
      </tp>
      <tp t="e">
        <v>#N/A</v>
        <stp/>
        <stp>PLAYERSRANKING</stp>
        <stp>RADL3</stp>
        <stp>238</stp>
        <stp>SALDO</stp>
        <stp>VOLF</stp>
        <tr r="CL23" s="7"/>
      </tp>
      <tp t="e">
        <v>#N/A</v>
        <stp/>
        <stp>PLAYERSRANKING</stp>
        <stp>VALE3</stp>
        <stp>122</stp>
        <stp>SALDO</stp>
        <stp>VOLF</stp>
        <tr r="CX15" s="7"/>
      </tp>
      <tp t="e">
        <v>#N/A</v>
        <stp/>
        <stp>PLAYERSRANKING</stp>
        <stp>VALE3</stp>
        <stp>120</stp>
        <stp>SALDO</stp>
        <stp>VOLF</stp>
        <tr r="CX22" s="7"/>
      </tp>
      <tp t="e">
        <v>#N/A</v>
        <stp/>
        <stp>PLAYERSRANKING</stp>
        <stp>VALE3</stp>
        <stp>127</stp>
        <stp>SALDO</stp>
        <stp>VOLF</stp>
        <tr r="CX40" s="7"/>
      </tp>
      <tp t="e">
        <v>#N/A</v>
        <stp/>
        <stp>PLAYERSRANKING</stp>
        <stp>VALE3</stp>
        <stp>114</stp>
        <stp>SALDO</stp>
        <stp>VOLF</stp>
        <tr r="CX28" s="7"/>
      </tp>
      <tp t="e">
        <v>#N/A</v>
        <stp/>
        <stp>PLAYERSRANKING</stp>
        <stp>VALE3</stp>
        <stp>147</stp>
        <stp>SALDO</stp>
        <stp>VOLF</stp>
        <tr r="CX14" s="7"/>
      </tp>
      <tp t="e">
        <v>#N/A</v>
        <stp/>
        <stp>PLAYERSRANKING</stp>
        <stp>LAME4</stp>
        <stp>127</stp>
        <stp>SALDO</stp>
        <stp>VOLF</stp>
        <tr r="BY40" s="7"/>
      </tp>
      <tp t="e">
        <v>#N/A</v>
        <stp/>
        <stp>PLAYERSRANKING</stp>
        <stp>LAME4</stp>
        <stp>122</stp>
        <stp>SALDO</stp>
        <stp>VOLF</stp>
        <tr r="BY15" s="7"/>
      </tp>
      <tp t="e">
        <v>#N/A</v>
        <stp/>
        <stp>PLAYERSRANKING</stp>
        <stp>LAME4</stp>
        <stp>120</stp>
        <stp>SALDO</stp>
        <stp>VOLF</stp>
        <tr r="BY22" s="7"/>
      </tp>
      <tp t="e">
        <v>#N/A</v>
        <stp/>
        <stp>PLAYERSRANKING</stp>
        <stp>LAME4</stp>
        <stp>114</stp>
        <stp>SALDO</stp>
        <stp>VOLF</stp>
        <tr r="BY28" s="7"/>
      </tp>
      <tp t="e">
        <v>#N/A</v>
        <stp/>
        <stp>PLAYERSRANKING</stp>
        <stp>LAME4</stp>
        <stp>147</stp>
        <stp>SALDO</stp>
        <stp>VOLF</stp>
        <tr r="BY14" s="7"/>
      </tp>
      <tp t="e">
        <v>#N/A</v>
        <stp/>
        <stp>PLAYERSRANKING</stp>
        <stp>LAME4</stp>
        <stp>238</stp>
        <stp>SALDO</stp>
        <stp>VOLF</stp>
        <tr r="BY23" s="7"/>
      </tp>
      <tp t="e">
        <v>#N/A</v>
        <stp/>
        <stp>PLAYERSRANKING</stp>
        <stp>VALE3</stp>
        <stp>308</stp>
        <stp>SALDO</stp>
        <stp>VOLF</stp>
        <tr r="CX42" s="7"/>
      </tp>
      <tp t="e">
        <v>#N/A</v>
        <stp/>
        <stp>PLAYERSRANKING</stp>
        <stp>VALE3</stp>
        <stp>386</stp>
        <stp>SALDO</stp>
        <stp>VOLF</stp>
        <tr r="CX44" s="7"/>
      </tp>
      <tp t="e">
        <v>#N/A</v>
        <stp/>
        <stp>PLAYERSRANKING</stp>
        <stp>VALE3</stp>
        <stp>238</stp>
        <stp>SALDO</stp>
        <stp>VOLF</stp>
        <tr r="CX23" s="7"/>
      </tp>
      <tp t="e">
        <v>#N/A</v>
        <stp/>
        <stp>PLAYERSRANKING</stp>
        <stp>LAME4</stp>
        <stp>308</stp>
        <stp>SALDO</stp>
        <stp>VOLF</stp>
        <tr r="BY42" s="7"/>
      </tp>
      <tp t="e">
        <v>#N/A</v>
        <stp/>
        <stp>PLAYERSRANKING</stp>
        <stp>LAME4</stp>
        <stp>386</stp>
        <stp>SALDO</stp>
        <stp>VOLF</stp>
        <tr r="BY44" s="7"/>
      </tp>
      <tp t="e">
        <v>#N/A</v>
        <stp/>
        <stp>PLAYERSRANKING</stp>
        <stp>RAIL3</stp>
        <stp>127</stp>
        <stp>SALDO</stp>
        <stp>VOLF</stp>
        <tr r="CM40" s="7"/>
      </tp>
      <tp t="e">
        <v>#N/A</v>
        <stp/>
        <stp>PLAYERSRANKING</stp>
        <stp>RAIL3</stp>
        <stp>122</stp>
        <stp>SALDO</stp>
        <stp>VOLF</stp>
        <tr r="CM15" s="7"/>
      </tp>
      <tp t="e">
        <v>#N/A</v>
        <stp/>
        <stp>PLAYERSRANKING</stp>
        <stp>RAIL3</stp>
        <stp>120</stp>
        <stp>SALDO</stp>
        <stp>VOLF</stp>
        <tr r="CM22" s="7"/>
      </tp>
      <tp t="e">
        <v>#N/A</v>
        <stp/>
        <stp>PLAYERSRANKING</stp>
        <stp>RAIL3</stp>
        <stp>114</stp>
        <stp>SALDO</stp>
        <stp>VOLF</stp>
        <tr r="CM28" s="7"/>
      </tp>
      <tp t="e">
        <v>#N/A</v>
        <stp/>
        <stp>PLAYERSRANKING</stp>
        <stp>RAIL3</stp>
        <stp>147</stp>
        <stp>SALDO</stp>
        <stp>VOLF</stp>
        <tr r="CM14" s="7"/>
      </tp>
      <tp t="e">
        <v>#N/A</v>
        <stp/>
        <stp>PLAYERSRANKING</stp>
        <stp>RAIL3</stp>
        <stp>238</stp>
        <stp>SALDO</stp>
        <stp>VOLF</stp>
        <tr r="CM23" s="7"/>
      </tp>
      <tp t="e">
        <v>#N/A</v>
        <stp/>
        <stp>PLAYERSRANKING</stp>
        <stp>RAIL3</stp>
        <stp>386</stp>
        <stp>SALDO</stp>
        <stp>VOLF</stp>
        <tr r="CM44" s="7"/>
      </tp>
      <tp t="e">
        <v>#N/A</v>
        <stp/>
        <stp>PLAYERSRANKING</stp>
        <stp>RAIL3</stp>
        <stp>308</stp>
        <stp>SALDO</stp>
        <stp>VOLF</stp>
        <tr r="CM42" s="7"/>
      </tp>
      <tp t="e">
        <v>#N/A</v>
        <stp/>
        <stp>PLAYERSRANKING</stp>
        <stp>HAPV3</stp>
        <stp>114</stp>
        <stp>SALDO</stp>
        <stp>VOLF</stp>
        <tr r="BO28" s="7"/>
      </tp>
      <tp t="e">
        <v>#N/A</v>
        <stp/>
        <stp>PLAYERSRANKING</stp>
        <stp>HAPV3</stp>
        <stp>127</stp>
        <stp>SALDO</stp>
        <stp>VOLF</stp>
        <tr r="BO40" s="7"/>
      </tp>
      <tp t="e">
        <v>#N/A</v>
        <stp/>
        <stp>PLAYERSRANKING</stp>
        <stp>HAPV3</stp>
        <stp>120</stp>
        <stp>SALDO</stp>
        <stp>VOLF</stp>
        <tr r="BO22" s="7"/>
      </tp>
      <tp t="e">
        <v>#N/A</v>
        <stp/>
        <stp>PLAYERSRANKING</stp>
        <stp>HAPV3</stp>
        <stp>122</stp>
        <stp>SALDO</stp>
        <stp>VOLF</stp>
        <tr r="BO15" s="7"/>
      </tp>
      <tp t="e">
        <v>#N/A</v>
        <stp/>
        <stp>PLAYERSRANKING</stp>
        <stp>HAPV3</stp>
        <stp>147</stp>
        <stp>SALDO</stp>
        <stp>VOLF</stp>
        <tr r="BO14" s="7"/>
      </tp>
      <tp t="e">
        <v>#N/A</v>
        <stp/>
        <stp>PLAYERSRANKING</stp>
        <stp>HAPV3</stp>
        <stp>308</stp>
        <stp>SALDO</stp>
        <stp>VOLF</stp>
        <tr r="BO42" s="7"/>
      </tp>
      <tp t="e">
        <v>#N/A</v>
        <stp/>
        <stp>PLAYERSRANKING</stp>
        <stp>HAPV3</stp>
        <stp>386</stp>
        <stp>SALDO</stp>
        <stp>VOLF</stp>
        <tr r="BO44" s="7"/>
      </tp>
      <tp t="e">
        <v>#N/A</v>
        <stp/>
        <stp>PLAYERSRANKING</stp>
        <stp>HAPV3</stp>
        <stp>238</stp>
        <stp>SALDO</stp>
        <stp>VOLF</stp>
        <tr r="BO23" s="7"/>
      </tp>
      <tp t="e">
        <v>#N/A</v>
        <stp/>
        <stp>PLAYERSRANKING</stp>
        <stp>SUZB3</stp>
        <stp/>
        <stp>SALDO</stp>
        <stp>VOLF</stp>
        <tr r="CR24" s="7"/>
        <tr r="CR25" s="7"/>
        <tr r="CR39" s="7"/>
        <tr r="CR35" s="7"/>
        <tr r="CR31" s="7"/>
      </tp>
      <tp t="e">
        <v>#N/A</v>
        <stp/>
        <stp>PLAYERSRANKING</stp>
        <stp>LCAM3</stp>
        <stp>120</stp>
        <stp>SALDO</stp>
        <stp>VOLF</stp>
        <tr r="BZ22" s="7"/>
      </tp>
      <tp t="e">
        <v>#N/A</v>
        <stp/>
        <stp>PLAYERSRANKING</stp>
        <stp>LCAM3</stp>
        <stp>122</stp>
        <stp>SALDO</stp>
        <stp>VOLF</stp>
        <tr r="BZ15" s="7"/>
      </tp>
      <tp t="e">
        <v>#N/A</v>
        <stp/>
        <stp>PLAYERSRANKING</stp>
        <stp>LCAM3</stp>
        <stp>127</stp>
        <stp>SALDO</stp>
        <stp>VOLF</stp>
        <tr r="BZ40" s="7"/>
      </tp>
      <tp t="e">
        <v>#N/A</v>
        <stp/>
        <stp>PLAYERSRANKING</stp>
        <stp>LCAM3</stp>
        <stp>114</stp>
        <stp>SALDO</stp>
        <stp>VOLF</stp>
        <tr r="BZ28" s="7"/>
      </tp>
      <tp t="e">
        <v>#N/A</v>
        <stp/>
        <stp>PLAYERSRANKING</stp>
        <stp>LCAM3</stp>
        <stp>147</stp>
        <stp>SALDO</stp>
        <stp>VOLF</stp>
        <tr r="BZ14" s="7"/>
      </tp>
      <tp t="e">
        <v>#N/A</v>
        <stp/>
        <stp>PLAYERSRANKING</stp>
        <stp>PCAR3</stp>
        <stp>147</stp>
        <stp>SALDO</stp>
        <stp>VOLF</stp>
        <tr r="CG14" s="7"/>
      </tp>
      <tp t="e">
        <v>#N/A</v>
        <stp/>
        <stp>PLAYERSRANKING</stp>
        <stp>PCAR3</stp>
        <stp>114</stp>
        <stp>SALDO</stp>
        <stp>VOLF</stp>
        <tr r="CG28" s="7"/>
      </tp>
      <tp t="e">
        <v>#N/A</v>
        <stp/>
        <stp>PLAYERSRANKING</stp>
        <stp>PCAR3</stp>
        <stp>127</stp>
        <stp>SALDO</stp>
        <stp>VOLF</stp>
        <tr r="CG40" s="7"/>
      </tp>
      <tp t="e">
        <v>#N/A</v>
        <stp/>
        <stp>PLAYERSRANKING</stp>
        <stp>PCAR3</stp>
        <stp>120</stp>
        <stp>SALDO</stp>
        <stp>VOLF</stp>
        <tr r="CG22" s="7"/>
      </tp>
      <tp t="e">
        <v>#N/A</v>
        <stp/>
        <stp>PLAYERSRANKING</stp>
        <stp>PCAR3</stp>
        <stp>122</stp>
        <stp>SALDO</stp>
        <stp>VOLF</stp>
        <tr r="CG15" s="7"/>
      </tp>
      <tp t="e">
        <v>#N/A</v>
        <stp/>
        <stp>PLAYERSRANKING</stp>
        <stp>LCAM3</stp>
        <stp>238</stp>
        <stp>SALDO</stp>
        <stp>VOLF</stp>
        <tr r="BZ23" s="7"/>
      </tp>
      <tp t="e">
        <v>#N/A</v>
        <stp/>
        <stp>PLAYERSRANKING</stp>
        <stp>PCAR3</stp>
        <stp>238</stp>
        <stp>SALDO</stp>
        <stp>VOLF</stp>
        <tr r="CG23" s="7"/>
      </tp>
      <tp t="e">
        <v>#N/A</v>
        <stp/>
        <stp>PLAYERSRANKING</stp>
        <stp>LCAM3</stp>
        <stp>386</stp>
        <stp>SALDO</stp>
        <stp>VOLF</stp>
        <tr r="BZ44" s="7"/>
      </tp>
      <tp t="e">
        <v>#N/A</v>
        <stp/>
        <stp>PLAYERSRANKING</stp>
        <stp>LCAM3</stp>
        <stp>308</stp>
        <stp>SALDO</stp>
        <stp>VOLF</stp>
        <tr r="BZ42" s="7"/>
      </tp>
      <tp t="e">
        <v>#N/A</v>
        <stp/>
        <stp>PLAYERSRANKING</stp>
        <stp>PCAR3</stp>
        <stp>308</stp>
        <stp>SALDO</stp>
        <stp>VOLF</stp>
        <tr r="CG42" s="7"/>
      </tp>
      <tp t="e">
        <v>#N/A</v>
        <stp/>
        <stp>PLAYERSRANKING</stp>
        <stp>PCAR3</stp>
        <stp>386</stp>
        <stp>SALDO</stp>
        <stp>VOLF</stp>
        <tr r="CG44" s="7"/>
      </tp>
      <tp t="e">
        <v>#N/A</v>
        <stp/>
        <stp>PLAYERSRANKING</stp>
        <stp>ECOR3</stp>
        <stp>238</stp>
        <stp>SALDO</stp>
        <stp>VOLF</stp>
        <tr r="AZ23" s="7"/>
      </tp>
      <tp t="e">
        <v>#N/A</v>
        <stp/>
        <stp>PLAYERSRANKING</stp>
        <stp>ECOR3</stp>
        <stp>308</stp>
        <stp>SALDO</stp>
        <stp>VOLF</stp>
        <tr r="AZ42" s="7"/>
      </tp>
      <tp t="e">
        <v>#N/A</v>
        <stp/>
        <stp>PLAYERSRANKING</stp>
        <stp>ECOR3</stp>
        <stp>386</stp>
        <stp>SALDO</stp>
        <stp>VOLF</stp>
        <tr r="AZ44" s="7"/>
      </tp>
      <tp t="e">
        <v>#N/A</v>
        <stp/>
        <stp>PLAYERSRANKING</stp>
        <stp>ECOR3</stp>
        <stp>147</stp>
        <stp>SALDO</stp>
        <stp>VOLF</stp>
        <tr r="AZ14" s="7"/>
      </tp>
      <tp t="e">
        <v>#N/A</v>
        <stp/>
        <stp>PLAYERSRANKING</stp>
        <stp>ECOR3</stp>
        <stp>114</stp>
        <stp>SALDO</stp>
        <stp>VOLF</stp>
        <tr r="AZ28" s="7"/>
      </tp>
      <tp t="e">
        <v>#N/A</v>
        <stp/>
        <stp>PLAYERSRANKING</stp>
        <stp>ECOR3</stp>
        <stp>120</stp>
        <stp>SALDO</stp>
        <stp>VOLF</stp>
        <tr r="AZ22" s="7"/>
      </tp>
      <tp t="e">
        <v>#N/A</v>
        <stp/>
        <stp>PLAYERSRANKING</stp>
        <stp>ECOR3</stp>
        <stp>122</stp>
        <stp>SALDO</stp>
        <stp>VOLF</stp>
        <tr r="AZ15" s="7"/>
      </tp>
      <tp t="e">
        <v>#N/A</v>
        <stp/>
        <stp>PLAYERSRANKING</stp>
        <stp>ECOR3</stp>
        <stp>127</stp>
        <stp>SALDO</stp>
        <stp>VOLF</stp>
        <tr r="AZ40" s="7"/>
      </tp>
      <tp t="e">
        <v>#N/A</v>
        <stp/>
        <stp>PLAYERSRANKING</stp>
        <stp>CCRO3</stp>
        <stp>386</stp>
        <stp>SALDO</stp>
        <stp>VOLF</stp>
        <tr r="AO44" s="7"/>
      </tp>
      <tp t="e">
        <v>#N/A</v>
        <stp/>
        <stp>PLAYERSRANKING</stp>
        <stp>CCRO3</stp>
        <stp>308</stp>
        <stp>SALDO</stp>
        <stp>VOLF</stp>
        <tr r="AO42" s="7"/>
      </tp>
      <tp t="e">
        <v>#N/A</v>
        <stp/>
        <stp>PLAYERSRANKING</stp>
        <stp>CCRO3</stp>
        <stp>238</stp>
        <stp>SALDO</stp>
        <stp>VOLF</stp>
        <tr r="AO23" s="7"/>
      </tp>
      <tp t="e">
        <v>#N/A</v>
        <stp/>
        <stp>PLAYERSRANKING</stp>
        <stp>CCRO3</stp>
        <stp>114</stp>
        <stp>SALDO</stp>
        <stp>VOLF</stp>
        <tr r="AO28" s="7"/>
      </tp>
      <tp t="e">
        <v>#N/A</v>
        <stp/>
        <stp>PLAYERSRANKING</stp>
        <stp>CCRO3</stp>
        <stp>127</stp>
        <stp>SALDO</stp>
        <stp>VOLF</stp>
        <tr r="AO40" s="7"/>
      </tp>
      <tp t="e">
        <v>#N/A</v>
        <stp/>
        <stp>PLAYERSRANKING</stp>
        <stp>CCRO3</stp>
        <stp>122</stp>
        <stp>SALDO</stp>
        <stp>VOLF</stp>
        <tr r="AO15" s="7"/>
      </tp>
      <tp t="e">
        <v>#N/A</v>
        <stp/>
        <stp>PLAYERSRANKING</stp>
        <stp>CCRO3</stp>
        <stp>120</stp>
        <stp>SALDO</stp>
        <stp>VOLF</stp>
        <tr r="AO22" s="7"/>
      </tp>
      <tp t="e">
        <v>#N/A</v>
        <stp/>
        <stp>PLAYERSRANKING</stp>
        <stp>CCRO3</stp>
        <stp>147</stp>
        <stp>SALDO</stp>
        <stp>VOLF</stp>
        <tr r="AO14" s="7"/>
      </tp>
      <tp t="e">
        <v>#N/A</v>
        <stp/>
        <stp>PLAYERSRANKING</stp>
        <stp>DOLFUT</stp>
        <stp>8</stp>
        <stp>SALDO</stp>
        <stp>VOLF</stp>
        <tr r="W41" s="7"/>
      </tp>
      <tp t="e">
        <v>#N/A</v>
        <stp/>
        <stp>PLAYERSRANKING</stp>
        <stp>DOLFUT</stp>
        <stp>3</stp>
        <stp>SALDO</stp>
        <stp>VOLF</stp>
        <tr r="W45" s="7"/>
      </tp>
      <tp t="e">
        <v>#N/A</v>
        <stp/>
        <stp>PLAYERSRANKING</stp>
        <stp>BBDC3</stp>
        <stp>147</stp>
        <stp>SALDO</stp>
        <stp>VOLF</stp>
        <tr r="AD14" s="7"/>
      </tp>
      <tp t="e">
        <v>#N/A</v>
        <stp/>
        <stp>PLAYERSRANKING</stp>
        <stp>BBDC4</stp>
        <stp>147</stp>
        <stp>SALDO</stp>
        <stp>VOLF</stp>
        <tr r="AE14" s="7"/>
      </tp>
      <tp t="e">
        <v>#N/A</v>
        <stp/>
        <stp>PLAYERSRANKING</stp>
        <stp>BBDC3</stp>
        <stp>114</stp>
        <stp>SALDO</stp>
        <stp>VOLF</stp>
        <tr r="AD28" s="7"/>
      </tp>
      <tp t="e">
        <v>#N/A</v>
        <stp/>
        <stp>PLAYERSRANKING</stp>
        <stp>BBDC4</stp>
        <stp>114</stp>
        <stp>SALDO</stp>
        <stp>VOLF</stp>
        <tr r="AE28" s="7"/>
      </tp>
      <tp t="e">
        <v>#N/A</v>
        <stp/>
        <stp>PLAYERSRANKING</stp>
        <stp>BBDC3</stp>
        <stp>127</stp>
        <stp>SALDO</stp>
        <stp>VOLF</stp>
        <tr r="AD40" s="7"/>
      </tp>
      <tp t="e">
        <v>#N/A</v>
        <stp/>
        <stp>PLAYERSRANKING</stp>
        <stp>BBDC4</stp>
        <stp>120</stp>
        <stp>SALDO</stp>
        <stp>VOLF</stp>
        <tr r="AE22" s="7"/>
      </tp>
      <tp t="e">
        <v>#N/A</v>
        <stp/>
        <stp>PLAYERSRANKING</stp>
        <stp>BBDC4</stp>
        <stp>122</stp>
        <stp>SALDO</stp>
        <stp>VOLF</stp>
        <tr r="AE15" s="7"/>
      </tp>
      <tp t="e">
        <v>#N/A</v>
        <stp/>
        <stp>PLAYERSRANKING</stp>
        <stp>BBDC3</stp>
        <stp>122</stp>
        <stp>SALDO</stp>
        <stp>VOLF</stp>
        <tr r="AD15" s="7"/>
      </tp>
      <tp t="e">
        <v>#N/A</v>
        <stp/>
        <stp>PLAYERSRANKING</stp>
        <stp>BBDC3</stp>
        <stp>120</stp>
        <stp>SALDO</stp>
        <stp>VOLF</stp>
        <tr r="AD22" s="7"/>
      </tp>
      <tp t="e">
        <v>#N/A</v>
        <stp/>
        <stp>PLAYERSRANKING</stp>
        <stp>BBDC4</stp>
        <stp>127</stp>
        <stp>SALDO</stp>
        <stp>VOLF</stp>
        <tr r="AE40" s="7"/>
      </tp>
      <tp t="e">
        <v>#N/A</v>
        <stp/>
        <stp>PLAYERSRANKING</stp>
        <stp>ABEV3</stp>
        <stp>114</stp>
        <stp>SALDO</stp>
        <stp>VOLF</stp>
        <tr r="Y28" s="7"/>
      </tp>
      <tp t="e">
        <v>#N/A</v>
        <stp/>
        <stp>PLAYERSRANKING</stp>
        <stp>ABEV3</stp>
        <stp>127</stp>
        <stp>SALDO</stp>
        <stp>VOLF</stp>
        <tr r="Y40" s="7"/>
      </tp>
      <tp t="e">
        <v>#N/A</v>
        <stp/>
        <stp>PLAYERSRANKING</stp>
        <stp>ABEV3</stp>
        <stp>120</stp>
        <stp>SALDO</stp>
        <stp>VOLF</stp>
        <tr r="Y22" s="7"/>
      </tp>
      <tp t="e">
        <v>#N/A</v>
        <stp/>
        <stp>PLAYERSRANKING</stp>
        <stp>ABEV3</stp>
        <stp>122</stp>
        <stp>SALDO</stp>
        <stp>VOLF</stp>
        <tr r="Y15" s="7"/>
      </tp>
      <tp t="e">
        <v>#N/A</v>
        <stp/>
        <stp>PLAYERSRANKING</stp>
        <stp>ABEV3</stp>
        <stp>147</stp>
        <stp>SALDO</stp>
        <stp>VOLF</stp>
        <tr r="Y14" s="7"/>
      </tp>
      <tp t="e">
        <v>#N/A</v>
        <stp/>
        <stp>PLAYERSRANKING</stp>
        <stp>BBDC4</stp>
        <stp>308</stp>
        <stp>SALDO</stp>
        <stp>VOLF</stp>
        <tr r="AE42" s="7"/>
      </tp>
      <tp t="e">
        <v>#N/A</v>
        <stp/>
        <stp>PLAYERSRANKING</stp>
        <stp>BBDC3</stp>
        <stp>308</stp>
        <stp>SALDO</stp>
        <stp>VOLF</stp>
        <tr r="AD42" s="7"/>
      </tp>
      <tp t="e">
        <v>#N/A</v>
        <stp/>
        <stp>PLAYERSRANKING</stp>
        <stp>BBDC3</stp>
        <stp>386</stp>
        <stp>SALDO</stp>
        <stp>VOLF</stp>
        <tr r="AD44" s="7"/>
      </tp>
      <tp t="e">
        <v>#N/A</v>
        <stp/>
        <stp>PLAYERSRANKING</stp>
        <stp>BBDC4</stp>
        <stp>386</stp>
        <stp>SALDO</stp>
        <stp>VOLF</stp>
        <tr r="AE44" s="7"/>
      </tp>
      <tp t="e">
        <v>#N/A</v>
        <stp/>
        <stp>PLAYERSRANKING</stp>
        <stp>ABEV3</stp>
        <stp>238</stp>
        <stp>SALDO</stp>
        <stp>VOLF</stp>
        <tr r="Y23" s="7"/>
      </tp>
      <tp t="e">
        <v>#N/A</v>
        <stp/>
        <stp>PLAYERSRANKING</stp>
        <stp>BBDC4</stp>
        <stp>238</stp>
        <stp>SALDO</stp>
        <stp>VOLF</stp>
        <tr r="AE23" s="7"/>
      </tp>
      <tp t="e">
        <v>#N/A</v>
        <stp/>
        <stp>PLAYERSRANKING</stp>
        <stp>BBDC3</stp>
        <stp>238</stp>
        <stp>SALDO</stp>
        <stp>VOLF</stp>
        <tr r="AD23" s="7"/>
      </tp>
      <tp t="e">
        <v>#N/A</v>
        <stp/>
        <stp>PLAYERSRANKING</stp>
        <stp>ABEV3</stp>
        <stp>308</stp>
        <stp>SALDO</stp>
        <stp>VOLF</stp>
        <tr r="Y42" s="7"/>
      </tp>
      <tp t="e">
        <v>#N/A</v>
        <stp/>
        <stp>PLAYERSRANKING</stp>
        <stp>ABEV3</stp>
        <stp>386</stp>
        <stp>SALDO</stp>
        <stp>VOLF</stp>
        <tr r="Y44" s="7"/>
      </tp>
      <tp t="e">
        <v>#N/A</v>
        <stp/>
        <stp>PLAYERSRANKING</stp>
        <stp>BBAS3</stp>
        <stp>147</stp>
        <stp>SALDO</stp>
        <stp>VOLF</stp>
        <tr r="AC14" s="7"/>
      </tp>
      <tp t="e">
        <v>#N/A</v>
        <stp/>
        <stp>PLAYERSRANKING</stp>
        <stp>BBAS3</stp>
        <stp>114</stp>
        <stp>SALDO</stp>
        <stp>VOLF</stp>
        <tr r="AC28" s="7"/>
      </tp>
      <tp t="e">
        <v>#N/A</v>
        <stp/>
        <stp>PLAYERSRANKING</stp>
        <stp>BBAS3</stp>
        <stp>127</stp>
        <stp>SALDO</stp>
        <stp>VOLF</stp>
        <tr r="AC40" s="7"/>
      </tp>
      <tp t="e">
        <v>#N/A</v>
        <stp/>
        <stp>PLAYERSRANKING</stp>
        <stp>BBAS3</stp>
        <stp>122</stp>
        <stp>SALDO</stp>
        <stp>VOLF</stp>
        <tr r="AC15" s="7"/>
      </tp>
      <tp t="e">
        <v>#N/A</v>
        <stp/>
        <stp>PLAYERSRANKING</stp>
        <stp>BBAS3</stp>
        <stp>120</stp>
        <stp>SALDO</stp>
        <stp>VOLF</stp>
        <tr r="AC22" s="7"/>
      </tp>
      <tp t="e">
        <v>#N/A</v>
        <stp/>
        <stp>PLAYERSRANKING</stp>
        <stp>BBAS3</stp>
        <stp>238</stp>
        <stp>SALDO</stp>
        <stp>VOLF</stp>
        <tr r="AC23" s="7"/>
      </tp>
      <tp t="e">
        <v>#N/A</v>
        <stp/>
        <stp>PLAYERSRANKING</stp>
        <stp>BBAS3</stp>
        <stp>308</stp>
        <stp>SALDO</stp>
        <stp>VOLF</stp>
        <tr r="AC42" s="7"/>
      </tp>
      <tp t="e">
        <v>#N/A</v>
        <stp/>
        <stp>PLAYERSRANKING</stp>
        <stp>BBAS3</stp>
        <stp>386</stp>
        <stp>SALDO</stp>
        <stp>VOLF</stp>
        <tr r="AC44" s="7"/>
      </tp>
      <tp t="e">
        <v>#N/A</v>
        <stp/>
        <stp>PLAYERSRANKING</stp>
        <stp>BBSE3</stp>
        <stp>238</stp>
        <stp>SALDO</stp>
        <stp>VOLF</stp>
        <tr r="AF23" s="7"/>
      </tp>
      <tp t="e">
        <v>#N/A</v>
        <stp/>
        <stp>PLAYERSRANKING</stp>
        <stp>SBSP3</stp>
        <stp>238</stp>
        <stp>SALDO</stp>
        <stp>VOLF</stp>
        <tr r="CP23" s="7"/>
      </tp>
      <tp t="e">
        <v>#N/A</v>
        <stp/>
        <stp>PLAYERSRANKING</stp>
        <stp>JBSS3</stp>
        <stp>238</stp>
        <stp>SALDO</stp>
        <stp>VOLF</stp>
        <tr r="BV23" s="7"/>
      </tp>
      <tp t="e">
        <v>#N/A</v>
        <stp/>
        <stp>PLAYERSRANKING</stp>
        <stp>BBSE3</stp>
        <stp>308</stp>
        <stp>SALDO</stp>
        <stp>VOLF</stp>
        <tr r="AF42" s="7"/>
      </tp>
      <tp t="e">
        <v>#N/A</v>
        <stp/>
        <stp>PLAYERSRANKING</stp>
        <stp>BBSE3</stp>
        <stp>386</stp>
        <stp>SALDO</stp>
        <stp>VOLF</stp>
        <tr r="AF44" s="7"/>
      </tp>
      <tp t="e">
        <v>#N/A</v>
        <stp/>
        <stp>PLAYERSRANKING</stp>
        <stp>JBSS3</stp>
        <stp>308</stp>
        <stp>SALDO</stp>
        <stp>VOLF</stp>
        <tr r="BV42" s="7"/>
      </tp>
      <tp t="e">
        <v>#N/A</v>
        <stp/>
        <stp>PLAYERSRANKING</stp>
        <stp>SBSP3</stp>
        <stp>308</stp>
        <stp>SALDO</stp>
        <stp>VOLF</stp>
        <tr r="CP42" s="7"/>
      </tp>
      <tp t="e">
        <v>#N/A</v>
        <stp/>
        <stp>PLAYERSRANKING</stp>
        <stp>JBSS3</stp>
        <stp>386</stp>
        <stp>SALDO</stp>
        <stp>VOLF</stp>
        <tr r="BV44" s="7"/>
      </tp>
      <tp t="e">
        <v>#N/A</v>
        <stp/>
        <stp>PLAYERSRANKING</stp>
        <stp>SBSP3</stp>
        <stp>386</stp>
        <stp>SALDO</stp>
        <stp>VOLF</stp>
        <tr r="CP44" s="7"/>
      </tp>
      <tp t="e">
        <v>#N/A</v>
        <stp/>
        <stp>PLAYERSRANKING</stp>
        <stp>BBSE3</stp>
        <stp>127</stp>
        <stp>SALDO</stp>
        <stp>VOLF</stp>
        <tr r="AF40" s="7"/>
      </tp>
      <tp t="e">
        <v>#N/A</v>
        <stp/>
        <stp>PLAYERSRANKING</stp>
        <stp>BBSE3</stp>
        <stp>122</stp>
        <stp>SALDO</stp>
        <stp>VOLF</stp>
        <tr r="AF15" s="7"/>
      </tp>
      <tp t="e">
        <v>#N/A</v>
        <stp/>
        <stp>PLAYERSRANKING</stp>
        <stp>BBSE3</stp>
        <stp>120</stp>
        <stp>SALDO</stp>
        <stp>VOLF</stp>
        <tr r="AF22" s="7"/>
      </tp>
      <tp t="e">
        <v>#N/A</v>
        <stp/>
        <stp>PLAYERSRANKING</stp>
        <stp>BBSE3</stp>
        <stp>114</stp>
        <stp>SALDO</stp>
        <stp>VOLF</stp>
        <tr r="AF28" s="7"/>
      </tp>
      <tp t="e">
        <v>#N/A</v>
        <stp/>
        <stp>PLAYERSRANKING</stp>
        <stp>BBSE3</stp>
        <stp>147</stp>
        <stp>SALDO</stp>
        <stp>VOLF</stp>
        <tr r="AF14" s="7"/>
      </tp>
      <tp t="e">
        <v>#N/A</v>
        <stp/>
        <stp>PLAYERSRANKING</stp>
        <stp>JBSS3</stp>
        <stp>147</stp>
        <stp>SALDO</stp>
        <stp>VOLF</stp>
        <tr r="BV14" s="7"/>
      </tp>
      <tp t="e">
        <v>#N/A</v>
        <stp/>
        <stp>PLAYERSRANKING</stp>
        <stp>SBSP3</stp>
        <stp>147</stp>
        <stp>SALDO</stp>
        <stp>VOLF</stp>
        <tr r="CP14" s="7"/>
      </tp>
      <tp t="e">
        <v>#N/A</v>
        <stp/>
        <stp>PLAYERSRANKING</stp>
        <stp>SBSP3</stp>
        <stp>127</stp>
        <stp>SALDO</stp>
        <stp>VOLF</stp>
        <tr r="CP40" s="7"/>
      </tp>
      <tp t="e">
        <v>#N/A</v>
        <stp/>
        <stp>PLAYERSRANKING</stp>
        <stp>SBSP3</stp>
        <stp>122</stp>
        <stp>SALDO</stp>
        <stp>VOLF</stp>
        <tr r="CP15" s="7"/>
      </tp>
      <tp t="e">
        <v>#N/A</v>
        <stp/>
        <stp>PLAYERSRANKING</stp>
        <stp>SBSP3</stp>
        <stp>120</stp>
        <stp>SALDO</stp>
        <stp>VOLF</stp>
        <tr r="CP22" s="7"/>
      </tp>
      <tp t="e">
        <v>#N/A</v>
        <stp/>
        <stp>PLAYERSRANKING</stp>
        <stp>JBSS3</stp>
        <stp>114</stp>
        <stp>SALDO</stp>
        <stp>VOLF</stp>
        <tr r="BV28" s="7"/>
      </tp>
      <tp t="e">
        <v>#N/A</v>
        <stp/>
        <stp>PLAYERSRANKING</stp>
        <stp>SBSP3</stp>
        <stp>114</stp>
        <stp>SALDO</stp>
        <stp>VOLF</stp>
        <tr r="CP28" s="7"/>
      </tp>
      <tp t="e">
        <v>#N/A</v>
        <stp/>
        <stp>PLAYERSRANKING</stp>
        <stp>JBSS3</stp>
        <stp>127</stp>
        <stp>SALDO</stp>
        <stp>VOLF</stp>
        <tr r="BV40" s="7"/>
      </tp>
      <tp t="e">
        <v>#N/A</v>
        <stp/>
        <stp>PLAYERSRANKING</stp>
        <stp>JBSS3</stp>
        <stp>122</stp>
        <stp>SALDO</stp>
        <stp>VOLF</stp>
        <tr r="BV15" s="7"/>
      </tp>
      <tp t="e">
        <v>#N/A</v>
        <stp/>
        <stp>PLAYERSRANKING</stp>
        <stp>JBSS3</stp>
        <stp>120</stp>
        <stp>SALDO</stp>
        <stp>VOLF</stp>
        <tr r="BV22" s="7"/>
      </tp>
      <tp t="e">
        <v>#N/A</v>
        <stp/>
        <stp>PLAYERSRANKING</stp>
        <stp>WEGE3</stp>
        <stp>238</stp>
        <stp>SALDO</stp>
        <stp>VOLF</stp>
        <tr r="DA23" s="7"/>
      </tp>
      <tp t="e">
        <v>#N/A</v>
        <stp/>
        <stp>PLAYERSRANKING</stp>
        <stp>BEEF3</stp>
        <stp>114</stp>
        <stp>SALDO</stp>
        <stp>VOLF</stp>
        <tr r="AG28" s="7"/>
      </tp>
      <tp t="e">
        <v>#N/A</v>
        <stp/>
        <stp>PLAYERSRANKING</stp>
        <stp>BEEF3</stp>
        <stp>127</stp>
        <stp>SALDO</stp>
        <stp>VOLF</stp>
        <tr r="AG40" s="7"/>
      </tp>
      <tp t="e">
        <v>#N/A</v>
        <stp/>
        <stp>PLAYERSRANKING</stp>
        <stp>BEEF3</stp>
        <stp>122</stp>
        <stp>SALDO</stp>
        <stp>VOLF</stp>
        <tr r="AG15" s="7"/>
      </tp>
      <tp t="e">
        <v>#N/A</v>
        <stp/>
        <stp>PLAYERSRANKING</stp>
        <stp>BEEF3</stp>
        <stp>120</stp>
        <stp>SALDO</stp>
        <stp>VOLF</stp>
        <tr r="AG22" s="7"/>
      </tp>
      <tp t="e">
        <v>#N/A</v>
        <stp/>
        <stp>PLAYERSRANKING</stp>
        <stp>WEGE3</stp>
        <stp>308</stp>
        <stp>SALDO</stp>
        <stp>VOLF</stp>
        <tr r="DA42" s="7"/>
      </tp>
      <tp t="e">
        <v>#N/A</v>
        <stp/>
        <stp>PLAYERSRANKING</stp>
        <stp>BEEF3</stp>
        <stp>147</stp>
        <stp>SALDO</stp>
        <stp>VOLF</stp>
        <tr r="AG14" s="7"/>
      </tp>
      <tp t="e">
        <v>#N/A</v>
        <stp/>
        <stp>PLAYERSRANKING</stp>
        <stp>WEGE3</stp>
        <stp>386</stp>
        <stp>SALDO</stp>
        <stp>VOLF</stp>
        <tr r="DA44" s="7"/>
      </tp>
      <tp t="e">
        <v>#N/A</v>
        <stp/>
        <stp>PLAYERSRANKING</stp>
        <stp>BEEF3</stp>
        <stp>238</stp>
        <stp>SALDO</stp>
        <stp>VOLF</stp>
        <tr r="AG23" s="7"/>
      </tp>
      <tp t="e">
        <v>#N/A</v>
        <stp/>
        <stp>PLAYERSRANKING</stp>
        <stp>BEEF3</stp>
        <stp>308</stp>
        <stp>SALDO</stp>
        <stp>VOLF</stp>
        <tr r="AG42" s="7"/>
      </tp>
      <tp t="e">
        <v>#N/A</v>
        <stp/>
        <stp>PLAYERSRANKING</stp>
        <stp>WEGE3</stp>
        <stp>122</stp>
        <stp>SALDO</stp>
        <stp>VOLF</stp>
        <tr r="DA15" s="7"/>
      </tp>
      <tp t="e">
        <v>#N/A</v>
        <stp/>
        <stp>PLAYERSRANKING</stp>
        <stp>WEGE3</stp>
        <stp>120</stp>
        <stp>SALDO</stp>
        <stp>VOLF</stp>
        <tr r="DA22" s="7"/>
      </tp>
      <tp t="e">
        <v>#N/A</v>
        <stp/>
        <stp>PLAYERSRANKING</stp>
        <stp>WEGE3</stp>
        <stp>127</stp>
        <stp>SALDO</stp>
        <stp>VOLF</stp>
        <tr r="DA40" s="7"/>
      </tp>
      <tp t="e">
        <v>#N/A</v>
        <stp/>
        <stp>PLAYERSRANKING</stp>
        <stp>WEGE3</stp>
        <stp>114</stp>
        <stp>SALDO</stp>
        <stp>VOLF</stp>
        <tr r="DA28" s="7"/>
      </tp>
      <tp t="e">
        <v>#N/A</v>
        <stp/>
        <stp>PLAYERSRANKING</stp>
        <stp>WEGE3</stp>
        <stp>147</stp>
        <stp>SALDO</stp>
        <stp>VOLF</stp>
        <tr r="DA14" s="7"/>
      </tp>
      <tp t="e">
        <v>#N/A</v>
        <stp/>
        <stp>PLAYERSRANKING</stp>
        <stp>BEEF3</stp>
        <stp>386</stp>
        <stp>SALDO</stp>
        <stp>VOLF</stp>
        <tr r="AG44" s="7"/>
      </tp>
      <tp t="e">
        <v>#N/A</v>
        <stp/>
        <stp>PLAYERSRANKING</stp>
        <stp>RENT3</stp>
        <stp>308</stp>
        <stp>SALDO</stp>
        <stp>VOLF</stp>
        <tr r="CN42" s="7"/>
      </tp>
      <tp t="e">
        <v>#N/A</v>
        <stp/>
        <stp>PLAYERSRANKING</stp>
        <stp>RENT3</stp>
        <stp>386</stp>
        <stp>SALDO</stp>
        <stp>VOLF</stp>
        <tr r="CN44" s="7"/>
      </tp>
      <tp t="e">
        <v>#N/A</v>
        <stp/>
        <stp>PLAYERSRANKING</stp>
        <stp>RENT3</stp>
        <stp>238</stp>
        <stp>SALDO</stp>
        <stp>VOLF</stp>
        <tr r="CN23" s="7"/>
      </tp>
      <tp t="e">
        <v>#N/A</v>
        <stp/>
        <stp>PLAYERSRANKING</stp>
        <stp>RENT3</stp>
        <stp>127</stp>
        <stp>SALDO</stp>
        <stp>VOLF</stp>
        <tr r="CN40" s="7"/>
      </tp>
      <tp t="e">
        <v>#N/A</v>
        <stp/>
        <stp>PLAYERSRANKING</stp>
        <stp>RENT3</stp>
        <stp>122</stp>
        <stp>SALDO</stp>
        <stp>VOLF</stp>
        <tr r="CN15" s="7"/>
      </tp>
      <tp t="e">
        <v>#N/A</v>
        <stp/>
        <stp>PLAYERSRANKING</stp>
        <stp>RENT3</stp>
        <stp>120</stp>
        <stp>SALDO</stp>
        <stp>VOLF</stp>
        <tr r="CN22" s="7"/>
      </tp>
      <tp t="e">
        <v>#N/A</v>
        <stp/>
        <stp>PLAYERSRANKING</stp>
        <stp>RENT3</stp>
        <stp>114</stp>
        <stp>SALDO</stp>
        <stp>VOLF</stp>
        <tr r="CN28" s="7"/>
      </tp>
      <tp t="e">
        <v>#N/A</v>
        <stp/>
        <stp>PLAYERSRANKING</stp>
        <stp>RENT3</stp>
        <stp>147</stp>
        <stp>SALDO</stp>
        <stp>VOLF</stp>
        <tr r="CN14" s="7"/>
      </tp>
      <tp t="e">
        <v>#N/A</v>
        <stp/>
        <stp>PLAYERSRANKING</stp>
        <stp>PETR3</stp>
        <stp>147</stp>
        <stp>SALDO</stp>
        <stp>VOLF</stp>
        <tr r="CH14" s="7"/>
      </tp>
      <tp t="e">
        <v>#N/A</v>
        <stp/>
        <stp>PLAYERSRANKING</stp>
        <stp>PETR4</stp>
        <stp>147</stp>
        <stp>SALDO</stp>
        <stp>VOLF</stp>
        <tr r="CI14" s="7"/>
      </tp>
      <tp t="e">
        <v>#N/A</v>
        <stp/>
        <stp>PLAYERSRANKING</stp>
        <stp>PETR3</stp>
        <stp>114</stp>
        <stp>SALDO</stp>
        <stp>VOLF</stp>
        <tr r="CH28" s="7"/>
      </tp>
      <tp t="e">
        <v>#N/A</v>
        <stp/>
        <stp>PLAYERSRANKING</stp>
        <stp>PETR4</stp>
        <stp>114</stp>
        <stp>SALDO</stp>
        <stp>VOLF</stp>
        <tr r="CI28" s="7"/>
      </tp>
      <tp t="e">
        <v>#N/A</v>
        <stp/>
        <stp>PLAYERSRANKING</stp>
        <stp>PETR4</stp>
        <stp>122</stp>
        <stp>SALDO</stp>
        <stp>VOLF</stp>
        <tr r="CI15" s="7"/>
      </tp>
      <tp t="e">
        <v>#N/A</v>
        <stp/>
        <stp>PLAYERSRANKING</stp>
        <stp>PETR3</stp>
        <stp>127</stp>
        <stp>SALDO</stp>
        <stp>VOLF</stp>
        <tr r="CH40" s="7"/>
      </tp>
      <tp t="e">
        <v>#N/A</v>
        <stp/>
        <stp>PLAYERSRANKING</stp>
        <stp>PETR4</stp>
        <stp>120</stp>
        <stp>SALDO</stp>
        <stp>VOLF</stp>
        <tr r="CI22" s="7"/>
      </tp>
      <tp t="e">
        <v>#N/A</v>
        <stp/>
        <stp>PLAYERSRANKING</stp>
        <stp>PETR3</stp>
        <stp>120</stp>
        <stp>SALDO</stp>
        <stp>VOLF</stp>
        <tr r="CH22" s="7"/>
      </tp>
      <tp t="e">
        <v>#N/A</v>
        <stp/>
        <stp>PLAYERSRANKING</stp>
        <stp>PETR4</stp>
        <stp>127</stp>
        <stp>SALDO</stp>
        <stp>VOLF</stp>
        <tr r="CI40" s="7"/>
      </tp>
      <tp t="e">
        <v>#N/A</v>
        <stp/>
        <stp>PLAYERSRANKING</stp>
        <stp>PETR3</stp>
        <stp>122</stp>
        <stp>SALDO</stp>
        <stp>VOLF</stp>
        <tr r="CH15" s="7"/>
      </tp>
      <tp t="e">
        <v>#N/A</v>
        <stp/>
        <stp>PLAYERSRANKING</stp>
        <stp>PETR4</stp>
        <stp>308</stp>
        <stp>SALDO</stp>
        <stp>VOLF</stp>
        <tr r="CI42" s="7"/>
      </tp>
      <tp t="e">
        <v>#N/A</v>
        <stp/>
        <stp>PLAYERSRANKING</stp>
        <stp>PETR3</stp>
        <stp>308</stp>
        <stp>SALDO</stp>
        <stp>VOLF</stp>
        <tr r="CH42" s="7"/>
      </tp>
      <tp t="e">
        <v>#N/A</v>
        <stp/>
        <stp>PLAYERSRANKING</stp>
        <stp>PETR3</stp>
        <stp>386</stp>
        <stp>SALDO</stp>
        <stp>VOLF</stp>
        <tr r="CH44" s="7"/>
      </tp>
      <tp t="e">
        <v>#N/A</v>
        <stp/>
        <stp>PLAYERSRANKING</stp>
        <stp>PETR4</stp>
        <stp>386</stp>
        <stp>SALDO</stp>
        <stp>VOLF</stp>
        <tr r="CI44" s="7"/>
      </tp>
      <tp t="e">
        <v>#N/A</v>
        <stp/>
        <stp>PLAYERSRANKING</stp>
        <stp>PETR4</stp>
        <stp>238</stp>
        <stp>SALDO</stp>
        <stp>VOLF</stp>
        <tr r="CI23" s="7"/>
      </tp>
      <tp t="e">
        <v>#N/A</v>
        <stp/>
        <stp>PLAYERSRANKING</stp>
        <stp>PETR3</stp>
        <stp>238</stp>
        <stp>SALDO</stp>
        <stp>VOLF</stp>
        <tr r="CH23" s="7"/>
      </tp>
      <tp t="e">
        <v>#N/A</v>
        <stp/>
        <stp>PLAYERSRANKING</stp>
        <stp>GGBR4</stp>
        <stp>308</stp>
        <stp>SALDO</stp>
        <stp>VOLF</stp>
        <tr r="BK42" s="7"/>
      </tp>
      <tp t="e">
        <v>#N/A</v>
        <stp/>
        <stp>PLAYERSRANKING</stp>
        <stp>GGBR4</stp>
        <stp>386</stp>
        <stp>SALDO</stp>
        <stp>VOLF</stp>
        <tr r="BK44" s="7"/>
      </tp>
      <tp t="e">
        <v>#N/A</v>
        <stp/>
        <stp>PLAYERSRANKING</stp>
        <stp>GGBR4</stp>
        <stp>238</stp>
        <stp>SALDO</stp>
        <stp>VOLF</stp>
        <tr r="BK23" s="7"/>
      </tp>
      <tp t="e">
        <v>#N/A</v>
        <stp/>
        <stp>PLAYERSRANKING</stp>
        <stp>GGBR4</stp>
        <stp>147</stp>
        <stp>SALDO</stp>
        <stp>VOLF</stp>
        <tr r="BK14" s="7"/>
      </tp>
      <tp t="e">
        <v>#N/A</v>
        <stp/>
        <stp>PLAYERSRANKING</stp>
        <stp>GGBR4</stp>
        <stp>114</stp>
        <stp>SALDO</stp>
        <stp>VOLF</stp>
        <tr r="BK28" s="7"/>
      </tp>
      <tp t="e">
        <v>#N/A</v>
        <stp/>
        <stp>PLAYERSRANKING</stp>
        <stp>GGBR4</stp>
        <stp>127</stp>
        <stp>SALDO</stp>
        <stp>VOLF</stp>
        <tr r="BK40" s="7"/>
      </tp>
      <tp t="e">
        <v>#N/A</v>
        <stp/>
        <stp>PLAYERSRANKING</stp>
        <stp>GGBR4</stp>
        <stp>120</stp>
        <stp>SALDO</stp>
        <stp>VOLF</stp>
        <tr r="BK22" s="7"/>
      </tp>
      <tp t="e">
        <v>#N/A</v>
        <stp/>
        <stp>PLAYERSRANKING</stp>
        <stp>GGBR4</stp>
        <stp>122</stp>
        <stp>SALDO</stp>
        <stp>VOLF</stp>
        <tr r="BK15" s="7"/>
      </tp>
      <tp t="e">
        <v>#N/A</v>
        <stp/>
        <stp>PLAYERSRANKING</stp>
        <stp>MGLU3</stp>
        <stp>120</stp>
        <stp>SALDO</stp>
        <stp>VOLF</stp>
        <tr r="CB22" s="7"/>
      </tp>
      <tp t="e">
        <v>#N/A</v>
        <stp/>
        <stp>PLAYERSRANKING</stp>
        <stp>MGLU3</stp>
        <stp>122</stp>
        <stp>SALDO</stp>
        <stp>VOLF</stp>
        <tr r="CB15" s="7"/>
      </tp>
      <tp t="e">
        <v>#N/A</v>
        <stp/>
        <stp>PLAYERSRANKING</stp>
        <stp>MGLU3</stp>
        <stp>127</stp>
        <stp>SALDO</stp>
        <stp>VOLF</stp>
        <tr r="CB40" s="7"/>
      </tp>
      <tp t="e">
        <v>#N/A</v>
        <stp/>
        <stp>PLAYERSRANKING</stp>
        <stp>MGLU3</stp>
        <stp>114</stp>
        <stp>SALDO</stp>
        <stp>VOLF</stp>
        <tr r="CB28" s="7"/>
      </tp>
      <tp t="e">
        <v>#N/A</v>
        <stp/>
        <stp>PLAYERSRANKING</stp>
        <stp>MGLU3</stp>
        <stp>147</stp>
        <stp>SALDO</stp>
        <stp>VOLF</stp>
        <tr r="CB14" s="7"/>
      </tp>
      <tp t="e">
        <v>#N/A</v>
        <stp/>
        <stp>PLAYERSRANKING</stp>
        <stp>MGLU3</stp>
        <stp>308</stp>
        <stp>SALDO</stp>
        <stp>VOLF</stp>
        <tr r="CB42" s="7"/>
      </tp>
      <tp t="e">
        <v>#N/A</v>
        <stp/>
        <stp>PLAYERSRANKING</stp>
        <stp>MGLU3</stp>
        <stp>386</stp>
        <stp>SALDO</stp>
        <stp>VOLF</stp>
        <tr r="CB44" s="7"/>
      </tp>
      <tp t="e">
        <v>#N/A</v>
        <stp/>
        <stp>PLAYERSRANKING</stp>
        <stp>MGLU3</stp>
        <stp>238</stp>
        <stp>SALDO</stp>
        <stp>VOLF</stp>
        <tr r="CB23" s="7"/>
      </tp>
      <tp t="e">
        <v>#N/A</v>
        <stp/>
        <stp>PLAYERSRANKING</stp>
        <stp>EGIE3</stp>
        <stp>120</stp>
        <stp>SALDO</stp>
        <stp>VOLF</stp>
        <tr r="BA22" s="7"/>
      </tp>
      <tp t="e">
        <v>#N/A</v>
        <stp/>
        <stp>PLAYERSRANKING</stp>
        <stp>EGIE3</stp>
        <stp>122</stp>
        <stp>SALDO</stp>
        <stp>VOLF</stp>
        <tr r="BA15" s="7"/>
      </tp>
      <tp t="e">
        <v>#N/A</v>
        <stp/>
        <stp>PLAYERSRANKING</stp>
        <stp>EGIE3</stp>
        <stp>127</stp>
        <stp>SALDO</stp>
        <stp>VOLF</stp>
        <tr r="BA40" s="7"/>
      </tp>
      <tp t="e">
        <v>#N/A</v>
        <stp/>
        <stp>PLAYERSRANKING</stp>
        <stp>EGIE3</stp>
        <stp>114</stp>
        <stp>SALDO</stp>
        <stp>VOLF</stp>
        <tr r="BA28" s="7"/>
      </tp>
      <tp t="e">
        <v>#N/A</v>
        <stp/>
        <stp>PLAYERSRANKING</stp>
        <stp>EGIE3</stp>
        <stp>147</stp>
        <stp>SALDO</stp>
        <stp>VOLF</stp>
        <tr r="BA14" s="7"/>
      </tp>
      <tp t="e">
        <v>#N/A</v>
        <stp/>
        <stp>PLAYERSRANKING</stp>
        <stp>EGIE3</stp>
        <stp>238</stp>
        <stp>SALDO</stp>
        <stp>VOLF</stp>
        <tr r="BA23" s="7"/>
      </tp>
      <tp t="e">
        <v>#N/A</v>
        <stp/>
        <stp>PLAYERSRANKING</stp>
        <stp>EGIE3</stp>
        <stp>308</stp>
        <stp>SALDO</stp>
        <stp>VOLF</stp>
        <tr r="BA42" s="7"/>
      </tp>
      <tp t="e">
        <v>#N/A</v>
        <stp/>
        <stp>PLAYERSRANKING</stp>
        <stp>EGIE3</stp>
        <stp>386</stp>
        <stp>SALDO</stp>
        <stp>VOLF</stp>
        <tr r="BA44" s="7"/>
      </tp>
      <tp t="e">
        <v>#N/A</v>
        <stp/>
        <stp>PLAYERSRANKING</stp>
        <stp>IGTA3</stp>
        <stp>147</stp>
        <stp>SALDO</stp>
        <stp>VOLF</stp>
        <tr r="BR14" s="7"/>
      </tp>
      <tp t="e">
        <v>#N/A</v>
        <stp/>
        <stp>PLAYERSRANKING</stp>
        <stp>IGTA3</stp>
        <stp>127</stp>
        <stp>SALDO</stp>
        <stp>VOLF</stp>
        <tr r="BR40" s="7"/>
      </tp>
      <tp t="e">
        <v>#N/A</v>
        <stp/>
        <stp>PLAYERSRANKING</stp>
        <stp>IGTA3</stp>
        <stp>120</stp>
        <stp>SALDO</stp>
        <stp>VOLF</stp>
        <tr r="BR22" s="7"/>
      </tp>
      <tp t="e">
        <v>#N/A</v>
        <stp/>
        <stp>PLAYERSRANKING</stp>
        <stp>IGTA3</stp>
        <stp>122</stp>
        <stp>SALDO</stp>
        <stp>VOLF</stp>
        <tr r="BR15" s="7"/>
      </tp>
      <tp t="e">
        <v>#N/A</v>
        <stp/>
        <stp>PLAYERSRANKING</stp>
        <stp>IGTA3</stp>
        <stp>114</stp>
        <stp>SALDO</stp>
        <stp>VOLF</stp>
        <tr r="BR28" s="7"/>
      </tp>
      <tp t="e">
        <v>#N/A</v>
        <stp/>
        <stp>PLAYERSRANKING</stp>
        <stp>HGTX3</stp>
        <stp>147</stp>
        <stp>SALDO</stp>
        <stp>VOLF</stp>
        <tr r="BP14" s="7"/>
      </tp>
      <tp t="e">
        <v>#N/A</v>
        <stp/>
        <stp>PLAYERSRANKING</stp>
        <stp>HGTX3</stp>
        <stp>127</stp>
        <stp>SALDO</stp>
        <stp>VOLF</stp>
        <tr r="BP40" s="7"/>
      </tp>
      <tp t="e">
        <v>#N/A</v>
        <stp/>
        <stp>PLAYERSRANKING</stp>
        <stp>HGTX3</stp>
        <stp>120</stp>
        <stp>SALDO</stp>
        <stp>VOLF</stp>
        <tr r="BP22" s="7"/>
      </tp>
      <tp t="e">
        <v>#N/A</v>
        <stp/>
        <stp>PLAYERSRANKING</stp>
        <stp>HGTX3</stp>
        <stp>122</stp>
        <stp>SALDO</stp>
        <stp>VOLF</stp>
        <tr r="BP15" s="7"/>
      </tp>
      <tp t="e">
        <v>#N/A</v>
        <stp/>
        <stp>PLAYERSRANKING</stp>
        <stp>HGTX3</stp>
        <stp>114</stp>
        <stp>SALDO</stp>
        <stp>VOLF</stp>
        <tr r="BP28" s="7"/>
      </tp>
      <tp t="e">
        <v>#N/A</v>
        <stp/>
        <stp>PLAYERSRANKING</stp>
        <stp>IGTA3</stp>
        <stp>308</stp>
        <stp>SALDO</stp>
        <stp>VOLF</stp>
        <tr r="BR42" s="7"/>
      </tp>
      <tp t="e">
        <v>#N/A</v>
        <stp/>
        <stp>PLAYERSRANKING</stp>
        <stp>IGTA3</stp>
        <stp>386</stp>
        <stp>SALDO</stp>
        <stp>VOLF</stp>
        <tr r="BR44" s="7"/>
      </tp>
      <tp t="e">
        <v>#N/A</v>
        <stp/>
        <stp>PLAYERSRANKING</stp>
        <stp>HGTX3</stp>
        <stp>386</stp>
        <stp>SALDO</stp>
        <stp>VOLF</stp>
        <tr r="BP44" s="7"/>
      </tp>
      <tp t="e">
        <v>#N/A</v>
        <stp/>
        <stp>PLAYERSRANKING</stp>
        <stp>HGTX3</stp>
        <stp>308</stp>
        <stp>SALDO</stp>
        <stp>VOLF</stp>
        <tr r="BP42" s="7"/>
      </tp>
      <tp t="e">
        <v>#N/A</v>
        <stp/>
        <stp>PLAYERSRANKING</stp>
        <stp>IGTA3</stp>
        <stp>238</stp>
        <stp>SALDO</stp>
        <stp>VOLF</stp>
        <tr r="BR23" s="7"/>
      </tp>
      <tp t="e">
        <v>#N/A</v>
        <stp/>
        <stp>PLAYERSRANKING</stp>
        <stp>HGTX3</stp>
        <stp>238</stp>
        <stp>SALDO</stp>
        <stp>VOLF</stp>
        <tr r="BP23" s="7"/>
      </tp>
      <tp t="e">
        <v>#N/A</v>
        <stp/>
        <stp>PLAYERSRANKING</stp>
        <stp>UGPA3</stp>
        <stp>147</stp>
        <stp>SALDO</stp>
        <stp>VOLF</stp>
        <tr r="CV14" s="7"/>
      </tp>
      <tp t="e">
        <v>#N/A</v>
        <stp/>
        <stp>PLAYERSRANKING</stp>
        <stp>UGPA3</stp>
        <stp>120</stp>
        <stp>SALDO</stp>
        <stp>VOLF</stp>
        <tr r="CV22" s="7"/>
      </tp>
      <tp t="e">
        <v>#N/A</v>
        <stp/>
        <stp>PLAYERSRANKING</stp>
        <stp>UGPA3</stp>
        <stp>122</stp>
        <stp>SALDO</stp>
        <stp>VOLF</stp>
        <tr r="CV15" s="7"/>
      </tp>
      <tp t="e">
        <v>#N/A</v>
        <stp/>
        <stp>PLAYERSRANKING</stp>
        <stp>UGPA3</stp>
        <stp>127</stp>
        <stp>SALDO</stp>
        <stp>VOLF</stp>
        <tr r="CV40" s="7"/>
      </tp>
      <tp t="e">
        <v>#N/A</v>
        <stp/>
        <stp>PLAYERSRANKING</stp>
        <stp>UGPA3</stp>
        <stp>114</stp>
        <stp>SALDO</stp>
        <stp>VOLF</stp>
        <tr r="CV28" s="7"/>
      </tp>
      <tp t="e">
        <v>#N/A</v>
        <stp/>
        <stp>PLAYERSRANKING</stp>
        <stp>UGPA3</stp>
        <stp>308</stp>
        <stp>SALDO</stp>
        <stp>VOLF</stp>
        <tr r="CV42" s="7"/>
      </tp>
      <tp t="e">
        <v>#N/A</v>
        <stp/>
        <stp>PLAYERSRANKING</stp>
        <stp>UGPA3</stp>
        <stp>386</stp>
        <stp>SALDO</stp>
        <stp>VOLF</stp>
        <tr r="CV44" s="7"/>
      </tp>
      <tp t="e">
        <v>#N/A</v>
        <stp/>
        <stp>PLAYERSRANKING</stp>
        <stp>UGPA3</stp>
        <stp>238</stp>
        <stp>SALDO</stp>
        <stp>VOLF</stp>
        <tr r="CV23" s="7"/>
      </tp>
    </main>
    <main first="srv.rtd">
      <tp t="e">
        <v>#N/A</v>
        <stp/>
        <stp>PLAYERSRANKING</stp>
        <stp>CIEL3</stp>
        <stp>127</stp>
        <stp>SALDO</stp>
        <stp>VOLF</stp>
        <tr r="AP40" s="7"/>
      </tp>
      <tp t="e">
        <v>#N/A</v>
        <stp/>
        <stp>PLAYERSRANKING</stp>
        <stp>CIEL3</stp>
        <stp>122</stp>
        <stp>SALDO</stp>
        <stp>VOLF</stp>
        <tr r="AP15" s="7"/>
      </tp>
      <tp t="e">
        <v>#N/A</v>
        <stp/>
        <stp>PLAYERSRANKING</stp>
        <stp>CIEL3</stp>
        <stp>120</stp>
        <stp>SALDO</stp>
        <stp>VOLF</stp>
        <tr r="AP22" s="7"/>
      </tp>
      <tp t="e">
        <v>#N/A</v>
        <stp/>
        <stp>PLAYERSRANKING</stp>
        <stp>CIEL3</stp>
        <stp>114</stp>
        <stp>SALDO</stp>
        <stp>VOLF</stp>
        <tr r="AP28" s="7"/>
      </tp>
      <tp t="e">
        <v>#N/A</v>
        <stp/>
        <stp>PLAYERSRANKING</stp>
        <stp>CIEL3</stp>
        <stp>147</stp>
        <stp>SALDO</stp>
        <stp>VOLF</stp>
        <tr r="AP14" s="7"/>
      </tp>
      <tp t="e">
        <v>#N/A</v>
        <stp/>
        <stp>PLAYERSRANKING</stp>
        <stp>CIEL3</stp>
        <stp>238</stp>
        <stp>SALDO</stp>
        <stp>VOLF</stp>
        <tr r="AP23" s="7"/>
      </tp>
      <tp t="e">
        <v>#N/A</v>
        <stp/>
        <stp>PLAYERSRANKING</stp>
        <stp>CIEL3</stp>
        <stp>386</stp>
        <stp>SALDO</stp>
        <stp>VOLF</stp>
        <tr r="AP44" s="7"/>
      </tp>
      <tp t="e">
        <v>#N/A</v>
        <stp/>
        <stp>PLAYERSRANKING</stp>
        <stp>CIEL3</stp>
        <stp>308</stp>
        <stp>SALDO</stp>
        <stp>VOLF</stp>
        <tr r="AP42" s="7"/>
      </tp>
      <tp t="e">
        <v>#N/A</v>
        <stp/>
        <stp>PLAYERSRANKING</stp>
        <stp>TIMS3</stp>
        <stp>147</stp>
        <stp>SALDO</stp>
        <stp>VOLF</stp>
        <tr r="CT14" s="7"/>
      </tp>
      <tp t="e">
        <v>#N/A</v>
        <stp/>
        <stp>PLAYERSRANKING</stp>
        <stp>TIMS3</stp>
        <stp>114</stp>
        <stp>SALDO</stp>
        <stp>VOLF</stp>
        <tr r="CT28" s="7"/>
      </tp>
      <tp t="e">
        <v>#N/A</v>
        <stp/>
        <stp>PLAYERSRANKING</stp>
        <stp>TIMS3</stp>
        <stp>120</stp>
        <stp>SALDO</stp>
        <stp>VOLF</stp>
        <tr r="CT22" s="7"/>
      </tp>
      <tp t="e">
        <v>#N/A</v>
        <stp/>
        <stp>PLAYERSRANKING</stp>
        <stp>TIMS3</stp>
        <stp>122</stp>
        <stp>SALDO</stp>
        <stp>VOLF</stp>
        <tr r="CT15" s="7"/>
      </tp>
      <tp t="e">
        <v>#N/A</v>
        <stp/>
        <stp>PLAYERSRANKING</stp>
        <stp>TIMS3</stp>
        <stp>127</stp>
        <stp>SALDO</stp>
        <stp>VOLF</stp>
        <tr r="CT40" s="7"/>
      </tp>
      <tp t="e">
        <v>#N/A</v>
        <stp/>
        <stp>PLAYERSRANKING</stp>
        <stp>TIMS3</stp>
        <stp>238</stp>
        <stp>SALDO</stp>
        <stp>VOLF</stp>
        <tr r="CT23" s="7"/>
      </tp>
      <tp t="e">
        <v>#N/A</v>
        <stp/>
        <stp>PLAYERSRANKING</stp>
        <stp>TIMS3</stp>
        <stp>308</stp>
        <stp>SALDO</stp>
        <stp>VOLF</stp>
        <tr r="CT42" s="7"/>
      </tp>
      <tp t="e">
        <v>#N/A</v>
        <stp/>
        <stp>PLAYERSRANKING</stp>
        <stp>TIMS3</stp>
        <stp>386</stp>
        <stp>SALDO</stp>
        <stp>VOLF</stp>
        <tr r="CT44" s="7"/>
      </tp>
      <tp t="e">
        <v>#N/A</v>
        <stp/>
        <stp>PLAYERSRANKING</stp>
        <stp>VIVT3</stp>
        <stp>308</stp>
        <stp>SALDO</stp>
        <stp>VOLF</stp>
        <tr r="CY42" s="7"/>
      </tp>
      <tp t="e">
        <v>#N/A</v>
        <stp/>
        <stp>PLAYERSRANKING</stp>
        <stp>VIVT3</stp>
        <stp>386</stp>
        <stp>SALDO</stp>
        <stp>VOLF</stp>
        <tr r="CY44" s="7"/>
      </tp>
      <tp t="e">
        <v>#N/A</v>
        <stp/>
        <stp>PLAYERSRANKING</stp>
        <stp>VIVT3</stp>
        <stp>238</stp>
        <stp>SALDO</stp>
        <stp>VOLF</stp>
        <tr r="CY23" s="7"/>
      </tp>
      <tp t="e">
        <v>#N/A</v>
        <stp/>
        <stp>PLAYERSRANKING</stp>
        <stp>VIVT3</stp>
        <stp>122</stp>
        <stp>SALDO</stp>
        <stp>VOLF</stp>
        <tr r="CY15" s="7"/>
      </tp>
      <tp t="e">
        <v>#N/A</v>
        <stp/>
        <stp>PLAYERSRANKING</stp>
        <stp>VIVT3</stp>
        <stp>120</stp>
        <stp>SALDO</stp>
        <stp>VOLF</stp>
        <tr r="CY22" s="7"/>
      </tp>
      <tp t="e">
        <v>#N/A</v>
        <stp/>
        <stp>PLAYERSRANKING</stp>
        <stp>VIVT3</stp>
        <stp>127</stp>
        <stp>SALDO</stp>
        <stp>VOLF</stp>
        <tr r="CY40" s="7"/>
      </tp>
      <tp t="e">
        <v>#N/A</v>
        <stp/>
        <stp>PLAYERSRANKING</stp>
        <stp>VIVT3</stp>
        <stp>114</stp>
        <stp>SALDO</stp>
        <stp>VOLF</stp>
        <tr r="CY28" s="7"/>
      </tp>
      <tp t="e">
        <v>#N/A</v>
        <stp/>
        <stp>PLAYERSRANKING</stp>
        <stp>VIVT3</stp>
        <stp>147</stp>
        <stp>SALDO</stp>
        <stp>VOLF</stp>
        <tr r="CY14" s="7"/>
      </tp>
      <tp t="e">
        <v>#N/A</v>
        <stp/>
        <stp>PLAYERSRANKING</stp>
        <stp>BBSE3</stp>
        <stp/>
        <stp>SALDO</stp>
        <stp>VOLF</stp>
        <tr r="AF24" s="7"/>
        <tr r="AF39" s="7"/>
        <tr r="AF35" s="7"/>
        <tr r="AF31" s="7"/>
        <tr r="AF25" s="7"/>
      </tp>
      <tp t="e">
        <v>#N/A</v>
        <stp/>
        <stp>PLAYERSRANKING</stp>
        <stp>JHSF3</stp>
        <stp/>
        <stp>SALDO</stp>
        <stp>VOLF</stp>
        <tr r="BW25" s="7"/>
        <tr r="BW24" s="7"/>
        <tr r="BW39" s="7"/>
        <tr r="BW35" s="7"/>
        <tr r="BW31" s="7"/>
      </tp>
      <tp t="e">
        <v>#N/A</v>
        <stp/>
        <stp>PLAYERSRANKING</stp>
        <stp>ITSA4</stp>
        <stp/>
        <stp>SALDO</stp>
        <stp>VOLF</stp>
        <tr r="BT24" s="7"/>
        <tr r="BT25" s="7"/>
        <tr r="BT39" s="7"/>
        <tr r="BT35" s="7"/>
        <tr r="BT31" s="7"/>
      </tp>
      <tp t="e">
        <v>#N/A</v>
        <stp/>
        <stp>PLAYERSRANKING</stp>
        <stp>B3SA3</stp>
        <stp/>
        <stp>SALDO</stp>
        <stp>VOLF</stp>
        <tr r="AB25" s="7"/>
        <tr r="AB24" s="7"/>
        <tr r="AB39" s="7"/>
        <tr r="AB35" s="7"/>
        <tr r="AB31" s="7"/>
      </tp>
      <tp t="e">
        <v>#N/A</v>
        <stp/>
        <stp>PLAYERSRANKING</stp>
        <stp>SBSP3</stp>
        <stp/>
        <stp>SALDO</stp>
        <stp>VOLF</stp>
        <tr r="CP31" s="7"/>
        <tr r="CP35" s="7"/>
        <tr r="CP25" s="7"/>
        <tr r="CP39" s="7"/>
        <tr r="CP24" s="7"/>
      </tp>
      <tp t="e">
        <v>#N/A</v>
        <stp/>
        <stp>PLAYERSRANKING</stp>
        <stp>JBSS3</stp>
        <stp/>
        <stp>SALDO</stp>
        <stp>VOLF</stp>
        <tr r="BV35" s="7"/>
        <tr r="BV31" s="7"/>
        <tr r="BV25" s="7"/>
        <tr r="BV39" s="7"/>
        <tr r="BV24" s="7"/>
      </tp>
      <tp t="e">
        <v>#N/A</v>
        <stp/>
        <stp>PLAYERSRANKING</stp>
        <stp>JHSF3</stp>
        <stp>238</stp>
        <stp>SALDO</stp>
        <stp>VOLF</stp>
        <tr r="BW23" s="7"/>
      </tp>
      <tp t="e">
        <v>#N/A</v>
        <stp/>
        <stp>PLAYERSRANKING</stp>
        <stp>JHSF3</stp>
        <stp>308</stp>
        <stp>SALDO</stp>
        <stp>VOLF</stp>
        <tr r="BW42" s="7"/>
      </tp>
      <tp t="e">
        <v>#N/A</v>
        <stp/>
        <stp>PLAYERSRANKING</stp>
        <stp>JHSF3</stp>
        <stp>386</stp>
        <stp>SALDO</stp>
        <stp>VOLF</stp>
        <tr r="BW44" s="7"/>
      </tp>
      <tp t="e">
        <v>#N/A</v>
        <stp/>
        <stp>PLAYERSRANKING</stp>
        <stp>JHSF3</stp>
        <stp>114</stp>
        <stp>SALDO</stp>
        <stp>VOLF</stp>
        <tr r="BW28" s="7"/>
      </tp>
      <tp t="e">
        <v>#N/A</v>
        <stp/>
        <stp>PLAYERSRANKING</stp>
        <stp>JHSF3</stp>
        <stp>127</stp>
        <stp>SALDO</stp>
        <stp>VOLF</stp>
        <tr r="BW40" s="7"/>
      </tp>
      <tp t="e">
        <v>#N/A</v>
        <stp/>
        <stp>PLAYERSRANKING</stp>
        <stp>JHSF3</stp>
        <stp>122</stp>
        <stp>SALDO</stp>
        <stp>VOLF</stp>
        <tr r="BW15" s="7"/>
      </tp>
      <tp t="e">
        <v>#N/A</v>
        <stp/>
        <stp>PLAYERSRANKING</stp>
        <stp>JHSF3</stp>
        <stp>120</stp>
        <stp>SALDO</stp>
        <stp>VOLF</stp>
        <tr r="BW22" s="7"/>
      </tp>
      <tp t="e">
        <v>#N/A</v>
        <stp/>
        <stp>PLAYERSRANKING</stp>
        <stp>JHSF3</stp>
        <stp>147</stp>
        <stp>SALDO</stp>
        <stp>VOLF</stp>
        <tr r="BW14" s="7"/>
      </tp>
      <tp t="e">
        <v>#N/A</v>
        <stp/>
        <stp>PLAYERSRANKING</stp>
        <stp>CYRE3</stp>
        <stp/>
        <stp>SALDO</stp>
        <stp>VOLF</stp>
        <tr r="AY25" s="7"/>
        <tr r="AY24" s="7"/>
        <tr r="AY39" s="7"/>
        <tr r="AY35" s="7"/>
        <tr r="AY31" s="7"/>
      </tp>
      <tp t="e">
        <v>#N/A</v>
        <stp/>
        <stp>PLAYERSRANKING</stp>
        <stp>CCRO3</stp>
        <stp/>
        <stp>SALDO</stp>
        <stp>VOLF</stp>
        <tr r="AO39" s="7"/>
        <tr r="AO35" s="7"/>
        <tr r="AO31" s="7"/>
        <tr r="AO24" s="7"/>
        <tr r="AO25" s="7"/>
      </tp>
      <tp t="e">
        <v>#N/A</v>
        <stp/>
        <stp>PLAYERSRANKING</stp>
        <stp>FLRY3</stp>
        <stp/>
        <stp>SALDO</stp>
        <stp>VOLF</stp>
        <tr r="BJ39" s="7"/>
        <tr r="BJ31" s="7"/>
        <tr r="BJ35" s="7"/>
        <tr r="BJ25" s="7"/>
        <tr r="BJ24" s="7"/>
      </tp>
    </main>
    <main first="srv.rtd">
      <tp t="e">
        <v>#N/A</v>
        <stp/>
        <stp>PLAYERSRANKING</stp>
        <stp>HYPE3</stp>
        <stp/>
        <stp>SALDO</stp>
        <stp>VOLF</stp>
        <tr r="BQ24" s="7"/>
        <tr r="BQ39" s="7"/>
        <tr r="BQ35" s="7"/>
        <tr r="BQ31" s="7"/>
        <tr r="BQ25" s="7"/>
      </tp>
      <tp t="e">
        <v>#N/A</v>
        <stp/>
        <stp>PLAYERSRANKING</stp>
        <stp>UGPA3</stp>
        <stp/>
        <stp>SALDO</stp>
        <stp>VOLF</stp>
        <tr r="CV25" s="7"/>
        <tr r="CV24" s="7"/>
        <tr r="CV39" s="7"/>
        <tr r="CV35" s="7"/>
        <tr r="CV31" s="7"/>
      </tp>
      <tp t="e">
        <v>#N/A</v>
        <stp/>
        <stp>PLAYERSRANKING</stp>
        <stp>HAPV3</stp>
        <stp/>
        <stp>SALDO</stp>
        <stp>VOLF</stp>
        <tr r="BO25" s="7"/>
        <tr r="BO24" s="7"/>
        <tr r="BO39" s="7"/>
        <tr r="BO35" s="7"/>
        <tr r="BO31" s="7"/>
      </tp>
      <tp t="e">
        <v>#N/A</v>
        <stp/>
        <stp>PLAYERSRANKING</stp>
        <stp>EMBR3</stp>
        <stp>308</stp>
        <stp>SALDO</stp>
        <stp>VOLF</stp>
        <tr r="BD42" s="7"/>
      </tp>
      <tp t="e">
        <v>#N/A</v>
        <stp/>
        <stp>PLAYERSRANKING</stp>
        <stp>EMBR3</stp>
        <stp>386</stp>
        <stp>SALDO</stp>
        <stp>VOLF</stp>
        <tr r="BD44" s="7"/>
      </tp>
      <tp t="e">
        <v>#N/A</v>
        <stp/>
        <stp>PLAYERSRANKING</stp>
        <stp>EMBR3</stp>
        <stp>238</stp>
        <stp>SALDO</stp>
        <stp>VOLF</stp>
        <tr r="BD23" s="7"/>
      </tp>
      <tp t="e">
        <v>#N/A</v>
        <stp/>
        <stp>PLAYERSRANKING</stp>
        <stp>EMBR3</stp>
        <stp>147</stp>
        <stp>SALDO</stp>
        <stp>VOLF</stp>
        <tr r="BD14" s="7"/>
      </tp>
      <tp t="e">
        <v>#N/A</v>
        <stp/>
        <stp>PLAYERSRANKING</stp>
        <stp>EMBR3</stp>
        <stp>114</stp>
        <stp>SALDO</stp>
        <stp>VOLF</stp>
        <tr r="BD28" s="7"/>
      </tp>
      <tp t="e">
        <v>#N/A</v>
        <stp/>
        <stp>PLAYERSRANKING</stp>
        <stp>EMBR3</stp>
        <stp>120</stp>
        <stp>SALDO</stp>
        <stp>VOLF</stp>
        <tr r="BD22" s="7"/>
      </tp>
      <tp t="e">
        <v>#N/A</v>
        <stp/>
        <stp>PLAYERSRANKING</stp>
        <stp>EMBR3</stp>
        <stp>122</stp>
        <stp>SALDO</stp>
        <stp>VOLF</stp>
        <tr r="BD15" s="7"/>
      </tp>
      <tp t="e">
        <v>#N/A</v>
        <stp/>
        <stp>PLAYERSRANKING</stp>
        <stp>EMBR3</stp>
        <stp>127</stp>
        <stp>SALDO</stp>
        <stp>VOLF</stp>
        <tr r="BD40" s="7"/>
      </tp>
      <tp t="e">
        <v>#N/A</v>
        <stp/>
        <stp>PLAYERSRANKING</stp>
        <stp>CMIG4</stp>
        <stp>114</stp>
        <stp>SALDO</stp>
        <stp>VOLF</stp>
        <tr r="AQ28" s="7"/>
      </tp>
      <tp t="e">
        <v>#N/A</v>
        <stp/>
        <stp>PLAYERSRANKING</stp>
        <stp>CMIG4</stp>
        <stp>120</stp>
        <stp>SALDO</stp>
        <stp>VOLF</stp>
        <tr r="AQ22" s="7"/>
      </tp>
      <tp t="e">
        <v>#N/A</v>
        <stp/>
        <stp>PLAYERSRANKING</stp>
        <stp>CMIG4</stp>
        <stp>122</stp>
        <stp>SALDO</stp>
        <stp>VOLF</stp>
        <tr r="AQ15" s="7"/>
      </tp>
      <tp t="e">
        <v>#N/A</v>
        <stp/>
        <stp>PLAYERSRANKING</stp>
        <stp>CMIG4</stp>
        <stp>127</stp>
        <stp>SALDO</stp>
        <stp>VOLF</stp>
        <tr r="AQ40" s="7"/>
      </tp>
      <tp t="e">
        <v>#N/A</v>
        <stp/>
        <stp>PLAYERSRANKING</stp>
        <stp>CMIG4</stp>
        <stp>147</stp>
        <stp>SALDO</stp>
        <stp>VOLF</stp>
        <tr r="AQ14" s="7"/>
      </tp>
      <tp t="e">
        <v>#N/A</v>
        <stp/>
        <stp>PLAYERSRANKING</stp>
        <stp>CMIG4</stp>
        <stp>238</stp>
        <stp>SALDO</stp>
        <stp>VOLF</stp>
        <tr r="AQ23" s="7"/>
      </tp>
      <tp t="e">
        <v>#N/A</v>
        <stp/>
        <stp>PLAYERSRANKING</stp>
        <stp>CMIG4</stp>
        <stp>308</stp>
        <stp>SALDO</stp>
        <stp>VOLF</stp>
        <tr r="AQ42" s="7"/>
      </tp>
      <tp t="e">
        <v>#N/A</v>
        <stp/>
        <stp>PLAYERSRANKING</stp>
        <stp>CMIG4</stp>
        <stp>386</stp>
        <stp>SALDO</stp>
        <stp>VOLF</stp>
        <tr r="AQ44" s="7"/>
      </tp>
      <tp t="e">
        <v>#N/A</v>
        <stp/>
        <stp>PLAYERSRANKING</stp>
        <stp>ELET3</stp>
        <stp>120</stp>
        <stp>SALDO</stp>
        <stp>VOLF</stp>
        <tr r="BB22" s="7"/>
      </tp>
      <tp t="e">
        <v>#N/A</v>
        <stp/>
        <stp>PLAYERSRANKING</stp>
        <stp>ELET3</stp>
        <stp>122</stp>
        <stp>SALDO</stp>
        <stp>VOLF</stp>
        <tr r="BB15" s="7"/>
      </tp>
      <tp t="e">
        <v>#N/A</v>
        <stp/>
        <stp>PLAYERSRANKING</stp>
        <stp>ELET6</stp>
        <stp>127</stp>
        <stp>SALDO</stp>
        <stp>VOLF</stp>
        <tr r="BC40" s="7"/>
      </tp>
      <tp t="e">
        <v>#N/A</v>
        <stp/>
        <stp>PLAYERSRANKING</stp>
        <stp>ELET6</stp>
        <stp>120</stp>
        <stp>SALDO</stp>
        <stp>VOLF</stp>
        <tr r="BC22" s="7"/>
      </tp>
      <tp t="e">
        <v>#N/A</v>
        <stp/>
        <stp>PLAYERSRANKING</stp>
        <stp>ELET3</stp>
        <stp>127</stp>
        <stp>SALDO</stp>
        <stp>VOLF</stp>
        <tr r="BB40" s="7"/>
      </tp>
      <tp t="e">
        <v>#N/A</v>
        <stp/>
        <stp>PLAYERSRANKING</stp>
        <stp>ELET6</stp>
        <stp>122</stp>
        <stp>SALDO</stp>
        <stp>VOLF</stp>
        <tr r="BC15" s="7"/>
      </tp>
      <tp t="e">
        <v>#N/A</v>
        <stp/>
        <stp>PLAYERSRANKING</stp>
        <stp>ELET6</stp>
        <stp>114</stp>
        <stp>SALDO</stp>
        <stp>VOLF</stp>
        <tr r="BC28" s="7"/>
      </tp>
      <tp t="e">
        <v>#N/A</v>
        <stp/>
        <stp>PLAYERSRANKING</stp>
        <stp>ELET3</stp>
        <stp>114</stp>
        <stp>SALDO</stp>
        <stp>VOLF</stp>
        <tr r="BB28" s="7"/>
      </tp>
      <tp t="e">
        <v>#N/A</v>
        <stp/>
        <stp>PLAYERSRANKING</stp>
        <stp>ELET6</stp>
        <stp>147</stp>
        <stp>SALDO</stp>
        <stp>VOLF</stp>
        <tr r="BC14" s="7"/>
      </tp>
      <tp t="e">
        <v>#N/A</v>
        <stp/>
        <stp>PLAYERSRANKING</stp>
        <stp>ELET3</stp>
        <stp>147</stp>
        <stp>SALDO</stp>
        <stp>VOLF</stp>
        <tr r="BB14" s="7"/>
      </tp>
      <tp t="e">
        <v>#N/A</v>
        <stp/>
        <stp>PLAYERSRANKING</stp>
        <stp>ELET3</stp>
        <stp>238</stp>
        <stp>SALDO</stp>
        <stp>VOLF</stp>
        <tr r="BB23" s="7"/>
      </tp>
      <tp t="e">
        <v>#N/A</v>
        <stp/>
        <stp>PLAYERSRANKING</stp>
        <stp>ELET6</stp>
        <stp>238</stp>
        <stp>SALDO</stp>
        <stp>VOLF</stp>
        <tr r="BC23" s="7"/>
      </tp>
      <tp t="e">
        <v>#N/A</v>
        <stp/>
        <stp>PLAYERSRANKING</stp>
        <stp>ELET3</stp>
        <stp>308</stp>
        <stp>SALDO</stp>
        <stp>VOLF</stp>
        <tr r="BB42" s="7"/>
      </tp>
      <tp t="e">
        <v>#N/A</v>
        <stp/>
        <stp>PLAYERSRANKING</stp>
        <stp>ELET6</stp>
        <stp>308</stp>
        <stp>SALDO</stp>
        <stp>VOLF</stp>
        <tr r="BC42" s="7"/>
      </tp>
      <tp t="e">
        <v>#N/A</v>
        <stp/>
        <stp>PLAYERSRANKING</stp>
        <stp>ELET6</stp>
        <stp>386</stp>
        <stp>SALDO</stp>
        <stp>VOLF</stp>
        <tr r="BC44" s="7"/>
      </tp>
      <tp t="e">
        <v>#N/A</v>
        <stp/>
        <stp>PLAYERSRANKING</stp>
        <stp>ELET3</stp>
        <stp>386</stp>
        <stp>SALDO</stp>
        <stp>VOLF</stp>
        <tr r="BB44" s="7"/>
      </tp>
      <tp t="e">
        <v>#N/A</v>
        <stp/>
        <stp>PLAYERSRANKING</stp>
        <stp>FLRY3</stp>
        <stp>386</stp>
        <stp>SALDO</stp>
        <stp>VOLF</stp>
        <tr r="BJ44" s="7"/>
      </tp>
      <tp t="e">
        <v>#N/A</v>
        <stp/>
        <stp>PLAYERSRANKING</stp>
        <stp>FLRY3</stp>
        <stp>308</stp>
        <stp>SALDO</stp>
        <stp>VOLF</stp>
        <tr r="BJ42" s="7"/>
      </tp>
      <tp t="e">
        <v>#N/A</v>
        <stp/>
        <stp>PLAYERSRANKING</stp>
        <stp>FLRY3</stp>
        <stp>238</stp>
        <stp>SALDO</stp>
        <stp>VOLF</stp>
        <tr r="BJ23" s="7"/>
      </tp>
      <tp t="e">
        <v>#N/A</v>
        <stp/>
        <stp>PLAYERSRANKING</stp>
        <stp>FLRY3</stp>
        <stp>147</stp>
        <stp>SALDO</stp>
        <stp>VOLF</stp>
        <tr r="BJ14" s="7"/>
      </tp>
      <tp t="e">
        <v>#N/A</v>
        <stp/>
        <stp>PLAYERSRANKING</stp>
        <stp>FLRY3</stp>
        <stp>122</stp>
        <stp>SALDO</stp>
        <stp>VOLF</stp>
        <tr r="BJ15" s="7"/>
      </tp>
      <tp t="e">
        <v>#N/A</v>
        <stp/>
        <stp>PLAYERSRANKING</stp>
        <stp>FLRY3</stp>
        <stp>120</stp>
        <stp>SALDO</stp>
        <stp>VOLF</stp>
        <tr r="BJ22" s="7"/>
      </tp>
      <tp t="e">
        <v>#N/A</v>
        <stp/>
        <stp>PLAYERSRANKING</stp>
        <stp>FLRY3</stp>
        <stp>127</stp>
        <stp>SALDO</stp>
        <stp>VOLF</stp>
        <tr r="BJ40" s="7"/>
      </tp>
      <tp t="e">
        <v>#N/A</v>
        <stp/>
        <stp>PLAYERSRANKING</stp>
        <stp>FLRY3</stp>
        <stp>114</stp>
        <stp>SALDO</stp>
        <stp>VOLF</stp>
        <tr r="BJ28" s="7"/>
      </tp>
      <tp t="e">
        <v>#N/A</v>
        <stp/>
        <stp>PLAYERSRANKING</stp>
        <stp>MRVE3</stp>
        <stp/>
        <stp>SALDO</stp>
        <stp>VOLF</stp>
        <tr r="CD35" s="7"/>
        <tr r="CD25" s="7"/>
        <tr r="CD39" s="7"/>
        <tr r="CD31" s="7"/>
        <tr r="CD24" s="7"/>
      </tp>
      <tp t="e">
        <v>#N/A</v>
        <stp/>
        <stp>PLAYERSRANKING</stp>
        <stp>VIVT3</stp>
        <stp/>
        <stp>SALDO</stp>
        <stp>VOLF</stp>
        <tr r="CY39" s="7"/>
        <tr r="CY35" s="7"/>
        <tr r="CY31" s="7"/>
        <tr r="CY25" s="7"/>
        <tr r="CY24" s="7"/>
      </tp>
      <tp t="e">
        <v>#N/A</v>
        <stp/>
        <stp>PLAYERSRANKING</stp>
        <stp>COGN3</stp>
        <stp>238</stp>
        <stp>SALDO</stp>
        <stp>VOLF</stp>
        <tr r="AR23" s="7"/>
      </tp>
      <tp t="e">
        <v>#N/A</v>
        <stp/>
        <stp>PLAYERSRANKING</stp>
        <stp>COGN3</stp>
        <stp>386</stp>
        <stp>SALDO</stp>
        <stp>VOLF</stp>
        <tr r="AR44" s="7"/>
      </tp>
      <tp t="e">
        <v>#N/A</v>
        <stp/>
        <stp>PLAYERSRANKING</stp>
        <stp>COGN3</stp>
        <stp>308</stp>
        <stp>SALDO</stp>
        <stp>VOLF</stp>
        <tr r="AR42" s="7"/>
      </tp>
      <tp t="e">
        <v>#N/A</v>
        <stp/>
        <stp>PLAYERSRANKING</stp>
        <stp>COGN3</stp>
        <stp>114</stp>
        <stp>SALDO</stp>
        <stp>VOLF</stp>
        <tr r="AR28" s="7"/>
      </tp>
      <tp t="e">
        <v>#N/A</v>
        <stp/>
        <stp>PLAYERSRANKING</stp>
        <stp>COGN3</stp>
        <stp>127</stp>
        <stp>SALDO</stp>
        <stp>VOLF</stp>
        <tr r="AR40" s="7"/>
      </tp>
      <tp t="e">
        <v>#N/A</v>
        <stp/>
        <stp>PLAYERSRANKING</stp>
        <stp>COGN3</stp>
        <stp>122</stp>
        <stp>SALDO</stp>
        <stp>VOLF</stp>
        <tr r="AR15" s="7"/>
      </tp>
      <tp t="e">
        <v>#N/A</v>
        <stp/>
        <stp>PLAYERSRANKING</stp>
        <stp>COGN3</stp>
        <stp>120</stp>
        <stp>SALDO</stp>
        <stp>VOLF</stp>
        <tr r="AR22" s="7"/>
      </tp>
      <tp t="e">
        <v>#N/A</v>
        <stp/>
        <stp>PLAYERSRANKING</stp>
        <stp>COGN3</stp>
        <stp>147</stp>
        <stp>SALDO</stp>
        <stp>VOLF</stp>
        <tr r="AR14" s="7"/>
      </tp>
      <tp t="e">
        <v>#N/A</v>
        <stp/>
        <stp>PLAYERSRANKING</stp>
        <stp>GOAU4</stp>
        <stp>127</stp>
        <stp>SALDO</stp>
        <stp>VOLF</stp>
        <tr r="BM40" s="7"/>
      </tp>
      <tp t="e">
        <v>#N/A</v>
        <stp/>
        <stp>PLAYERSRANKING</stp>
        <stp>GOAU4</stp>
        <stp>120</stp>
        <stp>SALDO</stp>
        <stp>VOLF</stp>
        <tr r="BM22" s="7"/>
      </tp>
      <tp t="e">
        <v>#N/A</v>
        <stp/>
        <stp>PLAYERSRANKING</stp>
        <stp>GOAU4</stp>
        <stp>122</stp>
        <stp>SALDO</stp>
        <stp>VOLF</stp>
        <tr r="BM15" s="7"/>
      </tp>
      <tp t="e">
        <v>#N/A</v>
        <stp/>
        <stp>PLAYERSRANKING</stp>
        <stp>GOAU4</stp>
        <stp>114</stp>
        <stp>SALDO</stp>
        <stp>VOLF</stp>
        <tr r="BM28" s="7"/>
      </tp>
      <tp t="e">
        <v>#N/A</v>
        <stp/>
        <stp>PLAYERSRANKING</stp>
        <stp>GOAU4</stp>
        <stp>147</stp>
        <stp>SALDO</stp>
        <stp>VOLF</stp>
        <tr r="BM14" s="7"/>
      </tp>
      <tp t="e">
        <v>#N/A</v>
        <stp/>
        <stp>PLAYERSRANKING</stp>
        <stp>GOAU4</stp>
        <stp>238</stp>
        <stp>SALDO</stp>
        <stp>VOLF</stp>
        <tr r="BM23" s="7"/>
      </tp>
      <tp t="e">
        <v>#N/A</v>
        <stp/>
        <stp>PLAYERSRANKING</stp>
        <stp>GOAU4</stp>
        <stp>308</stp>
        <stp>SALDO</stp>
        <stp>VOLF</stp>
        <tr r="BM42" s="7"/>
      </tp>
      <tp t="e">
        <v>#N/A</v>
        <stp/>
        <stp>PLAYERSRANKING</stp>
        <stp>GOAU4</stp>
        <stp>386</stp>
        <stp>SALDO</stp>
        <stp>VOLF</stp>
        <tr r="BM44" s="7"/>
      </tp>
      <tp t="e">
        <v>#N/A</v>
        <stp/>
        <stp>PLAYERSRANKING</stp>
        <stp>GOLL4</stp>
        <stp>127</stp>
        <stp>SALDO</stp>
        <stp>VOLF</stp>
        <tr r="BN40" s="7"/>
      </tp>
      <tp t="e">
        <v>#N/A</v>
        <stp/>
        <stp>PLAYERSRANKING</stp>
        <stp>GOLL4</stp>
        <stp>120</stp>
        <stp>SALDO</stp>
        <stp>VOLF</stp>
        <tr r="BN22" s="7"/>
      </tp>
      <tp t="e">
        <v>#N/A</v>
        <stp/>
        <stp>PLAYERSRANKING</stp>
        <stp>GOLL4</stp>
        <stp>122</stp>
        <stp>SALDO</stp>
        <stp>VOLF</stp>
        <tr r="BN15" s="7"/>
      </tp>
      <tp t="e">
        <v>#N/A</v>
        <stp/>
        <stp>PLAYERSRANKING</stp>
        <stp>GOLL4</stp>
        <stp>114</stp>
        <stp>SALDO</stp>
        <stp>VOLF</stp>
        <tr r="BN28" s="7"/>
      </tp>
      <tp t="e">
        <v>#N/A</v>
        <stp/>
        <stp>PLAYERSRANKING</stp>
        <stp>GOLL4</stp>
        <stp>147</stp>
        <stp>SALDO</stp>
        <stp>VOLF</stp>
        <tr r="BN14" s="7"/>
      </tp>
      <tp t="e">
        <v>#N/A</v>
        <stp/>
        <stp>PLAYERSRANKING</stp>
        <stp>GOLL4</stp>
        <stp>386</stp>
        <stp>SALDO</stp>
        <stp>VOLF</stp>
        <tr r="BN44" s="7"/>
      </tp>
      <tp t="e">
        <v>#N/A</v>
        <stp/>
        <stp>PLAYERSRANKING</stp>
        <stp>GOLL4</stp>
        <stp>308</stp>
        <stp>SALDO</stp>
        <stp>VOLF</stp>
        <tr r="BN42" s="7"/>
      </tp>
      <tp t="e">
        <v>#N/A</v>
        <stp/>
        <stp>PLAYERSRANKING</stp>
        <stp>GOLL4</stp>
        <stp>238</stp>
        <stp>SALDO</stp>
        <stp>VOLF</stp>
        <tr r="BN23" s="7"/>
      </tp>
      <tp t="e">
        <v>#N/A</v>
        <stp/>
        <stp>PLAYERSRANKING</stp>
        <stp>TOTS3</stp>
        <stp>147</stp>
        <stp>SALDO</stp>
        <stp>VOLF</stp>
        <tr r="CU14" s="7"/>
      </tp>
      <tp t="e">
        <v>#N/A</v>
        <stp/>
        <stp>PLAYERSRANKING</stp>
        <stp>TOTS3</stp>
        <stp>114</stp>
        <stp>SALDO</stp>
        <stp>VOLF</stp>
        <tr r="CU28" s="7"/>
      </tp>
      <tp t="e">
        <v>#N/A</v>
        <stp/>
        <stp>PLAYERSRANKING</stp>
        <stp>TOTS3</stp>
        <stp>120</stp>
        <stp>SALDO</stp>
        <stp>VOLF</stp>
        <tr r="CU22" s="7"/>
      </tp>
      <tp t="e">
        <v>#N/A</v>
        <stp/>
        <stp>PLAYERSRANKING</stp>
        <stp>TOTS3</stp>
        <stp>122</stp>
        <stp>SALDO</stp>
        <stp>VOLF</stp>
        <tr r="CU15" s="7"/>
      </tp>
      <tp t="e">
        <v>#N/A</v>
        <stp/>
        <stp>PLAYERSRANKING</stp>
        <stp>TOTS3</stp>
        <stp>127</stp>
        <stp>SALDO</stp>
        <stp>VOLF</stp>
        <tr r="CU40" s="7"/>
      </tp>
      <tp t="e">
        <v>#N/A</v>
        <stp/>
        <stp>PLAYERSRANKING</stp>
        <stp>TOTS3</stp>
        <stp>308</stp>
        <stp>SALDO</stp>
        <stp>VOLF</stp>
        <tr r="CU42" s="7"/>
      </tp>
      <tp t="e">
        <v>#N/A</v>
        <stp/>
        <stp>PLAYERSRANKING</stp>
        <stp>TOTS3</stp>
        <stp>386</stp>
        <stp>SALDO</stp>
        <stp>VOLF</stp>
        <tr r="CU44" s="7"/>
      </tp>
      <tp t="e">
        <v>#N/A</v>
        <stp/>
        <stp>PLAYERSRANKING</stp>
        <stp>TOTS3</stp>
        <stp>238</stp>
        <stp>SALDO</stp>
        <stp>VOLF</stp>
        <tr r="CU23" s="7"/>
      </tp>
      <tp t="e">
        <v>#N/A</v>
        <stp/>
        <stp>PLAYERSRANKING</stp>
        <stp>ITUB4</stp>
        <stp/>
        <stp>SALDO</stp>
        <stp>VOLF</stp>
        <tr r="BU39" s="7"/>
        <tr r="BU35" s="7"/>
        <tr r="BU31" s="7"/>
        <tr r="BU24" s="7"/>
        <tr r="BU25" s="7"/>
      </tp>
      <tp t="e">
        <v>#N/A</v>
        <stp/>
        <stp>PLAYERSRANKING</stp>
        <stp>AZUL4</stp>
        <stp/>
        <stp>SALDO</stp>
        <stp>VOLF</stp>
        <tr r="AA25" s="7"/>
        <tr r="AA24" s="7"/>
        <tr r="AA39" s="7"/>
        <tr r="AA35" s="7"/>
        <tr r="AA31" s="7"/>
      </tp>
      <tp t="e">
        <v>#N/A</v>
        <stp/>
        <stp>PLAYERSRANKING</stp>
        <stp>GNDI3</stp>
        <stp>147</stp>
        <stp>SALDO</stp>
        <stp>VOLF</stp>
        <tr r="BL14" s="7"/>
      </tp>
      <tp t="e">
        <v>#N/A</v>
        <stp/>
        <stp>PLAYERSRANKING</stp>
        <stp>GNDI3</stp>
        <stp>122</stp>
        <stp>SALDO</stp>
        <stp>VOLF</stp>
        <tr r="BL15" s="7"/>
      </tp>
      <tp t="e">
        <v>#N/A</v>
        <stp/>
        <stp>PLAYERSRANKING</stp>
        <stp>GNDI3</stp>
        <stp>120</stp>
        <stp>SALDO</stp>
        <stp>VOLF</stp>
        <tr r="BL22" s="7"/>
      </tp>
      <tp t="e">
        <v>#N/A</v>
        <stp/>
        <stp>PLAYERSRANKING</stp>
        <stp>GNDI3</stp>
        <stp>127</stp>
        <stp>SALDO</stp>
        <stp>VOLF</stp>
        <tr r="BL40" s="7"/>
      </tp>
      <tp t="e">
        <v>#N/A</v>
        <stp/>
        <stp>PLAYERSRANKING</stp>
        <stp>GNDI3</stp>
        <stp>114</stp>
        <stp>SALDO</stp>
        <stp>VOLF</stp>
        <tr r="BL28" s="7"/>
      </tp>
      <tp t="e">
        <v>#N/A</v>
        <stp/>
        <stp>PLAYERSRANKING</stp>
        <stp>ENEV3</stp>
        <stp>114</stp>
        <stp>SALDO</stp>
        <stp>VOLF</stp>
        <tr r="BF28" s="7"/>
      </tp>
      <tp t="e">
        <v>#N/A</v>
        <stp/>
        <stp>PLAYERSRANKING</stp>
        <stp>ENEV3</stp>
        <stp>120</stp>
        <stp>SALDO</stp>
        <stp>VOLF</stp>
        <tr r="BF22" s="7"/>
      </tp>
      <tp t="e">
        <v>#N/A</v>
        <stp/>
        <stp>PLAYERSRANKING</stp>
        <stp>ENEV3</stp>
        <stp>122</stp>
        <stp>SALDO</stp>
        <stp>VOLF</stp>
        <tr r="BF15" s="7"/>
      </tp>
      <tp t="e">
        <v>#N/A</v>
        <stp/>
        <stp>PLAYERSRANKING</stp>
        <stp>ENEV3</stp>
        <stp>127</stp>
        <stp>SALDO</stp>
        <stp>VOLF</stp>
        <tr r="BF40" s="7"/>
      </tp>
      <tp t="e">
        <v>#N/A</v>
        <stp/>
        <stp>PLAYERSRANKING</stp>
        <stp>ENEV3</stp>
        <stp>147</stp>
        <stp>SALDO</stp>
        <stp>VOLF</stp>
        <tr r="BF14" s="7"/>
      </tp>
      <tp t="e">
        <v>#N/A</v>
        <stp/>
        <stp>PLAYERSRANKING</stp>
        <stp>GNDI3</stp>
        <stp>386</stp>
        <stp>SALDO</stp>
        <stp>VOLF</stp>
        <tr r="BL44" s="7"/>
      </tp>
      <tp t="e">
        <v>#N/A</v>
        <stp/>
        <stp>PLAYERSRANKING</stp>
        <stp>GNDI3</stp>
        <stp>308</stp>
        <stp>SALDO</stp>
        <stp>VOLF</stp>
        <tr r="BL42" s="7"/>
      </tp>
      <tp t="e">
        <v>#N/A</v>
        <stp/>
        <stp>PLAYERSRANKING</stp>
        <stp>ENEV3</stp>
        <stp>238</stp>
        <stp>SALDO</stp>
        <stp>VOLF</stp>
        <tr r="BF23" s="7"/>
      </tp>
      <tp t="e">
        <v>#N/A</v>
        <stp/>
        <stp>PLAYERSRANKING</stp>
        <stp>GNDI3</stp>
        <stp>238</stp>
        <stp>SALDO</stp>
        <stp>VOLF</stp>
        <tr r="BL23" s="7"/>
      </tp>
      <tp t="e">
        <v>#N/A</v>
        <stp/>
        <stp>PLAYERSRANKING</stp>
        <stp>ENEV3</stp>
        <stp>308</stp>
        <stp>SALDO</stp>
        <stp>VOLF</stp>
        <tr r="BF42" s="7"/>
      </tp>
      <tp t="e">
        <v>#N/A</v>
        <stp/>
        <stp>PLAYERSRANKING</stp>
        <stp>ENEV3</stp>
        <stp>386</stp>
        <stp>SALDO</stp>
        <stp>VOLF</stp>
        <tr r="BF44" s="7"/>
      </tp>
      <tp t="e">
        <v>#N/A</v>
        <stp/>
        <stp>PLAYERSRANKING</stp>
        <stp>ENBR3</stp>
        <stp>308</stp>
        <stp>SALDO</stp>
        <stp>VOLF</stp>
        <tr r="BE42" s="7"/>
      </tp>
      <tp t="e">
        <v>#N/A</v>
        <stp/>
        <stp>PLAYERSRANKING</stp>
        <stp>ENBR3</stp>
        <stp>386</stp>
        <stp>SALDO</stp>
        <stp>VOLF</stp>
        <tr r="BE44" s="7"/>
      </tp>
      <tp t="e">
        <v>#N/A</v>
        <stp/>
        <stp>PLAYERSRANKING</stp>
        <stp>ENBR3</stp>
        <stp>238</stp>
        <stp>SALDO</stp>
        <stp>VOLF</stp>
        <tr r="BE23" s="7"/>
      </tp>
      <tp t="e">
        <v>#N/A</v>
        <stp/>
        <stp>PLAYERSRANKING</stp>
        <stp>ENBR3</stp>
        <stp>147</stp>
        <stp>SALDO</stp>
        <stp>VOLF</stp>
        <tr r="BE14" s="7"/>
      </tp>
      <tp t="e">
        <v>#N/A</v>
        <stp/>
        <stp>PLAYERSRANKING</stp>
        <stp>ENBR3</stp>
        <stp>114</stp>
        <stp>SALDO</stp>
        <stp>VOLF</stp>
        <tr r="BE28" s="7"/>
      </tp>
      <tp t="e">
        <v>#N/A</v>
        <stp/>
        <stp>PLAYERSRANKING</stp>
        <stp>ENBR3</stp>
        <stp>120</stp>
        <stp>SALDO</stp>
        <stp>VOLF</stp>
        <tr r="BE22" s="7"/>
      </tp>
      <tp t="e">
        <v>#N/A</v>
        <stp/>
        <stp>PLAYERSRANKING</stp>
        <stp>ENBR3</stp>
        <stp>122</stp>
        <stp>SALDO</stp>
        <stp>VOLF</stp>
        <tr r="BE15" s="7"/>
      </tp>
      <tp t="e">
        <v>#N/A</v>
        <stp/>
        <stp>PLAYERSRANKING</stp>
        <stp>ENBR3</stp>
        <stp>127</stp>
        <stp>SALDO</stp>
        <stp>VOLF</stp>
        <tr r="BE40" s="7"/>
      </tp>
    </main>
    <main first="srv.rtd">
      <tp t="e">
        <v>#N/A</v>
        <stp/>
        <stp>PLAYERSRANKING</stp>
        <stp>INDFUT</stp>
        <stp>8</stp>
        <stp>SALDO</stp>
        <stp>VOLF</stp>
        <tr r="U41" s="7"/>
      </tp>
      <tp t="e">
        <v>#N/A</v>
        <stp/>
        <stp>PLAYERSRANKING</stp>
        <stp>INDFUT</stp>
        <stp>3</stp>
        <stp>SALDO</stp>
        <stp>VOLF</stp>
        <tr r="U45" s="7"/>
      </tp>
      <tp t="e">
        <v>#N/A</v>
        <stp/>
        <stp>PLAYERSRANKING</stp>
        <stp>IGTA3</stp>
        <stp/>
        <stp>SALDO</stp>
        <stp>VOLF</stp>
        <tr r="BR39" s="7"/>
        <tr r="BR35" s="7"/>
        <tr r="BR25" s="7"/>
        <tr r="BR31" s="7"/>
        <tr r="BR24" s="7"/>
      </tp>
      <tp t="e">
        <v>#N/A</v>
        <stp/>
        <stp>PLAYERSRANKING</stp>
        <stp>EZTC3</stp>
        <stp/>
        <stp>SALDO</stp>
        <stp>VOLF</stp>
        <tr r="BI39" s="7"/>
        <tr r="BI35" s="7"/>
        <tr r="BI31" s="7"/>
        <tr r="BI24" s="7"/>
        <tr r="BI25" s="7"/>
      </tp>
      <tp t="e">
        <v>#N/A</v>
        <stp/>
        <stp>PLAYERSRANKING</stp>
        <stp>EQTL3</stp>
        <stp/>
        <stp>SALDO</stp>
        <stp>VOLF</stp>
        <tr r="BH24" s="7"/>
        <tr r="BH25" s="7"/>
        <tr r="BH39" s="7"/>
        <tr r="BH35" s="7"/>
        <tr r="BH31" s="7"/>
      </tp>
      <tp t="e">
        <v>#N/A</v>
        <stp/>
        <stp>PLAYERSRANKING</stp>
        <stp>TOTS3</stp>
        <stp/>
        <stp>SALDO</stp>
        <stp>VOLF</stp>
        <tr r="CU25" s="7"/>
        <tr r="CU24" s="7"/>
        <tr r="CU39" s="7"/>
        <tr r="CU35" s="7"/>
        <tr r="CU31" s="7"/>
      </tp>
      <tp t="e">
        <v>#N/A</v>
        <stp/>
        <stp>PLAYERSRANKING</stp>
        <stp>PETR4</stp>
        <stp/>
        <stp>SALDO</stp>
        <stp>VOLF</stp>
        <tr r="CI25" s="7"/>
        <tr r="CI24" s="7"/>
        <tr r="CI39" s="7"/>
        <tr r="CI35" s="7"/>
        <tr r="CI31" s="7"/>
      </tp>
      <tp t="e">
        <v>#N/A</v>
        <stp/>
        <stp>PLAYERSRANKING</stp>
        <stp>PETR3</stp>
        <stp/>
        <stp>SALDO</stp>
        <stp>VOLF</stp>
        <tr r="CH35" s="7"/>
        <tr r="CH31" s="7"/>
        <tr r="CH39" s="7"/>
        <tr r="CH25" s="7"/>
        <tr r="CH24" s="7"/>
      </tp>
      <tp t="e">
        <v>#N/A</v>
        <stp/>
        <stp>PLAYERSRANKING</stp>
        <stp>HGTX3</stp>
        <stp/>
        <stp>SALDO</stp>
        <stp>VOLF</stp>
        <tr r="BP24" s="7"/>
        <tr r="BP39" s="7"/>
        <tr r="BP35" s="7"/>
        <tr r="BP31" s="7"/>
        <tr r="BP25" s="7"/>
      </tp>
      <tp t="e">
        <v>#N/A</v>
        <stp/>
        <stp>PLAYERSRANKING</stp>
        <stp>SUZB3</stp>
        <stp>1618</stp>
        <stp>SALDO</stp>
        <stp>VOLF</stp>
        <tr r="CR26" s="7"/>
      </tp>
      <tp t="e">
        <v>#N/A</v>
        <stp/>
        <stp>PLAYERSRANKING</stp>
        <stp>SUZB3</stp>
        <stp>1130</stp>
        <stp>SALDO</stp>
        <stp>VOLF</stp>
        <tr r="CR27" s="7"/>
      </tp>
      <tp t="e">
        <v>#N/A</v>
        <stp/>
        <stp>PLAYERSRANKING</stp>
        <stp>SUZB3</stp>
        <stp>1982</stp>
        <stp>SALDO</stp>
        <stp>VOLF</stp>
        <tr r="CR43" s="7"/>
      </tp>
    </main>
    <main first="srv.rtd">
      <tp t="e">
        <v>#N/A</v>
        <stp/>
        <stp>PLAYERSRANKING</stp>
        <stp>TAEE11</stp>
        <stp>13</stp>
        <stp>SALDO</stp>
        <stp>VOLF</stp>
        <tr r="CS30" s="7"/>
      </tp>
      <tp t="e">
        <v>#N/A</v>
        <stp/>
        <stp>PLAYERSRANKING</stp>
        <stp>TAEE11</stp>
        <stp>16</stp>
        <stp>SALDO</stp>
        <stp>VOLF</stp>
        <tr r="CS29" s="7"/>
      </tp>
      <tp t="e">
        <v>#N/A</v>
        <stp/>
        <stp>PLAYERSRANKING</stp>
        <stp>TAEE11</stp>
        <stp>23</stp>
        <stp>SALDO</stp>
        <stp>VOLF</stp>
        <tr r="CS33" s="7"/>
      </tp>
      <tp t="e">
        <v>#N/A</v>
        <stp/>
        <stp>PLAYERSRANKING</stp>
        <stp>TAEE11</stp>
        <stp>27</stp>
        <stp>SALDO</stp>
        <stp>VOLF</stp>
        <tr r="CS38" s="7"/>
      </tp>
      <tp t="e">
        <v>#N/A</v>
        <stp/>
        <stp>PLAYERSRANKING</stp>
        <stp>TAEE11</stp>
        <stp>40</stp>
        <stp>SALDO</stp>
        <stp>VOLF</stp>
        <tr r="CS32" s="7"/>
      </tp>
      <tp t="e">
        <v>#N/A</v>
        <stp/>
        <stp>PLAYERSRANKING</stp>
        <stp>TAEE11</stp>
        <stp>45</stp>
        <stp>SALDO</stp>
        <stp>VOLF</stp>
        <tr r="CS21" s="7"/>
      </tp>
      <tp t="e">
        <v>#N/A</v>
        <stp/>
        <stp>PLAYERSRANKING</stp>
        <stp>TAEE11</stp>
        <stp>59</stp>
        <stp>SALDO</stp>
        <stp>VOLF</stp>
        <tr r="CS37" s="7"/>
      </tp>
      <tp t="e">
        <v>#N/A</v>
        <stp/>
        <stp>PLAYERSRANKING</stp>
        <stp>TAEE11</stp>
        <stp>72</stp>
        <stp>SALDO</stp>
        <stp>VOLF</stp>
        <tr r="CS18" s="7"/>
      </tp>
      <tp t="e">
        <v>#N/A</v>
        <stp/>
        <stp>PLAYERSRANKING</stp>
        <stp>TAEE11</stp>
        <stp>85</stp>
        <stp>SALDO</stp>
        <stp>VOLF</stp>
        <tr r="CS17" s="7"/>
      </tp>
      <tp t="e">
        <v>#N/A</v>
        <stp/>
        <stp>PLAYERSRANKING</stp>
        <stp>TAEE11</stp>
        <stp>88</stp>
        <stp>SALDO</stp>
        <stp>VOLF</stp>
        <tr r="CS20" s="7"/>
      </tp>
      <tp t="e">
        <v>#N/A</v>
        <stp/>
        <stp>PLAYERSRANKING</stp>
        <stp>TAEE11</stp>
        <stp>92</stp>
        <stp>SALDO</stp>
        <stp>VOLF</stp>
        <tr r="CS36" s="7"/>
      </tp>
      <tp t="e">
        <v>#N/A</v>
        <stp/>
        <stp>PLAYERSRANKING</stp>
        <stp>TAEE11</stp>
        <stp>93</stp>
        <stp>SALDO</stp>
        <stp>VOLF</stp>
        <tr r="CS34" s="7"/>
      </tp>
      <tp t="e">
        <v>#N/A</v>
        <stp/>
        <stp>PLAYERSRANKING</stp>
        <stp>SANB11</stp>
        <stp>72</stp>
        <stp>SALDO</stp>
        <stp>VOLF</stp>
        <tr r="CO18" s="7"/>
      </tp>
      <tp t="e">
        <v>#N/A</v>
        <stp/>
        <stp>PLAYERSRANKING</stp>
        <stp>SANB11</stp>
        <stp>59</stp>
        <stp>SALDO</stp>
        <stp>VOLF</stp>
        <tr r="CO37" s="7"/>
      </tp>
      <tp t="e">
        <v>#N/A</v>
        <stp/>
        <stp>PLAYERSRANKING</stp>
        <stp>SANB11</stp>
        <stp>45</stp>
        <stp>SALDO</stp>
        <stp>VOLF</stp>
        <tr r="CO21" s="7"/>
      </tp>
      <tp t="e">
        <v>#N/A</v>
        <stp/>
        <stp>PLAYERSRANKING</stp>
        <stp>SANB11</stp>
        <stp>40</stp>
        <stp>SALDO</stp>
        <stp>VOLF</stp>
        <tr r="CO32" s="7"/>
      </tp>
      <tp t="e">
        <v>#N/A</v>
        <stp/>
        <stp>PLAYERSRANKING</stp>
        <stp>SANB11</stp>
        <stp>27</stp>
        <stp>SALDO</stp>
        <stp>VOLF</stp>
        <tr r="CO38" s="7"/>
      </tp>
      <tp t="e">
        <v>#N/A</v>
        <stp/>
        <stp>PLAYERSRANKING</stp>
        <stp>SANB11</stp>
        <stp>23</stp>
        <stp>SALDO</stp>
        <stp>VOLF</stp>
        <tr r="CO33" s="7"/>
      </tp>
      <tp t="e">
        <v>#N/A</v>
        <stp/>
        <stp>PLAYERSRANKING</stp>
        <stp>SANB11</stp>
        <stp>16</stp>
        <stp>SALDO</stp>
        <stp>VOLF</stp>
        <tr r="CO29" s="7"/>
      </tp>
      <tp t="e">
        <v>#N/A</v>
        <stp/>
        <stp>PLAYERSRANKING</stp>
        <stp>SANB11</stp>
        <stp>13</stp>
        <stp>SALDO</stp>
        <stp>VOLF</stp>
        <tr r="CO30" s="7"/>
      </tp>
      <tp t="e">
        <v>#N/A</v>
        <stp/>
        <stp>PLAYERSRANKING</stp>
        <stp>SANB11</stp>
        <stp>93</stp>
        <stp>SALDO</stp>
        <stp>VOLF</stp>
        <tr r="CO34" s="7"/>
      </tp>
      <tp t="e">
        <v>#N/A</v>
        <stp/>
        <stp>PLAYERSRANKING</stp>
        <stp>SANB11</stp>
        <stp>92</stp>
        <stp>SALDO</stp>
        <stp>VOLF</stp>
        <tr r="CO36" s="7"/>
      </tp>
      <tp t="e">
        <v>#N/A</v>
        <stp/>
        <stp>PLAYERSRANKING</stp>
        <stp>SANB11</stp>
        <stp>85</stp>
        <stp>SALDO</stp>
        <stp>VOLF</stp>
        <tr r="CO17" s="7"/>
      </tp>
      <tp t="e">
        <v>#N/A</v>
        <stp/>
        <stp>PLAYERSRANKING</stp>
        <stp>SANB11</stp>
        <stp>88</stp>
        <stp>SALDO</stp>
        <stp>VOLF</stp>
        <tr r="CO20" s="7"/>
      </tp>
    </main>
    <main first="srv.rtd">
      <tp t="e">
        <v>#N/A</v>
        <stp/>
        <stp>PLAYERSRANKING</stp>
        <stp>SUZB3</stp>
        <stp>6003</stp>
        <stp>SALDO</stp>
        <stp>VOLF</stp>
        <tr r="CR19" s="7"/>
      </tp>
      <tp t="e">
        <v>#N/A</v>
        <stp/>
        <stp>PLAYERSRANKING</stp>
        <stp>FLRY3</stp>
        <stp>1982</stp>
        <stp>SALDO</stp>
        <stp>VOLF</stp>
        <tr r="BJ43" s="7"/>
      </tp>
      <tp t="e">
        <v>#N/A</v>
        <stp/>
        <stp>PLAYERSRANKING</stp>
        <stp>FLRY3</stp>
        <stp>1618</stp>
        <stp>SALDO</stp>
        <stp>VOLF</stp>
        <tr r="BJ26" s="7"/>
      </tp>
      <tp t="e">
        <v>#N/A</v>
        <stp/>
        <stp>PLAYERSRANKING</stp>
        <stp>FLRY3</stp>
        <stp>1130</stp>
        <stp>SALDO</stp>
        <stp>VOLF</stp>
        <tr r="BJ27" s="7"/>
      </tp>
      <tp t="e">
        <v>#N/A</v>
        <stp/>
        <stp>PLAYERSRANKING</stp>
        <stp>CYRE3</stp>
        <stp>1130</stp>
        <stp>SALDO</stp>
        <stp>VOLF</stp>
        <tr r="AY27" s="7"/>
      </tp>
      <tp t="e">
        <v>#N/A</v>
        <stp/>
        <stp>PLAYERSRANKING</stp>
        <stp>CCRO3</stp>
        <stp>1982</stp>
        <stp>SALDO</stp>
        <stp>VOLF</stp>
        <tr r="AO43" s="7"/>
      </tp>
      <tp t="e">
        <v>#N/A</v>
        <stp/>
        <stp>PLAYERSRANKING</stp>
        <stp>CYRE3</stp>
        <stp>1618</stp>
        <stp>SALDO</stp>
        <stp>VOLF</stp>
        <tr r="AY26" s="7"/>
      </tp>
      <tp t="e">
        <v>#N/A</v>
        <stp/>
        <stp>PLAYERSRANKING</stp>
        <stp>ITUB4</stp>
        <stp>6003</stp>
        <stp>SALDO</stp>
        <stp>VOLF</stp>
        <tr r="BU19" s="7"/>
      </tp>
      <tp t="e">
        <v>#N/A</v>
        <stp/>
        <stp>PLAYERSRANKING</stp>
        <stp>CYRE3</stp>
        <stp>1982</stp>
        <stp>SALDO</stp>
        <stp>VOLF</stp>
        <tr r="AY43" s="7"/>
      </tp>
      <tp t="e">
        <v>#N/A</v>
        <stp/>
        <stp>PLAYERSRANKING</stp>
        <stp>AZUL4</stp>
        <stp>6003</stp>
        <stp>SALDO</stp>
        <stp>VOLF</stp>
        <tr r="AA19" s="7"/>
      </tp>
      <tp t="e">
        <v>#N/A</v>
        <stp/>
        <stp>PLAYERSRANKING</stp>
        <stp>CCRO3</stp>
        <stp>1130</stp>
        <stp>SALDO</stp>
        <stp>VOLF</stp>
        <tr r="AO27" s="7"/>
      </tp>
      <tp t="e">
        <v>#N/A</v>
        <stp/>
        <stp>PLAYERSRANKING</stp>
        <stp>CCRO3</stp>
        <stp>1618</stp>
        <stp>SALDO</stp>
        <stp>VOLF</stp>
        <tr r="AO26" s="7"/>
      </tp>
      <tp t="e">
        <v>#N/A</v>
        <stp/>
        <stp>PLAYERSRANKING</stp>
        <stp>JBSS3</stp>
        <stp>1618</stp>
        <stp>SALDO</stp>
        <stp>VOLF</stp>
        <tr r="BV26" s="7"/>
      </tp>
      <tp t="e">
        <v>#N/A</v>
        <stp/>
        <stp>PLAYERSRANKING</stp>
        <stp>SBSP3</stp>
        <stp>1618</stp>
        <stp>SALDO</stp>
        <stp>VOLF</stp>
        <tr r="CP26" s="7"/>
      </tp>
      <tp t="e">
        <v>#N/A</v>
        <stp/>
        <stp>PLAYERSRANKING</stp>
        <stp>SBSP3</stp>
        <stp>1130</stp>
        <stp>SALDO</stp>
        <stp>VOLF</stp>
        <tr r="CP27" s="7"/>
      </tp>
      <tp t="e">
        <v>#N/A</v>
        <stp/>
        <stp>PLAYERSRANKING</stp>
        <stp>TOTS3</stp>
        <stp>6003</stp>
        <stp>SALDO</stp>
        <stp>VOLF</stp>
        <tr r="CU19" s="7"/>
      </tp>
      <tp t="e">
        <v>#N/A</v>
        <stp/>
        <stp>PLAYERSRANKING</stp>
        <stp>JBSS3</stp>
        <stp>1130</stp>
        <stp>SALDO</stp>
        <stp>VOLF</stp>
        <tr r="BV27" s="7"/>
      </tp>
      <tp t="e">
        <v>#N/A</v>
        <stp/>
        <stp>PLAYERSRANKING</stp>
        <stp>PETR4</stp>
        <stp>6003</stp>
        <stp>SALDO</stp>
        <stp>VOLF</stp>
        <tr r="CI19" s="7"/>
      </tp>
      <tp t="e">
        <v>#N/A</v>
        <stp/>
        <stp>PLAYERSRANKING</stp>
        <stp>PETR3</stp>
        <stp>6003</stp>
        <stp>SALDO</stp>
        <stp>VOLF</stp>
        <tr r="CH19" s="7"/>
      </tp>
      <tp t="e">
        <v>#N/A</v>
        <stp/>
        <stp>PLAYERSRANKING</stp>
        <stp>SBSP3</stp>
        <stp>1982</stp>
        <stp>SALDO</stp>
        <stp>VOLF</stp>
        <tr r="CP43" s="7"/>
      </tp>
      <tp t="e">
        <v>#N/A</v>
        <stp/>
        <stp>PLAYERSRANKING</stp>
        <stp>HGTX3</stp>
        <stp>6003</stp>
        <stp>SALDO</stp>
        <stp>VOLF</stp>
        <tr r="BP19" s="7"/>
      </tp>
      <tp t="e">
        <v>#N/A</v>
        <stp/>
        <stp>PLAYERSRANKING</stp>
        <stp>JBSS3</stp>
        <stp>1982</stp>
        <stp>SALDO</stp>
        <stp>VOLF</stp>
        <tr r="BV43" s="7"/>
      </tp>
      <tp t="e">
        <v>#N/A</v>
        <stp/>
        <stp>PLAYERSRANKING</stp>
        <stp>BBSE3</stp>
        <stp>1130</stp>
        <stp>SALDO</stp>
        <stp>VOLF</stp>
        <tr r="AF27" s="7"/>
      </tp>
      <tp t="e">
        <v>#N/A</v>
        <stp/>
        <stp>PLAYERSRANKING</stp>
        <stp>ITSA4</stp>
        <stp>1618</stp>
        <stp>SALDO</stp>
        <stp>VOLF</stp>
        <tr r="BT26" s="7"/>
      </tp>
      <tp t="e">
        <v>#N/A</v>
        <stp/>
        <stp>PLAYERSRANKING</stp>
        <stp>JHSF3</stp>
        <stp>1130</stp>
        <stp>SALDO</stp>
        <stp>VOLF</stp>
        <tr r="BW27" s="7"/>
      </tp>
      <tp t="e">
        <v>#N/A</v>
        <stp/>
        <stp>PLAYERSRANKING</stp>
        <stp>B3SA3</stp>
        <stp>1618</stp>
        <stp>SALDO</stp>
        <stp>VOLF</stp>
        <tr r="AB26" s="7"/>
      </tp>
      <tp t="e">
        <v>#N/A</v>
        <stp/>
        <stp>PLAYERSRANKING</stp>
        <stp>IGTA3</stp>
        <stp>6003</stp>
        <stp>SALDO</stp>
        <stp>VOLF</stp>
        <tr r="BR19" s="7"/>
      </tp>
      <tp t="e">
        <v>#N/A</v>
        <stp/>
        <stp>PLAYERSRANKING</stp>
        <stp>ITSA4</stp>
        <stp>1130</stp>
        <stp>SALDO</stp>
        <stp>VOLF</stp>
        <tr r="BT27" s="7"/>
      </tp>
      <tp t="e">
        <v>#N/A</v>
        <stp/>
        <stp>PLAYERSRANKING</stp>
        <stp>JHSF3</stp>
        <stp>1618</stp>
        <stp>SALDO</stp>
        <stp>VOLF</stp>
        <tr r="BW26" s="7"/>
      </tp>
      <tp t="e">
        <v>#N/A</v>
        <stp/>
        <stp>PLAYERSRANKING</stp>
        <stp>B3SA3</stp>
        <stp>1130</stp>
        <stp>SALDO</stp>
        <stp>VOLF</stp>
        <tr r="AB27" s="7"/>
      </tp>
      <tp t="e">
        <v>#N/A</v>
        <stp/>
        <stp>PLAYERSRANKING</stp>
        <stp>EZTC3</stp>
        <stp>6003</stp>
        <stp>SALDO</stp>
        <stp>VOLF</stp>
        <tr r="BI19" s="7"/>
      </tp>
      <tp t="e">
        <v>#N/A</v>
        <stp/>
        <stp>PLAYERSRANKING</stp>
        <stp>BBSE3</stp>
        <stp>1618</stp>
        <stp>SALDO</stp>
        <stp>VOLF</stp>
        <tr r="AF26" s="7"/>
      </tp>
      <tp t="e">
        <v>#N/A</v>
        <stp/>
        <stp>PLAYERSRANKING</stp>
        <stp>BBSE3</stp>
        <stp>1982</stp>
        <stp>SALDO</stp>
        <stp>VOLF</stp>
        <tr r="AF43" s="7"/>
      </tp>
      <tp t="e">
        <v>#N/A</v>
        <stp/>
        <stp>PLAYERSRANKING</stp>
        <stp>EQTL3</stp>
        <stp>6003</stp>
        <stp>SALDO</stp>
        <stp>VOLF</stp>
        <tr r="BH19" s="7"/>
      </tp>
      <tp t="e">
        <v>#N/A</v>
        <stp/>
        <stp>PLAYERSRANKING</stp>
        <stp>JHSF3</stp>
        <stp>1982</stp>
        <stp>SALDO</stp>
        <stp>VOLF</stp>
        <tr r="BW43" s="7"/>
      </tp>
      <tp t="e">
        <v>#N/A</v>
        <stp/>
        <stp>PLAYERSRANKING</stp>
        <stp>B3SA3</stp>
        <stp>1982</stp>
        <stp>SALDO</stp>
        <stp>VOLF</stp>
        <tr r="AB43" s="7"/>
      </tp>
      <tp t="e">
        <v>#N/A</v>
        <stp/>
        <stp>PLAYERSRANKING</stp>
        <stp>ITSA4</stp>
        <stp>1982</stp>
        <stp>SALDO</stp>
        <stp>VOLF</stp>
        <tr r="BT43" s="7"/>
      </tp>
    </main>
    <main first="srv.rtd">
      <tp t="e">
        <v>#N/A</v>
        <stp/>
        <stp>PLAYERSRANKING</stp>
        <stp>HAPV3</stp>
        <stp>1130</stp>
        <stp>SALDO</stp>
        <stp>VOLF</stp>
        <tr r="BO27" s="7"/>
      </tp>
      <tp t="e">
        <v>#N/A</v>
        <stp/>
        <stp>PLAYERSRANKING</stp>
        <stp>HAPV3</stp>
        <stp>1618</stp>
        <stp>SALDO</stp>
        <stp>VOLF</stp>
        <tr r="BO26" s="7"/>
      </tp>
      <tp t="e">
        <v>#N/A</v>
        <stp/>
        <stp>PLAYERSRANKING</stp>
        <stp>HAPV3</stp>
        <stp>1982</stp>
        <stp>SALDO</stp>
        <stp>VOLF</stp>
        <tr r="BO43" s="7"/>
      </tp>
      <tp t="e">
        <v>#N/A</v>
        <stp/>
        <stp>PLAYERSRANKING</stp>
        <stp>HYPE3</stp>
        <stp>1130</stp>
        <stp>SALDO</stp>
        <stp>VOLF</stp>
        <tr r="BQ27" s="7"/>
      </tp>
      <tp t="e">
        <v>#N/A</v>
        <stp/>
        <stp>PLAYERSRANKING</stp>
        <stp>UGPA3</stp>
        <stp>1618</stp>
        <stp>SALDO</stp>
        <stp>VOLF</stp>
        <tr r="CV26" s="7"/>
      </tp>
      <tp t="e">
        <v>#N/A</v>
        <stp/>
        <stp>PLAYERSRANKING</stp>
        <stp>UGPA3</stp>
        <stp>1130</stp>
        <stp>SALDO</stp>
        <stp>VOLF</stp>
        <tr r="CV27" s="7"/>
      </tp>
      <tp t="e">
        <v>#N/A</v>
        <stp/>
        <stp>PLAYERSRANKING</stp>
        <stp>HYPE3</stp>
        <stp>1618</stp>
        <stp>SALDO</stp>
        <stp>VOLF</stp>
        <tr r="BQ26" s="7"/>
      </tp>
      <tp t="e">
        <v>#N/A</v>
        <stp/>
        <stp>PLAYERSRANKING</stp>
        <stp>HYPE3</stp>
        <stp>1982</stp>
        <stp>SALDO</stp>
        <stp>VOLF</stp>
        <tr r="BQ43" s="7"/>
      </tp>
      <tp t="e">
        <v>#N/A</v>
        <stp/>
        <stp>PLAYERSRANKING</stp>
        <stp>UGPA3</stp>
        <stp>1982</stp>
        <stp>SALDO</stp>
        <stp>VOLF</stp>
        <tr r="CV43" s="7"/>
      </tp>
      <tp t="e">
        <v>#N/A</v>
        <stp/>
        <stp>PLAYERSRANKING</stp>
        <stp>VIVT3</stp>
        <stp>6003</stp>
        <stp>SALDO</stp>
        <stp>VOLF</stp>
        <tr r="CY19" s="7"/>
      </tp>
      <tp t="e">
        <v>#N/A</v>
        <stp/>
        <stp>PLAYERSRANKING</stp>
        <stp>MRVE3</stp>
        <stp>6003</stp>
        <stp>SALDO</stp>
        <stp>VOLF</stp>
        <tr r="CD19" s="7"/>
      </tp>
      <tp t="e">
        <v>#N/A</v>
        <stp/>
        <stp>PLAYERSRANKING</stp>
        <stp>VIVT3</stp>
        <stp>1130</stp>
        <stp>SALDO</stp>
        <stp>VOLF</stp>
        <tr r="CY27" s="7"/>
      </tp>
      <tp t="e">
        <v>#N/A</v>
        <stp/>
        <stp>PLAYERSRANKING</stp>
        <stp>VIVT3</stp>
        <stp>1618</stp>
        <stp>SALDO</stp>
        <stp>VOLF</stp>
        <tr r="CY26" s="7"/>
      </tp>
      <tp t="e">
        <v>#N/A</v>
        <stp/>
        <stp>PLAYERSRANKING</stp>
        <stp>VIVT3</stp>
        <stp>1982</stp>
        <stp>SALDO</stp>
        <stp>VOLF</stp>
        <tr r="CY43" s="7"/>
      </tp>
      <tp t="e">
        <v>#N/A</v>
        <stp/>
        <stp>PLAYERSRANKING</stp>
        <stp>MRVE3</stp>
        <stp>1130</stp>
        <stp>SALDO</stp>
        <stp>VOLF</stp>
        <tr r="CD27" s="7"/>
      </tp>
      <tp t="e">
        <v>#N/A</v>
        <stp/>
        <stp>PLAYERSRANKING</stp>
        <stp>MRVE3</stp>
        <stp>1618</stp>
        <stp>SALDO</stp>
        <stp>VOLF</stp>
        <tr r="CD26" s="7"/>
      </tp>
      <tp t="e">
        <v>#N/A</v>
        <stp/>
        <stp>PLAYERSRANKING</stp>
        <stp>MRVE3</stp>
        <stp>1982</stp>
        <stp>SALDO</stp>
        <stp>VOLF</stp>
        <tr r="CD43" s="7"/>
      </tp>
    </main>
    <main first="srv.rtd">
      <tp t="e">
        <v>#N/A</v>
        <stp/>
        <stp>PLAYERSRANKING</stp>
        <stp>ENGI11</stp>
        <stp>85</stp>
        <stp>SALDO</stp>
        <stp>VOLF</stp>
        <tr r="BG17" s="7"/>
      </tp>
      <tp t="e">
        <v>#N/A</v>
        <stp/>
        <stp>PLAYERSRANKING</stp>
        <stp>ENGI11</stp>
        <stp>88</stp>
        <stp>SALDO</stp>
        <stp>VOLF</stp>
        <tr r="BG20" s="7"/>
      </tp>
      <tp t="e">
        <v>#N/A</v>
        <stp/>
        <stp>PLAYERSRANKING</stp>
        <stp>ENGI11</stp>
        <stp>93</stp>
        <stp>SALDO</stp>
        <stp>VOLF</stp>
        <tr r="BG34" s="7"/>
      </tp>
      <tp t="e">
        <v>#N/A</v>
        <stp/>
        <stp>PLAYERSRANKING</stp>
        <stp>ENGI11</stp>
        <stp>92</stp>
        <stp>SALDO</stp>
        <stp>VOLF</stp>
        <tr r="BG36" s="7"/>
      </tp>
      <tp t="e">
        <v>#N/A</v>
        <stp/>
        <stp>PLAYERSRANKING</stp>
        <stp>ENGI11</stp>
        <stp>40</stp>
        <stp>SALDO</stp>
        <stp>VOLF</stp>
        <tr r="BG32" s="7"/>
      </tp>
      <tp t="e">
        <v>#N/A</v>
        <stp/>
        <stp>PLAYERSRANKING</stp>
        <stp>ENGI11</stp>
        <stp>45</stp>
        <stp>SALDO</stp>
        <stp>VOLF</stp>
        <tr r="BG21" s="7"/>
      </tp>
      <tp t="e">
        <v>#N/A</v>
        <stp/>
        <stp>PLAYERSRANKING</stp>
        <stp>ENGI11</stp>
        <stp>59</stp>
        <stp>SALDO</stp>
        <stp>VOLF</stp>
        <tr r="BG37" s="7"/>
      </tp>
      <tp t="e">
        <v>#N/A</v>
        <stp/>
        <stp>PLAYERSRANKING</stp>
        <stp>ENGI11</stp>
        <stp>72</stp>
        <stp>SALDO</stp>
        <stp>VOLF</stp>
        <tr r="BG18" s="7"/>
      </tp>
      <tp t="e">
        <v>#N/A</v>
        <stp/>
        <stp>PLAYERSRANKING</stp>
        <stp>ENGI11</stp>
        <stp>13</stp>
        <stp>SALDO</stp>
        <stp>VOLF</stp>
        <tr r="BG30" s="7"/>
      </tp>
      <tp t="e">
        <v>#N/A</v>
        <stp/>
        <stp>PLAYERSRANKING</stp>
        <stp>ENGI11</stp>
        <stp>16</stp>
        <stp>SALDO</stp>
        <stp>VOLF</stp>
        <tr r="BG29" s="7"/>
      </tp>
      <tp t="e">
        <v>#N/A</v>
        <stp/>
        <stp>PLAYERSRANKING</stp>
        <stp>ENGI11</stp>
        <stp>23</stp>
        <stp>SALDO</stp>
        <stp>VOLF</stp>
        <tr r="BG33" s="7"/>
      </tp>
      <tp t="e">
        <v>#N/A</v>
        <stp/>
        <stp>PLAYERSRANKING</stp>
        <stp>ENGI11</stp>
        <stp>27</stp>
        <stp>SALDO</stp>
        <stp>VOLF</stp>
        <tr r="BG38" s="7"/>
      </tp>
      <tp t="e">
        <v>#N/A</v>
        <stp/>
        <stp>PLAYERSRANKING</stp>
        <stp>HAPV3</stp>
        <stp>6003</stp>
        <stp>SALDO</stp>
        <stp>VOLF</stp>
        <tr r="BO19" s="7"/>
      </tp>
      <tp t="e">
        <v>#N/A</v>
        <stp/>
        <stp>PLAYERSRANKING</stp>
        <stp>HYPE3</stp>
        <stp>6003</stp>
        <stp>SALDO</stp>
        <stp>VOLF</stp>
        <tr r="BQ19" s="7"/>
      </tp>
      <tp t="e">
        <v>#N/A</v>
        <stp/>
        <stp>PLAYERSRANKING</stp>
        <stp>UGPA3</stp>
        <stp>6003</stp>
        <stp>SALDO</stp>
        <stp>VOLF</stp>
        <tr r="CV19" s="7"/>
      </tp>
      <tp t="e">
        <v>#N/A</v>
        <stp/>
        <stp>PLAYERSRANKING</stp>
        <stp>TOTS3</stp>
        <stp>1618</stp>
        <stp>SALDO</stp>
        <stp>VOLF</stp>
        <tr r="CU26" s="7"/>
      </tp>
      <tp t="e">
        <v>#N/A</v>
        <stp/>
        <stp>PLAYERSRANKING</stp>
        <stp>PETR4</stp>
        <stp>1618</stp>
        <stp>SALDO</stp>
        <stp>VOLF</stp>
        <tr r="CI26" s="7"/>
      </tp>
      <tp t="e">
        <v>#N/A</v>
        <stp/>
        <stp>PLAYERSRANKING</stp>
        <stp>PETR3</stp>
        <stp>1618</stp>
        <stp>SALDO</stp>
        <stp>VOLF</stp>
        <tr r="CH26" s="7"/>
      </tp>
      <tp t="e">
        <v>#N/A</v>
        <stp/>
        <stp>PLAYERSRANKING</stp>
        <stp>HGTX3</stp>
        <stp>1982</stp>
        <stp>SALDO</stp>
        <stp>VOLF</stp>
        <tr r="BP43" s="7"/>
      </tp>
      <tp t="e">
        <v>#N/A</v>
        <stp/>
        <stp>PLAYERSRANKING</stp>
        <stp>SBSP3</stp>
        <stp>6003</stp>
        <stp>SALDO</stp>
        <stp>VOLF</stp>
        <tr r="CP19" s="7"/>
      </tp>
      <tp t="e">
        <v>#N/A</v>
        <stp/>
        <stp>PLAYERSRANKING</stp>
        <stp>JBSS3</stp>
        <stp>6003</stp>
        <stp>SALDO</stp>
        <stp>VOLF</stp>
        <tr r="BV19" s="7"/>
      </tp>
      <tp t="e">
        <v>#N/A</v>
        <stp/>
        <stp>PLAYERSRANKING</stp>
        <stp>PETR4</stp>
        <stp>1130</stp>
        <stp>SALDO</stp>
        <stp>VOLF</stp>
        <tr r="CI27" s="7"/>
      </tp>
      <tp t="e">
        <v>#N/A</v>
        <stp/>
        <stp>PLAYERSRANKING</stp>
        <stp>PETR3</stp>
        <stp>1130</stp>
        <stp>SALDO</stp>
        <stp>VOLF</stp>
        <tr r="CH27" s="7"/>
      </tp>
      <tp t="e">
        <v>#N/A</v>
        <stp/>
        <stp>PLAYERSRANKING</stp>
        <stp>TOTS3</stp>
        <stp>1130</stp>
        <stp>SALDO</stp>
        <stp>VOLF</stp>
        <tr r="CU27" s="7"/>
      </tp>
      <tp t="e">
        <v>#N/A</v>
        <stp/>
        <stp>PLAYERSRANKING</stp>
        <stp>HGTX3</stp>
        <stp>1618</stp>
        <stp>SALDO</stp>
        <stp>VOLF</stp>
        <tr r="BP26" s="7"/>
      </tp>
      <tp t="e">
        <v>#N/A</v>
        <stp/>
        <stp>PLAYERSRANKING</stp>
        <stp>HGTX3</stp>
        <stp>1130</stp>
        <stp>SALDO</stp>
        <stp>VOLF</stp>
        <tr r="BP27" s="7"/>
      </tp>
      <tp t="e">
        <v>#N/A</v>
        <stp/>
        <stp>PLAYERSRANKING</stp>
        <stp>PETR4</stp>
        <stp>1982</stp>
        <stp>SALDO</stp>
        <stp>VOLF</stp>
        <tr r="CI43" s="7"/>
      </tp>
      <tp t="e">
        <v>#N/A</v>
        <stp/>
        <stp>PLAYERSRANKING</stp>
        <stp>PETR3</stp>
        <stp>1982</stp>
        <stp>SALDO</stp>
        <stp>VOLF</stp>
        <tr r="CH43" s="7"/>
      </tp>
      <tp t="e">
        <v>#N/A</v>
        <stp/>
        <stp>PLAYERSRANKING</stp>
        <stp>TOTS3</stp>
        <stp>1982</stp>
        <stp>SALDO</stp>
        <stp>VOLF</stp>
        <tr r="CU43" s="7"/>
      </tp>
      <tp t="e">
        <v>#N/A</v>
        <stp/>
        <stp>PLAYERSRANKING</stp>
        <stp>EQTL3</stp>
        <stp>1982</stp>
        <stp>SALDO</stp>
        <stp>VOLF</stp>
        <tr r="BH43" s="7"/>
      </tp>
      <tp t="e">
        <v>#N/A</v>
        <stp/>
        <stp>PLAYERSRANKING</stp>
        <stp>EZTC3</stp>
        <stp>1618</stp>
        <stp>SALDO</stp>
        <stp>VOLF</stp>
        <tr r="BI26" s="7"/>
      </tp>
      <tp t="e">
        <v>#N/A</v>
        <stp/>
        <stp>PLAYERSRANKING</stp>
        <stp>BBSE3</stp>
        <stp>6003</stp>
        <stp>SALDO</stp>
        <stp>VOLF</stp>
        <tr r="AF19" s="7"/>
      </tp>
      <tp t="e">
        <v>#N/A</v>
        <stp/>
        <stp>PLAYERSRANKING</stp>
        <stp>IGTA3</stp>
        <stp>1618</stp>
        <stp>SALDO</stp>
        <stp>VOLF</stp>
        <tr r="BR26" s="7"/>
      </tp>
      <tp t="e">
        <v>#N/A</v>
        <stp/>
        <stp>PLAYERSRANKING</stp>
        <stp>JHSF3</stp>
        <stp>6003</stp>
        <stp>SALDO</stp>
        <stp>VOLF</stp>
        <tr r="BW19" s="7"/>
      </tp>
      <tp t="e">
        <v>#N/A</v>
        <stp/>
        <stp>PLAYERSRANKING</stp>
        <stp>ITSA4</stp>
        <stp>6003</stp>
        <stp>SALDO</stp>
        <stp>VOLF</stp>
        <tr r="BT19" s="7"/>
      </tp>
      <tp t="e">
        <v>#N/A</v>
        <stp/>
        <stp>PLAYERSRANKING</stp>
        <stp>B3SA3</stp>
        <stp>6003</stp>
        <stp>SALDO</stp>
        <stp>VOLF</stp>
        <tr r="AB19" s="7"/>
      </tp>
      <tp t="e">
        <v>#N/A</v>
        <stp/>
        <stp>PLAYERSRANKING</stp>
        <stp>IGTA3</stp>
        <stp>1130</stp>
        <stp>SALDO</stp>
        <stp>VOLF</stp>
        <tr r="BR27" s="7"/>
      </tp>
      <tp t="e">
        <v>#N/A</v>
        <stp/>
        <stp>PLAYERSRANKING</stp>
        <stp>EZTC3</stp>
        <stp>1130</stp>
        <stp>SALDO</stp>
        <stp>VOLF</stp>
        <tr r="BI27" s="7"/>
      </tp>
      <tp t="e">
        <v>#N/A</v>
        <stp/>
        <stp>PLAYERSRANKING</stp>
        <stp>EQTL3</stp>
        <stp>1130</stp>
        <stp>SALDO</stp>
        <stp>VOLF</stp>
        <tr r="BH27" s="7"/>
      </tp>
      <tp t="e">
        <v>#N/A</v>
        <stp/>
        <stp>PLAYERSRANKING</stp>
        <stp>IGTA3</stp>
        <stp>1982</stp>
        <stp>SALDO</stp>
        <stp>VOLF</stp>
        <tr r="BR43" s="7"/>
      </tp>
      <tp t="e">
        <v>#N/A</v>
        <stp/>
        <stp>PLAYERSRANKING</stp>
        <stp>EZTC3</stp>
        <stp>1982</stp>
        <stp>SALDO</stp>
        <stp>VOLF</stp>
        <tr r="BI43" s="7"/>
      </tp>
      <tp t="e">
        <v>#N/A</v>
        <stp/>
        <stp>PLAYERSRANKING</stp>
        <stp>EQTL3</stp>
        <stp>1618</stp>
        <stp>SALDO</stp>
        <stp>VOLF</stp>
        <tr r="BH26" s="7"/>
      </tp>
    </main>
    <main first="srv.rtd">
      <tp t="e">
        <v>#N/A</v>
        <stp/>
        <stp>PLAYERSRANKING</stp>
        <stp>KLBN11</stp>
        <stp>93</stp>
        <stp>SALDO</stp>
        <stp>VOLF</stp>
        <tr r="BX34" s="7"/>
      </tp>
      <tp t="e">
        <v>#N/A</v>
        <stp/>
        <stp>PLAYERSRANKING</stp>
        <stp>KLBN11</stp>
        <stp>92</stp>
        <stp>SALDO</stp>
        <stp>VOLF</stp>
        <tr r="BX36" s="7"/>
      </tp>
      <tp t="e">
        <v>#N/A</v>
        <stp/>
        <stp>PLAYERSRANKING</stp>
        <stp>KLBN11</stp>
        <stp>88</stp>
        <stp>SALDO</stp>
        <stp>VOLF</stp>
        <tr r="BX20" s="7"/>
      </tp>
      <tp t="e">
        <v>#N/A</v>
        <stp/>
        <stp>PLAYERSRANKING</stp>
        <stp>KLBN11</stp>
        <stp>85</stp>
        <stp>SALDO</stp>
        <stp>VOLF</stp>
        <tr r="BX17" s="7"/>
      </tp>
      <tp t="e">
        <v>#N/A</v>
        <stp/>
        <stp>PLAYERSRANKING</stp>
        <stp>KLBN11</stp>
        <stp>27</stp>
        <stp>SALDO</stp>
        <stp>VOLF</stp>
        <tr r="BX38" s="7"/>
      </tp>
      <tp t="e">
        <v>#N/A</v>
        <stp/>
        <stp>PLAYERSRANKING</stp>
        <stp>KLBN11</stp>
        <stp>23</stp>
        <stp>SALDO</stp>
        <stp>VOLF</stp>
        <tr r="BX33" s="7"/>
      </tp>
      <tp t="e">
        <v>#N/A</v>
        <stp/>
        <stp>PLAYERSRANKING</stp>
        <stp>KLBN11</stp>
        <stp>16</stp>
        <stp>SALDO</stp>
        <stp>VOLF</stp>
        <tr r="BX29" s="7"/>
      </tp>
      <tp t="e">
        <v>#N/A</v>
        <stp/>
        <stp>PLAYERSRANKING</stp>
        <stp>KLBN11</stp>
        <stp>13</stp>
        <stp>SALDO</stp>
        <stp>VOLF</stp>
        <tr r="BX30" s="7"/>
      </tp>
      <tp t="e">
        <v>#N/A</v>
        <stp/>
        <stp>PLAYERSRANKING</stp>
        <stp>KLBN11</stp>
        <stp>72</stp>
        <stp>SALDO</stp>
        <stp>VOLF</stp>
        <tr r="BX18" s="7"/>
      </tp>
      <tp t="e">
        <v>#N/A</v>
        <stp/>
        <stp>PLAYERSRANKING</stp>
        <stp>KLBN11</stp>
        <stp>59</stp>
        <stp>SALDO</stp>
        <stp>VOLF</stp>
        <tr r="BX37" s="7"/>
      </tp>
      <tp t="e">
        <v>#N/A</v>
        <stp/>
        <stp>PLAYERSRANKING</stp>
        <stp>KLBN11</stp>
        <stp>45</stp>
        <stp>SALDO</stp>
        <stp>VOLF</stp>
        <tr r="BX21" s="7"/>
      </tp>
      <tp t="e">
        <v>#N/A</v>
        <stp/>
        <stp>PLAYERSRANKING</stp>
        <stp>KLBN11</stp>
        <stp>40</stp>
        <stp>SALDO</stp>
        <stp>VOLF</stp>
        <tr r="BX32" s="7"/>
      </tp>
      <tp t="e">
        <v>#N/A</v>
        <stp/>
        <stp>PLAYERSRANKING</stp>
        <stp>FLRY3</stp>
        <stp>6003</stp>
        <stp>SALDO</stp>
        <stp>VOLF</stp>
        <tr r="BJ19" s="7"/>
      </tp>
      <tp t="e">
        <v>#N/A</v>
        <stp/>
        <stp>PLAYERSRANKING</stp>
        <stp>AZUL4</stp>
        <stp>1982</stp>
        <stp>SALDO</stp>
        <stp>VOLF</stp>
        <tr r="AA43" s="7"/>
      </tp>
      <tp t="e">
        <v>#N/A</v>
        <stp/>
        <stp>PLAYERSRANKING</stp>
        <stp>CYRE3</stp>
        <stp>6003</stp>
        <stp>SALDO</stp>
        <stp>VOLF</stp>
        <tr r="AY19" s="7"/>
      </tp>
      <tp t="e">
        <v>#N/A</v>
        <stp/>
        <stp>PLAYERSRANKING</stp>
        <stp>ITUB4</stp>
        <stp>1618</stp>
        <stp>SALDO</stp>
        <stp>VOLF</stp>
        <tr r="BU26" s="7"/>
      </tp>
      <tp t="e">
        <v>#N/A</v>
        <stp/>
        <stp>PLAYERSRANKING</stp>
        <stp>ITUB4</stp>
        <stp>1130</stp>
        <stp>SALDO</stp>
        <stp>VOLF</stp>
        <tr r="BU27" s="7"/>
      </tp>
      <tp t="e">
        <v>#N/A</v>
        <stp/>
        <stp>PLAYERSRANKING</stp>
        <stp>AZUL4</stp>
        <stp>1130</stp>
        <stp>SALDO</stp>
        <stp>VOLF</stp>
        <tr r="AA27" s="7"/>
      </tp>
      <tp t="e">
        <v>#N/A</v>
        <stp/>
        <stp>PLAYERSRANKING</stp>
        <stp>CCRO3</stp>
        <stp>6003</stp>
        <stp>SALDO</stp>
        <stp>VOLF</stp>
        <tr r="AO19" s="7"/>
      </tp>
      <tp t="e">
        <v>#N/A</v>
        <stp/>
        <stp>PLAYERSRANKING</stp>
        <stp>ITUB4</stp>
        <stp>1982</stp>
        <stp>SALDO</stp>
        <stp>VOLF</stp>
        <tr r="BU43" s="7"/>
      </tp>
      <tp t="e">
        <v>#N/A</v>
        <stp/>
        <stp>PLAYERSRANKING</stp>
        <stp>AZUL4</stp>
        <stp>1618</stp>
        <stp>SALDO</stp>
        <stp>VOLF</stp>
        <tr r="AA26" s="7"/>
      </tp>
    </main>
    <main first="srv.rtd">
      <tp t="e">
        <v>#N/A</v>
        <stp/>
        <stp>PLAYERSRANKING</stp>
        <stp>TIMS3</stp>
        <stp>6003</stp>
        <stp>SALDO</stp>
        <stp>VOLF</stp>
        <tr r="CT19" s="7"/>
      </tp>
      <tp t="e">
        <v>#N/A</v>
        <stp/>
        <stp>PLAYERSRANKING</stp>
        <stp>LAME4</stp>
        <stp>6003</stp>
        <stp>SALDO</stp>
        <stp>VOLF</stp>
        <tr r="BY19" s="7"/>
      </tp>
      <tp t="e">
        <v>#N/A</v>
        <stp/>
        <stp>PLAYERSRANKING</stp>
        <stp>BRML3</stp>
        <stp>6003</stp>
        <stp>SALDO</stp>
        <stp>VOLF</stp>
        <tr r="AM19" s="7"/>
      </tp>
      <tp t="e">
        <v>#N/A</v>
        <stp/>
        <stp>PLAYERSRANKING</stp>
        <stp>MGLU3</stp>
        <stp>6003</stp>
        <stp>SALDO</stp>
        <stp>VOLF</stp>
        <tr r="CB19" s="7"/>
      </tp>
      <tp t="e">
        <v>#N/A</v>
        <stp/>
        <stp>PLAYERSRANKING</stp>
        <stp>MULT3</stp>
        <stp>6003</stp>
        <stp>SALDO</stp>
        <stp>VOLF</stp>
        <tr r="CE19" s="7"/>
      </tp>
      <tp t="e">
        <v>#N/A</v>
        <stp/>
        <stp>PLAYERSRANKING</stp>
        <stp>CPLE6</stp>
        <stp>6003</stp>
        <stp>SALDO</stp>
        <stp>VOLF</stp>
        <tr r="AT19" s="7"/>
      </tp>
      <tp t="e">
        <v>#N/A</v>
        <stp/>
        <stp>PLAYERSRANKING</stp>
        <stp>VALE3</stp>
        <stp>6003</stp>
        <stp>SALDO</stp>
        <stp>VOLF</stp>
        <tr r="CX19" s="7"/>
      </tp>
      <tp t="e">
        <v>#N/A</v>
        <stp/>
        <stp>PLAYERSRANKING</stp>
        <stp>BRKM5</stp>
        <stp>1982</stp>
        <stp>SALDO</stp>
        <stp>VOLF</stp>
        <tr r="AL43" s="7"/>
      </tp>
      <tp t="e">
        <v>#N/A</v>
        <stp/>
        <stp>PLAYERSRANKING</stp>
        <stp>BRKM5</stp>
        <stp>1130</stp>
        <stp>SALDO</stp>
        <stp>VOLF</stp>
        <tr r="AL27" s="7"/>
      </tp>
      <tp t="e">
        <v>#N/A</v>
        <stp/>
        <stp>PLAYERSRANKING</stp>
        <stp>GOLL4</stp>
        <stp>6003</stp>
        <stp>SALDO</stp>
        <stp>VOLF</stp>
        <tr r="BN19" s="7"/>
      </tp>
      <tp t="e">
        <v>#N/A</v>
        <stp/>
        <stp>PLAYERSRANKING</stp>
        <stp>BRKM5</stp>
        <stp>1618</stp>
        <stp>SALDO</stp>
        <stp>VOLF</stp>
        <tr r="AL26" s="7"/>
      </tp>
      <tp t="e">
        <v>#N/A</v>
        <stp/>
        <stp>PLAYERSRANKING</stp>
        <stp>BTOW3</stp>
        <stp>6003</stp>
        <stp>SALDO</stp>
        <stp>VOLF</stp>
        <tr r="AN19" s="7"/>
      </tp>
      <tp t="e">
        <v>#N/A</v>
        <stp/>
        <stp>PLAYERSRANKING</stp>
        <stp>ECOR3</stp>
        <stp>6003</stp>
        <stp>SALDO</stp>
        <stp>VOLF</stp>
        <tr r="AZ19" s="7"/>
      </tp>
    </main>
    <main first="srv.rtd">
      <tp t="e">
        <v>#N/A</v>
        <stp/>
        <stp>PLAYERSRANKING</stp>
        <stp>BPAC11</stp>
        <stp>72</stp>
        <stp>SALDO</stp>
        <stp>VOLF</stp>
        <tr r="AH18" s="7"/>
      </tp>
      <tp t="e">
        <v>#N/A</v>
        <stp/>
        <stp>PLAYERSRANKING</stp>
        <stp>BPAC11</stp>
        <stp>45</stp>
        <stp>SALDO</stp>
        <stp>VOLF</stp>
        <tr r="AH21" s="7"/>
      </tp>
      <tp t="e">
        <v>#N/A</v>
        <stp/>
        <stp>PLAYERSRANKING</stp>
        <stp>BPAC11</stp>
        <stp>40</stp>
        <stp>SALDO</stp>
        <stp>VOLF</stp>
        <tr r="AH32" s="7"/>
      </tp>
      <tp t="e">
        <v>#N/A</v>
        <stp/>
        <stp>PLAYERSRANKING</stp>
        <stp>BPAC11</stp>
        <stp>59</stp>
        <stp>SALDO</stp>
        <stp>VOLF</stp>
        <tr r="AH37" s="7"/>
      </tp>
      <tp t="e">
        <v>#N/A</v>
        <stp/>
        <stp>PLAYERSRANKING</stp>
        <stp>BPAC11</stp>
        <stp>27</stp>
        <stp>SALDO</stp>
        <stp>VOLF</stp>
        <tr r="AH38" s="7"/>
      </tp>
      <tp t="e">
        <v>#N/A</v>
        <stp/>
        <stp>PLAYERSRANKING</stp>
        <stp>BPAC11</stp>
        <stp>23</stp>
        <stp>SALDO</stp>
        <stp>VOLF</stp>
        <tr r="AH33" s="7"/>
      </tp>
      <tp t="e">
        <v>#N/A</v>
        <stp/>
        <stp>PLAYERSRANKING</stp>
        <stp>BPAC11</stp>
        <stp>16</stp>
        <stp>SALDO</stp>
        <stp>VOLF</stp>
        <tr r="AH29" s="7"/>
      </tp>
      <tp t="e">
        <v>#N/A</v>
        <stp/>
        <stp>PLAYERSRANKING</stp>
        <stp>BPAC11</stp>
        <stp>13</stp>
        <stp>SALDO</stp>
        <stp>VOLF</stp>
        <tr r="AH30" s="7"/>
      </tp>
      <tp t="e">
        <v>#N/A</v>
        <stp/>
        <stp>PLAYERSRANKING</stp>
        <stp>BPAC11</stp>
        <stp>85</stp>
        <stp>SALDO</stp>
        <stp>VOLF</stp>
        <tr r="AH17" s="7"/>
      </tp>
      <tp t="e">
        <v>#N/A</v>
        <stp/>
        <stp>PLAYERSRANKING</stp>
        <stp>BPAC11</stp>
        <stp>88</stp>
        <stp>SALDO</stp>
        <stp>VOLF</stp>
        <tr r="AH20" s="7"/>
      </tp>
      <tp t="e">
        <v>#N/A</v>
        <stp/>
        <stp>PLAYERSRANKING</stp>
        <stp>BPAC11</stp>
        <stp>92</stp>
        <stp>SALDO</stp>
        <stp>VOLF</stp>
        <tr r="AH36" s="7"/>
      </tp>
      <tp t="e">
        <v>#N/A</v>
        <stp/>
        <stp>PLAYERSRANKING</stp>
        <stp>BPAC11</stp>
        <stp>93</stp>
        <stp>SALDO</stp>
        <stp>VOLF</stp>
        <tr r="AH34" s="7"/>
      </tp>
      <tp t="e">
        <v>#N/A</v>
        <stp/>
        <stp>PLAYERSRANKING</stp>
        <stp>RENT3</stp>
        <stp>6003</stp>
        <stp>SALDO</stp>
        <stp>VOLF</stp>
        <tr r="CN19" s="7"/>
      </tp>
      <tp t="e">
        <v>#N/A</v>
        <stp/>
        <stp>PLAYERSRANKING</stp>
        <stp>RAIL3</stp>
        <stp>1982</stp>
        <stp>SALDO</stp>
        <stp>VOLF</stp>
        <tr r="CM43" s="7"/>
      </tp>
      <tp t="e">
        <v>#N/A</v>
        <stp/>
        <stp>PLAYERSRANKING</stp>
        <stp>EGIE3</stp>
        <stp>1130</stp>
        <stp>SALDO</stp>
        <stp>VOLF</stp>
        <tr r="BA27" s="7"/>
      </tp>
      <tp t="e">
        <v>#N/A</v>
        <stp/>
        <stp>PLAYERSRANKING</stp>
        <stp>USIM5</stp>
        <stp>1982</stp>
        <stp>SALDO</stp>
        <stp>VOLF</stp>
        <tr r="CW43" s="7"/>
      </tp>
      <tp t="e">
        <v>#N/A</v>
        <stp/>
        <stp>PLAYERSRANKING</stp>
        <stp>CMIG4</stp>
        <stp>1130</stp>
        <stp>SALDO</stp>
        <stp>VOLF</stp>
        <tr r="AQ27" s="7"/>
      </tp>
      <tp t="e">
        <v>#N/A</v>
        <stp/>
        <stp>PLAYERSRANKING</stp>
        <stp>PRIO3</stp>
        <stp>1982</stp>
        <stp>SALDO</stp>
        <stp>VOLF</stp>
        <tr r="CJ43" s="7"/>
      </tp>
      <tp t="e">
        <v>#N/A</v>
        <stp/>
        <stp>PLAYERSRANKING</stp>
        <stp>CMIG4</stp>
        <stp>1618</stp>
        <stp>SALDO</stp>
        <stp>VOLF</stp>
        <tr r="AQ26" s="7"/>
      </tp>
      <tp t="e">
        <v>#N/A</v>
        <stp/>
        <stp>PLAYERSRANKING</stp>
        <stp>CSNA3</stp>
        <stp>6003</stp>
        <stp>SALDO</stp>
        <stp>VOLF</stp>
        <tr r="AW19" s="7"/>
      </tp>
      <tp t="e">
        <v>#N/A</v>
        <stp/>
        <stp>PLAYERSRANKING</stp>
        <stp>EGIE3</stp>
        <stp>1618</stp>
        <stp>SALDO</stp>
        <stp>VOLF</stp>
        <tr r="BA26" s="7"/>
      </tp>
      <tp t="e">
        <v>#N/A</v>
        <stp/>
        <stp>PLAYERSRANKING</stp>
        <stp>RAIL3</stp>
        <stp>1130</stp>
        <stp>SALDO</stp>
        <stp>VOLF</stp>
        <tr r="CM27" s="7"/>
      </tp>
      <tp t="e">
        <v>#N/A</v>
        <stp/>
        <stp>PLAYERSRANKING</stp>
        <stp>EGIE3</stp>
        <stp>1982</stp>
        <stp>SALDO</stp>
        <stp>VOLF</stp>
        <tr r="BA43" s="7"/>
      </tp>
      <tp t="e">
        <v>#N/A</v>
        <stp/>
        <stp>PLAYERSRANKING</stp>
        <stp>USIM5</stp>
        <stp>1130</stp>
        <stp>SALDO</stp>
        <stp>VOLF</stp>
        <tr r="CW27" s="7"/>
      </tp>
      <tp t="e">
        <v>#N/A</v>
        <stp/>
        <stp>PLAYERSRANKING</stp>
        <stp>CMIG4</stp>
        <stp>1982</stp>
        <stp>SALDO</stp>
        <stp>VOLF</stp>
        <tr r="AQ43" s="7"/>
      </tp>
      <tp t="e">
        <v>#N/A</v>
        <stp/>
        <stp>PLAYERSRANKING</stp>
        <stp>PRIO3</stp>
        <stp>1130</stp>
        <stp>SALDO</stp>
        <stp>VOLF</stp>
        <tr r="CJ27" s="7"/>
      </tp>
      <tp t="e">
        <v>#N/A</v>
        <stp/>
        <stp>PLAYERSRANKING</stp>
        <stp>PRIO3</stp>
        <stp>1618</stp>
        <stp>SALDO</stp>
        <stp>VOLF</stp>
        <tr r="CJ26" s="7"/>
      </tp>
      <tp t="e">
        <v>#N/A</v>
        <stp/>
        <stp>PLAYERSRANKING</stp>
        <stp>USIM5</stp>
        <stp>1618</stp>
        <stp>SALDO</stp>
        <stp>VOLF</stp>
        <tr r="CW26" s="7"/>
      </tp>
      <tp t="e">
        <v>#N/A</v>
        <stp/>
        <stp>PLAYERSRANKING</stp>
        <stp>RAIL3</stp>
        <stp>1618</stp>
        <stp>SALDO</stp>
        <stp>VOLF</stp>
        <tr r="CM26" s="7"/>
      </tp>
      <tp t="e">
        <v>#N/A</v>
        <stp/>
        <stp>PLAYERSRANKING</stp>
        <stp>RENT3</stp>
        <stp>1130</stp>
        <stp>SALDO</stp>
        <stp>VOLF</stp>
        <tr r="CN27" s="7"/>
      </tp>
      <tp t="e">
        <v>#N/A</v>
        <stp/>
        <stp>PLAYERSRANKING</stp>
        <stp>RENT3</stp>
        <stp>1618</stp>
        <stp>SALDO</stp>
        <stp>VOLF</stp>
        <tr r="CN26" s="7"/>
      </tp>
      <tp t="e">
        <v>#N/A</v>
        <stp/>
        <stp>PLAYERSRANKING</stp>
        <stp>RENT3</stp>
        <stp>1982</stp>
        <stp>SALDO</stp>
        <stp>VOLF</stp>
        <tr r="CN43" s="7"/>
      </tp>
      <tp t="e">
        <v>#N/A</v>
        <stp/>
        <stp>PLAYERSRANKING</stp>
        <stp>EGIE3</stp>
        <stp>6003</stp>
        <stp>SALDO</stp>
        <stp>VOLF</stp>
        <tr r="BA19" s="7"/>
      </tp>
      <tp t="e">
        <v>#N/A</v>
        <stp/>
        <stp>PLAYERSRANKING</stp>
        <stp>CMIG4</stp>
        <stp>6003</stp>
        <stp>SALDO</stp>
        <stp>VOLF</stp>
        <tr r="AQ19" s="7"/>
      </tp>
      <tp t="e">
        <v>#N/A</v>
        <stp/>
        <stp>PLAYERSRANKING</stp>
        <stp>CSNA3</stp>
        <stp>1618</stp>
        <stp>SALDO</stp>
        <stp>VOLF</stp>
        <tr r="AW26" s="7"/>
      </tp>
      <tp t="e">
        <v>#N/A</v>
        <stp/>
        <stp>PLAYERSRANKING</stp>
        <stp>CSNA3</stp>
        <stp>1130</stp>
        <stp>SALDO</stp>
        <stp>VOLF</stp>
        <tr r="AW27" s="7"/>
      </tp>
      <tp t="e">
        <v>#N/A</v>
        <stp/>
        <stp>PLAYERSRANKING</stp>
        <stp>USIM5</stp>
        <stp>6003</stp>
        <stp>SALDO</stp>
        <stp>VOLF</stp>
        <tr r="CW19" s="7"/>
      </tp>
      <tp t="e">
        <v>#N/A</v>
        <stp/>
        <stp>PLAYERSRANKING</stp>
        <stp>RAIL3</stp>
        <stp>6003</stp>
        <stp>SALDO</stp>
        <stp>VOLF</stp>
        <tr r="CM19" s="7"/>
      </tp>
      <tp t="e">
        <v>#N/A</v>
        <stp/>
        <stp>PLAYERSRANKING</stp>
        <stp>PRIO3</stp>
        <stp>6003</stp>
        <stp>SALDO</stp>
        <stp>VOLF</stp>
        <tr r="CJ19" s="7"/>
      </tp>
      <tp t="e">
        <v>#N/A</v>
        <stp/>
        <stp>PLAYERSRANKING</stp>
        <stp>CSNA3</stp>
        <stp>1982</stp>
        <stp>SALDO</stp>
        <stp>VOLF</stp>
        <tr r="AW43" s="7"/>
      </tp>
    </main>
    <main first="srv.rtd">
      <tp t="e">
        <v>#N/A</v>
        <stp/>
        <stp>PLAYERSRANKING</stp>
        <stp>ECOR3</stp>
        <stp>1618</stp>
        <stp>SALDO</stp>
        <stp>VOLF</stp>
        <tr r="AZ26" s="7"/>
      </tp>
      <tp t="e">
        <v>#N/A</v>
        <stp/>
        <stp>PLAYERSRANKING</stp>
        <stp>BTOW3</stp>
        <stp>1130</stp>
        <stp>SALDO</stp>
        <stp>VOLF</stp>
        <tr r="AN27" s="7"/>
      </tp>
      <tp t="e">
        <v>#N/A</v>
        <stp/>
        <stp>PLAYERSRANKING</stp>
        <stp>BTOW3</stp>
        <stp>1618</stp>
        <stp>SALDO</stp>
        <stp>VOLF</stp>
        <tr r="AN26" s="7"/>
      </tp>
      <tp t="e">
        <v>#N/A</v>
        <stp/>
        <stp>PLAYERSRANKING</stp>
        <stp>ECOR3</stp>
        <stp>1130</stp>
        <stp>SALDO</stp>
        <stp>VOLF</stp>
        <tr r="AZ27" s="7"/>
      </tp>
      <tp t="e">
        <v>#N/A</v>
        <stp/>
        <stp>PLAYERSRANKING</stp>
        <stp>BTOW3</stp>
        <stp>1982</stp>
        <stp>SALDO</stp>
        <stp>VOLF</stp>
        <tr r="AN43" s="7"/>
      </tp>
      <tp t="e">
        <v>#N/A</v>
        <stp/>
        <stp>PLAYERSRANKING</stp>
        <stp>ECOR3</stp>
        <stp>1982</stp>
        <stp>SALDO</stp>
        <stp>VOLF</stp>
        <tr r="AZ43" s="7"/>
      </tp>
      <tp t="e">
        <v>#N/A</v>
        <stp/>
        <stp>PLAYERSRANKING</stp>
        <stp>SULA11</stp>
        <stp>45</stp>
        <stp>SALDO</stp>
        <stp>VOLF</stp>
        <tr r="CQ21" s="7"/>
      </tp>
      <tp t="e">
        <v>#N/A</v>
        <stp/>
        <stp>PLAYERSRANKING</stp>
        <stp>SULA11</stp>
        <stp>40</stp>
        <stp>SALDO</stp>
        <stp>VOLF</stp>
        <tr r="CQ32" s="7"/>
      </tp>
      <tp t="e">
        <v>#N/A</v>
        <stp/>
        <stp>PLAYERSRANKING</stp>
        <stp>SULA11</stp>
        <stp>59</stp>
        <stp>SALDO</stp>
        <stp>VOLF</stp>
        <tr r="CQ37" s="7"/>
      </tp>
      <tp t="e">
        <v>#N/A</v>
        <stp/>
        <stp>PLAYERSRANKING</stp>
        <stp>SULA11</stp>
        <stp>72</stp>
        <stp>SALDO</stp>
        <stp>VOLF</stp>
        <tr r="CQ18" s="7"/>
      </tp>
      <tp t="e">
        <v>#N/A</v>
        <stp/>
        <stp>PLAYERSRANKING</stp>
        <stp>SULA11</stp>
        <stp>16</stp>
        <stp>SALDO</stp>
        <stp>VOLF</stp>
        <tr r="CQ29" s="7"/>
      </tp>
      <tp t="e">
        <v>#N/A</v>
        <stp/>
        <stp>PLAYERSRANKING</stp>
        <stp>SULA11</stp>
        <stp>13</stp>
        <stp>SALDO</stp>
        <stp>VOLF</stp>
        <tr r="CQ30" s="7"/>
      </tp>
      <tp t="e">
        <v>#N/A</v>
        <stp/>
        <stp>PLAYERSRANKING</stp>
        <stp>SULA11</stp>
        <stp>27</stp>
        <stp>SALDO</stp>
        <stp>VOLF</stp>
        <tr r="CQ38" s="7"/>
      </tp>
      <tp t="e">
        <v>#N/A</v>
        <stp/>
        <stp>PLAYERSRANKING</stp>
        <stp>SULA11</stp>
        <stp>23</stp>
        <stp>SALDO</stp>
        <stp>VOLF</stp>
        <tr r="CQ33" s="7"/>
      </tp>
      <tp t="e">
        <v>#N/A</v>
        <stp/>
        <stp>PLAYERSRANKING</stp>
        <stp>SULA11</stp>
        <stp>85</stp>
        <stp>SALDO</stp>
        <stp>VOLF</stp>
        <tr r="CQ17" s="7"/>
      </tp>
      <tp t="e">
        <v>#N/A</v>
        <stp/>
        <stp>PLAYERSRANKING</stp>
        <stp>SULA11</stp>
        <stp>88</stp>
        <stp>SALDO</stp>
        <stp>VOLF</stp>
        <tr r="CQ20" s="7"/>
      </tp>
      <tp t="e">
        <v>#N/A</v>
        <stp/>
        <stp>PLAYERSRANKING</stp>
        <stp>SULA11</stp>
        <stp>93</stp>
        <stp>SALDO</stp>
        <stp>VOLF</stp>
        <tr r="CQ34" s="7"/>
      </tp>
      <tp t="e">
        <v>#N/A</v>
        <stp/>
        <stp>PLAYERSRANKING</stp>
        <stp>SULA11</stp>
        <stp>92</stp>
        <stp>SALDO</stp>
        <stp>VOLF</stp>
        <tr r="CQ36" s="7"/>
      </tp>
      <tp t="e">
        <v>#N/A</v>
        <stp/>
        <stp>PLAYERSRANKING</stp>
        <stp>MULT3</stp>
        <stp>1130</stp>
        <stp>SALDO</stp>
        <stp>VOLF</stp>
        <tr r="CE27" s="7"/>
      </tp>
      <tp t="e">
        <v>#N/A</v>
        <stp/>
        <stp>PLAYERSRANKING</stp>
        <stp>MGLU3</stp>
        <stp>1130</stp>
        <stp>SALDO</stp>
        <stp>VOLF</stp>
        <tr r="CB27" s="7"/>
      </tp>
      <tp t="e">
        <v>#N/A</v>
        <stp/>
        <stp>PLAYERSRANKING</stp>
        <stp>MGLU3</stp>
        <stp>1618</stp>
        <stp>SALDO</stp>
        <stp>VOLF</stp>
        <tr r="CB26" s="7"/>
      </tp>
      <tp t="e">
        <v>#N/A</v>
        <stp/>
        <stp>PLAYERSRANKING</stp>
        <stp>MULT3</stp>
        <stp>1618</stp>
        <stp>SALDO</stp>
        <stp>VOLF</stp>
        <tr r="CE26" s="7"/>
      </tp>
      <tp t="e">
        <v>#N/A</v>
        <stp/>
        <stp>PLAYERSRANKING</stp>
        <stp>MULT3</stp>
        <stp>1982</stp>
        <stp>SALDO</stp>
        <stp>VOLF</stp>
        <tr r="CE43" s="7"/>
      </tp>
      <tp t="e">
        <v>#N/A</v>
        <stp/>
        <stp>PLAYERSRANKING</stp>
        <stp>MGLU3</stp>
        <stp>1982</stp>
        <stp>SALDO</stp>
        <stp>VOLF</stp>
        <tr r="CB43" s="7"/>
      </tp>
      <tp t="e">
        <v>#N/A</v>
        <stp/>
        <stp>PLAYERSRANKING</stp>
        <stp>GOLL4</stp>
        <stp>1982</stp>
        <stp>SALDO</stp>
        <stp>VOLF</stp>
        <tr r="BN43" s="7"/>
      </tp>
      <tp t="e">
        <v>#N/A</v>
        <stp/>
        <stp>PLAYERSRANKING</stp>
        <stp>CPLE6</stp>
        <stp>1130</stp>
        <stp>SALDO</stp>
        <stp>VOLF</stp>
        <tr r="AT27" s="7"/>
      </tp>
      <tp t="e">
        <v>#N/A</v>
        <stp/>
        <stp>PLAYERSRANKING</stp>
        <stp>VALE3</stp>
        <stp>1130</stp>
        <stp>SALDO</stp>
        <stp>VOLF</stp>
        <tr r="CX27" s="7"/>
      </tp>
      <tp t="e">
        <v>#N/A</v>
        <stp/>
        <stp>PLAYERSRANKING</stp>
        <stp>CPLE6</stp>
        <stp>1618</stp>
        <stp>SALDO</stp>
        <stp>VOLF</stp>
        <tr r="AT26" s="7"/>
      </tp>
      <tp t="e">
        <v>#N/A</v>
        <stp/>
        <stp>PLAYERSRANKING</stp>
        <stp>VALE3</stp>
        <stp>1618</stp>
        <stp>SALDO</stp>
        <stp>VOLF</stp>
        <tr r="CX26" s="7"/>
      </tp>
      <tp t="e">
        <v>#N/A</v>
        <stp/>
        <stp>PLAYERSRANKING</stp>
        <stp>BRKM5</stp>
        <stp>6003</stp>
        <stp>SALDO</stp>
        <stp>VOLF</stp>
        <tr r="AL19" s="7"/>
      </tp>
      <tp t="e">
        <v>#N/A</v>
        <stp/>
        <stp>PLAYERSRANKING</stp>
        <stp>GOLL4</stp>
        <stp>1130</stp>
        <stp>SALDO</stp>
        <stp>VOLF</stp>
        <tr r="BN27" s="7"/>
      </tp>
      <tp t="e">
        <v>#N/A</v>
        <stp/>
        <stp>PLAYERSRANKING</stp>
        <stp>CPLE6</stp>
        <stp>1982</stp>
        <stp>SALDO</stp>
        <stp>VOLF</stp>
        <tr r="AT43" s="7"/>
      </tp>
      <tp t="e">
        <v>#N/A</v>
        <stp/>
        <stp>PLAYERSRANKING</stp>
        <stp>VALE3</stp>
        <stp>1982</stp>
        <stp>SALDO</stp>
        <stp>VOLF</stp>
        <tr r="CX43" s="7"/>
      </tp>
      <tp t="e">
        <v>#N/A</v>
        <stp/>
        <stp>PLAYERSRANKING</stp>
        <stp>GOLL4</stp>
        <stp>1618</stp>
        <stp>SALDO</stp>
        <stp>VOLF</stp>
        <tr r="BN26" s="7"/>
      </tp>
      <tp t="e">
        <v>#N/A</v>
        <stp/>
        <stp>PLAYERSRANKING</stp>
        <stp>TIMS3</stp>
        <stp>1618</stp>
        <stp>SALDO</stp>
        <stp>VOLF</stp>
        <tr r="CT26" s="7"/>
      </tp>
      <tp t="e">
        <v>#N/A</v>
        <stp/>
        <stp>PLAYERSRANKING</stp>
        <stp>TIMS3</stp>
        <stp>1130</stp>
        <stp>SALDO</stp>
        <stp>VOLF</stp>
        <tr r="CT27" s="7"/>
      </tp>
      <tp t="e">
        <v>#N/A</v>
        <stp/>
        <stp>PLAYERSRANKING</stp>
        <stp>TIMS3</stp>
        <stp>1982</stp>
        <stp>SALDO</stp>
        <stp>VOLF</stp>
        <tr r="CT43" s="7"/>
      </tp>
      <tp t="e">
        <v>#N/A</v>
        <stp/>
        <stp>PLAYERSRANKING</stp>
        <stp>BRML3</stp>
        <stp>1982</stp>
        <stp>SALDO</stp>
        <stp>VOLF</stp>
        <tr r="AM43" s="7"/>
      </tp>
      <tp t="e">
        <v>#N/A</v>
        <stp/>
        <stp>PLAYERSRANKING</stp>
        <stp>LAME4</stp>
        <stp>1130</stp>
        <stp>SALDO</stp>
        <stp>VOLF</stp>
        <tr r="BY27" s="7"/>
      </tp>
      <tp t="e">
        <v>#N/A</v>
        <stp/>
        <stp>PLAYERSRANKING</stp>
        <stp>LAME4</stp>
        <stp>1618</stp>
        <stp>SALDO</stp>
        <stp>VOLF</stp>
        <tr r="BY26" s="7"/>
      </tp>
      <tp t="e">
        <v>#N/A</v>
        <stp/>
        <stp>PLAYERSRANKING</stp>
        <stp>BRML3</stp>
        <stp>1130</stp>
        <stp>SALDO</stp>
        <stp>VOLF</stp>
        <tr r="AM27" s="7"/>
      </tp>
      <tp t="e">
        <v>#N/A</v>
        <stp/>
        <stp>PLAYERSRANKING</stp>
        <stp>LAME4</stp>
        <stp>1982</stp>
        <stp>SALDO</stp>
        <stp>VOLF</stp>
        <tr r="BY43" s="7"/>
      </tp>
      <tp t="e">
        <v>#N/A</v>
        <stp/>
        <stp>PLAYERSRANKING</stp>
        <stp>BRML3</stp>
        <stp>1618</stp>
        <stp>SALDO</stp>
        <stp>VOLF</stp>
        <tr r="AM26" s="7"/>
      </tp>
    </main>
    <main first="srv.rtd">
      <tp t="e">
        <v>#N/A</v>
        <stp/>
        <stp>PLAYERSRANKING</stp>
        <stp>IRBR3</stp>
        <stp>1618</stp>
        <stp>SALDO</stp>
        <stp>VOLF</stp>
        <tr r="BS26" s="7"/>
      </tp>
      <tp t="e">
        <v>#N/A</v>
        <stp/>
        <stp>PLAYERSRANKING</stp>
        <stp>ELET3</stp>
        <stp>6003</stp>
        <stp>SALDO</stp>
        <stp>VOLF</stp>
        <tr r="BB19" s="7"/>
      </tp>
      <tp t="e">
        <v>#N/A</v>
        <stp/>
        <stp>PLAYERSRANKING</stp>
        <stp>ENBR3</stp>
        <stp>1618</stp>
        <stp>SALDO</stp>
        <stp>VOLF</stp>
        <tr r="BE26" s="7"/>
      </tp>
      <tp t="e">
        <v>#N/A</v>
        <stp/>
        <stp>PLAYERSRANKING</stp>
        <stp>EMBR3</stp>
        <stp>1618</stp>
        <stp>SALDO</stp>
        <stp>VOLF</stp>
        <tr r="BD26" s="7"/>
      </tp>
      <tp t="e">
        <v>#N/A</v>
        <stp/>
        <stp>PLAYERSRANKING</stp>
        <stp>GGBR4</stp>
        <stp>1618</stp>
        <stp>SALDO</stp>
        <stp>VOLF</stp>
        <tr r="BK26" s="7"/>
      </tp>
      <tp t="e">
        <v>#N/A</v>
        <stp/>
        <stp>PLAYERSRANKING</stp>
        <stp>ELET6</stp>
        <stp>6003</stp>
        <stp>SALDO</stp>
        <stp>VOLF</stp>
        <tr r="BC19" s="7"/>
      </tp>
      <tp t="e">
        <v>#N/A</v>
        <stp/>
        <stp>PLAYERSRANKING</stp>
        <stp>ENEV3</stp>
        <stp>6003</stp>
        <stp>SALDO</stp>
        <stp>VOLF</stp>
        <tr r="BF19" s="7"/>
      </tp>
      <tp t="e">
        <v>#N/A</v>
        <stp/>
        <stp>PLAYERSRANKING</stp>
        <stp>ABEV3</stp>
        <stp>6003</stp>
        <stp>SALDO</stp>
        <stp>VOLF</stp>
        <tr r="Y19" s="7"/>
      </tp>
      <tp t="e">
        <v>#N/A</v>
        <stp/>
        <stp>PLAYERSRANKING</stp>
        <stp>IRBR3</stp>
        <stp>1130</stp>
        <stp>SALDO</stp>
        <stp>VOLF</stp>
        <tr r="BS27" s="7"/>
      </tp>
      <tp t="e">
        <v>#N/A</v>
        <stp/>
        <stp>PLAYERSRANKING</stp>
        <stp>ENBR3</stp>
        <stp>1130</stp>
        <stp>SALDO</stp>
        <stp>VOLF</stp>
        <tr r="BE27" s="7"/>
      </tp>
      <tp t="e">
        <v>#N/A</v>
        <stp/>
        <stp>PLAYERSRANKING</stp>
        <stp>EMBR3</stp>
        <stp>1130</stp>
        <stp>SALDO</stp>
        <stp>VOLF</stp>
        <tr r="BD27" s="7"/>
      </tp>
      <tp t="e">
        <v>#N/A</v>
        <stp/>
        <stp>PLAYERSRANKING</stp>
        <stp>GGBR4</stp>
        <stp>1130</stp>
        <stp>SALDO</stp>
        <stp>VOLF</stp>
        <tr r="BK27" s="7"/>
      </tp>
      <tp t="e">
        <v>#N/A</v>
        <stp/>
        <stp>PLAYERSRANKING</stp>
        <stp>EMBR3</stp>
        <stp>1982</stp>
        <stp>SALDO</stp>
        <stp>VOLF</stp>
        <tr r="BD43" s="7"/>
      </tp>
      <tp t="e">
        <v>#N/A</v>
        <stp/>
        <stp>PLAYERSRANKING</stp>
        <stp>ENBR3</stp>
        <stp>1982</stp>
        <stp>SALDO</stp>
        <stp>VOLF</stp>
        <tr r="BE43" s="7"/>
      </tp>
      <tp t="e">
        <v>#N/A</v>
        <stp/>
        <stp>PLAYERSRANKING</stp>
        <stp>GGBR4</stp>
        <stp>1982</stp>
        <stp>SALDO</stp>
        <stp>VOLF</stp>
        <tr r="BK43" s="7"/>
      </tp>
      <tp t="e">
        <v>#N/A</v>
        <stp/>
        <stp>PLAYERSRANKING</stp>
        <stp>IRBR3</stp>
        <stp>1982</stp>
        <stp>SALDO</stp>
        <stp>VOLF</stp>
        <tr r="BS43" s="7"/>
      </tp>
      <tp t="e">
        <v>#N/A</v>
        <stp/>
        <stp>PLAYERSRANKING</stp>
        <stp>BEEF3</stp>
        <stp>6003</stp>
        <stp>SALDO</stp>
        <stp>VOLF</stp>
        <tr r="AG19" s="7"/>
      </tp>
      <tp t="e">
        <v>#N/A</v>
        <stp/>
        <stp>PLAYERSRANKING</stp>
        <stp>CIEL3</stp>
        <stp>6003</stp>
        <stp>SALDO</stp>
        <stp>VOLF</stp>
        <tr r="AP19" s="7"/>
      </tp>
      <tp t="e">
        <v>#N/A</v>
        <stp/>
        <stp>PLAYERSRANKING</stp>
        <stp>LREN3</stp>
        <stp>6003</stp>
        <stp>SALDO</stp>
        <stp>VOLF</stp>
        <tr r="CA19" s="7"/>
      </tp>
      <tp t="e">
        <v>#N/A</v>
        <stp/>
        <stp>PLAYERSRANKING</stp>
        <stp>BRDT3</stp>
        <stp>6003</stp>
        <stp>SALDO</stp>
        <stp>VOLF</stp>
        <tr r="AJ19" s="7"/>
      </tp>
      <tp t="e">
        <v>#N/A</v>
        <stp/>
        <stp>PLAYERSRANKING</stp>
        <stp>CVCB3</stp>
        <stp>1618</stp>
        <stp>SALDO</stp>
        <stp>VOLF</stp>
        <tr r="AX26" s="7"/>
      </tp>
      <tp t="e">
        <v>#N/A</v>
        <stp/>
        <stp>PLAYERSRANKING</stp>
        <stp>NTCO3</stp>
        <stp>1982</stp>
        <stp>SALDO</stp>
        <stp>VOLF</stp>
        <tr r="CF43" s="7"/>
      </tp>
      <tp t="e">
        <v>#N/A</v>
        <stp/>
        <stp>PLAYERSRANKING</stp>
        <stp>BBDC4</stp>
        <stp>6003</stp>
        <stp>SALDO</stp>
        <stp>VOLF</stp>
        <tr r="AE19" s="7"/>
      </tp>
      <tp t="e">
        <v>#N/A</v>
        <stp/>
        <stp>PLAYERSRANKING</stp>
        <stp>CVCB3</stp>
        <stp>1130</stp>
        <stp>SALDO</stp>
        <stp>VOLF</stp>
        <tr r="AX27" s="7"/>
      </tp>
      <tp t="e">
        <v>#N/A</v>
        <stp/>
        <stp>PLAYERSRANKING</stp>
        <stp>BBDC3</stp>
        <stp>6003</stp>
        <stp>SALDO</stp>
        <stp>VOLF</stp>
        <tr r="AD19" s="7"/>
      </tp>
      <tp t="e">
        <v>#N/A</v>
        <stp/>
        <stp>PLAYERSRANKING</stp>
        <stp>RADL3</stp>
        <stp>6003</stp>
        <stp>SALDO</stp>
        <stp>VOLF</stp>
        <tr r="CL19" s="7"/>
      </tp>
      <tp t="e">
        <v>#N/A</v>
        <stp/>
        <stp>PLAYERSRANKING</stp>
        <stp>NTCO3</stp>
        <stp>1130</stp>
        <stp>SALDO</stp>
        <stp>VOLF</stp>
        <tr r="CF27" s="7"/>
      </tp>
      <tp t="e">
        <v>#N/A</v>
        <stp/>
        <stp>PLAYERSRANKING</stp>
        <stp>NTCO3</stp>
        <stp>1618</stp>
        <stp>SALDO</stp>
        <stp>VOLF</stp>
        <tr r="CF26" s="7"/>
      </tp>
      <tp t="e">
        <v>#N/A</v>
        <stp/>
        <stp>PLAYERSRANKING</stp>
        <stp>GNDI3</stp>
        <stp>6003</stp>
        <stp>SALDO</stp>
        <stp>VOLF</stp>
        <tr r="BL19" s="7"/>
      </tp>
      <tp t="e">
        <v>#N/A</v>
        <stp/>
        <stp>PLAYERSRANKING</stp>
        <stp>CVCB3</stp>
        <stp>1982</stp>
        <stp>SALDO</stp>
        <stp>VOLF</stp>
        <tr r="AX43" s="7"/>
      </tp>
    </main>
    <main first="srv.rtd">
      <tp t="e">
        <v>#N/A</v>
        <stp/>
        <stp>PLAYERSRANKING</stp>
        <stp>WEGE3</stp>
        <stp>6003</stp>
        <stp>SALDO</stp>
        <stp>VOLF</stp>
        <tr r="DA19" s="7"/>
      </tp>
      <tp t="e">
        <v>#N/A</v>
        <stp/>
        <stp>PLAYERSRANKING</stp>
        <stp>COGN3</stp>
        <stp>6003</stp>
        <stp>SALDO</stp>
        <stp>VOLF</stp>
        <tr r="AR19" s="7"/>
      </tp>
    </main>
    <main first="srv.rtd">
      <tp t="e">
        <v>#N/A</v>
        <stp/>
        <stp>PLAYERSRANKING</stp>
        <stp>BBAS3</stp>
        <stp>1618</stp>
        <stp>SALDO</stp>
        <stp>VOLF</stp>
        <tr r="AC26" s="7"/>
      </tp>
      <tp t="e">
        <v>#N/A</v>
        <stp/>
        <stp>PLAYERSRANKING</stp>
        <stp>GOAU4</stp>
        <stp>1130</stp>
        <stp>SALDO</stp>
        <stp>VOLF</stp>
        <tr r="BM27" s="7"/>
      </tp>
      <tp t="e">
        <v>#N/A</v>
        <stp/>
        <stp>PLAYERSRANKING</stp>
        <stp>VVAR3</stp>
        <stp>1618</stp>
        <stp>SALDO</stp>
        <stp>VOLF</stp>
        <tr r="CZ26" s="7"/>
      </tp>
      <tp t="e">
        <v>#N/A</v>
        <stp/>
        <stp>PLAYERSRANKING</stp>
        <stp>PCAR3</stp>
        <stp>1618</stp>
        <stp>SALDO</stp>
        <stp>VOLF</stp>
        <tr r="CG26" s="7"/>
      </tp>
      <tp t="e">
        <v>#N/A</v>
        <stp/>
        <stp>PLAYERSRANKING</stp>
        <stp>BRAP4</stp>
        <stp>1618</stp>
        <stp>SALDO</stp>
        <stp>VOLF</stp>
        <tr r="AI26" s="7"/>
      </tp>
      <tp t="e">
        <v>#N/A</v>
        <stp/>
        <stp>PLAYERSRANKING</stp>
        <stp>BRAP4</stp>
        <stp>1130</stp>
        <stp>SALDO</stp>
        <stp>VOLF</stp>
        <tr r="AI27" s="7"/>
      </tp>
      <tp t="e">
        <v>#N/A</v>
        <stp/>
        <stp>PLAYERSRANKING</stp>
        <stp>GOAU4</stp>
        <stp>1618</stp>
        <stp>SALDO</stp>
        <stp>VOLF</stp>
        <tr r="BM26" s="7"/>
      </tp>
      <tp t="e">
        <v>#N/A</v>
        <stp/>
        <stp>PLAYERSRANKING</stp>
        <stp>BRFS3</stp>
        <stp>6003</stp>
        <stp>SALDO</stp>
        <stp>VOLF</stp>
        <tr r="AK19" s="7"/>
      </tp>
      <tp t="e">
        <v>#N/A</v>
        <stp/>
        <stp>PLAYERSRANKING</stp>
        <stp>VVAR3</stp>
        <stp>1130</stp>
        <stp>SALDO</stp>
        <stp>VOLF</stp>
        <tr r="CZ27" s="7"/>
      </tp>
      <tp t="e">
        <v>#N/A</v>
        <stp/>
        <stp>PLAYERSRANKING</stp>
        <stp>PCAR3</stp>
        <stp>1130</stp>
        <stp>SALDO</stp>
        <stp>VOLF</stp>
        <tr r="CG27" s="7"/>
      </tp>
      <tp t="e">
        <v>#N/A</v>
        <stp/>
        <stp>PLAYERSRANKING</stp>
        <stp>BBAS3</stp>
        <stp>1130</stp>
        <stp>SALDO</stp>
        <stp>VOLF</stp>
        <tr r="AC27" s="7"/>
      </tp>
      <tp t="e">
        <v>#N/A</v>
        <stp/>
        <stp>PLAYERSRANKING</stp>
        <stp>GOAU4</stp>
        <stp>1982</stp>
        <stp>SALDO</stp>
        <stp>VOLF</stp>
        <tr r="BM43" s="7"/>
      </tp>
      <tp t="e">
        <v>#N/A</v>
        <stp/>
        <stp>PLAYERSRANKING</stp>
        <stp>BRAP4</stp>
        <stp>1982</stp>
        <stp>SALDO</stp>
        <stp>VOLF</stp>
        <tr r="AI43" s="7"/>
      </tp>
      <tp t="e">
        <v>#N/A</v>
        <stp/>
        <stp>PLAYERSRANKING</stp>
        <stp>VVAR3</stp>
        <stp>1982</stp>
        <stp>SALDO</stp>
        <stp>VOLF</stp>
        <tr r="CZ43" s="7"/>
      </tp>
      <tp t="e">
        <v>#N/A</v>
        <stp/>
        <stp>PLAYERSRANKING</stp>
        <stp>PCAR3</stp>
        <stp>1982</stp>
        <stp>SALDO</stp>
        <stp>VOLF</stp>
        <tr r="CG43" s="7"/>
      </tp>
      <tp t="e">
        <v>#N/A</v>
        <stp/>
        <stp>PLAYERSRANKING</stp>
        <stp>BBAS3</stp>
        <stp>1982</stp>
        <stp>SALDO</stp>
        <stp>VOLF</stp>
        <tr r="AC43" s="7"/>
      </tp>
      <tp t="e">
        <v>#N/A</v>
        <stp/>
        <stp>PLAYERSRANKING</stp>
        <stp>CPFE3</stp>
        <stp>6003</stp>
        <stp>SALDO</stp>
        <stp>VOLF</stp>
        <tr r="AS19" s="7"/>
      </tp>
      <tp t="e">
        <v>#N/A</v>
        <stp/>
        <stp>PLAYERSRANKING</stp>
        <stp>QUAL3</stp>
        <stp>1982</stp>
        <stp>SALDO</stp>
        <stp>VOLF</stp>
        <tr r="CK43" s="7"/>
      </tp>
      <tp t="e">
        <v>#N/A</v>
        <stp/>
        <stp>PLAYERSRANKING</stp>
        <stp>LCAM3</stp>
        <stp>1982</stp>
        <stp>SALDO</stp>
        <stp>VOLF</stp>
        <tr r="BZ43" s="7"/>
      </tp>
      <tp t="e">
        <v>#N/A</v>
        <stp/>
        <stp>PLAYERSRANKING</stp>
        <stp>MRFG3</stp>
        <stp>6003</stp>
        <stp>SALDO</stp>
        <stp>VOLF</stp>
        <tr r="CC19" s="7"/>
      </tp>
      <tp t="e">
        <v>#N/A</v>
        <stp/>
        <stp>PLAYERSRANKING</stp>
        <stp>CSAN3</stp>
        <stp>1982</stp>
        <stp>SALDO</stp>
        <stp>VOLF</stp>
        <tr r="AV43" s="7"/>
      </tp>
      <tp t="e">
        <v>#N/A</v>
        <stp/>
        <stp>PLAYERSRANKING</stp>
        <stp>ASAI3</stp>
        <stp>1982</stp>
        <stp>SALDO</stp>
        <stp>VOLF</stp>
        <tr r="Z43" s="7"/>
      </tp>
      <tp t="e">
        <v>#N/A</v>
        <stp/>
        <stp>PLAYERSRANKING</stp>
        <stp>CRFB3</stp>
        <stp>6003</stp>
        <stp>SALDO</stp>
        <stp>VOLF</stp>
        <tr r="AU19" s="7"/>
      </tp>
      <tp t="e">
        <v>#N/A</v>
        <stp/>
        <stp>PLAYERSRANKING</stp>
        <stp>QUAL3</stp>
        <stp>1130</stp>
        <stp>SALDO</stp>
        <stp>VOLF</stp>
        <tr r="CK27" s="7"/>
      </tp>
      <tp t="e">
        <v>#N/A</v>
        <stp/>
        <stp>PLAYERSRANKING</stp>
        <stp>LCAM3</stp>
        <stp>1130</stp>
        <stp>SALDO</stp>
        <stp>VOLF</stp>
        <tr r="BZ27" s="7"/>
      </tp>
      <tp t="e">
        <v>#N/A</v>
        <stp/>
        <stp>PLAYERSRANKING</stp>
        <stp>CSAN3</stp>
        <stp>1130</stp>
        <stp>SALDO</stp>
        <stp>VOLF</stp>
        <tr r="AV27" s="7"/>
      </tp>
      <tp t="e">
        <v>#N/A</v>
        <stp/>
        <stp>PLAYERSRANKING</stp>
        <stp>ASAI3</stp>
        <stp>1618</stp>
        <stp>SALDO</stp>
        <stp>VOLF</stp>
        <tr r="Z26" s="7"/>
      </tp>
      <tp t="e">
        <v>#N/A</v>
        <stp/>
        <stp>PLAYERSRANKING</stp>
        <stp>ASAI3</stp>
        <stp>1130</stp>
        <stp>SALDO</stp>
        <stp>VOLF</stp>
        <tr r="Z27" s="7"/>
      </tp>
      <tp t="e">
        <v>#N/A</v>
        <stp/>
        <stp>PLAYERSRANKING</stp>
        <stp>CSAN3</stp>
        <stp>1618</stp>
        <stp>SALDO</stp>
        <stp>VOLF</stp>
        <tr r="AV26" s="7"/>
      </tp>
      <tp t="e">
        <v>#N/A</v>
        <stp/>
        <stp>PLAYERSRANKING</stp>
        <stp>LCAM3</stp>
        <stp>1618</stp>
        <stp>SALDO</stp>
        <stp>VOLF</stp>
        <tr r="BZ26" s="7"/>
      </tp>
      <tp t="e">
        <v>#N/A</v>
        <stp/>
        <stp>PLAYERSRANKING</stp>
        <stp>QUAL3</stp>
        <stp>1618</stp>
        <stp>SALDO</stp>
        <stp>VOLF</stp>
        <tr r="CK26" s="7"/>
      </tp>
    </main>
    <main first="srv.rtd">
      <tp t="e">
        <v>#N/A</v>
        <stp/>
        <stp>PLAYERSRANKING</stp>
        <stp>GOAU4</stp>
        <stp>6003</stp>
        <stp>SALDO</stp>
        <stp>VOLF</stp>
        <tr r="BM19" s="7"/>
      </tp>
      <tp t="e">
        <v>#N/A</v>
        <stp/>
        <stp>PLAYERSRANKING</stp>
        <stp>BRFS3</stp>
        <stp>1618</stp>
        <stp>SALDO</stp>
        <stp>VOLF</stp>
        <tr r="AK26" s="7"/>
      </tp>
      <tp t="e">
        <v>#N/A</v>
        <stp/>
        <stp>PLAYERSRANKING</stp>
        <stp>BRAP4</stp>
        <stp>6003</stp>
        <stp>SALDO</stp>
        <stp>VOLF</stp>
        <tr r="AI19" s="7"/>
      </tp>
      <tp t="e">
        <v>#N/A</v>
        <stp/>
        <stp>PLAYERSRANKING</stp>
        <stp>BBAS3</stp>
        <stp>6003</stp>
        <stp>SALDO</stp>
        <stp>VOLF</stp>
        <tr r="AC19" s="7"/>
      </tp>
      <tp t="e">
        <v>#N/A</v>
        <stp/>
        <stp>PLAYERSRANKING</stp>
        <stp>BRFS3</stp>
        <stp>1130</stp>
        <stp>SALDO</stp>
        <stp>VOLF</stp>
        <tr r="AK27" s="7"/>
      </tp>
      <tp t="e">
        <v>#N/A</v>
        <stp/>
        <stp>PLAYERSRANKING</stp>
        <stp>VVAR3</stp>
        <stp>6003</stp>
        <stp>SALDO</stp>
        <stp>VOLF</stp>
        <tr r="CZ19" s="7"/>
      </tp>
      <tp t="e">
        <v>#N/A</v>
        <stp/>
        <stp>PLAYERSRANKING</stp>
        <stp>PCAR3</stp>
        <stp>6003</stp>
        <stp>SALDO</stp>
        <stp>VOLF</stp>
        <tr r="CG19" s="7"/>
      </tp>
      <tp t="e">
        <v>#N/A</v>
        <stp/>
        <stp>PLAYERSRANKING</stp>
        <stp>BRFS3</stp>
        <stp>1982</stp>
        <stp>SALDO</stp>
        <stp>VOLF</stp>
        <tr r="AK43" s="7"/>
      </tp>
      <tp t="e">
        <v>#N/A</v>
        <stp/>
        <stp>PLAYERSRANKING</stp>
        <stp>CPFE3</stp>
        <stp>1130</stp>
        <stp>SALDO</stp>
        <stp>VOLF</stp>
        <tr r="AS27" s="7"/>
      </tp>
      <tp t="e">
        <v>#N/A</v>
        <stp/>
        <stp>PLAYERSRANKING</stp>
        <stp>CRFB3</stp>
        <stp>1618</stp>
        <stp>SALDO</stp>
        <stp>VOLF</stp>
        <tr r="AU26" s="7"/>
      </tp>
      <tp t="e">
        <v>#N/A</v>
        <stp/>
        <stp>PLAYERSRANKING</stp>
        <stp>MRFG3</stp>
        <stp>1130</stp>
        <stp>SALDO</stp>
        <stp>VOLF</stp>
        <tr r="CC27" s="7"/>
      </tp>
      <tp t="e">
        <v>#N/A</v>
        <stp/>
        <stp>PLAYERSRANKING</stp>
        <stp>MRFG3</stp>
        <stp>1618</stp>
        <stp>SALDO</stp>
        <stp>VOLF</stp>
        <tr r="CC26" s="7"/>
      </tp>
      <tp t="e">
        <v>#N/A</v>
        <stp/>
        <stp>PLAYERSRANKING</stp>
        <stp>CRFB3</stp>
        <stp>1130</stp>
        <stp>SALDO</stp>
        <stp>VOLF</stp>
        <tr r="AU27" s="7"/>
      </tp>
      <tp t="e">
        <v>#N/A</v>
        <stp/>
        <stp>PLAYERSRANKING</stp>
        <stp>CPFE3</stp>
        <stp>1618</stp>
        <stp>SALDO</stp>
        <stp>VOLF</stp>
        <tr r="AS26" s="7"/>
      </tp>
      <tp t="e">
        <v>#N/A</v>
        <stp/>
        <stp>PLAYERSRANKING</stp>
        <stp>LCAM3</stp>
        <stp>6003</stp>
        <stp>SALDO</stp>
        <stp>VOLF</stp>
        <tr r="BZ19" s="7"/>
      </tp>
      <tp t="e">
        <v>#N/A</v>
        <stp/>
        <stp>PLAYERSRANKING</stp>
        <stp>CPFE3</stp>
        <stp>1982</stp>
        <stp>SALDO</stp>
        <stp>VOLF</stp>
        <tr r="AS43" s="7"/>
      </tp>
      <tp t="e">
        <v>#N/A</v>
        <stp/>
        <stp>PLAYERSRANKING</stp>
        <stp>QUAL3</stp>
        <stp>6003</stp>
        <stp>SALDO</stp>
        <stp>VOLF</stp>
        <tr r="CK19" s="7"/>
      </tp>
      <tp t="e">
        <v>#N/A</v>
        <stp/>
        <stp>PLAYERSRANKING</stp>
        <stp>MRFG3</stp>
        <stp>1982</stp>
        <stp>SALDO</stp>
        <stp>VOLF</stp>
        <tr r="CC43" s="7"/>
      </tp>
      <tp t="e">
        <v>#N/A</v>
        <stp/>
        <stp>PLAYERSRANKING</stp>
        <stp>CSAN3</stp>
        <stp>6003</stp>
        <stp>SALDO</stp>
        <stp>VOLF</stp>
        <tr r="AV19" s="7"/>
      </tp>
      <tp t="e">
        <v>#N/A</v>
        <stp/>
        <stp>PLAYERSRANKING</stp>
        <stp>ASAI3</stp>
        <stp>6003</stp>
        <stp>SALDO</stp>
        <stp>VOLF</stp>
        <tr r="Z19" s="7"/>
      </tp>
      <tp t="e">
        <v>#N/A</v>
        <stp/>
        <stp>PLAYERSRANKING</stp>
        <stp>CRFB3</stp>
        <stp>1982</stp>
        <stp>SALDO</stp>
        <stp>VOLF</stp>
        <tr r="AU43" s="7"/>
      </tp>
    </main>
    <main first="srv.rtd">
      <tp t="e">
        <v>#N/A</v>
        <stp/>
        <stp>PLAYERSRANKING</stp>
        <stp>WEGE3</stp>
        <stp>1130</stp>
        <stp>SALDO</stp>
        <stp>VOLF</stp>
        <tr r="DA27" s="7"/>
      </tp>
      <tp t="e">
        <v>#N/A</v>
        <stp/>
        <stp>PLAYERSRANKING</stp>
        <stp>COGN3</stp>
        <stp>1982</stp>
        <stp>SALDO</stp>
        <stp>VOLF</stp>
        <tr r="AR43" s="7"/>
      </tp>
      <tp t="e">
        <v>#N/A</v>
        <stp/>
        <stp>PLAYERSRANKING</stp>
        <stp>WEGE3</stp>
        <stp>1618</stp>
        <stp>SALDO</stp>
        <stp>VOLF</stp>
        <tr r="DA26" s="7"/>
      </tp>
      <tp t="e">
        <v>#N/A</v>
        <stp/>
        <stp>PLAYERSRANKING</stp>
        <stp>WEGE3</stp>
        <stp>1982</stp>
        <stp>SALDO</stp>
        <stp>VOLF</stp>
        <tr r="DA43" s="7"/>
      </tp>
      <tp t="e">
        <v>#N/A</v>
        <stp/>
        <stp>PLAYERSRANKING</stp>
        <stp>COGN3</stp>
        <stp>1130</stp>
        <stp>SALDO</stp>
        <stp>VOLF</stp>
        <tr r="AR27" s="7"/>
      </tp>
      <tp t="e">
        <v>#N/A</v>
        <stp/>
        <stp>PLAYERSRANKING</stp>
        <stp>COGN3</stp>
        <stp>1618</stp>
        <stp>SALDO</stp>
        <stp>VOLF</stp>
        <tr r="AR26" s="7"/>
      </tp>
    </main>
    <main first="srv.rtd">
      <tp t="e">
        <v>#N/A</v>
        <stp/>
        <stp>PLAYERSRANKING</stp>
        <stp>BRDT3</stp>
        <stp>1130</stp>
        <stp>SALDO</stp>
        <stp>VOLF</stp>
        <tr r="AJ27" s="7"/>
      </tp>
      <tp t="e">
        <v>#N/A</v>
        <stp/>
        <stp>PLAYERSRANKING</stp>
        <stp>BRDT3</stp>
        <stp>1618</stp>
        <stp>SALDO</stp>
        <stp>VOLF</stp>
        <tr r="AJ26" s="7"/>
      </tp>
      <tp t="e">
        <v>#N/A</v>
        <stp/>
        <stp>PLAYERSRANKING</stp>
        <stp>BRDT3</stp>
        <stp>1982</stp>
        <stp>SALDO</stp>
        <stp>VOLF</stp>
        <tr r="AJ43" s="7"/>
      </tp>
      <tp t="e">
        <v>#N/A</v>
        <stp/>
        <stp>PLAYERSRANKING</stp>
        <stp>BBDC4</stp>
        <stp>1618</stp>
        <stp>SALDO</stp>
        <stp>VOLF</stp>
        <tr r="AE26" s="7"/>
      </tp>
      <tp t="e">
        <v>#N/A</v>
        <stp/>
        <stp>PLAYERSRANKING</stp>
        <stp>BBDC3</stp>
        <stp>1618</stp>
        <stp>SALDO</stp>
        <stp>VOLF</stp>
        <tr r="AD26" s="7"/>
      </tp>
      <tp t="e">
        <v>#N/A</v>
        <stp/>
        <stp>PLAYERSRANKING</stp>
        <stp>RADL3</stp>
        <stp>1982</stp>
        <stp>SALDO</stp>
        <stp>VOLF</stp>
        <tr r="CL43" s="7"/>
      </tp>
      <tp t="e">
        <v>#N/A</v>
        <stp/>
        <stp>PLAYERSRANKING</stp>
        <stp>GNDI3</stp>
        <stp>1982</stp>
        <stp>SALDO</stp>
        <stp>VOLF</stp>
        <tr r="BL43" s="7"/>
      </tp>
      <tp t="e">
        <v>#N/A</v>
        <stp/>
        <stp>PLAYERSRANKING</stp>
        <stp>BBDC4</stp>
        <stp>1130</stp>
        <stp>SALDO</stp>
        <stp>VOLF</stp>
        <tr r="AE27" s="7"/>
      </tp>
      <tp t="e">
        <v>#N/A</v>
        <stp/>
        <stp>PLAYERSRANKING</stp>
        <stp>BBDC3</stp>
        <stp>1130</stp>
        <stp>SALDO</stp>
        <stp>VOLF</stp>
        <tr r="AD27" s="7"/>
      </tp>
      <tp t="e">
        <v>#N/A</v>
        <stp/>
        <stp>PLAYERSRANKING</stp>
        <stp>CVCB3</stp>
        <stp>6003</stp>
        <stp>SALDO</stp>
        <stp>VOLF</stp>
        <tr r="AX19" s="7"/>
      </tp>
      <tp t="e">
        <v>#N/A</v>
        <stp/>
        <stp>PLAYERSRANKING</stp>
        <stp>RADL3</stp>
        <stp>1130</stp>
        <stp>SALDO</stp>
        <stp>VOLF</stp>
        <tr r="CL27" s="7"/>
      </tp>
      <tp t="e">
        <v>#N/A</v>
        <stp/>
        <stp>PLAYERSRANKING</stp>
        <stp>NTCO3</stp>
        <stp>6003</stp>
        <stp>SALDO</stp>
        <stp>VOLF</stp>
        <tr r="CF19" s="7"/>
      </tp>
      <tp t="e">
        <v>#N/A</v>
        <stp/>
        <stp>PLAYERSRANKING</stp>
        <stp>GNDI3</stp>
        <stp>1618</stp>
        <stp>SALDO</stp>
        <stp>VOLF</stp>
        <tr r="BL26" s="7"/>
      </tp>
      <tp t="e">
        <v>#N/A</v>
        <stp/>
        <stp>PLAYERSRANKING</stp>
        <stp>GNDI3</stp>
        <stp>1130</stp>
        <stp>SALDO</stp>
        <stp>VOLF</stp>
        <tr r="BL27" s="7"/>
      </tp>
      <tp t="e">
        <v>#N/A</v>
        <stp/>
        <stp>PLAYERSRANKING</stp>
        <stp>BBDC4</stp>
        <stp>1982</stp>
        <stp>SALDO</stp>
        <stp>VOLF</stp>
        <tr r="AE43" s="7"/>
      </tp>
      <tp t="e">
        <v>#N/A</v>
        <stp/>
        <stp>PLAYERSRANKING</stp>
        <stp>BBDC3</stp>
        <stp>1982</stp>
        <stp>SALDO</stp>
        <stp>VOLF</stp>
        <tr r="AD43" s="7"/>
      </tp>
      <tp t="e">
        <v>#N/A</v>
        <stp/>
        <stp>PLAYERSRANKING</stp>
        <stp>RADL3</stp>
        <stp>1618</stp>
        <stp>SALDO</stp>
        <stp>VOLF</stp>
        <tr r="CL26" s="7"/>
      </tp>
    </main>
    <main first="srv.rtd">
      <tp t="e">
        <v>#N/A</v>
        <stp/>
        <stp>PLAYERSRANKING</stp>
        <stp>ELET3</stp>
        <stp>1130</stp>
        <stp>SALDO</stp>
        <stp>VOLF</stp>
        <tr r="BB27" s="7"/>
      </tp>
      <tp t="e">
        <v>#N/A</v>
        <stp/>
        <stp>PLAYERSRANKING</stp>
        <stp>ELET6</stp>
        <stp>1130</stp>
        <stp>SALDO</stp>
        <stp>VOLF</stp>
        <tr r="BC27" s="7"/>
      </tp>
      <tp t="e">
        <v>#N/A</v>
        <stp/>
        <stp>PLAYERSRANKING</stp>
        <stp>ENEV3</stp>
        <stp>1130</stp>
        <stp>SALDO</stp>
        <stp>VOLF</stp>
        <tr r="BF27" s="7"/>
      </tp>
      <tp t="e">
        <v>#N/A</v>
        <stp/>
        <stp>PLAYERSRANKING</stp>
        <stp>ABEV3</stp>
        <stp>1130</stp>
        <stp>SALDO</stp>
        <stp>VOLF</stp>
        <tr r="Y27" s="7"/>
      </tp>
      <tp t="e">
        <v>#N/A</v>
        <stp/>
        <stp>PLAYERSRANKING</stp>
        <stp>ENEV3</stp>
        <stp>1618</stp>
        <stp>SALDO</stp>
        <stp>VOLF</stp>
        <tr r="BF26" s="7"/>
      </tp>
      <tp t="e">
        <v>#N/A</v>
        <stp/>
        <stp>PLAYERSRANKING</stp>
        <stp>ABEV3</stp>
        <stp>1618</stp>
        <stp>SALDO</stp>
        <stp>VOLF</stp>
        <tr r="Y26" s="7"/>
      </tp>
      <tp t="e">
        <v>#N/A</v>
        <stp/>
        <stp>PLAYERSRANKING</stp>
        <stp>IRBR3</stp>
        <stp>6003</stp>
        <stp>SALDO</stp>
        <stp>VOLF</stp>
        <tr r="BS19" s="7"/>
      </tp>
      <tp t="e">
        <v>#N/A</v>
        <stp/>
        <stp>PLAYERSRANKING</stp>
        <stp>EMBR3</stp>
        <stp>6003</stp>
        <stp>SALDO</stp>
        <stp>VOLF</stp>
        <tr r="BD19" s="7"/>
      </tp>
      <tp t="e">
        <v>#N/A</v>
        <stp/>
        <stp>PLAYERSRANKING</stp>
        <stp>ENBR3</stp>
        <stp>6003</stp>
        <stp>SALDO</stp>
        <stp>VOLF</stp>
        <tr r="BE19" s="7"/>
      </tp>
      <tp t="e">
        <v>#N/A</v>
        <stp/>
        <stp>PLAYERSRANKING</stp>
        <stp>ELET3</stp>
        <stp>1618</stp>
        <stp>SALDO</stp>
        <stp>VOLF</stp>
        <tr r="BB26" s="7"/>
      </tp>
      <tp t="e">
        <v>#N/A</v>
        <stp/>
        <stp>PLAYERSRANKING</stp>
        <stp>ELET6</stp>
        <stp>1618</stp>
        <stp>SALDO</stp>
        <stp>VOLF</stp>
        <tr r="BC26" s="7"/>
      </tp>
      <tp t="e">
        <v>#N/A</v>
        <stp/>
        <stp>PLAYERSRANKING</stp>
        <stp>GGBR4</stp>
        <stp>6003</stp>
        <stp>SALDO</stp>
        <stp>VOLF</stp>
        <tr r="BK19" s="7"/>
      </tp>
      <tp t="e">
        <v>#N/A</v>
        <stp/>
        <stp>PLAYERSRANKING</stp>
        <stp>ELET3</stp>
        <stp>1982</stp>
        <stp>SALDO</stp>
        <stp>VOLF</stp>
        <tr r="BB43" s="7"/>
      </tp>
      <tp t="e">
        <v>#N/A</v>
        <stp/>
        <stp>PLAYERSRANKING</stp>
        <stp>ELET6</stp>
        <stp>1982</stp>
        <stp>SALDO</stp>
        <stp>VOLF</stp>
        <tr r="BC43" s="7"/>
      </tp>
      <tp t="e">
        <v>#N/A</v>
        <stp/>
        <stp>PLAYERSRANKING</stp>
        <stp>ENEV3</stp>
        <stp>1982</stp>
        <stp>SALDO</stp>
        <stp>VOLF</stp>
        <tr r="BF43" s="7"/>
      </tp>
      <tp t="e">
        <v>#N/A</v>
        <stp/>
        <stp>PLAYERSRANKING</stp>
        <stp>ABEV3</stp>
        <stp>1982</stp>
        <stp>SALDO</stp>
        <stp>VOLF</stp>
        <tr r="Y43" s="7"/>
      </tp>
      <tp t="e">
        <v>#N/A</v>
        <stp/>
        <stp>PLAYERSRANKING</stp>
        <stp>CIEL3</stp>
        <stp>1982</stp>
        <stp>SALDO</stp>
        <stp>VOLF</stp>
        <tr r="AP43" s="7"/>
      </tp>
      <tp t="e">
        <v>#N/A</v>
        <stp/>
        <stp>PLAYERSRANKING</stp>
        <stp>LREN3</stp>
        <stp>1982</stp>
        <stp>SALDO</stp>
        <stp>VOLF</stp>
        <tr r="CA43" s="7"/>
      </tp>
      <tp t="e">
        <v>#N/A</v>
        <stp/>
        <stp>PLAYERSRANKING</stp>
        <stp>BEEF3</stp>
        <stp>1130</stp>
        <stp>SALDO</stp>
        <stp>VOLF</stp>
        <tr r="AG27" s="7"/>
      </tp>
      <tp t="e">
        <v>#N/A</v>
        <stp/>
        <stp>PLAYERSRANKING</stp>
        <stp>BEEF3</stp>
        <stp>1618</stp>
        <stp>SALDO</stp>
        <stp>VOLF</stp>
        <tr r="AG26" s="7"/>
      </tp>
      <tp t="e">
        <v>#N/A</v>
        <stp/>
        <stp>PLAYERSRANKING</stp>
        <stp>CIEL3</stp>
        <stp>1130</stp>
        <stp>SALDO</stp>
        <stp>VOLF</stp>
        <tr r="AP27" s="7"/>
      </tp>
      <tp t="e">
        <v>#N/A</v>
        <stp/>
        <stp>PLAYERSRANKING</stp>
        <stp>LREN3</stp>
        <stp>1130</stp>
        <stp>SALDO</stp>
        <stp>VOLF</stp>
        <tr r="CA27" s="7"/>
      </tp>
      <tp t="e">
        <v>#N/A</v>
        <stp/>
        <stp>PLAYERSRANKING</stp>
        <stp>BEEF3</stp>
        <stp>1982</stp>
        <stp>SALDO</stp>
        <stp>VOLF</stp>
        <tr r="AG43" s="7"/>
      </tp>
      <tp t="e">
        <v>#N/A</v>
        <stp/>
        <stp>PLAYERSRANKING</stp>
        <stp>LREN3</stp>
        <stp>1618</stp>
        <stp>SALDO</stp>
        <stp>VOLF</stp>
        <tr r="CA26" s="7"/>
      </tp>
      <tp t="e">
        <v>#N/A</v>
        <stp/>
        <stp>PLAYERSRANKING</stp>
        <stp>CIEL3</stp>
        <stp>1618</stp>
        <stp>SALDO</stp>
        <stp>VOLF</stp>
        <tr r="AP26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Winfut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'5M'!$K$1:$R$1</c:f>
              <c:numCache>
                <c:formatCode>h:mm</c:formatCode>
                <c:ptCount val="8"/>
                <c:pt idx="0">
                  <c:v>0.406250000000005</c:v>
                </c:pt>
                <c:pt idx="1">
                  <c:v>0.40972222222222698</c:v>
                </c:pt>
                <c:pt idx="2">
                  <c:v>0.41319444444444903</c:v>
                </c:pt>
                <c:pt idx="3">
                  <c:v>0.41666666666667102</c:v>
                </c:pt>
                <c:pt idx="4">
                  <c:v>0.420138888888893</c:v>
                </c:pt>
                <c:pt idx="5">
                  <c:v>0.4236111111111111</c:v>
                </c:pt>
                <c:pt idx="6">
                  <c:v>0.42708333333333698</c:v>
                </c:pt>
                <c:pt idx="7">
                  <c:v>0.43055555555555902</c:v>
                </c:pt>
              </c:numCache>
            </c:numRef>
          </c:cat>
          <c:val>
            <c:numRef>
              <c:f>'5M'!$K$2:$R$2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4-4927-B932-D9B88A703CCF}"/>
            </c:ext>
          </c:extLst>
        </c:ser>
        <c:ser>
          <c:idx val="1"/>
          <c:order val="1"/>
          <c:tx>
            <c:v>Sem juros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'5M'!$K$1:$R$1</c:f>
              <c:numCache>
                <c:formatCode>h:mm</c:formatCode>
                <c:ptCount val="8"/>
                <c:pt idx="0">
                  <c:v>0.406250000000005</c:v>
                </c:pt>
                <c:pt idx="1">
                  <c:v>0.40972222222222698</c:v>
                </c:pt>
                <c:pt idx="2">
                  <c:v>0.41319444444444903</c:v>
                </c:pt>
                <c:pt idx="3">
                  <c:v>0.41666666666667102</c:v>
                </c:pt>
                <c:pt idx="4">
                  <c:v>0.420138888888893</c:v>
                </c:pt>
                <c:pt idx="5">
                  <c:v>0.4236111111111111</c:v>
                </c:pt>
                <c:pt idx="6">
                  <c:v>0.42708333333333698</c:v>
                </c:pt>
                <c:pt idx="7">
                  <c:v>0.43055555555555902</c:v>
                </c:pt>
              </c:numCache>
            </c:numRef>
          </c:cat>
          <c:val>
            <c:numRef>
              <c:f>'5M'!$K$3:$R$3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A4-4927-B932-D9B88A703CCF}"/>
            </c:ext>
          </c:extLst>
        </c:ser>
        <c:ser>
          <c:idx val="2"/>
          <c:order val="2"/>
          <c:tx>
            <c:v>ibov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'5M'!$K$1:$R$1</c:f>
              <c:numCache>
                <c:formatCode>h:mm</c:formatCode>
                <c:ptCount val="8"/>
                <c:pt idx="0">
                  <c:v>0.406250000000005</c:v>
                </c:pt>
                <c:pt idx="1">
                  <c:v>0.40972222222222698</c:v>
                </c:pt>
                <c:pt idx="2">
                  <c:v>0.41319444444444903</c:v>
                </c:pt>
                <c:pt idx="3">
                  <c:v>0.41666666666667102</c:v>
                </c:pt>
                <c:pt idx="4">
                  <c:v>0.420138888888893</c:v>
                </c:pt>
                <c:pt idx="5">
                  <c:v>0.4236111111111111</c:v>
                </c:pt>
                <c:pt idx="6">
                  <c:v>0.42708333333333698</c:v>
                </c:pt>
                <c:pt idx="7">
                  <c:v>0.43055555555555902</c:v>
                </c:pt>
              </c:numCache>
            </c:numRef>
          </c:cat>
          <c:val>
            <c:numRef>
              <c:f>'5M'!$K$4:$R$4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A4-4927-B932-D9B88A703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371583"/>
        <c:axId val="97532096"/>
      </c:lineChart>
      <c:catAx>
        <c:axId val="1814371583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532096"/>
        <c:crosses val="autoZero"/>
        <c:auto val="1"/>
        <c:lblAlgn val="ctr"/>
        <c:lblOffset val="100"/>
        <c:noMultiLvlLbl val="0"/>
      </c:catAx>
      <c:valAx>
        <c:axId val="9753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4371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media beta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'5M'!$K$1:$R$1</c:f>
              <c:numCache>
                <c:formatCode>h:mm</c:formatCode>
                <c:ptCount val="8"/>
                <c:pt idx="0">
                  <c:v>0.406250000000005</c:v>
                </c:pt>
                <c:pt idx="1">
                  <c:v>0.40972222222222698</c:v>
                </c:pt>
                <c:pt idx="2">
                  <c:v>0.41319444444444903</c:v>
                </c:pt>
                <c:pt idx="3">
                  <c:v>0.41666666666667102</c:v>
                </c:pt>
                <c:pt idx="4">
                  <c:v>0.420138888888893</c:v>
                </c:pt>
                <c:pt idx="5">
                  <c:v>0.4236111111111111</c:v>
                </c:pt>
                <c:pt idx="6">
                  <c:v>0.42708333333333698</c:v>
                </c:pt>
                <c:pt idx="7">
                  <c:v>0.43055555555555902</c:v>
                </c:pt>
              </c:numCache>
            </c:numRef>
          </c:cat>
          <c:val>
            <c:numRef>
              <c:f>'5M'!$K$5:$R$5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A-4E16-8364-EF7BE5578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014688"/>
        <c:axId val="1765665408"/>
      </c:lineChart>
      <c:catAx>
        <c:axId val="17680146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5665408"/>
        <c:crosses val="autoZero"/>
        <c:auto val="1"/>
        <c:lblAlgn val="ctr"/>
        <c:lblOffset val="100"/>
        <c:noMultiLvlLbl val="0"/>
      </c:catAx>
      <c:valAx>
        <c:axId val="176566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80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</xdr:row>
      <xdr:rowOff>120650</xdr:rowOff>
    </xdr:from>
    <xdr:to>
      <xdr:col>8</xdr:col>
      <xdr:colOff>1041400</xdr:colOff>
      <xdr:row>28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908A63-6F6E-41E9-946C-C736CD02D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26759</xdr:colOff>
      <xdr:row>38</xdr:row>
      <xdr:rowOff>46718</xdr:rowOff>
    </xdr:from>
    <xdr:to>
      <xdr:col>8</xdr:col>
      <xdr:colOff>1047750</xdr:colOff>
      <xdr:row>54</xdr:row>
      <xdr:rowOff>136071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E1F30F2-F3C3-473C-8FDC-E7817855CF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47625</xdr:rowOff>
    </xdr:from>
    <xdr:to>
      <xdr:col>0</xdr:col>
      <xdr:colOff>1166812</xdr:colOff>
      <xdr:row>0</xdr:row>
      <xdr:rowOff>321469</xdr:rowOff>
    </xdr:to>
    <xdr:sp macro="[0]!Apagar5M" textlink="">
      <xdr:nvSpPr>
        <xdr:cNvPr id="2" name="Retângulo 1">
          <a:extLst>
            <a:ext uri="{FF2B5EF4-FFF2-40B4-BE49-F238E27FC236}">
              <a16:creationId xmlns:a16="http://schemas.microsoft.com/office/drawing/2014/main" id="{CCFB9A10-781A-40C7-9CEE-2E4A88092ABE}"/>
            </a:ext>
          </a:extLst>
        </xdr:cNvPr>
        <xdr:cNvSpPr/>
      </xdr:nvSpPr>
      <xdr:spPr>
        <a:xfrm>
          <a:off x="95250" y="47625"/>
          <a:ext cx="1071562" cy="27384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/>
            <a:t>Limpar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Alex%20Cavalcante/Desktop/Gringolandia/Planilhas/CONTROLE%20DE%20FLUXO%20v2-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70e5d84a31503fae/&#193;rea%20de%20Trabalho/Planilha%20DIF%202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Inicial"/>
      <sheetName val="Resumo"/>
      <sheetName val="Rastreamento Semanal"/>
      <sheetName val="Fluxo Ibovespa"/>
      <sheetName val="Min-Max"/>
      <sheetName val="LAD IBOV"/>
      <sheetName val="Mercado futuro"/>
      <sheetName val="CONTRATOS"/>
      <sheetName val="Ibovespa"/>
      <sheetName val="PetrobrasOpcoes"/>
      <sheetName val="ValeOpcoes"/>
      <sheetName val="Evolução Fluxo"/>
      <sheetName val="Evolução Gráfico"/>
      <sheetName val="Fav 1"/>
      <sheetName val="Fav 2"/>
      <sheetName val="Fav 3"/>
      <sheetName val="Cotaç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H1" t="str">
            <v>WINQ19</v>
          </cell>
        </row>
        <row r="4">
          <cell r="D4" t="str">
            <v>INDQ19</v>
          </cell>
        </row>
        <row r="30">
          <cell r="H30" t="str">
            <v>WDOQ19</v>
          </cell>
        </row>
        <row r="32">
          <cell r="D32" t="str">
            <v>DOLQ19</v>
          </cell>
        </row>
      </sheetData>
      <sheetData sheetId="8"/>
      <sheetData sheetId="9"/>
      <sheetData sheetId="10">
        <row r="3">
          <cell r="D3" t="str">
            <v>PETR4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ODO DIF"/>
      <sheetName val="5M"/>
      <sheetName val="BETA"/>
      <sheetName val="CALCULO"/>
      <sheetName val="IBOVESPA"/>
      <sheetName val="DDE"/>
      <sheetName val="FERIADOS"/>
      <sheetName val="TAXA DE JURO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43290</v>
          </cell>
        </row>
        <row r="214">
          <cell r="A214">
            <v>43350</v>
          </cell>
        </row>
        <row r="215">
          <cell r="A215">
            <v>43385</v>
          </cell>
        </row>
        <row r="216">
          <cell r="A216">
            <v>43406</v>
          </cell>
        </row>
        <row r="217">
          <cell r="A217">
            <v>43419</v>
          </cell>
        </row>
        <row r="218">
          <cell r="A218">
            <v>43459</v>
          </cell>
        </row>
        <row r="219">
          <cell r="A219"/>
        </row>
        <row r="220">
          <cell r="A220">
            <v>43466</v>
          </cell>
        </row>
        <row r="221">
          <cell r="A221">
            <v>43528</v>
          </cell>
        </row>
        <row r="222">
          <cell r="A222">
            <v>43529</v>
          </cell>
        </row>
        <row r="223">
          <cell r="A223">
            <v>43574</v>
          </cell>
        </row>
        <row r="224">
          <cell r="A224">
            <v>43576</v>
          </cell>
        </row>
        <row r="225">
          <cell r="A225">
            <v>43586</v>
          </cell>
        </row>
        <row r="226">
          <cell r="A226">
            <v>43636</v>
          </cell>
        </row>
        <row r="227">
          <cell r="A227">
            <v>43715</v>
          </cell>
        </row>
        <row r="228">
          <cell r="A228">
            <v>43750</v>
          </cell>
        </row>
        <row r="229">
          <cell r="A229">
            <v>43771</v>
          </cell>
        </row>
        <row r="230">
          <cell r="A230">
            <v>43784</v>
          </cell>
        </row>
        <row r="231">
          <cell r="A231">
            <v>43824</v>
          </cell>
        </row>
        <row r="232">
          <cell r="A232">
            <v>43831</v>
          </cell>
        </row>
        <row r="233">
          <cell r="A233">
            <v>43885</v>
          </cell>
        </row>
        <row r="234">
          <cell r="A234">
            <v>43886</v>
          </cell>
        </row>
        <row r="235">
          <cell r="A235">
            <v>43931</v>
          </cell>
        </row>
        <row r="236">
          <cell r="A236">
            <v>43942</v>
          </cell>
        </row>
        <row r="237">
          <cell r="A237">
            <v>43952</v>
          </cell>
        </row>
        <row r="238">
          <cell r="A238">
            <v>43993</v>
          </cell>
        </row>
        <row r="239">
          <cell r="A239">
            <v>44081</v>
          </cell>
        </row>
        <row r="240">
          <cell r="A240">
            <v>44116</v>
          </cell>
        </row>
        <row r="241">
          <cell r="A241">
            <v>44137</v>
          </cell>
        </row>
        <row r="242">
          <cell r="A242">
            <v>44150</v>
          </cell>
        </row>
        <row r="243">
          <cell r="A243">
            <v>44190</v>
          </cell>
        </row>
        <row r="244">
          <cell r="A244">
            <v>44197</v>
          </cell>
        </row>
        <row r="245">
          <cell r="A245">
            <v>44242</v>
          </cell>
        </row>
        <row r="246">
          <cell r="A246">
            <v>44243</v>
          </cell>
        </row>
        <row r="247">
          <cell r="A247">
            <v>44288</v>
          </cell>
        </row>
        <row r="248">
          <cell r="A248">
            <v>44307</v>
          </cell>
        </row>
        <row r="249">
          <cell r="A249">
            <v>44317</v>
          </cell>
        </row>
        <row r="250">
          <cell r="A250">
            <v>44350</v>
          </cell>
        </row>
        <row r="251">
          <cell r="A251">
            <v>44446</v>
          </cell>
        </row>
        <row r="252">
          <cell r="A252">
            <v>44481</v>
          </cell>
        </row>
        <row r="253">
          <cell r="A253">
            <v>44502</v>
          </cell>
        </row>
        <row r="254">
          <cell r="A254">
            <v>44515</v>
          </cell>
        </row>
        <row r="255">
          <cell r="A255">
            <v>44555</v>
          </cell>
        </row>
        <row r="256">
          <cell r="A256">
            <v>44562</v>
          </cell>
        </row>
        <row r="257">
          <cell r="A257">
            <v>44620</v>
          </cell>
        </row>
        <row r="258">
          <cell r="A258">
            <v>44621</v>
          </cell>
        </row>
        <row r="259">
          <cell r="A259">
            <v>44666</v>
          </cell>
        </row>
        <row r="260">
          <cell r="A260">
            <v>44672</v>
          </cell>
        </row>
        <row r="261">
          <cell r="A261">
            <v>44682</v>
          </cell>
        </row>
        <row r="262">
          <cell r="A262">
            <v>44728</v>
          </cell>
        </row>
        <row r="263">
          <cell r="A263">
            <v>44811</v>
          </cell>
        </row>
        <row r="264">
          <cell r="A264">
            <v>44846</v>
          </cell>
        </row>
        <row r="265">
          <cell r="A265">
            <v>44867</v>
          </cell>
        </row>
        <row r="266">
          <cell r="A266">
            <v>44880</v>
          </cell>
        </row>
        <row r="267">
          <cell r="A267">
            <v>44920</v>
          </cell>
        </row>
        <row r="268">
          <cell r="A268">
            <v>44927</v>
          </cell>
        </row>
        <row r="269">
          <cell r="A269">
            <v>44977</v>
          </cell>
        </row>
        <row r="270">
          <cell r="A270">
            <v>44978</v>
          </cell>
        </row>
        <row r="271">
          <cell r="A271">
            <v>45023</v>
          </cell>
        </row>
        <row r="272">
          <cell r="A272">
            <v>45037</v>
          </cell>
        </row>
        <row r="273">
          <cell r="A273">
            <v>45047</v>
          </cell>
        </row>
        <row r="274">
          <cell r="A274">
            <v>45085</v>
          </cell>
        </row>
        <row r="275">
          <cell r="A275">
            <v>45176</v>
          </cell>
        </row>
        <row r="276">
          <cell r="A276">
            <v>45211</v>
          </cell>
        </row>
        <row r="277">
          <cell r="A277">
            <v>45232</v>
          </cell>
        </row>
        <row r="278">
          <cell r="A278">
            <v>45245</v>
          </cell>
        </row>
        <row r="279">
          <cell r="A279">
            <v>45285</v>
          </cell>
        </row>
        <row r="280">
          <cell r="A280">
            <v>45292</v>
          </cell>
        </row>
        <row r="281">
          <cell r="A281">
            <v>45334</v>
          </cell>
        </row>
        <row r="282">
          <cell r="A282">
            <v>45335</v>
          </cell>
        </row>
        <row r="283">
          <cell r="A283">
            <v>45380</v>
          </cell>
        </row>
        <row r="284">
          <cell r="A284">
            <v>45403</v>
          </cell>
        </row>
        <row r="285">
          <cell r="A285">
            <v>45413</v>
          </cell>
        </row>
        <row r="286">
          <cell r="A286">
            <v>45442</v>
          </cell>
        </row>
        <row r="287">
          <cell r="A287">
            <v>45542</v>
          </cell>
        </row>
        <row r="288">
          <cell r="A288">
            <v>45577</v>
          </cell>
        </row>
        <row r="289">
          <cell r="A289">
            <v>45598</v>
          </cell>
        </row>
        <row r="290">
          <cell r="A290">
            <v>45611</v>
          </cell>
        </row>
        <row r="291">
          <cell r="A291">
            <v>45651</v>
          </cell>
        </row>
        <row r="292">
          <cell r="A292">
            <v>45658</v>
          </cell>
        </row>
        <row r="293">
          <cell r="A293">
            <v>45719</v>
          </cell>
        </row>
        <row r="294">
          <cell r="A294">
            <v>45720</v>
          </cell>
        </row>
        <row r="295">
          <cell r="A295">
            <v>45765</v>
          </cell>
        </row>
        <row r="296">
          <cell r="A296">
            <v>45768</v>
          </cell>
        </row>
        <row r="297">
          <cell r="A297">
            <v>45778</v>
          </cell>
        </row>
        <row r="298">
          <cell r="A298">
            <v>45827</v>
          </cell>
        </row>
        <row r="299">
          <cell r="A299">
            <v>45907</v>
          </cell>
        </row>
        <row r="300">
          <cell r="A300">
            <v>45942</v>
          </cell>
        </row>
        <row r="301">
          <cell r="A301">
            <v>45963</v>
          </cell>
        </row>
        <row r="302">
          <cell r="A302">
            <v>45976</v>
          </cell>
        </row>
        <row r="303">
          <cell r="A303">
            <v>46016</v>
          </cell>
        </row>
        <row r="304">
          <cell r="A304">
            <v>46023</v>
          </cell>
        </row>
        <row r="305">
          <cell r="A305">
            <v>46069</v>
          </cell>
        </row>
        <row r="306">
          <cell r="A306">
            <v>46070</v>
          </cell>
        </row>
        <row r="307">
          <cell r="A307">
            <v>46115</v>
          </cell>
        </row>
        <row r="308">
          <cell r="A308">
            <v>46133</v>
          </cell>
        </row>
        <row r="309">
          <cell r="A309">
            <v>46143</v>
          </cell>
        </row>
        <row r="310">
          <cell r="A310">
            <v>46177</v>
          </cell>
        </row>
        <row r="311">
          <cell r="A311">
            <v>46272</v>
          </cell>
        </row>
        <row r="312">
          <cell r="A312">
            <v>46307</v>
          </cell>
        </row>
        <row r="313">
          <cell r="A313">
            <v>46328</v>
          </cell>
        </row>
        <row r="314">
          <cell r="A314">
            <v>46341</v>
          </cell>
        </row>
        <row r="315">
          <cell r="A315">
            <v>46381</v>
          </cell>
        </row>
        <row r="316">
          <cell r="A316">
            <v>46388</v>
          </cell>
        </row>
        <row r="317">
          <cell r="A317">
            <v>46426</v>
          </cell>
        </row>
        <row r="318">
          <cell r="A318">
            <v>46427</v>
          </cell>
        </row>
        <row r="319">
          <cell r="A319">
            <v>46472</v>
          </cell>
        </row>
        <row r="320">
          <cell r="A320">
            <v>46498</v>
          </cell>
        </row>
        <row r="321">
          <cell r="A321">
            <v>46508</v>
          </cell>
        </row>
        <row r="322">
          <cell r="A322">
            <v>46534</v>
          </cell>
        </row>
        <row r="323">
          <cell r="A323">
            <v>46637</v>
          </cell>
        </row>
        <row r="324">
          <cell r="A324">
            <v>46672</v>
          </cell>
        </row>
        <row r="325">
          <cell r="A325">
            <v>46693</v>
          </cell>
        </row>
        <row r="326">
          <cell r="A326">
            <v>46706</v>
          </cell>
        </row>
        <row r="327">
          <cell r="A327">
            <v>46746</v>
          </cell>
        </row>
        <row r="328">
          <cell r="A328">
            <v>46753</v>
          </cell>
        </row>
        <row r="329">
          <cell r="A329">
            <v>46811</v>
          </cell>
        </row>
        <row r="330">
          <cell r="A330">
            <v>46812</v>
          </cell>
        </row>
        <row r="331">
          <cell r="A331">
            <v>46857</v>
          </cell>
        </row>
        <row r="332">
          <cell r="A332">
            <v>46864</v>
          </cell>
        </row>
        <row r="333">
          <cell r="A333">
            <v>46874</v>
          </cell>
        </row>
        <row r="334">
          <cell r="A334">
            <v>46919</v>
          </cell>
        </row>
        <row r="335">
          <cell r="A335">
            <v>47003</v>
          </cell>
        </row>
        <row r="336">
          <cell r="A336">
            <v>47038</v>
          </cell>
        </row>
        <row r="337">
          <cell r="A337">
            <v>47059</v>
          </cell>
        </row>
        <row r="338">
          <cell r="A338">
            <v>47072</v>
          </cell>
        </row>
        <row r="339">
          <cell r="A339">
            <v>47112</v>
          </cell>
        </row>
        <row r="340">
          <cell r="A340">
            <v>47119</v>
          </cell>
        </row>
        <row r="341">
          <cell r="A341">
            <v>47161</v>
          </cell>
        </row>
        <row r="342">
          <cell r="A342">
            <v>47162</v>
          </cell>
        </row>
        <row r="343">
          <cell r="A343">
            <v>47207</v>
          </cell>
        </row>
        <row r="344">
          <cell r="A344">
            <v>47229</v>
          </cell>
        </row>
        <row r="345">
          <cell r="A345">
            <v>47239</v>
          </cell>
        </row>
        <row r="346">
          <cell r="A346">
            <v>47269</v>
          </cell>
        </row>
        <row r="347">
          <cell r="A347">
            <v>47368</v>
          </cell>
        </row>
        <row r="348">
          <cell r="A348">
            <v>47403</v>
          </cell>
        </row>
        <row r="349">
          <cell r="A349">
            <v>47424</v>
          </cell>
        </row>
        <row r="350">
          <cell r="A350">
            <v>47437</v>
          </cell>
        </row>
        <row r="351">
          <cell r="A351">
            <v>47477</v>
          </cell>
        </row>
        <row r="352">
          <cell r="A352">
            <v>47484</v>
          </cell>
        </row>
        <row r="353">
          <cell r="A353">
            <v>47546</v>
          </cell>
        </row>
        <row r="354">
          <cell r="A354">
            <v>47547</v>
          </cell>
        </row>
        <row r="355">
          <cell r="A355">
            <v>47592</v>
          </cell>
        </row>
        <row r="356">
          <cell r="A356">
            <v>47594</v>
          </cell>
        </row>
        <row r="357">
          <cell r="A357">
            <v>47604</v>
          </cell>
        </row>
        <row r="358">
          <cell r="A358">
            <v>47654</v>
          </cell>
        </row>
        <row r="359">
          <cell r="A359">
            <v>47733</v>
          </cell>
        </row>
        <row r="360">
          <cell r="A360">
            <v>47768</v>
          </cell>
        </row>
        <row r="361">
          <cell r="A361">
            <v>47789</v>
          </cell>
        </row>
        <row r="362">
          <cell r="A362">
            <v>47802</v>
          </cell>
        </row>
        <row r="363">
          <cell r="A363">
            <v>47842</v>
          </cell>
        </row>
        <row r="364">
          <cell r="A364">
            <v>47849</v>
          </cell>
        </row>
        <row r="365">
          <cell r="A365">
            <v>47903</v>
          </cell>
        </row>
        <row r="366">
          <cell r="A366">
            <v>47904</v>
          </cell>
        </row>
        <row r="367">
          <cell r="A367">
            <v>47949</v>
          </cell>
        </row>
        <row r="368">
          <cell r="A368">
            <v>47959</v>
          </cell>
        </row>
        <row r="369">
          <cell r="A369">
            <v>47969</v>
          </cell>
        </row>
        <row r="370">
          <cell r="A370">
            <v>48011</v>
          </cell>
        </row>
        <row r="371">
          <cell r="A371">
            <v>48098</v>
          </cell>
        </row>
        <row r="372">
          <cell r="A372">
            <v>48133</v>
          </cell>
        </row>
        <row r="373">
          <cell r="A373">
            <v>48154</v>
          </cell>
        </row>
        <row r="374">
          <cell r="A374">
            <v>48167</v>
          </cell>
        </row>
        <row r="375">
          <cell r="A375">
            <v>48207</v>
          </cell>
        </row>
        <row r="376">
          <cell r="A376">
            <v>48214</v>
          </cell>
        </row>
        <row r="377">
          <cell r="A377">
            <v>48253</v>
          </cell>
        </row>
        <row r="378">
          <cell r="A378">
            <v>48254</v>
          </cell>
        </row>
        <row r="379">
          <cell r="A379">
            <v>48299</v>
          </cell>
        </row>
        <row r="380">
          <cell r="A380">
            <v>48325</v>
          </cell>
        </row>
        <row r="381">
          <cell r="A381">
            <v>48335</v>
          </cell>
        </row>
        <row r="382">
          <cell r="A382">
            <v>48361</v>
          </cell>
        </row>
        <row r="383">
          <cell r="A383">
            <v>48464</v>
          </cell>
        </row>
        <row r="384">
          <cell r="A384">
            <v>48499</v>
          </cell>
        </row>
        <row r="385">
          <cell r="A385">
            <v>48520</v>
          </cell>
        </row>
        <row r="386">
          <cell r="A386">
            <v>48533</v>
          </cell>
        </row>
        <row r="387">
          <cell r="A387">
            <v>48573</v>
          </cell>
        </row>
        <row r="388">
          <cell r="A388">
            <v>48580</v>
          </cell>
        </row>
        <row r="389">
          <cell r="A389">
            <v>48638</v>
          </cell>
        </row>
        <row r="390">
          <cell r="A390">
            <v>48639</v>
          </cell>
        </row>
        <row r="391">
          <cell r="A391">
            <v>48684</v>
          </cell>
        </row>
        <row r="392">
          <cell r="A392">
            <v>48690</v>
          </cell>
        </row>
        <row r="393">
          <cell r="A393">
            <v>48700</v>
          </cell>
        </row>
        <row r="394">
          <cell r="A394">
            <v>48746</v>
          </cell>
        </row>
        <row r="395">
          <cell r="A395">
            <v>48829</v>
          </cell>
        </row>
        <row r="396">
          <cell r="A396">
            <v>48864</v>
          </cell>
        </row>
        <row r="397">
          <cell r="A397">
            <v>48885</v>
          </cell>
        </row>
        <row r="398">
          <cell r="A398">
            <v>48898</v>
          </cell>
        </row>
        <row r="399">
          <cell r="A399">
            <v>48938</v>
          </cell>
        </row>
        <row r="400">
          <cell r="A400">
            <v>48945</v>
          </cell>
        </row>
        <row r="401">
          <cell r="A401">
            <v>48995</v>
          </cell>
        </row>
        <row r="402">
          <cell r="A402">
            <v>48996</v>
          </cell>
        </row>
        <row r="403">
          <cell r="A403">
            <v>49041</v>
          </cell>
        </row>
        <row r="404">
          <cell r="A404">
            <v>49055</v>
          </cell>
        </row>
        <row r="405">
          <cell r="A405">
            <v>49065</v>
          </cell>
        </row>
        <row r="406">
          <cell r="A406">
            <v>49103</v>
          </cell>
        </row>
        <row r="407">
          <cell r="A407">
            <v>49194</v>
          </cell>
        </row>
        <row r="408">
          <cell r="A408">
            <v>49229</v>
          </cell>
        </row>
        <row r="409">
          <cell r="A409">
            <v>49250</v>
          </cell>
        </row>
        <row r="410">
          <cell r="A410">
            <v>49263</v>
          </cell>
        </row>
        <row r="411">
          <cell r="A411">
            <v>49303</v>
          </cell>
        </row>
        <row r="412">
          <cell r="A412">
            <v>49310</v>
          </cell>
        </row>
        <row r="413">
          <cell r="A413">
            <v>49345</v>
          </cell>
        </row>
        <row r="414">
          <cell r="A414">
            <v>49346</v>
          </cell>
        </row>
        <row r="415">
          <cell r="A415">
            <v>49391</v>
          </cell>
        </row>
        <row r="416">
          <cell r="A416">
            <v>49420</v>
          </cell>
        </row>
        <row r="417">
          <cell r="A417">
            <v>49430</v>
          </cell>
        </row>
        <row r="418">
          <cell r="A418">
            <v>49453</v>
          </cell>
        </row>
        <row r="419">
          <cell r="A419">
            <v>49559</v>
          </cell>
        </row>
        <row r="420">
          <cell r="A420">
            <v>49594</v>
          </cell>
        </row>
        <row r="421">
          <cell r="A421">
            <v>49615</v>
          </cell>
        </row>
        <row r="422">
          <cell r="A422">
            <v>49628</v>
          </cell>
        </row>
        <row r="423">
          <cell r="A423">
            <v>49668</v>
          </cell>
        </row>
        <row r="424">
          <cell r="A424">
            <v>49675</v>
          </cell>
        </row>
        <row r="425">
          <cell r="A425">
            <v>49730</v>
          </cell>
        </row>
        <row r="426">
          <cell r="A426">
            <v>49731</v>
          </cell>
        </row>
        <row r="427">
          <cell r="A427">
            <v>49776</v>
          </cell>
        </row>
        <row r="428">
          <cell r="A428">
            <v>49786</v>
          </cell>
        </row>
        <row r="429">
          <cell r="A429">
            <v>49796</v>
          </cell>
        </row>
        <row r="430">
          <cell r="A430">
            <v>49838</v>
          </cell>
        </row>
        <row r="431">
          <cell r="A431">
            <v>49925</v>
          </cell>
        </row>
        <row r="432">
          <cell r="A432">
            <v>49960</v>
          </cell>
        </row>
        <row r="433">
          <cell r="A433">
            <v>49981</v>
          </cell>
        </row>
        <row r="434">
          <cell r="A434">
            <v>49994</v>
          </cell>
        </row>
        <row r="435">
          <cell r="A435">
            <v>50034</v>
          </cell>
        </row>
        <row r="436">
          <cell r="A436">
            <v>50041</v>
          </cell>
        </row>
        <row r="437">
          <cell r="A437">
            <v>50087</v>
          </cell>
        </row>
        <row r="438">
          <cell r="A438">
            <v>50088</v>
          </cell>
        </row>
        <row r="439">
          <cell r="A439">
            <v>50133</v>
          </cell>
        </row>
        <row r="440">
          <cell r="A440">
            <v>50151</v>
          </cell>
        </row>
        <row r="441">
          <cell r="A441">
            <v>50161</v>
          </cell>
        </row>
        <row r="442">
          <cell r="A442">
            <v>50195</v>
          </cell>
        </row>
        <row r="443">
          <cell r="A443">
            <v>50290</v>
          </cell>
        </row>
        <row r="444">
          <cell r="A444">
            <v>50325</v>
          </cell>
        </row>
        <row r="445">
          <cell r="A445">
            <v>50346</v>
          </cell>
        </row>
        <row r="446">
          <cell r="A446">
            <v>50359</v>
          </cell>
        </row>
        <row r="447">
          <cell r="A447">
            <v>50399</v>
          </cell>
        </row>
        <row r="448">
          <cell r="A448">
            <v>50406</v>
          </cell>
        </row>
        <row r="449">
          <cell r="A449">
            <v>50472</v>
          </cell>
        </row>
        <row r="450">
          <cell r="A450">
            <v>50473</v>
          </cell>
        </row>
        <row r="451">
          <cell r="A451">
            <v>50516</v>
          </cell>
        </row>
        <row r="452">
          <cell r="A452">
            <v>50518</v>
          </cell>
        </row>
        <row r="453">
          <cell r="A453">
            <v>50526</v>
          </cell>
        </row>
        <row r="454">
          <cell r="A454">
            <v>50580</v>
          </cell>
        </row>
        <row r="455">
          <cell r="A455">
            <v>50655</v>
          </cell>
        </row>
        <row r="456">
          <cell r="A456">
            <v>50690</v>
          </cell>
        </row>
        <row r="457">
          <cell r="A457">
            <v>50711</v>
          </cell>
        </row>
        <row r="458">
          <cell r="A458">
            <v>50724</v>
          </cell>
        </row>
        <row r="459">
          <cell r="A459">
            <v>50764</v>
          </cell>
        </row>
        <row r="460">
          <cell r="A460">
            <v>50771</v>
          </cell>
        </row>
        <row r="461">
          <cell r="A461">
            <v>50822</v>
          </cell>
        </row>
        <row r="462">
          <cell r="A462">
            <v>50823</v>
          </cell>
        </row>
        <row r="463">
          <cell r="A463">
            <v>50868</v>
          </cell>
        </row>
        <row r="464">
          <cell r="A464">
            <v>50881</v>
          </cell>
        </row>
        <row r="465">
          <cell r="A465">
            <v>50891</v>
          </cell>
        </row>
        <row r="466">
          <cell r="A466">
            <v>50930</v>
          </cell>
        </row>
        <row r="467">
          <cell r="A467">
            <v>51020</v>
          </cell>
        </row>
        <row r="468">
          <cell r="A468">
            <v>51055</v>
          </cell>
        </row>
        <row r="469">
          <cell r="A469">
            <v>51076</v>
          </cell>
        </row>
        <row r="470">
          <cell r="A470">
            <v>51089</v>
          </cell>
        </row>
        <row r="471">
          <cell r="A471">
            <v>51129</v>
          </cell>
        </row>
        <row r="472">
          <cell r="A472">
            <v>51136</v>
          </cell>
        </row>
        <row r="473">
          <cell r="A473">
            <v>51179</v>
          </cell>
        </row>
        <row r="474">
          <cell r="A474">
            <v>51180</v>
          </cell>
        </row>
        <row r="475">
          <cell r="A475">
            <v>51225</v>
          </cell>
        </row>
        <row r="476">
          <cell r="A476">
            <v>51247</v>
          </cell>
        </row>
        <row r="477">
          <cell r="A477">
            <v>51257</v>
          </cell>
        </row>
        <row r="478">
          <cell r="A478">
            <v>51287</v>
          </cell>
        </row>
        <row r="479">
          <cell r="A479">
            <v>51386</v>
          </cell>
        </row>
        <row r="480">
          <cell r="A480">
            <v>51421</v>
          </cell>
        </row>
        <row r="481">
          <cell r="A481">
            <v>51442</v>
          </cell>
        </row>
        <row r="482">
          <cell r="A482">
            <v>51455</v>
          </cell>
        </row>
        <row r="483">
          <cell r="A483">
            <v>51495</v>
          </cell>
        </row>
        <row r="484">
          <cell r="A484">
            <v>51502</v>
          </cell>
        </row>
        <row r="485">
          <cell r="A485">
            <v>51564</v>
          </cell>
        </row>
        <row r="486">
          <cell r="A486">
            <v>51565</v>
          </cell>
        </row>
        <row r="487">
          <cell r="A487">
            <v>51610</v>
          </cell>
        </row>
        <row r="488">
          <cell r="A488">
            <v>51612</v>
          </cell>
        </row>
        <row r="489">
          <cell r="A489">
            <v>51622</v>
          </cell>
        </row>
        <row r="490">
          <cell r="A490">
            <v>51672</v>
          </cell>
        </row>
        <row r="491">
          <cell r="A491">
            <v>51751</v>
          </cell>
        </row>
        <row r="492">
          <cell r="A492">
            <v>51786</v>
          </cell>
        </row>
        <row r="493">
          <cell r="A493">
            <v>51807</v>
          </cell>
        </row>
        <row r="494">
          <cell r="A494">
            <v>51820</v>
          </cell>
        </row>
        <row r="495">
          <cell r="A495">
            <v>51860</v>
          </cell>
        </row>
        <row r="496">
          <cell r="A496">
            <v>51867</v>
          </cell>
        </row>
        <row r="497">
          <cell r="A497">
            <v>51914</v>
          </cell>
        </row>
        <row r="498">
          <cell r="A498">
            <v>51915</v>
          </cell>
        </row>
        <row r="499">
          <cell r="A499">
            <v>51960</v>
          </cell>
        </row>
        <row r="500">
          <cell r="A500">
            <v>51977</v>
          </cell>
        </row>
        <row r="501">
          <cell r="A501">
            <v>51987</v>
          </cell>
        </row>
        <row r="502">
          <cell r="A502">
            <v>52022</v>
          </cell>
        </row>
        <row r="503">
          <cell r="A503">
            <v>52116</v>
          </cell>
        </row>
        <row r="504">
          <cell r="A504">
            <v>52151</v>
          </cell>
        </row>
        <row r="505">
          <cell r="A505">
            <v>52172</v>
          </cell>
        </row>
        <row r="506">
          <cell r="A506">
            <v>52185</v>
          </cell>
        </row>
        <row r="507">
          <cell r="A507">
            <v>52225</v>
          </cell>
        </row>
        <row r="508">
          <cell r="A508">
            <v>52232</v>
          </cell>
        </row>
        <row r="509">
          <cell r="A509">
            <v>52271</v>
          </cell>
        </row>
        <row r="510">
          <cell r="A510">
            <v>52272</v>
          </cell>
        </row>
        <row r="511">
          <cell r="A511">
            <v>52317</v>
          </cell>
        </row>
        <row r="512">
          <cell r="A512">
            <v>52342</v>
          </cell>
        </row>
        <row r="513">
          <cell r="A513">
            <v>52352</v>
          </cell>
        </row>
        <row r="514">
          <cell r="A514">
            <v>52379</v>
          </cell>
        </row>
        <row r="515">
          <cell r="A515">
            <v>52481</v>
          </cell>
        </row>
        <row r="516">
          <cell r="A516">
            <v>52516</v>
          </cell>
        </row>
        <row r="517">
          <cell r="A517">
            <v>52537</v>
          </cell>
        </row>
        <row r="518">
          <cell r="A518">
            <v>52550</v>
          </cell>
        </row>
        <row r="519">
          <cell r="A519">
            <v>52590</v>
          </cell>
        </row>
        <row r="520">
          <cell r="A520">
            <v>52597</v>
          </cell>
        </row>
        <row r="521">
          <cell r="A521">
            <v>52656</v>
          </cell>
        </row>
        <row r="522">
          <cell r="A522">
            <v>52657</v>
          </cell>
        </row>
        <row r="523">
          <cell r="A523">
            <v>52702</v>
          </cell>
        </row>
        <row r="524">
          <cell r="A524">
            <v>52708</v>
          </cell>
        </row>
        <row r="525">
          <cell r="A525">
            <v>52718</v>
          </cell>
        </row>
        <row r="526">
          <cell r="A526">
            <v>52764</v>
          </cell>
        </row>
        <row r="527">
          <cell r="A527">
            <v>52847</v>
          </cell>
        </row>
        <row r="528">
          <cell r="A528">
            <v>52882</v>
          </cell>
        </row>
        <row r="529">
          <cell r="A529">
            <v>52903</v>
          </cell>
        </row>
        <row r="530">
          <cell r="A530">
            <v>52916</v>
          </cell>
        </row>
        <row r="531">
          <cell r="A531">
            <v>52956</v>
          </cell>
        </row>
        <row r="532">
          <cell r="A532">
            <v>52963</v>
          </cell>
        </row>
        <row r="533">
          <cell r="A533">
            <v>53013</v>
          </cell>
        </row>
        <row r="534">
          <cell r="A534">
            <v>53014</v>
          </cell>
        </row>
        <row r="535">
          <cell r="A535">
            <v>53059</v>
          </cell>
        </row>
        <row r="536">
          <cell r="A536">
            <v>53073</v>
          </cell>
        </row>
        <row r="537">
          <cell r="A537">
            <v>53083</v>
          </cell>
        </row>
        <row r="538">
          <cell r="A538">
            <v>53121</v>
          </cell>
        </row>
        <row r="539">
          <cell r="A539">
            <v>53212</v>
          </cell>
        </row>
        <row r="540">
          <cell r="A540">
            <v>53247</v>
          </cell>
        </row>
        <row r="541">
          <cell r="A541">
            <v>53268</v>
          </cell>
        </row>
        <row r="542">
          <cell r="A542">
            <v>53281</v>
          </cell>
        </row>
        <row r="543">
          <cell r="A543">
            <v>53321</v>
          </cell>
        </row>
        <row r="544">
          <cell r="A544">
            <v>53328</v>
          </cell>
        </row>
        <row r="545">
          <cell r="A545">
            <v>53363</v>
          </cell>
        </row>
        <row r="546">
          <cell r="A546">
            <v>53364</v>
          </cell>
        </row>
        <row r="547">
          <cell r="A547">
            <v>53409</v>
          </cell>
        </row>
        <row r="548">
          <cell r="A548">
            <v>53438</v>
          </cell>
        </row>
        <row r="549">
          <cell r="A549">
            <v>53448</v>
          </cell>
        </row>
        <row r="550">
          <cell r="A550">
            <v>53471</v>
          </cell>
        </row>
        <row r="551">
          <cell r="A551">
            <v>53577</v>
          </cell>
        </row>
        <row r="552">
          <cell r="A552">
            <v>53612</v>
          </cell>
        </row>
        <row r="553">
          <cell r="A553">
            <v>53633</v>
          </cell>
        </row>
        <row r="554">
          <cell r="A554">
            <v>53646</v>
          </cell>
        </row>
        <row r="555">
          <cell r="A555">
            <v>53686</v>
          </cell>
        </row>
        <row r="556">
          <cell r="A556">
            <v>53693</v>
          </cell>
        </row>
        <row r="557">
          <cell r="A557">
            <v>53748</v>
          </cell>
        </row>
        <row r="558">
          <cell r="A558">
            <v>53749</v>
          </cell>
        </row>
        <row r="559">
          <cell r="A559">
            <v>53794</v>
          </cell>
        </row>
        <row r="560">
          <cell r="A560">
            <v>53803</v>
          </cell>
        </row>
        <row r="561">
          <cell r="A561">
            <v>53813</v>
          </cell>
        </row>
        <row r="562">
          <cell r="A562">
            <v>53856</v>
          </cell>
        </row>
        <row r="563">
          <cell r="A563">
            <v>53942</v>
          </cell>
        </row>
        <row r="564">
          <cell r="A564">
            <v>53977</v>
          </cell>
        </row>
        <row r="565">
          <cell r="A565">
            <v>53998</v>
          </cell>
        </row>
        <row r="566">
          <cell r="A566">
            <v>54011</v>
          </cell>
        </row>
        <row r="567">
          <cell r="A567">
            <v>54051</v>
          </cell>
        </row>
        <row r="568">
          <cell r="A568">
            <v>54058</v>
          </cell>
        </row>
        <row r="569">
          <cell r="A569">
            <v>54105</v>
          </cell>
        </row>
        <row r="570">
          <cell r="A570">
            <v>54106</v>
          </cell>
        </row>
        <row r="571">
          <cell r="A571">
            <v>54151</v>
          </cell>
        </row>
        <row r="572">
          <cell r="A572">
            <v>54169</v>
          </cell>
        </row>
        <row r="573">
          <cell r="A573">
            <v>54179</v>
          </cell>
        </row>
        <row r="574">
          <cell r="A574">
            <v>54213</v>
          </cell>
        </row>
        <row r="575">
          <cell r="A575">
            <v>54308</v>
          </cell>
        </row>
        <row r="576">
          <cell r="A576">
            <v>54343</v>
          </cell>
        </row>
        <row r="577">
          <cell r="A577">
            <v>54364</v>
          </cell>
        </row>
        <row r="578">
          <cell r="A578">
            <v>54377</v>
          </cell>
        </row>
        <row r="579">
          <cell r="A579">
            <v>54417</v>
          </cell>
        </row>
        <row r="580">
          <cell r="A580">
            <v>54424</v>
          </cell>
        </row>
        <row r="581">
          <cell r="A581">
            <v>54483</v>
          </cell>
        </row>
        <row r="582">
          <cell r="A582">
            <v>54484</v>
          </cell>
        </row>
        <row r="583">
          <cell r="A583">
            <v>54529</v>
          </cell>
        </row>
        <row r="584">
          <cell r="A584">
            <v>54534</v>
          </cell>
        </row>
        <row r="585">
          <cell r="A585">
            <v>54544</v>
          </cell>
        </row>
        <row r="586">
          <cell r="A586">
            <v>54591</v>
          </cell>
        </row>
        <row r="587">
          <cell r="A587">
            <v>54673</v>
          </cell>
        </row>
        <row r="588">
          <cell r="A588">
            <v>54708</v>
          </cell>
        </row>
        <row r="589">
          <cell r="A589">
            <v>54729</v>
          </cell>
        </row>
        <row r="590">
          <cell r="A590">
            <v>54742</v>
          </cell>
        </row>
        <row r="591">
          <cell r="A591">
            <v>54782</v>
          </cell>
        </row>
        <row r="592">
          <cell r="A592">
            <v>54789</v>
          </cell>
        </row>
        <row r="593">
          <cell r="A593">
            <v>54840</v>
          </cell>
        </row>
        <row r="594">
          <cell r="A594">
            <v>54841</v>
          </cell>
        </row>
        <row r="595">
          <cell r="A595">
            <v>54886</v>
          </cell>
        </row>
        <row r="596">
          <cell r="A596">
            <v>54899</v>
          </cell>
        </row>
        <row r="597">
          <cell r="A597">
            <v>54909</v>
          </cell>
        </row>
        <row r="598">
          <cell r="A598">
            <v>54948</v>
          </cell>
        </row>
        <row r="599">
          <cell r="A599">
            <v>55038</v>
          </cell>
        </row>
        <row r="600">
          <cell r="A600">
            <v>55073</v>
          </cell>
        </row>
        <row r="601">
          <cell r="A601">
            <v>55094</v>
          </cell>
        </row>
        <row r="602">
          <cell r="A602">
            <v>55107</v>
          </cell>
        </row>
        <row r="603">
          <cell r="A603">
            <v>55147</v>
          </cell>
        </row>
        <row r="604">
          <cell r="A604">
            <v>55154</v>
          </cell>
        </row>
        <row r="605">
          <cell r="A605">
            <v>55197</v>
          </cell>
        </row>
        <row r="606">
          <cell r="A606">
            <v>55198</v>
          </cell>
        </row>
        <row r="607">
          <cell r="A607">
            <v>55243</v>
          </cell>
        </row>
        <row r="608">
          <cell r="A608">
            <v>55264</v>
          </cell>
        </row>
        <row r="609">
          <cell r="A609">
            <v>55274</v>
          </cell>
        </row>
        <row r="610">
          <cell r="A610">
            <v>55305</v>
          </cell>
        </row>
        <row r="611">
          <cell r="A611">
            <v>55403</v>
          </cell>
        </row>
        <row r="612">
          <cell r="A612">
            <v>55438</v>
          </cell>
        </row>
        <row r="613">
          <cell r="A613">
            <v>55459</v>
          </cell>
        </row>
        <row r="614">
          <cell r="A614">
            <v>55472</v>
          </cell>
        </row>
        <row r="615">
          <cell r="A615">
            <v>55512</v>
          </cell>
        </row>
        <row r="616">
          <cell r="A616">
            <v>55519</v>
          </cell>
        </row>
        <row r="617">
          <cell r="A617">
            <v>55582</v>
          </cell>
        </row>
        <row r="618">
          <cell r="A618">
            <v>55583</v>
          </cell>
        </row>
        <row r="619">
          <cell r="A619">
            <v>55628</v>
          </cell>
        </row>
        <row r="620">
          <cell r="A620">
            <v>55630</v>
          </cell>
        </row>
        <row r="621">
          <cell r="A621">
            <v>55640</v>
          </cell>
        </row>
        <row r="622">
          <cell r="A622">
            <v>55690</v>
          </cell>
        </row>
        <row r="623">
          <cell r="A623">
            <v>55769</v>
          </cell>
        </row>
        <row r="624">
          <cell r="A624">
            <v>55804</v>
          </cell>
        </row>
        <row r="625">
          <cell r="A625">
            <v>55825</v>
          </cell>
        </row>
        <row r="626">
          <cell r="A626">
            <v>55838</v>
          </cell>
        </row>
        <row r="627">
          <cell r="A627">
            <v>55878</v>
          </cell>
        </row>
        <row r="628">
          <cell r="A628">
            <v>55885</v>
          </cell>
        </row>
        <row r="629">
          <cell r="A629">
            <v>55932</v>
          </cell>
        </row>
        <row r="630">
          <cell r="A630">
            <v>55933</v>
          </cell>
        </row>
        <row r="631">
          <cell r="A631">
            <v>55978</v>
          </cell>
        </row>
        <row r="632">
          <cell r="A632">
            <v>55995</v>
          </cell>
        </row>
        <row r="633">
          <cell r="A633">
            <v>56005</v>
          </cell>
        </row>
        <row r="634">
          <cell r="A634">
            <v>56040</v>
          </cell>
        </row>
        <row r="635">
          <cell r="A635">
            <v>56134</v>
          </cell>
        </row>
        <row r="636">
          <cell r="A636">
            <v>56169</v>
          </cell>
        </row>
        <row r="637">
          <cell r="A637">
            <v>56190</v>
          </cell>
        </row>
        <row r="638">
          <cell r="A638">
            <v>56203</v>
          </cell>
        </row>
        <row r="639">
          <cell r="A639">
            <v>56243</v>
          </cell>
        </row>
        <row r="640">
          <cell r="A640">
            <v>56250</v>
          </cell>
        </row>
        <row r="641">
          <cell r="A641">
            <v>56289</v>
          </cell>
        </row>
        <row r="642">
          <cell r="A642">
            <v>56290</v>
          </cell>
        </row>
        <row r="643">
          <cell r="A643">
            <v>56335</v>
          </cell>
        </row>
        <row r="644">
          <cell r="A644">
            <v>56360</v>
          </cell>
        </row>
        <row r="645">
          <cell r="A645">
            <v>56370</v>
          </cell>
        </row>
        <row r="646">
          <cell r="A646">
            <v>56397</v>
          </cell>
        </row>
        <row r="647">
          <cell r="A647">
            <v>56499</v>
          </cell>
        </row>
        <row r="648">
          <cell r="A648">
            <v>56534</v>
          </cell>
        </row>
        <row r="649">
          <cell r="A649">
            <v>56555</v>
          </cell>
        </row>
        <row r="650">
          <cell r="A650">
            <v>56568</v>
          </cell>
        </row>
        <row r="651">
          <cell r="A651">
            <v>56608</v>
          </cell>
        </row>
        <row r="652">
          <cell r="A652">
            <v>56615</v>
          </cell>
        </row>
        <row r="653">
          <cell r="A653">
            <v>56674</v>
          </cell>
        </row>
        <row r="654">
          <cell r="A654">
            <v>56675</v>
          </cell>
        </row>
        <row r="655">
          <cell r="A655">
            <v>56720</v>
          </cell>
        </row>
        <row r="656">
          <cell r="A656">
            <v>56725</v>
          </cell>
        </row>
        <row r="657">
          <cell r="A657">
            <v>56735</v>
          </cell>
        </row>
        <row r="658">
          <cell r="A658">
            <v>56782</v>
          </cell>
        </row>
        <row r="659">
          <cell r="A659">
            <v>56864</v>
          </cell>
        </row>
        <row r="660">
          <cell r="A660">
            <v>56899</v>
          </cell>
        </row>
        <row r="661">
          <cell r="A661">
            <v>56920</v>
          </cell>
        </row>
        <row r="662">
          <cell r="A662">
            <v>56933</v>
          </cell>
        </row>
        <row r="663">
          <cell r="A663">
            <v>56973</v>
          </cell>
        </row>
        <row r="664">
          <cell r="A664">
            <v>56980</v>
          </cell>
        </row>
        <row r="665">
          <cell r="A665">
            <v>57024</v>
          </cell>
        </row>
        <row r="666">
          <cell r="A666">
            <v>57025</v>
          </cell>
        </row>
        <row r="667">
          <cell r="A667">
            <v>57070</v>
          </cell>
        </row>
        <row r="668">
          <cell r="A668">
            <v>57091</v>
          </cell>
        </row>
        <row r="669">
          <cell r="A669">
            <v>57101</v>
          </cell>
        </row>
        <row r="670">
          <cell r="A670">
            <v>57132</v>
          </cell>
        </row>
        <row r="671">
          <cell r="A671">
            <v>57230</v>
          </cell>
        </row>
        <row r="672">
          <cell r="A672">
            <v>57265</v>
          </cell>
        </row>
        <row r="673">
          <cell r="A673">
            <v>57286</v>
          </cell>
        </row>
        <row r="674">
          <cell r="A674">
            <v>57299</v>
          </cell>
        </row>
        <row r="675">
          <cell r="A675">
            <v>57339</v>
          </cell>
        </row>
        <row r="676">
          <cell r="A676">
            <v>57346</v>
          </cell>
        </row>
        <row r="677">
          <cell r="A677">
            <v>57409</v>
          </cell>
        </row>
        <row r="678">
          <cell r="A678">
            <v>57410</v>
          </cell>
        </row>
        <row r="679">
          <cell r="A679">
            <v>57455</v>
          </cell>
        </row>
        <row r="680">
          <cell r="A680">
            <v>57456</v>
          </cell>
        </row>
        <row r="681">
          <cell r="A681">
            <v>57466</v>
          </cell>
        </row>
        <row r="682">
          <cell r="A682">
            <v>57517</v>
          </cell>
        </row>
        <row r="683">
          <cell r="A683">
            <v>57595</v>
          </cell>
        </row>
        <row r="684">
          <cell r="A684">
            <v>57630</v>
          </cell>
        </row>
        <row r="685">
          <cell r="A685">
            <v>57651</v>
          </cell>
        </row>
        <row r="686">
          <cell r="A686">
            <v>57664</v>
          </cell>
        </row>
        <row r="687">
          <cell r="A687">
            <v>57704</v>
          </cell>
        </row>
        <row r="688">
          <cell r="A688">
            <v>57711</v>
          </cell>
        </row>
        <row r="689">
          <cell r="A689">
            <v>57766</v>
          </cell>
        </row>
        <row r="690">
          <cell r="A690">
            <v>57767</v>
          </cell>
        </row>
        <row r="691">
          <cell r="A691">
            <v>57812</v>
          </cell>
        </row>
        <row r="692">
          <cell r="A692">
            <v>57821</v>
          </cell>
        </row>
        <row r="693">
          <cell r="A693">
            <v>57831</v>
          </cell>
        </row>
        <row r="694">
          <cell r="A694">
            <v>57874</v>
          </cell>
        </row>
        <row r="695">
          <cell r="A695">
            <v>57960</v>
          </cell>
        </row>
        <row r="696">
          <cell r="A696">
            <v>57995</v>
          </cell>
        </row>
        <row r="697">
          <cell r="A697">
            <v>58016</v>
          </cell>
        </row>
        <row r="698">
          <cell r="A698">
            <v>58029</v>
          </cell>
        </row>
        <row r="699">
          <cell r="A699">
            <v>58069</v>
          </cell>
        </row>
        <row r="700">
          <cell r="A700">
            <v>58076</v>
          </cell>
        </row>
        <row r="701">
          <cell r="A701">
            <v>58116</v>
          </cell>
        </row>
        <row r="702">
          <cell r="A702">
            <v>58117</v>
          </cell>
        </row>
        <row r="703">
          <cell r="A703">
            <v>58162</v>
          </cell>
        </row>
        <row r="704">
          <cell r="A704">
            <v>58186</v>
          </cell>
        </row>
        <row r="705">
          <cell r="A705">
            <v>58196</v>
          </cell>
        </row>
        <row r="706">
          <cell r="A706">
            <v>58224</v>
          </cell>
        </row>
        <row r="707">
          <cell r="A707">
            <v>58325</v>
          </cell>
        </row>
        <row r="708">
          <cell r="A708">
            <v>58360</v>
          </cell>
        </row>
        <row r="709">
          <cell r="A709">
            <v>58381</v>
          </cell>
        </row>
        <row r="710">
          <cell r="A710">
            <v>58394</v>
          </cell>
        </row>
        <row r="711">
          <cell r="A711">
            <v>58434</v>
          </cell>
        </row>
        <row r="712">
          <cell r="A712">
            <v>58441</v>
          </cell>
        </row>
        <row r="713">
          <cell r="A713">
            <v>58501</v>
          </cell>
        </row>
        <row r="714">
          <cell r="A714">
            <v>58502</v>
          </cell>
        </row>
        <row r="715">
          <cell r="A715">
            <v>58547</v>
          </cell>
        </row>
        <row r="716">
          <cell r="A716">
            <v>58552</v>
          </cell>
        </row>
        <row r="717">
          <cell r="A717">
            <v>58562</v>
          </cell>
        </row>
        <row r="718">
          <cell r="A718">
            <v>58609</v>
          </cell>
        </row>
        <row r="719">
          <cell r="A719">
            <v>58691</v>
          </cell>
        </row>
        <row r="720">
          <cell r="A720">
            <v>58726</v>
          </cell>
        </row>
        <row r="721">
          <cell r="A721">
            <v>58747</v>
          </cell>
        </row>
        <row r="722">
          <cell r="A722">
            <v>58760</v>
          </cell>
        </row>
        <row r="723">
          <cell r="A723">
            <v>58800</v>
          </cell>
        </row>
        <row r="724">
          <cell r="A724">
            <v>58807</v>
          </cell>
        </row>
        <row r="725">
          <cell r="A725">
            <v>58858</v>
          </cell>
        </row>
        <row r="726">
          <cell r="A726">
            <v>58859</v>
          </cell>
        </row>
        <row r="727">
          <cell r="A727">
            <v>58904</v>
          </cell>
        </row>
        <row r="728">
          <cell r="A728">
            <v>58917</v>
          </cell>
        </row>
        <row r="729">
          <cell r="A729">
            <v>58927</v>
          </cell>
        </row>
        <row r="730">
          <cell r="A730">
            <v>58966</v>
          </cell>
        </row>
        <row r="731">
          <cell r="A731">
            <v>59056</v>
          </cell>
        </row>
        <row r="732">
          <cell r="A732">
            <v>59091</v>
          </cell>
        </row>
        <row r="733">
          <cell r="A733">
            <v>59112</v>
          </cell>
        </row>
        <row r="734">
          <cell r="A734">
            <v>59125</v>
          </cell>
        </row>
        <row r="735">
          <cell r="A735">
            <v>59165</v>
          </cell>
        </row>
        <row r="736">
          <cell r="A736">
            <v>59172</v>
          </cell>
        </row>
        <row r="737">
          <cell r="A737">
            <v>59208</v>
          </cell>
        </row>
        <row r="738">
          <cell r="A738">
            <v>59209</v>
          </cell>
        </row>
        <row r="739">
          <cell r="A739">
            <v>59254</v>
          </cell>
        </row>
        <row r="740">
          <cell r="A740">
            <v>59282</v>
          </cell>
        </row>
        <row r="741">
          <cell r="A741">
            <v>59292</v>
          </cell>
        </row>
        <row r="742">
          <cell r="A742">
            <v>59316</v>
          </cell>
        </row>
        <row r="743">
          <cell r="A743">
            <v>59421</v>
          </cell>
        </row>
        <row r="744">
          <cell r="A744">
            <v>59456</v>
          </cell>
        </row>
        <row r="745">
          <cell r="A745">
            <v>59477</v>
          </cell>
        </row>
        <row r="746">
          <cell r="A746">
            <v>59490</v>
          </cell>
        </row>
        <row r="747">
          <cell r="A747">
            <v>59530</v>
          </cell>
        </row>
        <row r="748">
          <cell r="A748">
            <v>59537</v>
          </cell>
        </row>
        <row r="749">
          <cell r="A749">
            <v>59593</v>
          </cell>
        </row>
        <row r="750">
          <cell r="A750">
            <v>59594</v>
          </cell>
        </row>
        <row r="751">
          <cell r="A751">
            <v>59639</v>
          </cell>
        </row>
        <row r="752">
          <cell r="A752">
            <v>59647</v>
          </cell>
        </row>
        <row r="753">
          <cell r="A753">
            <v>59657</v>
          </cell>
        </row>
        <row r="754">
          <cell r="A754">
            <v>59701</v>
          </cell>
        </row>
        <row r="755">
          <cell r="A755">
            <v>59786</v>
          </cell>
        </row>
        <row r="756">
          <cell r="A756">
            <v>59821</v>
          </cell>
        </row>
        <row r="757">
          <cell r="A757">
            <v>59842</v>
          </cell>
        </row>
        <row r="758">
          <cell r="A758">
            <v>59855</v>
          </cell>
        </row>
        <row r="759">
          <cell r="A759">
            <v>59895</v>
          </cell>
        </row>
        <row r="760">
          <cell r="A760">
            <v>59902</v>
          </cell>
        </row>
        <row r="761">
          <cell r="A761">
            <v>59950</v>
          </cell>
        </row>
        <row r="762">
          <cell r="A762">
            <v>59951</v>
          </cell>
        </row>
        <row r="763">
          <cell r="A763">
            <v>59996</v>
          </cell>
        </row>
        <row r="764">
          <cell r="A764">
            <v>60013</v>
          </cell>
        </row>
        <row r="765">
          <cell r="A765">
            <v>60023</v>
          </cell>
        </row>
        <row r="766">
          <cell r="A766">
            <v>60058</v>
          </cell>
        </row>
        <row r="767">
          <cell r="A767">
            <v>60152</v>
          </cell>
        </row>
        <row r="768">
          <cell r="A768">
            <v>60187</v>
          </cell>
        </row>
        <row r="769">
          <cell r="A769">
            <v>60208</v>
          </cell>
        </row>
        <row r="770">
          <cell r="A770">
            <v>60221</v>
          </cell>
        </row>
        <row r="771">
          <cell r="A771">
            <v>60261</v>
          </cell>
        </row>
        <row r="772">
          <cell r="A772">
            <v>60268</v>
          </cell>
        </row>
        <row r="773">
          <cell r="A773">
            <v>60307</v>
          </cell>
        </row>
        <row r="774">
          <cell r="A774">
            <v>60308</v>
          </cell>
        </row>
        <row r="775">
          <cell r="A775">
            <v>60353</v>
          </cell>
        </row>
        <row r="776">
          <cell r="A776">
            <v>60378</v>
          </cell>
        </row>
        <row r="777">
          <cell r="A777">
            <v>60388</v>
          </cell>
        </row>
        <row r="778">
          <cell r="A778">
            <v>60415</v>
          </cell>
        </row>
        <row r="779">
          <cell r="A779">
            <v>60517</v>
          </cell>
        </row>
        <row r="780">
          <cell r="A780">
            <v>60552</v>
          </cell>
        </row>
        <row r="781">
          <cell r="A781">
            <v>60573</v>
          </cell>
        </row>
        <row r="782">
          <cell r="A782">
            <v>60586</v>
          </cell>
        </row>
        <row r="783">
          <cell r="A783">
            <v>60626</v>
          </cell>
        </row>
        <row r="784">
          <cell r="A784">
            <v>60633</v>
          </cell>
        </row>
        <row r="785">
          <cell r="A785">
            <v>60685</v>
          </cell>
        </row>
        <row r="786">
          <cell r="A786">
            <v>60686</v>
          </cell>
        </row>
        <row r="787">
          <cell r="A787">
            <v>60731</v>
          </cell>
        </row>
        <row r="788">
          <cell r="A788">
            <v>60743</v>
          </cell>
        </row>
        <row r="789">
          <cell r="A789">
            <v>60753</v>
          </cell>
        </row>
        <row r="790">
          <cell r="A790">
            <v>60793</v>
          </cell>
        </row>
        <row r="791">
          <cell r="A791">
            <v>60882</v>
          </cell>
        </row>
        <row r="792">
          <cell r="A792">
            <v>60917</v>
          </cell>
        </row>
        <row r="793">
          <cell r="A793">
            <v>60938</v>
          </cell>
        </row>
        <row r="794">
          <cell r="A794">
            <v>60951</v>
          </cell>
        </row>
        <row r="795">
          <cell r="A795">
            <v>60991</v>
          </cell>
        </row>
        <row r="796">
          <cell r="A796">
            <v>60998</v>
          </cell>
        </row>
        <row r="797">
          <cell r="A797">
            <v>61042</v>
          </cell>
        </row>
        <row r="798">
          <cell r="A798">
            <v>61043</v>
          </cell>
        </row>
        <row r="799">
          <cell r="A799">
            <v>61088</v>
          </cell>
        </row>
        <row r="800">
          <cell r="A800">
            <v>61108</v>
          </cell>
        </row>
        <row r="801">
          <cell r="A801">
            <v>61118</v>
          </cell>
        </row>
        <row r="802">
          <cell r="A802">
            <v>61150</v>
          </cell>
        </row>
        <row r="803">
          <cell r="A803">
            <v>61247</v>
          </cell>
        </row>
        <row r="804">
          <cell r="A804">
            <v>61282</v>
          </cell>
        </row>
        <row r="805">
          <cell r="A805">
            <v>61303</v>
          </cell>
        </row>
        <row r="806">
          <cell r="A806">
            <v>61316</v>
          </cell>
        </row>
        <row r="807">
          <cell r="A807">
            <v>61356</v>
          </cell>
        </row>
        <row r="808">
          <cell r="A808">
            <v>61363</v>
          </cell>
        </row>
        <row r="809">
          <cell r="A809">
            <v>61427</v>
          </cell>
        </row>
        <row r="810">
          <cell r="A810">
            <v>61428</v>
          </cell>
        </row>
        <row r="811">
          <cell r="A811">
            <v>61473</v>
          </cell>
        </row>
        <row r="812">
          <cell r="A812">
            <v>61474</v>
          </cell>
        </row>
        <row r="813">
          <cell r="A813">
            <v>61484</v>
          </cell>
        </row>
        <row r="814">
          <cell r="A814">
            <v>61535</v>
          </cell>
        </row>
        <row r="815">
          <cell r="A815">
            <v>61613</v>
          </cell>
        </row>
        <row r="816">
          <cell r="A816">
            <v>61648</v>
          </cell>
        </row>
        <row r="817">
          <cell r="A817">
            <v>61669</v>
          </cell>
        </row>
        <row r="818">
          <cell r="A818">
            <v>61682</v>
          </cell>
        </row>
        <row r="819">
          <cell r="A819">
            <v>61722</v>
          </cell>
        </row>
        <row r="820">
          <cell r="A820">
            <v>61729</v>
          </cell>
        </row>
        <row r="821">
          <cell r="A821">
            <v>61784</v>
          </cell>
        </row>
        <row r="822">
          <cell r="A822">
            <v>61785</v>
          </cell>
        </row>
        <row r="823">
          <cell r="A823">
            <v>61830</v>
          </cell>
        </row>
        <row r="824">
          <cell r="A824">
            <v>61839</v>
          </cell>
        </row>
        <row r="825">
          <cell r="A825">
            <v>61849</v>
          </cell>
        </row>
        <row r="826">
          <cell r="A826">
            <v>61892</v>
          </cell>
        </row>
        <row r="827">
          <cell r="A827">
            <v>61978</v>
          </cell>
        </row>
        <row r="828">
          <cell r="A828">
            <v>62013</v>
          </cell>
        </row>
        <row r="829">
          <cell r="A829">
            <v>62034</v>
          </cell>
        </row>
        <row r="830">
          <cell r="A830">
            <v>62047</v>
          </cell>
        </row>
        <row r="831">
          <cell r="A831">
            <v>62087</v>
          </cell>
        </row>
        <row r="832">
          <cell r="A832">
            <v>62094</v>
          </cell>
        </row>
        <row r="833">
          <cell r="A833">
            <v>62134</v>
          </cell>
        </row>
        <row r="834">
          <cell r="A834">
            <v>62135</v>
          </cell>
        </row>
        <row r="835">
          <cell r="A835">
            <v>62180</v>
          </cell>
        </row>
        <row r="836">
          <cell r="A836">
            <v>62204</v>
          </cell>
        </row>
        <row r="837">
          <cell r="A837">
            <v>62214</v>
          </cell>
        </row>
        <row r="838">
          <cell r="A838">
            <v>62242</v>
          </cell>
        </row>
        <row r="839">
          <cell r="A839">
            <v>62343</v>
          </cell>
        </row>
        <row r="840">
          <cell r="A840">
            <v>62378</v>
          </cell>
        </row>
        <row r="841">
          <cell r="A841">
            <v>62399</v>
          </cell>
        </row>
        <row r="842">
          <cell r="A842">
            <v>62412</v>
          </cell>
        </row>
        <row r="843">
          <cell r="A843">
            <v>62452</v>
          </cell>
        </row>
        <row r="844">
          <cell r="A844">
            <v>62459</v>
          </cell>
        </row>
        <row r="845">
          <cell r="A845">
            <v>62519</v>
          </cell>
        </row>
        <row r="846">
          <cell r="A846">
            <v>62520</v>
          </cell>
        </row>
        <row r="847">
          <cell r="A847">
            <v>62565</v>
          </cell>
        </row>
        <row r="848">
          <cell r="A848">
            <v>62569</v>
          </cell>
        </row>
        <row r="849">
          <cell r="A849">
            <v>62579</v>
          </cell>
        </row>
        <row r="850">
          <cell r="A850">
            <v>62627</v>
          </cell>
        </row>
        <row r="851">
          <cell r="A851">
            <v>62708</v>
          </cell>
        </row>
        <row r="852">
          <cell r="A852">
            <v>62743</v>
          </cell>
        </row>
        <row r="853">
          <cell r="A853">
            <v>62764</v>
          </cell>
        </row>
        <row r="854">
          <cell r="A854">
            <v>62777</v>
          </cell>
        </row>
        <row r="855">
          <cell r="A855">
            <v>62817</v>
          </cell>
        </row>
        <row r="856">
          <cell r="A856">
            <v>62824</v>
          </cell>
        </row>
        <row r="857">
          <cell r="A857">
            <v>62876</v>
          </cell>
        </row>
        <row r="858">
          <cell r="A858">
            <v>62877</v>
          </cell>
        </row>
        <row r="859">
          <cell r="A859">
            <v>62922</v>
          </cell>
        </row>
        <row r="860">
          <cell r="A860">
            <v>62935</v>
          </cell>
        </row>
        <row r="861">
          <cell r="A861">
            <v>62945</v>
          </cell>
        </row>
        <row r="862">
          <cell r="A862">
            <v>62984</v>
          </cell>
        </row>
        <row r="863">
          <cell r="A863">
            <v>63074</v>
          </cell>
        </row>
        <row r="864">
          <cell r="A864">
            <v>63109</v>
          </cell>
        </row>
        <row r="865">
          <cell r="A865">
            <v>63130</v>
          </cell>
        </row>
        <row r="866">
          <cell r="A866">
            <v>63143</v>
          </cell>
        </row>
        <row r="867">
          <cell r="A867">
            <v>63183</v>
          </cell>
        </row>
        <row r="868">
          <cell r="A868">
            <v>63190</v>
          </cell>
        </row>
        <row r="869">
          <cell r="A869">
            <v>63226</v>
          </cell>
        </row>
        <row r="870">
          <cell r="A870">
            <v>63227</v>
          </cell>
        </row>
        <row r="871">
          <cell r="A871">
            <v>63272</v>
          </cell>
        </row>
        <row r="872">
          <cell r="A872">
            <v>63300</v>
          </cell>
        </row>
        <row r="873">
          <cell r="A873">
            <v>63310</v>
          </cell>
        </row>
        <row r="874">
          <cell r="A874">
            <v>63334</v>
          </cell>
        </row>
        <row r="875">
          <cell r="A875">
            <v>63439</v>
          </cell>
        </row>
        <row r="876">
          <cell r="A876">
            <v>63474</v>
          </cell>
        </row>
        <row r="877">
          <cell r="A877">
            <v>63495</v>
          </cell>
        </row>
        <row r="878">
          <cell r="A878">
            <v>63508</v>
          </cell>
        </row>
        <row r="879">
          <cell r="A879">
            <v>63548</v>
          </cell>
        </row>
        <row r="880">
          <cell r="A880">
            <v>63555</v>
          </cell>
        </row>
        <row r="881">
          <cell r="A881">
            <v>63611</v>
          </cell>
        </row>
        <row r="882">
          <cell r="A882">
            <v>63612</v>
          </cell>
        </row>
        <row r="883">
          <cell r="A883">
            <v>63657</v>
          </cell>
        </row>
        <row r="884">
          <cell r="A884">
            <v>63665</v>
          </cell>
        </row>
        <row r="885">
          <cell r="A885">
            <v>63675</v>
          </cell>
        </row>
        <row r="886">
          <cell r="A886">
            <v>63719</v>
          </cell>
        </row>
        <row r="887">
          <cell r="A887">
            <v>63804</v>
          </cell>
        </row>
        <row r="888">
          <cell r="A888">
            <v>63839</v>
          </cell>
        </row>
        <row r="889">
          <cell r="A889">
            <v>63860</v>
          </cell>
        </row>
        <row r="890">
          <cell r="A890">
            <v>63873</v>
          </cell>
        </row>
        <row r="891">
          <cell r="A891">
            <v>63913</v>
          </cell>
        </row>
        <row r="892">
          <cell r="A892">
            <v>63920</v>
          </cell>
        </row>
        <row r="893">
          <cell r="A893">
            <v>63968</v>
          </cell>
        </row>
        <row r="894">
          <cell r="A894">
            <v>63969</v>
          </cell>
        </row>
        <row r="895">
          <cell r="A895">
            <v>64014</v>
          </cell>
        </row>
        <row r="896">
          <cell r="A896">
            <v>64030</v>
          </cell>
        </row>
        <row r="897">
          <cell r="A897">
            <v>64040</v>
          </cell>
        </row>
        <row r="898">
          <cell r="A898">
            <v>64076</v>
          </cell>
        </row>
        <row r="899">
          <cell r="A899">
            <v>64169</v>
          </cell>
        </row>
        <row r="900">
          <cell r="A900">
            <v>64204</v>
          </cell>
        </row>
        <row r="901">
          <cell r="A901">
            <v>64225</v>
          </cell>
        </row>
        <row r="902">
          <cell r="A902">
            <v>64238</v>
          </cell>
        </row>
        <row r="903">
          <cell r="A903">
            <v>64278</v>
          </cell>
        </row>
        <row r="904">
          <cell r="A904">
            <v>64285</v>
          </cell>
        </row>
        <row r="905">
          <cell r="A905">
            <v>64346</v>
          </cell>
        </row>
        <row r="906">
          <cell r="A906">
            <v>64347</v>
          </cell>
        </row>
        <row r="907">
          <cell r="A907">
            <v>64392</v>
          </cell>
        </row>
        <row r="908">
          <cell r="A908">
            <v>64396</v>
          </cell>
        </row>
        <row r="909">
          <cell r="A909">
            <v>64406</v>
          </cell>
        </row>
        <row r="910">
          <cell r="A910">
            <v>64454</v>
          </cell>
        </row>
        <row r="911">
          <cell r="A911">
            <v>64535</v>
          </cell>
        </row>
        <row r="912">
          <cell r="A912">
            <v>64570</v>
          </cell>
        </row>
        <row r="913">
          <cell r="A913">
            <v>64591</v>
          </cell>
        </row>
        <row r="914">
          <cell r="A914">
            <v>64604</v>
          </cell>
        </row>
        <row r="915">
          <cell r="A915">
            <v>64644</v>
          </cell>
        </row>
        <row r="916">
          <cell r="A916">
            <v>64651</v>
          </cell>
        </row>
        <row r="917">
          <cell r="A917">
            <v>64703</v>
          </cell>
        </row>
        <row r="918">
          <cell r="A918">
            <v>64704</v>
          </cell>
        </row>
        <row r="919">
          <cell r="A919">
            <v>64749</v>
          </cell>
        </row>
        <row r="920">
          <cell r="A920">
            <v>64761</v>
          </cell>
        </row>
        <row r="921">
          <cell r="A921">
            <v>64771</v>
          </cell>
        </row>
        <row r="922">
          <cell r="A922">
            <v>64811</v>
          </cell>
        </row>
        <row r="923">
          <cell r="A923">
            <v>64900</v>
          </cell>
        </row>
        <row r="924">
          <cell r="A924">
            <v>64935</v>
          </cell>
        </row>
        <row r="925">
          <cell r="A925">
            <v>64956</v>
          </cell>
        </row>
        <row r="926">
          <cell r="A926">
            <v>64969</v>
          </cell>
        </row>
        <row r="927">
          <cell r="A927">
            <v>65009</v>
          </cell>
        </row>
        <row r="928">
          <cell r="A928">
            <v>65016</v>
          </cell>
        </row>
        <row r="929">
          <cell r="A929">
            <v>65060</v>
          </cell>
        </row>
        <row r="930">
          <cell r="A930">
            <v>65061</v>
          </cell>
        </row>
        <row r="931">
          <cell r="A931">
            <v>65106</v>
          </cell>
        </row>
        <row r="932">
          <cell r="A932">
            <v>65126</v>
          </cell>
        </row>
        <row r="933">
          <cell r="A933">
            <v>65136</v>
          </cell>
        </row>
        <row r="934">
          <cell r="A934">
            <v>65168</v>
          </cell>
        </row>
        <row r="935">
          <cell r="A935">
            <v>65265</v>
          </cell>
        </row>
        <row r="936">
          <cell r="A936">
            <v>65300</v>
          </cell>
        </row>
        <row r="937">
          <cell r="A937">
            <v>65321</v>
          </cell>
        </row>
        <row r="938">
          <cell r="A938">
            <v>65334</v>
          </cell>
        </row>
        <row r="939">
          <cell r="A939">
            <v>65374</v>
          </cell>
        </row>
      </sheetData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sumoCarteiraTeorica.aspx?Indice=IBOV&amp;idioma=pt-br" preserveFormatting="0" connectionId="1" xr16:uid="{172D3582-6A5E-44BC-B223-F4A7106180C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javascript:__doPostBack('ctl00$contentPlaceHolderConteudo$grdResumoCarteiraTeorica$ctl00$ctl02$ctl00$ctl03','')" TargetMode="External"/><Relationship Id="rId7" Type="http://schemas.openxmlformats.org/officeDocument/2006/relationships/queryTable" Target="../queryTables/queryTable1.xml"/><Relationship Id="rId2" Type="http://schemas.openxmlformats.org/officeDocument/2006/relationships/hyperlink" Target="javascript:__doPostBack('ctl00$contentPlaceHolderConteudo$grdResumoCarteiraTeorica$ctl00$ctl02$ctl00$ctl02','')" TargetMode="External"/><Relationship Id="rId1" Type="http://schemas.openxmlformats.org/officeDocument/2006/relationships/hyperlink" Target="javascript:__doPostBack('ctl00$contentPlaceHolderConteudo$grdResumoCarteiraTeorica$ctl00$ctl02$ctl00$ctl00','')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javascript:__doPostBack('ctl00$contentPlaceHolderConteudo$grdResumoCarteiraTeorica$ctl00$ctl02$ctl00$ctl05','')" TargetMode="External"/><Relationship Id="rId4" Type="http://schemas.openxmlformats.org/officeDocument/2006/relationships/hyperlink" Target="javascript:__doPostBack('ctl00$contentPlaceHolderConteudo$grdResumoCarteiraTeorica$ctl00$ctl02$ctl00$ctl04','')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FDDD7-678D-42A9-AD44-3DE7A49ABBF3}">
  <sheetPr codeName="Planilha1"/>
  <dimension ref="A1:AC56"/>
  <sheetViews>
    <sheetView topLeftCell="A25" zoomScale="80" zoomScaleNormal="80" workbookViewId="0">
      <selection activeCell="F8" sqref="F8:G9"/>
    </sheetView>
  </sheetViews>
  <sheetFormatPr defaultColWidth="8.7109375" defaultRowHeight="15" x14ac:dyDescent="0.25"/>
  <cols>
    <col min="1" max="1" width="8.7109375" style="7"/>
    <col min="2" max="3" width="33.5703125" style="7" customWidth="1"/>
    <col min="4" max="4" width="12.140625" style="7" bestFit="1" customWidth="1"/>
    <col min="5" max="5" width="9.85546875" style="7" bestFit="1" customWidth="1"/>
    <col min="6" max="6" width="13.7109375" style="7" bestFit="1" customWidth="1"/>
    <col min="7" max="7" width="16.140625" style="7" bestFit="1" customWidth="1"/>
    <col min="8" max="8" width="25.42578125" style="7" bestFit="1" customWidth="1"/>
    <col min="9" max="9" width="15.5703125" style="7" customWidth="1"/>
    <col min="10" max="10" width="8.5703125" style="7" customWidth="1"/>
    <col min="11" max="11" width="11.42578125" style="7" customWidth="1"/>
    <col min="12" max="16384" width="8.7109375" style="7"/>
  </cols>
  <sheetData>
    <row r="1" spans="1:29" x14ac:dyDescent="0.25">
      <c r="A1" s="29"/>
      <c r="B1" s="122"/>
      <c r="C1" s="122"/>
      <c r="D1" s="122"/>
      <c r="E1" s="122"/>
      <c r="F1" s="122"/>
      <c r="G1" s="122"/>
      <c r="H1" s="122"/>
      <c r="I1" s="122"/>
      <c r="J1" s="29"/>
      <c r="K1" s="6"/>
    </row>
    <row r="2" spans="1:29" ht="26.25" x14ac:dyDescent="0.25">
      <c r="A2" s="29"/>
      <c r="B2" s="123"/>
      <c r="C2" s="122"/>
      <c r="D2" s="118"/>
      <c r="E2" s="122"/>
      <c r="F2" s="124"/>
      <c r="G2" s="124"/>
      <c r="H2" s="122"/>
      <c r="I2" s="125"/>
      <c r="J2" s="29"/>
      <c r="K2" s="164"/>
      <c r="L2" s="184"/>
      <c r="M2" s="184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</row>
    <row r="3" spans="1:29" x14ac:dyDescent="0.25">
      <c r="A3" s="29"/>
      <c r="B3" s="122"/>
      <c r="C3" s="122"/>
      <c r="D3" s="122"/>
      <c r="E3" s="122"/>
      <c r="F3" s="122"/>
      <c r="G3" s="122"/>
      <c r="H3" s="122"/>
      <c r="I3" s="122"/>
      <c r="J3" s="29"/>
      <c r="K3" s="89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</row>
    <row r="4" spans="1:29" x14ac:dyDescent="0.25">
      <c r="A4" s="29"/>
      <c r="B4" s="122"/>
      <c r="C4" s="125"/>
      <c r="D4" s="122"/>
      <c r="E4" s="122"/>
      <c r="F4" s="122"/>
      <c r="G4" s="122"/>
      <c r="H4" s="122"/>
      <c r="I4" s="122"/>
      <c r="J4" s="29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</row>
    <row r="5" spans="1:29" ht="27" thickBot="1" x14ac:dyDescent="0.3">
      <c r="A5" s="29"/>
      <c r="B5" s="122"/>
      <c r="C5" s="125"/>
      <c r="D5" s="122"/>
      <c r="E5" s="122"/>
      <c r="F5" s="122"/>
      <c r="G5" s="122"/>
      <c r="H5" s="122"/>
      <c r="I5" s="126"/>
      <c r="J5" s="29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</row>
    <row r="6" spans="1:29" x14ac:dyDescent="0.25">
      <c r="A6" s="31">
        <v>1</v>
      </c>
      <c r="B6" s="173" t="s">
        <v>208</v>
      </c>
      <c r="C6" s="176">
        <f>CALCULO!I9</f>
        <v>-7.1559810463204254E-3</v>
      </c>
      <c r="D6" s="179">
        <f ca="1">NOW()</f>
        <v>44571.427939930552</v>
      </c>
      <c r="E6" s="179"/>
      <c r="F6" s="170" t="s">
        <v>212</v>
      </c>
      <c r="G6" s="170"/>
      <c r="H6" s="166" t="s">
        <v>258</v>
      </c>
      <c r="I6" s="167"/>
      <c r="J6" s="29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</row>
    <row r="7" spans="1:29" x14ac:dyDescent="0.25">
      <c r="A7" s="31">
        <v>2</v>
      </c>
      <c r="B7" s="174"/>
      <c r="C7" s="177"/>
      <c r="D7" s="179"/>
      <c r="E7" s="179"/>
      <c r="F7" s="170"/>
      <c r="G7" s="170"/>
      <c r="H7" s="168"/>
      <c r="I7" s="169"/>
      <c r="J7" s="29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</row>
    <row r="8" spans="1:29" ht="15.75" thickBot="1" x14ac:dyDescent="0.3">
      <c r="A8" s="31">
        <v>3</v>
      </c>
      <c r="B8" s="175"/>
      <c r="C8" s="178"/>
      <c r="D8" s="179"/>
      <c r="E8" s="179"/>
      <c r="F8" s="171" t="e">
        <f>CALCULO!$L$9</f>
        <v>#DIV/0!</v>
      </c>
      <c r="G8" s="172"/>
      <c r="H8" s="180">
        <f ca="1">CALCULO!$E$2</f>
        <v>15635.662572988833</v>
      </c>
      <c r="I8" s="181"/>
      <c r="J8" s="29"/>
      <c r="K8" s="88"/>
      <c r="L8" s="88"/>
      <c r="M8" s="88"/>
      <c r="N8" s="88"/>
      <c r="O8" s="88"/>
      <c r="P8" s="88"/>
      <c r="Q8" s="88"/>
      <c r="T8" s="87"/>
      <c r="U8" s="87"/>
      <c r="V8" s="87"/>
      <c r="W8" s="87"/>
      <c r="X8" s="87"/>
      <c r="Y8" s="87"/>
      <c r="Z8" s="87"/>
      <c r="AA8" s="87"/>
      <c r="AB8" s="87"/>
      <c r="AC8" s="87"/>
    </row>
    <row r="9" spans="1:29" ht="15.75" thickBot="1" x14ac:dyDescent="0.3">
      <c r="A9" s="31">
        <v>4</v>
      </c>
      <c r="B9" s="12"/>
      <c r="C9" s="96"/>
      <c r="D9" s="12"/>
      <c r="E9" s="12"/>
      <c r="F9" s="172"/>
      <c r="G9" s="172"/>
      <c r="H9" s="182"/>
      <c r="I9" s="183"/>
      <c r="J9" s="29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</row>
    <row r="10" spans="1:29" x14ac:dyDescent="0.25">
      <c r="A10" s="31">
        <v>5</v>
      </c>
      <c r="J10" s="29"/>
      <c r="K10" s="86"/>
      <c r="L10" s="86"/>
      <c r="M10" s="86"/>
      <c r="N10" s="86"/>
      <c r="O10" s="86"/>
      <c r="P10" s="86"/>
      <c r="Q10" s="86"/>
      <c r="R10" s="86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</row>
    <row r="11" spans="1:29" x14ac:dyDescent="0.25">
      <c r="A11" s="31">
        <v>6</v>
      </c>
      <c r="J11" s="29"/>
      <c r="K11" s="164"/>
      <c r="L11" s="165"/>
      <c r="M11" s="165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</row>
    <row r="12" spans="1:29" x14ac:dyDescent="0.25">
      <c r="A12" s="31">
        <v>7</v>
      </c>
      <c r="J12" s="29"/>
      <c r="K12" s="165"/>
      <c r="L12" s="165"/>
      <c r="M12" s="165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</row>
    <row r="13" spans="1:29" x14ac:dyDescent="0.25">
      <c r="A13" s="31">
        <v>8</v>
      </c>
      <c r="J13" s="29"/>
      <c r="K13" s="89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25">
      <c r="A14" s="31">
        <v>9</v>
      </c>
      <c r="J14" s="29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</row>
    <row r="15" spans="1:29" x14ac:dyDescent="0.25">
      <c r="A15" s="31">
        <v>10</v>
      </c>
      <c r="J15" s="29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</row>
    <row r="16" spans="1:29" x14ac:dyDescent="0.25">
      <c r="A16" s="31">
        <v>11</v>
      </c>
      <c r="J16" s="29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</row>
    <row r="17" spans="1:29" x14ac:dyDescent="0.25">
      <c r="A17" s="31">
        <v>12</v>
      </c>
      <c r="J17" s="29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</row>
    <row r="18" spans="1:29" x14ac:dyDescent="0.25">
      <c r="A18" s="31">
        <v>12</v>
      </c>
      <c r="J18" s="29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</row>
    <row r="19" spans="1:29" x14ac:dyDescent="0.25">
      <c r="A19" s="31">
        <v>11</v>
      </c>
      <c r="J19" s="29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</row>
    <row r="20" spans="1:29" x14ac:dyDescent="0.25">
      <c r="A20" s="31">
        <v>10</v>
      </c>
      <c r="J20" s="29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</row>
    <row r="21" spans="1:29" x14ac:dyDescent="0.25">
      <c r="A21" s="31">
        <v>9</v>
      </c>
      <c r="J21" s="29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</row>
    <row r="22" spans="1:29" x14ac:dyDescent="0.25">
      <c r="A22" s="31">
        <v>8</v>
      </c>
      <c r="J22" s="29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</row>
    <row r="23" spans="1:29" x14ac:dyDescent="0.25">
      <c r="A23" s="31">
        <v>7</v>
      </c>
      <c r="J23" s="29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</row>
    <row r="24" spans="1:29" x14ac:dyDescent="0.25">
      <c r="A24" s="31">
        <v>6</v>
      </c>
      <c r="J24" s="29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</row>
    <row r="25" spans="1:29" x14ac:dyDescent="0.25">
      <c r="A25" s="31">
        <v>5</v>
      </c>
      <c r="J25" s="29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</row>
    <row r="26" spans="1:29" x14ac:dyDescent="0.25">
      <c r="A26" s="31">
        <v>4</v>
      </c>
      <c r="J26" s="29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</row>
    <row r="27" spans="1:29" x14ac:dyDescent="0.25">
      <c r="A27" s="31">
        <v>3</v>
      </c>
      <c r="J27" s="29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</row>
    <row r="28" spans="1:29" x14ac:dyDescent="0.25">
      <c r="A28" s="31">
        <v>2</v>
      </c>
      <c r="J28" s="29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</row>
    <row r="29" spans="1:29" x14ac:dyDescent="0.25">
      <c r="A29" s="31">
        <v>1</v>
      </c>
      <c r="J29" s="29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1:29" ht="15.75" thickBot="1" x14ac:dyDescent="0.3">
      <c r="A30" s="29"/>
      <c r="B30" s="29"/>
      <c r="C30" s="29"/>
      <c r="D30" s="29"/>
      <c r="E30" s="29"/>
      <c r="F30" s="29"/>
      <c r="G30" s="29"/>
      <c r="H30" s="29"/>
      <c r="I30" s="29"/>
      <c r="J30" s="29"/>
    </row>
    <row r="31" spans="1:29" ht="16.5" thickBot="1" x14ac:dyDescent="0.3">
      <c r="A31" s="29"/>
      <c r="B31" s="148" t="s">
        <v>202</v>
      </c>
      <c r="C31" s="149" t="s">
        <v>203</v>
      </c>
      <c r="D31" s="150" t="s">
        <v>178</v>
      </c>
      <c r="E31" s="151" t="s">
        <v>261</v>
      </c>
      <c r="F31" s="30"/>
      <c r="G31" s="30"/>
      <c r="H31" s="74" t="s">
        <v>204</v>
      </c>
      <c r="I31" s="29"/>
      <c r="J31" s="29"/>
    </row>
    <row r="32" spans="1:29" ht="18.75" x14ac:dyDescent="0.3">
      <c r="A32" s="32" t="e">
        <f>D32</f>
        <v>#DIV/0!</v>
      </c>
      <c r="B32" s="152" t="e">
        <f>HLOOKUP(D32,CALCULO!$Y$5:$EA$7,2,0)</f>
        <v>#DIV/0!</v>
      </c>
      <c r="C32" s="152" t="e">
        <f>HLOOKUP(D32,CALCULO!$Y$5:$EA$7,3,0)</f>
        <v>#DIV/0!</v>
      </c>
      <c r="D32" s="153" t="e">
        <f>VLOOKUP(E32,CALCULO!$L$15:$O$115,4,0)</f>
        <v>#DIV/0!</v>
      </c>
      <c r="E32" s="154" t="e">
        <f>LARGE(CALCULO!$L$15:$L$115,A6)</f>
        <v>#DIV/0!</v>
      </c>
      <c r="F32" s="83"/>
      <c r="G32" s="76" t="s">
        <v>202</v>
      </c>
      <c r="H32" s="130" t="e">
        <f>SUM(CALCULO!U6:V6)</f>
        <v>#N/A</v>
      </c>
      <c r="I32" s="29"/>
      <c r="J32" s="29"/>
    </row>
    <row r="33" spans="1:10" ht="19.5" thickBot="1" x14ac:dyDescent="0.35">
      <c r="A33" s="32" t="e">
        <f t="shared" ref="A33:A55" si="0">D33</f>
        <v>#DIV/0!</v>
      </c>
      <c r="B33" s="152" t="e">
        <f>HLOOKUP(D33,CALCULO!$Y$5:$EA$7,2,0)</f>
        <v>#DIV/0!</v>
      </c>
      <c r="C33" s="152" t="e">
        <f>HLOOKUP(D33,CALCULO!$Y$5:$EA$7,3,0)</f>
        <v>#DIV/0!</v>
      </c>
      <c r="D33" s="153" t="e">
        <f>VLOOKUP(E33,CALCULO!$L$15:$O$115,4,0)</f>
        <v>#DIV/0!</v>
      </c>
      <c r="E33" s="154" t="e">
        <f>LARGE(CALCULO!$L$15:$L$115,A7)</f>
        <v>#DIV/0!</v>
      </c>
      <c r="F33" s="83"/>
      <c r="G33" s="77" t="s">
        <v>203</v>
      </c>
      <c r="H33" s="131" t="e">
        <f>SUM(CALCULO!U7:V7)</f>
        <v>#N/A</v>
      </c>
      <c r="I33" s="29"/>
      <c r="J33" s="29"/>
    </row>
    <row r="34" spans="1:10" ht="16.5" thickBot="1" x14ac:dyDescent="0.3">
      <c r="A34" s="32" t="e">
        <f t="shared" si="0"/>
        <v>#DIV/0!</v>
      </c>
      <c r="B34" s="152" t="e">
        <f>HLOOKUP(D34,CALCULO!$Y$5:$EA$7,2,0)</f>
        <v>#DIV/0!</v>
      </c>
      <c r="C34" s="152" t="e">
        <f>HLOOKUP(D34,CALCULO!$Y$5:$EA$7,3,0)</f>
        <v>#DIV/0!</v>
      </c>
      <c r="D34" s="153" t="e">
        <f>VLOOKUP(E34,CALCULO!$L$15:$O$115,4,0)</f>
        <v>#DIV/0!</v>
      </c>
      <c r="E34" s="154" t="e">
        <f>LARGE(CALCULO!$L$15:$L$115,A8)</f>
        <v>#DIV/0!</v>
      </c>
      <c r="F34" s="83"/>
      <c r="G34" s="75"/>
      <c r="H34" s="78"/>
      <c r="I34" s="29"/>
      <c r="J34" s="29"/>
    </row>
    <row r="35" spans="1:10" ht="16.5" thickBot="1" x14ac:dyDescent="0.3">
      <c r="A35" s="32" t="e">
        <f t="shared" si="0"/>
        <v>#DIV/0!</v>
      </c>
      <c r="B35" s="152" t="e">
        <f>HLOOKUP(D35,CALCULO!$Y$5:$EA$7,2,0)</f>
        <v>#DIV/0!</v>
      </c>
      <c r="C35" s="152" t="e">
        <f>HLOOKUP(D35,CALCULO!$Y$5:$EA$7,3,0)</f>
        <v>#DIV/0!</v>
      </c>
      <c r="D35" s="153" t="e">
        <f>VLOOKUP(E35,CALCULO!$L$15:$O$115,4,0)</f>
        <v>#DIV/0!</v>
      </c>
      <c r="E35" s="154" t="e">
        <f>LARGE(CALCULO!$L$15:$L$115,A9)</f>
        <v>#DIV/0!</v>
      </c>
      <c r="F35" s="83"/>
      <c r="G35" s="75"/>
      <c r="H35" s="74" t="s">
        <v>205</v>
      </c>
      <c r="I35" s="29"/>
      <c r="J35" s="29"/>
    </row>
    <row r="36" spans="1:10" ht="18.75" x14ac:dyDescent="0.3">
      <c r="A36" s="32" t="e">
        <f t="shared" si="0"/>
        <v>#DIV/0!</v>
      </c>
      <c r="B36" s="152" t="e">
        <f>HLOOKUP(D36,CALCULO!$Y$5:$EA$7,2,0)</f>
        <v>#DIV/0!</v>
      </c>
      <c r="C36" s="152" t="e">
        <f>HLOOKUP(D36,CALCULO!$Y$5:$EA$7,3,0)</f>
        <v>#DIV/0!</v>
      </c>
      <c r="D36" s="153" t="e">
        <f>VLOOKUP(E36,CALCULO!$L$15:$O$115,4,0)</f>
        <v>#DIV/0!</v>
      </c>
      <c r="E36" s="154" t="e">
        <f>LARGE(CALCULO!$L$15:$L$115,A10)</f>
        <v>#DIV/0!</v>
      </c>
      <c r="F36" s="83"/>
      <c r="G36" s="76" t="s">
        <v>202</v>
      </c>
      <c r="H36" s="130" t="e">
        <f>SUM(CALCULO!W6:X6)</f>
        <v>#N/A</v>
      </c>
      <c r="I36" s="29"/>
      <c r="J36" s="29"/>
    </row>
    <row r="37" spans="1:10" ht="21.75" thickBot="1" x14ac:dyDescent="0.35">
      <c r="A37" s="32" t="e">
        <f t="shared" si="0"/>
        <v>#DIV/0!</v>
      </c>
      <c r="B37" s="152" t="e">
        <f>HLOOKUP(D37,CALCULO!$Y$5:$EA$7,2,0)</f>
        <v>#DIV/0!</v>
      </c>
      <c r="C37" s="152" t="e">
        <f>HLOOKUP(D37,CALCULO!$Y$5:$EA$7,3,0)</f>
        <v>#DIV/0!</v>
      </c>
      <c r="D37" s="153" t="e">
        <f>VLOOKUP(E37,CALCULO!$L$15:$O$115,4,0)</f>
        <v>#DIV/0!</v>
      </c>
      <c r="E37" s="154" t="e">
        <f>LARGE(CALCULO!$L$15:$L$115,A11)</f>
        <v>#DIV/0!</v>
      </c>
      <c r="F37" s="83"/>
      <c r="G37" s="77" t="s">
        <v>203</v>
      </c>
      <c r="H37" s="131" t="e">
        <f>SUM(CALCULO!W7:X7)</f>
        <v>#N/A</v>
      </c>
      <c r="I37" s="140"/>
      <c r="J37" s="29"/>
    </row>
    <row r="38" spans="1:10" ht="15.75" x14ac:dyDescent="0.25">
      <c r="A38" s="32" t="e">
        <f t="shared" si="0"/>
        <v>#DIV/0!</v>
      </c>
      <c r="B38" s="152" t="e">
        <f>HLOOKUP(D38,CALCULO!$Y$5:$EA$7,2,0)</f>
        <v>#DIV/0!</v>
      </c>
      <c r="C38" s="152" t="e">
        <f>HLOOKUP(D38,CALCULO!$Y$5:$EA$7,3,0)</f>
        <v>#DIV/0!</v>
      </c>
      <c r="D38" s="153" t="e">
        <f>VLOOKUP(E38,CALCULO!$L$15:$O$115,4,0)</f>
        <v>#DIV/0!</v>
      </c>
      <c r="E38" s="154" t="e">
        <f>LARGE(CALCULO!$L$15:$L$115,A12)</f>
        <v>#DIV/0!</v>
      </c>
      <c r="F38" s="83"/>
      <c r="G38" s="29"/>
      <c r="H38" s="29"/>
      <c r="I38" s="29"/>
      <c r="J38" s="29"/>
    </row>
    <row r="39" spans="1:10" ht="15.75" x14ac:dyDescent="0.25">
      <c r="A39" s="32" t="e">
        <f t="shared" si="0"/>
        <v>#DIV/0!</v>
      </c>
      <c r="B39" s="152" t="e">
        <f>HLOOKUP(D39,CALCULO!$Y$5:$EA$7,2,0)</f>
        <v>#DIV/0!</v>
      </c>
      <c r="C39" s="152" t="e">
        <f>HLOOKUP(D39,CALCULO!$Y$5:$EA$7,3,0)</f>
        <v>#DIV/0!</v>
      </c>
      <c r="D39" s="153" t="e">
        <f>VLOOKUP(E39,CALCULO!$L$15:$O$115,4,0)</f>
        <v>#DIV/0!</v>
      </c>
      <c r="E39" s="154" t="e">
        <f>LARGE(CALCULO!$L$15:$L$115,A13)</f>
        <v>#DIV/0!</v>
      </c>
      <c r="F39" s="83"/>
      <c r="J39" s="29"/>
    </row>
    <row r="40" spans="1:10" ht="15.75" x14ac:dyDescent="0.25">
      <c r="A40" s="32" t="e">
        <f t="shared" si="0"/>
        <v>#DIV/0!</v>
      </c>
      <c r="B40" s="152" t="e">
        <f>HLOOKUP(D40,CALCULO!$Y$5:$EA$7,2,0)</f>
        <v>#DIV/0!</v>
      </c>
      <c r="C40" s="152" t="e">
        <f>HLOOKUP(D40,CALCULO!$Y$5:$EA$7,3,0)</f>
        <v>#DIV/0!</v>
      </c>
      <c r="D40" s="153" t="e">
        <f>VLOOKUP(E40,CALCULO!$L$15:$O$115,4,0)</f>
        <v>#DIV/0!</v>
      </c>
      <c r="E40" s="154" t="e">
        <f>LARGE(CALCULO!$L$15:$L$115,A14)</f>
        <v>#DIV/0!</v>
      </c>
      <c r="F40" s="83"/>
      <c r="J40" s="29"/>
    </row>
    <row r="41" spans="1:10" ht="15.75" x14ac:dyDescent="0.25">
      <c r="A41" s="32" t="e">
        <f t="shared" si="0"/>
        <v>#DIV/0!</v>
      </c>
      <c r="B41" s="152" t="e">
        <f>HLOOKUP(D41,CALCULO!$Y$5:$EA$7,2,0)</f>
        <v>#DIV/0!</v>
      </c>
      <c r="C41" s="152" t="e">
        <f>HLOOKUP(D41,CALCULO!$Y$5:$EA$7,3,0)</f>
        <v>#DIV/0!</v>
      </c>
      <c r="D41" s="153" t="e">
        <f>VLOOKUP(E41,CALCULO!$L$15:$O$115,4,0)</f>
        <v>#DIV/0!</v>
      </c>
      <c r="E41" s="154" t="e">
        <f>LARGE(CALCULO!$L$15:$L$115,A15)</f>
        <v>#DIV/0!</v>
      </c>
      <c r="F41" s="83"/>
      <c r="J41" s="29"/>
    </row>
    <row r="42" spans="1:10" ht="15.75" x14ac:dyDescent="0.25">
      <c r="A42" s="32" t="e">
        <f t="shared" si="0"/>
        <v>#DIV/0!</v>
      </c>
      <c r="B42" s="152" t="e">
        <f>HLOOKUP(D42,CALCULO!$Y$5:$EA$7,2,0)</f>
        <v>#DIV/0!</v>
      </c>
      <c r="C42" s="152" t="e">
        <f>HLOOKUP(D42,CALCULO!$Y$5:$EA$7,3,0)</f>
        <v>#DIV/0!</v>
      </c>
      <c r="D42" s="153" t="e">
        <f>VLOOKUP(E42,CALCULO!$L$15:$O$115,4,0)</f>
        <v>#DIV/0!</v>
      </c>
      <c r="E42" s="154" t="e">
        <f>LARGE(CALCULO!$L$15:$L$115,A16)</f>
        <v>#DIV/0!</v>
      </c>
      <c r="F42" s="83"/>
      <c r="J42" s="29"/>
    </row>
    <row r="43" spans="1:10" ht="15.75" x14ac:dyDescent="0.25">
      <c r="A43" s="32" t="e">
        <f t="shared" si="0"/>
        <v>#DIV/0!</v>
      </c>
      <c r="B43" s="152" t="e">
        <f>HLOOKUP(D43,CALCULO!$Y$5:$EA$7,2,0)</f>
        <v>#DIV/0!</v>
      </c>
      <c r="C43" s="152" t="e">
        <f>HLOOKUP(D43,CALCULO!$Y$5:$EA$7,3,0)</f>
        <v>#DIV/0!</v>
      </c>
      <c r="D43" s="153" t="e">
        <f>VLOOKUP(E43,CALCULO!$L$15:$O$115,4,0)</f>
        <v>#DIV/0!</v>
      </c>
      <c r="E43" s="154" t="e">
        <f>LARGE(CALCULO!$L$15:$L$115,A17)</f>
        <v>#DIV/0!</v>
      </c>
      <c r="F43" s="83"/>
      <c r="J43" s="29"/>
    </row>
    <row r="44" spans="1:10" ht="15.75" x14ac:dyDescent="0.25">
      <c r="A44" s="32" t="e">
        <f t="shared" si="0"/>
        <v>#DIV/0!</v>
      </c>
      <c r="B44" s="152" t="e">
        <f>HLOOKUP(D44,CALCULO!$Y$5:$EA$7,2,0)</f>
        <v>#DIV/0!</v>
      </c>
      <c r="C44" s="152" t="e">
        <f>HLOOKUP(D44,CALCULO!$Y$5:$EA$7,3,0)</f>
        <v>#DIV/0!</v>
      </c>
      <c r="D44" s="153" t="e">
        <f>VLOOKUP(E44,CALCULO!$L$15:$O$115,4,0)</f>
        <v>#DIV/0!</v>
      </c>
      <c r="E44" s="154" t="e">
        <f>SMALL(CALCULO!$L$15:$L$115,A18)</f>
        <v>#DIV/0!</v>
      </c>
      <c r="F44" s="83"/>
      <c r="J44" s="29"/>
    </row>
    <row r="45" spans="1:10" ht="15.75" x14ac:dyDescent="0.25">
      <c r="A45" s="32" t="e">
        <f t="shared" si="0"/>
        <v>#DIV/0!</v>
      </c>
      <c r="B45" s="152" t="e">
        <f>HLOOKUP(D45,CALCULO!$Y$5:$EA$7,2,0)</f>
        <v>#DIV/0!</v>
      </c>
      <c r="C45" s="152" t="e">
        <f>HLOOKUP(D45,CALCULO!$Y$5:$EA$7,3,0)</f>
        <v>#DIV/0!</v>
      </c>
      <c r="D45" s="153" t="e">
        <f>VLOOKUP(E45,CALCULO!$L$15:$O$115,4,0)</f>
        <v>#DIV/0!</v>
      </c>
      <c r="E45" s="154" t="e">
        <f>SMALL(CALCULO!$L$15:$L$115,A19)</f>
        <v>#DIV/0!</v>
      </c>
      <c r="F45" s="83"/>
      <c r="J45" s="29"/>
    </row>
    <row r="46" spans="1:10" ht="15.75" x14ac:dyDescent="0.25">
      <c r="A46" s="32" t="e">
        <f t="shared" si="0"/>
        <v>#DIV/0!</v>
      </c>
      <c r="B46" s="152" t="e">
        <f>HLOOKUP(D46,CALCULO!$Y$5:$EA$7,2,0)</f>
        <v>#DIV/0!</v>
      </c>
      <c r="C46" s="152" t="e">
        <f>HLOOKUP(D46,CALCULO!$Y$5:$EA$7,3,0)</f>
        <v>#DIV/0!</v>
      </c>
      <c r="D46" s="153" t="e">
        <f>VLOOKUP(E46,CALCULO!$L$15:$O$115,4,0)</f>
        <v>#DIV/0!</v>
      </c>
      <c r="E46" s="154" t="e">
        <f>SMALL(CALCULO!$L$15:$L$115,A20)</f>
        <v>#DIV/0!</v>
      </c>
      <c r="F46" s="83"/>
      <c r="J46" s="29"/>
    </row>
    <row r="47" spans="1:10" ht="15.75" x14ac:dyDescent="0.25">
      <c r="A47" s="32" t="e">
        <f t="shared" si="0"/>
        <v>#DIV/0!</v>
      </c>
      <c r="B47" s="152" t="e">
        <f>HLOOKUP(D47,CALCULO!$Y$5:$EA$7,2,0)</f>
        <v>#DIV/0!</v>
      </c>
      <c r="C47" s="152" t="e">
        <f>HLOOKUP(D47,CALCULO!$Y$5:$EA$7,3,0)</f>
        <v>#DIV/0!</v>
      </c>
      <c r="D47" s="153" t="e">
        <f>VLOOKUP(E47,CALCULO!$L$15:$O$115,4,0)</f>
        <v>#DIV/0!</v>
      </c>
      <c r="E47" s="154" t="e">
        <f>SMALL(CALCULO!$L$15:$L$115,A21)</f>
        <v>#DIV/0!</v>
      </c>
      <c r="F47" s="83"/>
      <c r="J47" s="29"/>
    </row>
    <row r="48" spans="1:10" ht="15.75" x14ac:dyDescent="0.25">
      <c r="A48" s="32" t="e">
        <f t="shared" si="0"/>
        <v>#DIV/0!</v>
      </c>
      <c r="B48" s="152" t="e">
        <f>HLOOKUP(D48,CALCULO!$Y$5:$EA$7,2,0)</f>
        <v>#DIV/0!</v>
      </c>
      <c r="C48" s="152" t="e">
        <f>HLOOKUP(D48,CALCULO!$Y$5:$EA$7,3,0)</f>
        <v>#DIV/0!</v>
      </c>
      <c r="D48" s="153" t="e">
        <f>VLOOKUP(E48,CALCULO!$L$15:$O$115,4,0)</f>
        <v>#DIV/0!</v>
      </c>
      <c r="E48" s="154" t="e">
        <f>SMALL(CALCULO!$L$15:$L$115,A22)</f>
        <v>#DIV/0!</v>
      </c>
      <c r="F48" s="83"/>
      <c r="J48" s="29"/>
    </row>
    <row r="49" spans="1:10" ht="15.75" x14ac:dyDescent="0.25">
      <c r="A49" s="32" t="e">
        <f t="shared" si="0"/>
        <v>#DIV/0!</v>
      </c>
      <c r="B49" s="152" t="e">
        <f>HLOOKUP(D49,CALCULO!$Y$5:$EA$7,2,0)</f>
        <v>#DIV/0!</v>
      </c>
      <c r="C49" s="152" t="e">
        <f>HLOOKUP(D49,CALCULO!$Y$5:$EA$7,3,0)</f>
        <v>#DIV/0!</v>
      </c>
      <c r="D49" s="153" t="e">
        <f>VLOOKUP(E49,CALCULO!$L$15:$O$115,4,0)</f>
        <v>#DIV/0!</v>
      </c>
      <c r="E49" s="154" t="e">
        <f>SMALL(CALCULO!$L$15:$L$115,A23)</f>
        <v>#DIV/0!</v>
      </c>
      <c r="F49" s="83"/>
      <c r="J49" s="29"/>
    </row>
    <row r="50" spans="1:10" ht="15.75" x14ac:dyDescent="0.25">
      <c r="A50" s="32" t="e">
        <f t="shared" si="0"/>
        <v>#DIV/0!</v>
      </c>
      <c r="B50" s="152" t="e">
        <f>HLOOKUP(D50,CALCULO!$Y$5:$EA$7,2,0)</f>
        <v>#DIV/0!</v>
      </c>
      <c r="C50" s="152" t="e">
        <f>HLOOKUP(D50,CALCULO!$Y$5:$EA$7,3,0)</f>
        <v>#DIV/0!</v>
      </c>
      <c r="D50" s="153" t="e">
        <f>VLOOKUP(E50,CALCULO!$L$15:$O$115,4,0)</f>
        <v>#DIV/0!</v>
      </c>
      <c r="E50" s="154" t="e">
        <f>SMALL(CALCULO!$L$15:$L$115,A24)</f>
        <v>#DIV/0!</v>
      </c>
      <c r="F50" s="83"/>
      <c r="J50" s="29"/>
    </row>
    <row r="51" spans="1:10" ht="15.75" x14ac:dyDescent="0.25">
      <c r="A51" s="32" t="e">
        <f t="shared" si="0"/>
        <v>#DIV/0!</v>
      </c>
      <c r="B51" s="152" t="e">
        <f>HLOOKUP(D51,CALCULO!$Y$5:$EA$7,2,0)</f>
        <v>#DIV/0!</v>
      </c>
      <c r="C51" s="152" t="e">
        <f>HLOOKUP(D51,CALCULO!$Y$5:$EA$7,3,0)</f>
        <v>#DIV/0!</v>
      </c>
      <c r="D51" s="153" t="e">
        <f>VLOOKUP(E51,CALCULO!$L$15:$O$115,4,0)</f>
        <v>#DIV/0!</v>
      </c>
      <c r="E51" s="154" t="e">
        <f>SMALL(CALCULO!$L$15:$L$115,A25)</f>
        <v>#DIV/0!</v>
      </c>
      <c r="F51" s="83"/>
      <c r="J51" s="29"/>
    </row>
    <row r="52" spans="1:10" ht="15.75" x14ac:dyDescent="0.25">
      <c r="A52" s="32" t="e">
        <f t="shared" si="0"/>
        <v>#DIV/0!</v>
      </c>
      <c r="B52" s="152" t="e">
        <f>HLOOKUP(D52,CALCULO!$Y$5:$EA$7,2,0)</f>
        <v>#DIV/0!</v>
      </c>
      <c r="C52" s="152" t="e">
        <f>HLOOKUP(D52,CALCULO!$Y$5:$EA$7,3,0)</f>
        <v>#DIV/0!</v>
      </c>
      <c r="D52" s="153" t="e">
        <f>VLOOKUP(E52,CALCULO!$L$15:$O$115,4,0)</f>
        <v>#DIV/0!</v>
      </c>
      <c r="E52" s="154" t="e">
        <f>SMALL(CALCULO!$L$15:$L$115,A26)</f>
        <v>#DIV/0!</v>
      </c>
      <c r="F52" s="83"/>
      <c r="J52" s="29"/>
    </row>
    <row r="53" spans="1:10" ht="15.75" x14ac:dyDescent="0.25">
      <c r="A53" s="32" t="e">
        <f t="shared" si="0"/>
        <v>#DIV/0!</v>
      </c>
      <c r="B53" s="152" t="e">
        <f>HLOOKUP(D53,CALCULO!$Y$5:$EA$7,2,0)</f>
        <v>#DIV/0!</v>
      </c>
      <c r="C53" s="152" t="e">
        <f>HLOOKUP(D53,CALCULO!$Y$5:$EA$7,3,0)</f>
        <v>#DIV/0!</v>
      </c>
      <c r="D53" s="153" t="e">
        <f>VLOOKUP(E53,CALCULO!$L$15:$O$115,4,0)</f>
        <v>#DIV/0!</v>
      </c>
      <c r="E53" s="154" t="e">
        <f>SMALL(CALCULO!$L$15:$L$115,A27)</f>
        <v>#DIV/0!</v>
      </c>
      <c r="F53" s="83"/>
      <c r="J53" s="29"/>
    </row>
    <row r="54" spans="1:10" ht="15.75" x14ac:dyDescent="0.25">
      <c r="A54" s="32" t="e">
        <f t="shared" si="0"/>
        <v>#DIV/0!</v>
      </c>
      <c r="B54" s="152" t="e">
        <f>HLOOKUP(D54,CALCULO!$Y$5:$EA$7,2,0)</f>
        <v>#DIV/0!</v>
      </c>
      <c r="C54" s="152" t="e">
        <f>HLOOKUP(D54,CALCULO!$Y$5:$EA$7,3,0)</f>
        <v>#DIV/0!</v>
      </c>
      <c r="D54" s="153" t="e">
        <f>VLOOKUP(E54,CALCULO!$L$15:$O$115,4,0)</f>
        <v>#DIV/0!</v>
      </c>
      <c r="E54" s="154" t="e">
        <f>SMALL(CALCULO!$L$15:$L$115,A28)</f>
        <v>#DIV/0!</v>
      </c>
      <c r="F54" s="83"/>
      <c r="J54" s="29"/>
    </row>
    <row r="55" spans="1:10" ht="15.75" x14ac:dyDescent="0.25">
      <c r="A55" s="32" t="e">
        <f t="shared" si="0"/>
        <v>#DIV/0!</v>
      </c>
      <c r="B55" s="152" t="e">
        <f>HLOOKUP(D55,CALCULO!$Y$5:$EA$7,2,0)</f>
        <v>#DIV/0!</v>
      </c>
      <c r="C55" s="152" t="e">
        <f>HLOOKUP(D55,CALCULO!$Y$5:$EA$7,3,0)</f>
        <v>#DIV/0!</v>
      </c>
      <c r="D55" s="153" t="e">
        <f>VLOOKUP(E55,CALCULO!$L$15:$O$115,4,0)</f>
        <v>#DIV/0!</v>
      </c>
      <c r="E55" s="154" t="e">
        <f>SMALL(CALCULO!$L$15:$L$115,A29)</f>
        <v>#DIV/0!</v>
      </c>
      <c r="F55" s="83"/>
      <c r="J55" s="29"/>
    </row>
    <row r="56" spans="1:10" x14ac:dyDescent="0.25">
      <c r="A56" s="29"/>
      <c r="B56" s="29"/>
      <c r="C56" s="29"/>
      <c r="D56" s="29"/>
      <c r="E56" s="29"/>
      <c r="F56" s="30"/>
      <c r="G56" s="29"/>
      <c r="H56" s="29"/>
      <c r="I56" s="29"/>
      <c r="J56" s="29"/>
    </row>
  </sheetData>
  <mergeCells count="9">
    <mergeCell ref="K2:M2"/>
    <mergeCell ref="K11:M12"/>
    <mergeCell ref="H6:I7"/>
    <mergeCell ref="F6:G7"/>
    <mergeCell ref="F8:G9"/>
    <mergeCell ref="B6:B8"/>
    <mergeCell ref="C6:C8"/>
    <mergeCell ref="D6:E8"/>
    <mergeCell ref="H8:I9"/>
  </mergeCells>
  <conditionalFormatting sqref="B32:C55 E32:E55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H32:H33 H36:H37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F32:F55">
    <cfRule type="cellIs" dxfId="12" priority="9" operator="lessThan">
      <formula>-1</formula>
    </cfRule>
    <cfRule type="cellIs" dxfId="11" priority="10" operator="greaterThan">
      <formula>1</formula>
    </cfRule>
  </conditionalFormatting>
  <conditionalFormatting sqref="H8:I9">
    <cfRule type="cellIs" dxfId="10" priority="7" operator="lessThan">
      <formula>-100</formula>
    </cfRule>
    <cfRule type="cellIs" dxfId="9" priority="8" operator="greaterThan">
      <formula>100</formula>
    </cfRule>
  </conditionalFormatting>
  <conditionalFormatting sqref="F8:G9">
    <cfRule type="cellIs" dxfId="8" priority="3" operator="lessThan">
      <formula>0</formula>
    </cfRule>
    <cfRule type="cellIs" dxfId="7" priority="4" operator="greaterThan">
      <formula>0</formula>
    </cfRule>
  </conditionalFormatting>
  <conditionalFormatting sqref="C6:C8">
    <cfRule type="cellIs" dxfId="6" priority="1" operator="lessThan">
      <formula>0</formula>
    </cfRule>
    <cfRule type="cellIs" dxfId="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AD026-5A4B-43D0-979A-2B9115529A6D}">
  <sheetPr codeName="Planilha3"/>
  <dimension ref="A1:DT172"/>
  <sheetViews>
    <sheetView tabSelected="1" topLeftCell="R1" zoomScale="120" zoomScaleNormal="120" workbookViewId="0">
      <selection activeCell="C30" sqref="C30"/>
    </sheetView>
  </sheetViews>
  <sheetFormatPr defaultColWidth="8.85546875" defaultRowHeight="15" x14ac:dyDescent="0.25"/>
  <cols>
    <col min="1" max="1" width="8.85546875" style="7"/>
    <col min="2" max="2" width="9.42578125" style="12" bestFit="1" customWidth="1"/>
    <col min="3" max="3" width="13.42578125" style="12" bestFit="1" customWidth="1"/>
    <col min="4" max="4" width="9.85546875" style="12" bestFit="1" customWidth="1"/>
    <col min="5" max="5" width="22" style="12" bestFit="1" customWidth="1"/>
    <col min="6" max="6" width="18.140625" style="12" bestFit="1" customWidth="1"/>
    <col min="7" max="7" width="16.42578125" style="12" bestFit="1" customWidth="1"/>
    <col min="8" max="9" width="10.5703125" style="12" customWidth="1"/>
    <col min="10" max="10" width="12.28515625" style="12" bestFit="1" customWidth="1"/>
    <col min="11" max="12" width="10.5703125" style="12" customWidth="1"/>
    <col min="13" max="13" width="13.85546875" style="12" bestFit="1" customWidth="1"/>
    <col min="14" max="14" width="20.42578125" style="12" bestFit="1" customWidth="1"/>
    <col min="15" max="16" width="10.5703125" style="12" customWidth="1"/>
    <col min="17" max="17" width="10.5703125" style="7" customWidth="1"/>
    <col min="18" max="19" width="8.85546875" style="7"/>
    <col min="20" max="20" width="13" style="7" bestFit="1" customWidth="1"/>
    <col min="21" max="24" width="21.140625" style="7" bestFit="1" customWidth="1"/>
    <col min="25" max="25" width="18.5703125" style="127" bestFit="1" customWidth="1"/>
    <col min="26" max="26" width="16.28515625" style="127" bestFit="1" customWidth="1"/>
    <col min="27" max="27" width="18.5703125" style="127" bestFit="1" customWidth="1"/>
    <col min="28" max="28" width="19.42578125" style="127" bestFit="1" customWidth="1"/>
    <col min="29" max="29" width="18.5703125" style="127" bestFit="1" customWidth="1"/>
    <col min="30" max="30" width="16.85546875" style="127" bestFit="1" customWidth="1"/>
    <col min="31" max="31" width="19.42578125" style="127" bestFit="1" customWidth="1"/>
    <col min="32" max="32" width="18.5703125" style="127" bestFit="1" customWidth="1"/>
    <col min="33" max="33" width="19.42578125" style="127" bestFit="1" customWidth="1"/>
    <col min="34" max="34" width="18.28515625" style="127" bestFit="1" customWidth="1"/>
    <col min="35" max="35" width="18.5703125" style="127" bestFit="1" customWidth="1"/>
    <col min="36" max="37" width="15.28515625" style="127" bestFit="1" customWidth="1"/>
    <col min="38" max="38" width="16.28515625" style="127" bestFit="1" customWidth="1"/>
    <col min="39" max="40" width="15.28515625" style="127" bestFit="1" customWidth="1"/>
    <col min="41" max="46" width="16.28515625" style="127" bestFit="1" customWidth="1"/>
    <col min="47" max="47" width="15.28515625" style="127" bestFit="1" customWidth="1"/>
    <col min="48" max="49" width="16.28515625" style="127" bestFit="1" customWidth="1"/>
    <col min="50" max="50" width="15.28515625" style="127" bestFit="1" customWidth="1"/>
    <col min="51" max="55" width="16.28515625" style="127" bestFit="1" customWidth="1"/>
    <col min="56" max="56" width="15.28515625" style="127" bestFit="1" customWidth="1"/>
    <col min="57" max="59" width="16.28515625" style="127" bestFit="1" customWidth="1"/>
    <col min="60" max="62" width="15.28515625" style="127" bestFit="1" customWidth="1"/>
    <col min="63" max="63" width="16.28515625" style="127" bestFit="1" customWidth="1"/>
    <col min="64" max="66" width="15.28515625" style="127" bestFit="1" customWidth="1"/>
    <col min="67" max="67" width="16.28515625" style="127" bestFit="1" customWidth="1"/>
    <col min="68" max="68" width="15.28515625" style="127" bestFit="1" customWidth="1"/>
    <col min="69" max="69" width="16.28515625" style="127" bestFit="1" customWidth="1"/>
    <col min="70" max="71" width="15.28515625" style="127" bestFit="1" customWidth="1"/>
    <col min="72" max="73" width="16.28515625" style="127" bestFit="1" customWidth="1"/>
    <col min="74" max="74" width="15.28515625" style="127" bestFit="1" customWidth="1"/>
    <col min="75" max="76" width="16.28515625" style="127" bestFit="1" customWidth="1"/>
    <col min="77" max="77" width="15.28515625" style="127" bestFit="1" customWidth="1"/>
    <col min="78" max="83" width="16.28515625" style="127" bestFit="1" customWidth="1"/>
    <col min="84" max="86" width="15.28515625" style="127" bestFit="1" customWidth="1"/>
    <col min="87" max="87" width="16.28515625" style="127" bestFit="1" customWidth="1"/>
    <col min="88" max="88" width="15.28515625" style="127" bestFit="1" customWidth="1"/>
    <col min="89" max="89" width="16.28515625" style="127" bestFit="1" customWidth="1"/>
    <col min="90" max="90" width="15.28515625" style="127" bestFit="1" customWidth="1"/>
    <col min="91" max="91" width="16.28515625" style="127" bestFit="1" customWidth="1"/>
    <col min="92" max="92" width="15.28515625" style="127" bestFit="1" customWidth="1"/>
    <col min="93" max="93" width="16.28515625" style="127" bestFit="1" customWidth="1"/>
    <col min="94" max="94" width="15.28515625" style="127" bestFit="1" customWidth="1"/>
    <col min="95" max="95" width="16.28515625" style="127" bestFit="1" customWidth="1"/>
    <col min="96" max="96" width="15.28515625" style="127" bestFit="1" customWidth="1"/>
    <col min="97" max="97" width="16.28515625" style="127" bestFit="1" customWidth="1"/>
    <col min="98" max="98" width="15.28515625" style="127" bestFit="1" customWidth="1"/>
    <col min="99" max="99" width="16.28515625" style="127" bestFit="1" customWidth="1"/>
    <col min="100" max="100" width="15.28515625" style="127" bestFit="1" customWidth="1"/>
    <col min="101" max="101" width="18.5703125" style="127" bestFit="1" customWidth="1"/>
    <col min="102" max="102" width="17.42578125" style="127" bestFit="1" customWidth="1"/>
    <col min="103" max="103" width="16.28515625" style="127" bestFit="1" customWidth="1"/>
    <col min="104" max="105" width="15.28515625" style="127" bestFit="1" customWidth="1"/>
    <col min="106" max="107" width="16.28515625" style="127" bestFit="1" customWidth="1"/>
    <col min="108" max="108" width="15.28515625" style="127" bestFit="1" customWidth="1"/>
    <col min="109" max="109" width="16.28515625" style="127" bestFit="1" customWidth="1"/>
    <col min="110" max="112" width="15.28515625" style="127" bestFit="1" customWidth="1"/>
    <col min="113" max="113" width="16.28515625" style="127" bestFit="1" customWidth="1"/>
    <col min="114" max="115" width="15.28515625" style="127" bestFit="1" customWidth="1"/>
    <col min="116" max="116" width="16.28515625" style="127" bestFit="1" customWidth="1"/>
    <col min="117" max="118" width="15.28515625" style="127" bestFit="1" customWidth="1"/>
    <col min="119" max="119" width="16.28515625" style="127" bestFit="1" customWidth="1"/>
    <col min="120" max="120" width="17.42578125" style="127" bestFit="1" customWidth="1"/>
    <col min="121" max="124" width="16.28515625" style="127" bestFit="1" customWidth="1"/>
    <col min="125" max="16384" width="8.85546875" style="127"/>
  </cols>
  <sheetData>
    <row r="1" spans="1:124" x14ac:dyDescent="0.25">
      <c r="A1" s="2"/>
      <c r="B1" s="97" t="s">
        <v>228</v>
      </c>
      <c r="C1" s="19">
        <f>SUM(J15:J115)</f>
        <v>86936.00222854162</v>
      </c>
      <c r="E1" s="120" t="s">
        <v>258</v>
      </c>
      <c r="Q1" s="13"/>
    </row>
    <row r="2" spans="1:124" x14ac:dyDescent="0.25">
      <c r="A2" s="2"/>
      <c r="B2" s="97" t="s">
        <v>254</v>
      </c>
      <c r="C2" s="117">
        <f ca="1">VLOOKUP(NETWORKDAYS(TODAY(),J9,FERIADOS!$A$2:$A$939)-1,'TAXA DE JUROS'!A2:B3682,2,0)/100</f>
        <v>1.925E-2</v>
      </c>
      <c r="E2" s="121">
        <f ca="1">H9-N9-C3+C5</f>
        <v>15635.662572988833</v>
      </c>
      <c r="F2" s="14"/>
      <c r="Q2" s="13"/>
    </row>
    <row r="3" spans="1:124" x14ac:dyDescent="0.25">
      <c r="A3" s="2"/>
      <c r="B3" s="97" t="s">
        <v>227</v>
      </c>
      <c r="C3" s="98">
        <f ca="1">((C1*(1+C2)^((NETWORKDAYS(TODAY(),J9,FERIADOS!$A$2:$A$939)-1)/252)-C1))</f>
        <v>230.52930489103892</v>
      </c>
      <c r="E3" s="14"/>
      <c r="H3" s="14"/>
      <c r="Q3" s="13"/>
    </row>
    <row r="4" spans="1:124" x14ac:dyDescent="0.25">
      <c r="A4" s="2"/>
      <c r="B4" s="97" t="s">
        <v>255</v>
      </c>
      <c r="C4" s="119">
        <v>1.0999999999999999E-2</v>
      </c>
      <c r="E4" s="14"/>
      <c r="Q4" s="13"/>
    </row>
    <row r="5" spans="1:124" x14ac:dyDescent="0.25">
      <c r="A5" s="2"/>
      <c r="B5" s="97" t="s">
        <v>253</v>
      </c>
      <c r="C5" s="19">
        <f ca="1">((C1*(1+C4)^((NETWORKDAYS(TODAY(),J9,FERIADOS!$A$2:$A$939)-1)/252)-C1))</f>
        <v>132.1941064214916</v>
      </c>
      <c r="E5" s="14"/>
      <c r="Q5" s="13"/>
      <c r="U5" s="138" t="s">
        <v>283</v>
      </c>
      <c r="V5" s="138" t="s">
        <v>164</v>
      </c>
      <c r="W5" s="138" t="s">
        <v>284</v>
      </c>
      <c r="X5" s="139" t="s">
        <v>172</v>
      </c>
      <c r="Y5" s="5" t="s">
        <v>4</v>
      </c>
      <c r="Z5" s="5" t="s">
        <v>272</v>
      </c>
      <c r="AA5" s="5" t="s">
        <v>9</v>
      </c>
      <c r="AB5" s="5" t="s">
        <v>12</v>
      </c>
      <c r="AC5" s="5" t="s">
        <v>14</v>
      </c>
      <c r="AD5" s="5" t="s">
        <v>16</v>
      </c>
      <c r="AE5" s="5" t="s">
        <v>19</v>
      </c>
      <c r="AF5" s="5" t="s">
        <v>20</v>
      </c>
      <c r="AG5" s="5" t="s">
        <v>22</v>
      </c>
      <c r="AH5" s="5" t="s">
        <v>24</v>
      </c>
      <c r="AI5" s="5" t="s">
        <v>27</v>
      </c>
      <c r="AJ5" s="5" t="s">
        <v>29</v>
      </c>
      <c r="AK5" s="5" t="s">
        <v>31</v>
      </c>
      <c r="AL5" s="5" t="s">
        <v>33</v>
      </c>
      <c r="AM5" s="5" t="s">
        <v>36</v>
      </c>
      <c r="AN5" s="5" t="s">
        <v>38</v>
      </c>
      <c r="AO5" s="5" t="s">
        <v>40</v>
      </c>
      <c r="AP5" s="5" t="s">
        <v>43</v>
      </c>
      <c r="AQ5" s="5" t="s">
        <v>45</v>
      </c>
      <c r="AR5" s="5" t="s">
        <v>47</v>
      </c>
      <c r="AS5" s="5" t="s">
        <v>49</v>
      </c>
      <c r="AT5" s="5" t="s">
        <v>265</v>
      </c>
      <c r="AU5" s="5" t="s">
        <v>51</v>
      </c>
      <c r="AV5" s="5" t="s">
        <v>53</v>
      </c>
      <c r="AW5" s="5" t="s">
        <v>55</v>
      </c>
      <c r="AX5" s="5" t="s">
        <v>57</v>
      </c>
      <c r="AY5" s="5" t="s">
        <v>59</v>
      </c>
      <c r="AZ5" s="5" t="s">
        <v>61</v>
      </c>
      <c r="BA5" s="5" t="s">
        <v>63</v>
      </c>
      <c r="BB5" s="5" t="s">
        <v>65</v>
      </c>
      <c r="BC5" s="5" t="s">
        <v>67</v>
      </c>
      <c r="BD5" s="5" t="s">
        <v>68</v>
      </c>
      <c r="BE5" s="5" t="s">
        <v>70</v>
      </c>
      <c r="BF5" s="5" t="s">
        <v>264</v>
      </c>
      <c r="BG5" s="5" t="s">
        <v>72</v>
      </c>
      <c r="BH5" s="5" t="s">
        <v>74</v>
      </c>
      <c r="BI5" s="5" t="s">
        <v>76</v>
      </c>
      <c r="BJ5" s="5" t="s">
        <v>78</v>
      </c>
      <c r="BK5" s="5" t="s">
        <v>80</v>
      </c>
      <c r="BL5" s="5" t="s">
        <v>82</v>
      </c>
      <c r="BM5" s="5" t="s">
        <v>84</v>
      </c>
      <c r="BN5" s="5" t="s">
        <v>86</v>
      </c>
      <c r="BO5" s="5" t="s">
        <v>88</v>
      </c>
      <c r="BP5" s="5" t="s">
        <v>90</v>
      </c>
      <c r="BQ5" s="5" t="s">
        <v>92</v>
      </c>
      <c r="BR5" s="5" t="s">
        <v>94</v>
      </c>
      <c r="BS5" s="5" t="s">
        <v>96</v>
      </c>
      <c r="BT5" s="5" t="s">
        <v>98</v>
      </c>
      <c r="BU5" s="5" t="s">
        <v>100</v>
      </c>
      <c r="BV5" s="5" t="s">
        <v>102</v>
      </c>
      <c r="BW5" s="5" t="s">
        <v>266</v>
      </c>
      <c r="BX5" s="5" t="s">
        <v>104</v>
      </c>
      <c r="BY5" s="5" t="s">
        <v>107</v>
      </c>
      <c r="BZ5" s="5" t="s">
        <v>267</v>
      </c>
      <c r="CA5" s="5" t="s">
        <v>108</v>
      </c>
      <c r="CB5" s="5" t="s">
        <v>110</v>
      </c>
      <c r="CC5" s="5" t="s">
        <v>112</v>
      </c>
      <c r="CD5" s="5" t="s">
        <v>114</v>
      </c>
      <c r="CE5" s="5" t="s">
        <v>116</v>
      </c>
      <c r="CF5" s="5" t="s">
        <v>119</v>
      </c>
      <c r="CG5" s="5" t="s">
        <v>121</v>
      </c>
      <c r="CH5" s="5" t="s">
        <v>123</v>
      </c>
      <c r="CI5" s="5" t="s">
        <v>125</v>
      </c>
      <c r="CJ5" s="5" t="s">
        <v>126</v>
      </c>
      <c r="CK5" s="5" t="s">
        <v>128</v>
      </c>
      <c r="CL5" s="5" t="s">
        <v>130</v>
      </c>
      <c r="CM5" s="5" t="s">
        <v>132</v>
      </c>
      <c r="CN5" s="5" t="s">
        <v>134</v>
      </c>
      <c r="CO5" s="5" t="s">
        <v>136</v>
      </c>
      <c r="CP5" s="5" t="s">
        <v>138</v>
      </c>
      <c r="CQ5" s="5" t="s">
        <v>140</v>
      </c>
      <c r="CR5" s="5" t="s">
        <v>142</v>
      </c>
      <c r="CS5" s="5" t="s">
        <v>144</v>
      </c>
      <c r="CT5" s="5" t="s">
        <v>146</v>
      </c>
      <c r="CU5" s="5" t="s">
        <v>148</v>
      </c>
      <c r="CV5" s="5" t="s">
        <v>150</v>
      </c>
      <c r="CW5" s="5" t="s">
        <v>152</v>
      </c>
      <c r="CX5" s="5" t="s">
        <v>154</v>
      </c>
      <c r="CY5" s="5" t="s">
        <v>262</v>
      </c>
      <c r="CZ5" s="5" t="s">
        <v>157</v>
      </c>
      <c r="DA5" s="5" t="s">
        <v>159</v>
      </c>
    </row>
    <row r="6" spans="1:124" x14ac:dyDescent="0.25">
      <c r="A6" s="2"/>
      <c r="B6" s="97" t="s">
        <v>260</v>
      </c>
      <c r="C6" s="100">
        <f ca="1">H9-C3+C5</f>
        <v>102571.66480153045</v>
      </c>
      <c r="Q6" s="13"/>
      <c r="T6" s="132" t="s">
        <v>174</v>
      </c>
      <c r="U6" s="46" t="e">
        <f>SUM(U14:U41)</f>
        <v>#N/A</v>
      </c>
      <c r="V6" s="46" t="e">
        <f t="shared" ref="V6:CH6" si="0">SUM(V14:V41)</f>
        <v>#N/A</v>
      </c>
      <c r="W6" s="46" t="e">
        <f t="shared" si="0"/>
        <v>#N/A</v>
      </c>
      <c r="X6" s="46" t="e">
        <f t="shared" si="0"/>
        <v>#N/A</v>
      </c>
      <c r="Y6" s="145" t="e">
        <f t="shared" si="0"/>
        <v>#N/A</v>
      </c>
      <c r="Z6" s="145" t="e">
        <f>SUM(Z14:Z41)</f>
        <v>#N/A</v>
      </c>
      <c r="AA6" s="145" t="e">
        <f t="shared" si="0"/>
        <v>#N/A</v>
      </c>
      <c r="AB6" s="145" t="e">
        <f t="shared" si="0"/>
        <v>#N/A</v>
      </c>
      <c r="AC6" s="145" t="e">
        <f t="shared" si="0"/>
        <v>#N/A</v>
      </c>
      <c r="AD6" s="145" t="e">
        <f t="shared" si="0"/>
        <v>#N/A</v>
      </c>
      <c r="AE6" s="145" t="e">
        <f t="shared" si="0"/>
        <v>#N/A</v>
      </c>
      <c r="AF6" s="145" t="e">
        <f t="shared" si="0"/>
        <v>#N/A</v>
      </c>
      <c r="AG6" s="145" t="e">
        <f t="shared" si="0"/>
        <v>#N/A</v>
      </c>
      <c r="AH6" s="145" t="e">
        <f t="shared" si="0"/>
        <v>#N/A</v>
      </c>
      <c r="AI6" s="145" t="e">
        <f t="shared" si="0"/>
        <v>#N/A</v>
      </c>
      <c r="AJ6" s="145" t="e">
        <f t="shared" si="0"/>
        <v>#N/A</v>
      </c>
      <c r="AK6" s="145" t="e">
        <f t="shared" si="0"/>
        <v>#N/A</v>
      </c>
      <c r="AL6" s="145" t="e">
        <f t="shared" si="0"/>
        <v>#N/A</v>
      </c>
      <c r="AM6" s="145" t="e">
        <f t="shared" si="0"/>
        <v>#N/A</v>
      </c>
      <c r="AN6" s="145" t="e">
        <f t="shared" si="0"/>
        <v>#N/A</v>
      </c>
      <c r="AO6" s="145" t="e">
        <f t="shared" si="0"/>
        <v>#N/A</v>
      </c>
      <c r="AP6" s="145" t="e">
        <f t="shared" si="0"/>
        <v>#N/A</v>
      </c>
      <c r="AQ6" s="145" t="e">
        <f t="shared" si="0"/>
        <v>#N/A</v>
      </c>
      <c r="AR6" s="145" t="e">
        <f t="shared" si="0"/>
        <v>#N/A</v>
      </c>
      <c r="AS6" s="145" t="e">
        <f t="shared" si="0"/>
        <v>#N/A</v>
      </c>
      <c r="AT6" s="145" t="e">
        <f t="shared" si="0"/>
        <v>#N/A</v>
      </c>
      <c r="AU6" s="145" t="e">
        <f t="shared" si="0"/>
        <v>#N/A</v>
      </c>
      <c r="AV6" s="145" t="e">
        <f t="shared" si="0"/>
        <v>#N/A</v>
      </c>
      <c r="AW6" s="145" t="e">
        <f t="shared" si="0"/>
        <v>#N/A</v>
      </c>
      <c r="AX6" s="145" t="e">
        <f t="shared" si="0"/>
        <v>#N/A</v>
      </c>
      <c r="AY6" s="145" t="e">
        <f t="shared" si="0"/>
        <v>#N/A</v>
      </c>
      <c r="AZ6" s="145" t="e">
        <f t="shared" si="0"/>
        <v>#N/A</v>
      </c>
      <c r="BA6" s="145" t="e">
        <f t="shared" si="0"/>
        <v>#N/A</v>
      </c>
      <c r="BB6" s="145" t="e">
        <f t="shared" si="0"/>
        <v>#N/A</v>
      </c>
      <c r="BC6" s="145" t="e">
        <f t="shared" si="0"/>
        <v>#N/A</v>
      </c>
      <c r="BD6" s="145" t="e">
        <f t="shared" si="0"/>
        <v>#N/A</v>
      </c>
      <c r="BE6" s="145" t="e">
        <f t="shared" si="0"/>
        <v>#N/A</v>
      </c>
      <c r="BF6" s="145" t="e">
        <f t="shared" si="0"/>
        <v>#N/A</v>
      </c>
      <c r="BG6" s="145" t="e">
        <f t="shared" si="0"/>
        <v>#N/A</v>
      </c>
      <c r="BH6" s="145" t="e">
        <f t="shared" si="0"/>
        <v>#N/A</v>
      </c>
      <c r="BI6" s="145" t="e">
        <f t="shared" si="0"/>
        <v>#N/A</v>
      </c>
      <c r="BJ6" s="145" t="e">
        <f t="shared" si="0"/>
        <v>#N/A</v>
      </c>
      <c r="BK6" s="145" t="e">
        <f t="shared" si="0"/>
        <v>#N/A</v>
      </c>
      <c r="BL6" s="145" t="e">
        <f t="shared" si="0"/>
        <v>#N/A</v>
      </c>
      <c r="BM6" s="145" t="e">
        <f t="shared" si="0"/>
        <v>#N/A</v>
      </c>
      <c r="BN6" s="145" t="e">
        <f t="shared" si="0"/>
        <v>#N/A</v>
      </c>
      <c r="BO6" s="145" t="e">
        <f t="shared" si="0"/>
        <v>#N/A</v>
      </c>
      <c r="BP6" s="145" t="e">
        <f t="shared" si="0"/>
        <v>#N/A</v>
      </c>
      <c r="BQ6" s="145" t="e">
        <f t="shared" si="0"/>
        <v>#N/A</v>
      </c>
      <c r="BR6" s="145" t="e">
        <f t="shared" si="0"/>
        <v>#N/A</v>
      </c>
      <c r="BS6" s="145" t="e">
        <f t="shared" si="0"/>
        <v>#N/A</v>
      </c>
      <c r="BT6" s="145" t="e">
        <f t="shared" si="0"/>
        <v>#N/A</v>
      </c>
      <c r="BU6" s="145" t="e">
        <f t="shared" si="0"/>
        <v>#N/A</v>
      </c>
      <c r="BV6" s="145" t="e">
        <f t="shared" si="0"/>
        <v>#N/A</v>
      </c>
      <c r="BW6" s="145" t="e">
        <f t="shared" si="0"/>
        <v>#N/A</v>
      </c>
      <c r="BX6" s="145" t="e">
        <f t="shared" si="0"/>
        <v>#N/A</v>
      </c>
      <c r="BY6" s="145" t="e">
        <f t="shared" si="0"/>
        <v>#N/A</v>
      </c>
      <c r="BZ6" s="145" t="e">
        <f t="shared" si="0"/>
        <v>#N/A</v>
      </c>
      <c r="CA6" s="145" t="e">
        <f t="shared" si="0"/>
        <v>#N/A</v>
      </c>
      <c r="CB6" s="145" t="e">
        <f t="shared" si="0"/>
        <v>#N/A</v>
      </c>
      <c r="CC6" s="145" t="e">
        <f t="shared" si="0"/>
        <v>#N/A</v>
      </c>
      <c r="CD6" s="145" t="e">
        <f t="shared" si="0"/>
        <v>#N/A</v>
      </c>
      <c r="CE6" s="145" t="e">
        <f t="shared" si="0"/>
        <v>#N/A</v>
      </c>
      <c r="CF6" s="145" t="e">
        <f t="shared" si="0"/>
        <v>#N/A</v>
      </c>
      <c r="CG6" s="145" t="e">
        <f t="shared" si="0"/>
        <v>#N/A</v>
      </c>
      <c r="CH6" s="145" t="e">
        <f t="shared" si="0"/>
        <v>#N/A</v>
      </c>
      <c r="CI6" s="145" t="e">
        <f t="shared" ref="CI6:CX6" si="1">SUM(CI14:CI41)</f>
        <v>#N/A</v>
      </c>
      <c r="CJ6" s="145" t="e">
        <f t="shared" si="1"/>
        <v>#N/A</v>
      </c>
      <c r="CK6" s="145" t="e">
        <f t="shared" si="1"/>
        <v>#N/A</v>
      </c>
      <c r="CL6" s="145" t="e">
        <f t="shared" si="1"/>
        <v>#N/A</v>
      </c>
      <c r="CM6" s="145" t="e">
        <f t="shared" si="1"/>
        <v>#N/A</v>
      </c>
      <c r="CN6" s="145" t="e">
        <f t="shared" si="1"/>
        <v>#N/A</v>
      </c>
      <c r="CO6" s="145" t="e">
        <f t="shared" si="1"/>
        <v>#N/A</v>
      </c>
      <c r="CP6" s="145" t="e">
        <f t="shared" si="1"/>
        <v>#N/A</v>
      </c>
      <c r="CQ6" s="145" t="e">
        <f t="shared" si="1"/>
        <v>#N/A</v>
      </c>
      <c r="CR6" s="145" t="e">
        <f t="shared" si="1"/>
        <v>#N/A</v>
      </c>
      <c r="CS6" s="145" t="e">
        <f t="shared" si="1"/>
        <v>#N/A</v>
      </c>
      <c r="CT6" s="145" t="e">
        <f t="shared" si="1"/>
        <v>#N/A</v>
      </c>
      <c r="CU6" s="145" t="e">
        <f t="shared" si="1"/>
        <v>#N/A</v>
      </c>
      <c r="CV6" s="145" t="e">
        <f t="shared" si="1"/>
        <v>#N/A</v>
      </c>
      <c r="CW6" s="145" t="e">
        <f t="shared" si="1"/>
        <v>#N/A</v>
      </c>
      <c r="CX6" s="145" t="e">
        <f t="shared" si="1"/>
        <v>#N/A</v>
      </c>
      <c r="CY6" s="145" t="e">
        <f t="shared" ref="CY6:DA6" si="2">SUM(CY14:CY41)</f>
        <v>#N/A</v>
      </c>
      <c r="CZ6" s="145" t="e">
        <f t="shared" si="2"/>
        <v>#N/A</v>
      </c>
      <c r="DA6" s="145" t="e">
        <f t="shared" si="2"/>
        <v>#N/A</v>
      </c>
      <c r="DB6" s="128"/>
      <c r="DC6" s="128"/>
      <c r="DD6" s="128"/>
      <c r="DE6" s="128"/>
      <c r="DF6" s="128"/>
      <c r="DG6" s="128"/>
      <c r="DH6" s="128"/>
      <c r="DI6" s="128"/>
      <c r="DJ6" s="128"/>
      <c r="DK6" s="128"/>
      <c r="DL6" s="128"/>
      <c r="DM6" s="128"/>
      <c r="DN6" s="128"/>
      <c r="DO6" s="128"/>
      <c r="DP6" s="128"/>
      <c r="DQ6" s="128"/>
      <c r="DR6" s="128"/>
      <c r="DS6" s="128"/>
      <c r="DT6" s="128"/>
    </row>
    <row r="7" spans="1:124" x14ac:dyDescent="0.25">
      <c r="A7" s="2"/>
      <c r="Q7" s="13"/>
      <c r="T7" s="5" t="s">
        <v>176</v>
      </c>
      <c r="U7" s="46" t="e">
        <f>SUM(U42:U45)</f>
        <v>#N/A</v>
      </c>
      <c r="V7" s="46" t="e">
        <f t="shared" ref="V7:CH7" si="3">SUM(V42:V45)</f>
        <v>#N/A</v>
      </c>
      <c r="W7" s="46" t="e">
        <f t="shared" si="3"/>
        <v>#N/A</v>
      </c>
      <c r="X7" s="46" t="e">
        <f t="shared" si="3"/>
        <v>#N/A</v>
      </c>
      <c r="Y7" s="145" t="e">
        <f t="shared" si="3"/>
        <v>#N/A</v>
      </c>
      <c r="Z7" s="145" t="e">
        <f>SUM(Z42:Z45)</f>
        <v>#N/A</v>
      </c>
      <c r="AA7" s="145" t="e">
        <f t="shared" si="3"/>
        <v>#N/A</v>
      </c>
      <c r="AB7" s="145" t="e">
        <f t="shared" si="3"/>
        <v>#N/A</v>
      </c>
      <c r="AC7" s="145" t="e">
        <f t="shared" si="3"/>
        <v>#N/A</v>
      </c>
      <c r="AD7" s="145" t="e">
        <f t="shared" si="3"/>
        <v>#N/A</v>
      </c>
      <c r="AE7" s="145" t="e">
        <f t="shared" si="3"/>
        <v>#N/A</v>
      </c>
      <c r="AF7" s="145" t="e">
        <f t="shared" si="3"/>
        <v>#N/A</v>
      </c>
      <c r="AG7" s="145" t="e">
        <f t="shared" si="3"/>
        <v>#N/A</v>
      </c>
      <c r="AH7" s="145" t="e">
        <f t="shared" si="3"/>
        <v>#N/A</v>
      </c>
      <c r="AI7" s="145" t="e">
        <f t="shared" si="3"/>
        <v>#N/A</v>
      </c>
      <c r="AJ7" s="145" t="e">
        <f t="shared" si="3"/>
        <v>#N/A</v>
      </c>
      <c r="AK7" s="145" t="e">
        <f t="shared" si="3"/>
        <v>#N/A</v>
      </c>
      <c r="AL7" s="145" t="e">
        <f t="shared" si="3"/>
        <v>#N/A</v>
      </c>
      <c r="AM7" s="145" t="e">
        <f t="shared" si="3"/>
        <v>#N/A</v>
      </c>
      <c r="AN7" s="145" t="e">
        <f t="shared" si="3"/>
        <v>#N/A</v>
      </c>
      <c r="AO7" s="145" t="e">
        <f t="shared" si="3"/>
        <v>#N/A</v>
      </c>
      <c r="AP7" s="145" t="e">
        <f t="shared" si="3"/>
        <v>#N/A</v>
      </c>
      <c r="AQ7" s="145" t="e">
        <f t="shared" si="3"/>
        <v>#N/A</v>
      </c>
      <c r="AR7" s="145" t="e">
        <f t="shared" si="3"/>
        <v>#N/A</v>
      </c>
      <c r="AS7" s="145" t="e">
        <f t="shared" si="3"/>
        <v>#N/A</v>
      </c>
      <c r="AT7" s="145" t="e">
        <f t="shared" si="3"/>
        <v>#N/A</v>
      </c>
      <c r="AU7" s="145" t="e">
        <f t="shared" si="3"/>
        <v>#N/A</v>
      </c>
      <c r="AV7" s="145" t="e">
        <f t="shared" si="3"/>
        <v>#N/A</v>
      </c>
      <c r="AW7" s="145" t="e">
        <f t="shared" si="3"/>
        <v>#N/A</v>
      </c>
      <c r="AX7" s="145" t="e">
        <f t="shared" si="3"/>
        <v>#N/A</v>
      </c>
      <c r="AY7" s="145" t="e">
        <f t="shared" si="3"/>
        <v>#N/A</v>
      </c>
      <c r="AZ7" s="145" t="e">
        <f t="shared" si="3"/>
        <v>#N/A</v>
      </c>
      <c r="BA7" s="145" t="e">
        <f t="shared" si="3"/>
        <v>#N/A</v>
      </c>
      <c r="BB7" s="145" t="e">
        <f t="shared" si="3"/>
        <v>#N/A</v>
      </c>
      <c r="BC7" s="145" t="e">
        <f t="shared" si="3"/>
        <v>#N/A</v>
      </c>
      <c r="BD7" s="145" t="e">
        <f t="shared" si="3"/>
        <v>#N/A</v>
      </c>
      <c r="BE7" s="145" t="e">
        <f t="shared" si="3"/>
        <v>#N/A</v>
      </c>
      <c r="BF7" s="145" t="e">
        <f t="shared" si="3"/>
        <v>#N/A</v>
      </c>
      <c r="BG7" s="145" t="e">
        <f t="shared" si="3"/>
        <v>#N/A</v>
      </c>
      <c r="BH7" s="145" t="e">
        <f t="shared" si="3"/>
        <v>#N/A</v>
      </c>
      <c r="BI7" s="145" t="e">
        <f t="shared" si="3"/>
        <v>#N/A</v>
      </c>
      <c r="BJ7" s="145" t="e">
        <f t="shared" si="3"/>
        <v>#N/A</v>
      </c>
      <c r="BK7" s="145" t="e">
        <f t="shared" si="3"/>
        <v>#N/A</v>
      </c>
      <c r="BL7" s="145" t="e">
        <f t="shared" si="3"/>
        <v>#N/A</v>
      </c>
      <c r="BM7" s="145" t="e">
        <f t="shared" si="3"/>
        <v>#N/A</v>
      </c>
      <c r="BN7" s="145" t="e">
        <f t="shared" si="3"/>
        <v>#N/A</v>
      </c>
      <c r="BO7" s="145" t="e">
        <f t="shared" si="3"/>
        <v>#N/A</v>
      </c>
      <c r="BP7" s="145" t="e">
        <f t="shared" si="3"/>
        <v>#N/A</v>
      </c>
      <c r="BQ7" s="145" t="e">
        <f t="shared" si="3"/>
        <v>#N/A</v>
      </c>
      <c r="BR7" s="145" t="e">
        <f t="shared" si="3"/>
        <v>#N/A</v>
      </c>
      <c r="BS7" s="145" t="e">
        <f t="shared" si="3"/>
        <v>#N/A</v>
      </c>
      <c r="BT7" s="145" t="e">
        <f t="shared" si="3"/>
        <v>#N/A</v>
      </c>
      <c r="BU7" s="145" t="e">
        <f t="shared" si="3"/>
        <v>#N/A</v>
      </c>
      <c r="BV7" s="145" t="e">
        <f t="shared" si="3"/>
        <v>#N/A</v>
      </c>
      <c r="BW7" s="145" t="e">
        <f t="shared" si="3"/>
        <v>#N/A</v>
      </c>
      <c r="BX7" s="145" t="e">
        <f t="shared" si="3"/>
        <v>#N/A</v>
      </c>
      <c r="BY7" s="145" t="e">
        <f t="shared" si="3"/>
        <v>#N/A</v>
      </c>
      <c r="BZ7" s="145" t="e">
        <f t="shared" si="3"/>
        <v>#N/A</v>
      </c>
      <c r="CA7" s="145" t="e">
        <f t="shared" si="3"/>
        <v>#N/A</v>
      </c>
      <c r="CB7" s="145" t="e">
        <f t="shared" si="3"/>
        <v>#N/A</v>
      </c>
      <c r="CC7" s="145" t="e">
        <f t="shared" si="3"/>
        <v>#N/A</v>
      </c>
      <c r="CD7" s="145" t="e">
        <f t="shared" si="3"/>
        <v>#N/A</v>
      </c>
      <c r="CE7" s="145" t="e">
        <f t="shared" si="3"/>
        <v>#N/A</v>
      </c>
      <c r="CF7" s="145" t="e">
        <f t="shared" si="3"/>
        <v>#N/A</v>
      </c>
      <c r="CG7" s="145" t="e">
        <f t="shared" si="3"/>
        <v>#N/A</v>
      </c>
      <c r="CH7" s="145" t="e">
        <f t="shared" si="3"/>
        <v>#N/A</v>
      </c>
      <c r="CI7" s="145" t="e">
        <f t="shared" ref="CI7:CX7" si="4">SUM(CI42:CI45)</f>
        <v>#N/A</v>
      </c>
      <c r="CJ7" s="145" t="e">
        <f t="shared" si="4"/>
        <v>#N/A</v>
      </c>
      <c r="CK7" s="145" t="e">
        <f t="shared" si="4"/>
        <v>#N/A</v>
      </c>
      <c r="CL7" s="145" t="e">
        <f t="shared" si="4"/>
        <v>#N/A</v>
      </c>
      <c r="CM7" s="145" t="e">
        <f t="shared" si="4"/>
        <v>#N/A</v>
      </c>
      <c r="CN7" s="145" t="e">
        <f t="shared" si="4"/>
        <v>#N/A</v>
      </c>
      <c r="CO7" s="145" t="e">
        <f t="shared" si="4"/>
        <v>#N/A</v>
      </c>
      <c r="CP7" s="145" t="e">
        <f t="shared" si="4"/>
        <v>#N/A</v>
      </c>
      <c r="CQ7" s="145" t="e">
        <f t="shared" si="4"/>
        <v>#N/A</v>
      </c>
      <c r="CR7" s="145" t="e">
        <f t="shared" si="4"/>
        <v>#N/A</v>
      </c>
      <c r="CS7" s="145" t="e">
        <f t="shared" si="4"/>
        <v>#N/A</v>
      </c>
      <c r="CT7" s="145" t="e">
        <f t="shared" si="4"/>
        <v>#N/A</v>
      </c>
      <c r="CU7" s="145" t="e">
        <f t="shared" si="4"/>
        <v>#N/A</v>
      </c>
      <c r="CV7" s="145" t="e">
        <f t="shared" si="4"/>
        <v>#N/A</v>
      </c>
      <c r="CW7" s="145" t="e">
        <f t="shared" si="4"/>
        <v>#N/A</v>
      </c>
      <c r="CX7" s="145" t="e">
        <f t="shared" si="4"/>
        <v>#N/A</v>
      </c>
      <c r="CY7" s="145" t="e">
        <f t="shared" ref="CY7:DA7" si="5">SUM(CY42:CY45)</f>
        <v>#N/A</v>
      </c>
      <c r="CZ7" s="145" t="e">
        <f t="shared" si="5"/>
        <v>#N/A</v>
      </c>
      <c r="DA7" s="145" t="e">
        <f t="shared" si="5"/>
        <v>#N/A</v>
      </c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</row>
    <row r="8" spans="1:124" x14ac:dyDescent="0.25">
      <c r="A8" s="2"/>
      <c r="B8" s="4" t="s">
        <v>165</v>
      </c>
      <c r="C8" s="97" t="s">
        <v>226</v>
      </c>
      <c r="D8" s="4" t="s">
        <v>167</v>
      </c>
      <c r="E8" s="4" t="s">
        <v>219</v>
      </c>
      <c r="F8" s="4" t="s">
        <v>221</v>
      </c>
      <c r="G8" s="4" t="s">
        <v>222</v>
      </c>
      <c r="H8" s="4" t="s">
        <v>223</v>
      </c>
      <c r="I8" s="4" t="s">
        <v>175</v>
      </c>
      <c r="J8" s="91" t="s">
        <v>229</v>
      </c>
      <c r="K8" s="4"/>
      <c r="L8" s="4" t="s">
        <v>212</v>
      </c>
      <c r="M8" s="82"/>
      <c r="N8" s="90" t="s">
        <v>259</v>
      </c>
      <c r="O8" s="90"/>
      <c r="P8" s="90"/>
      <c r="Q8" s="13"/>
      <c r="U8" s="138" t="s">
        <v>283</v>
      </c>
      <c r="V8" s="138" t="s">
        <v>164</v>
      </c>
      <c r="W8" s="138" t="s">
        <v>284</v>
      </c>
      <c r="X8" s="139" t="s">
        <v>172</v>
      </c>
      <c r="Y8" s="5" t="s">
        <v>4</v>
      </c>
      <c r="Z8" s="5" t="s">
        <v>272</v>
      </c>
      <c r="AA8" s="5" t="s">
        <v>9</v>
      </c>
      <c r="AB8" s="5" t="s">
        <v>12</v>
      </c>
      <c r="AC8" s="5" t="s">
        <v>14</v>
      </c>
      <c r="AD8" s="5" t="s">
        <v>16</v>
      </c>
      <c r="AE8" s="5" t="s">
        <v>19</v>
      </c>
      <c r="AF8" s="5" t="s">
        <v>20</v>
      </c>
      <c r="AG8" s="5" t="s">
        <v>22</v>
      </c>
      <c r="AH8" s="5" t="s">
        <v>24</v>
      </c>
      <c r="AI8" s="5" t="s">
        <v>27</v>
      </c>
      <c r="AJ8" s="5" t="s">
        <v>29</v>
      </c>
      <c r="AK8" s="5" t="s">
        <v>31</v>
      </c>
      <c r="AL8" s="5" t="s">
        <v>33</v>
      </c>
      <c r="AM8" s="5" t="s">
        <v>36</v>
      </c>
      <c r="AN8" s="5" t="s">
        <v>38</v>
      </c>
      <c r="AO8" s="5" t="s">
        <v>40</v>
      </c>
      <c r="AP8" s="5" t="s">
        <v>43</v>
      </c>
      <c r="AQ8" s="5" t="s">
        <v>45</v>
      </c>
      <c r="AR8" s="5" t="s">
        <v>47</v>
      </c>
      <c r="AS8" s="5" t="s">
        <v>49</v>
      </c>
      <c r="AT8" s="5" t="s">
        <v>265</v>
      </c>
      <c r="AU8" s="5" t="s">
        <v>51</v>
      </c>
      <c r="AV8" s="5" t="s">
        <v>53</v>
      </c>
      <c r="AW8" s="5" t="s">
        <v>55</v>
      </c>
      <c r="AX8" s="5" t="s">
        <v>57</v>
      </c>
      <c r="AY8" s="5" t="s">
        <v>59</v>
      </c>
      <c r="AZ8" s="5" t="s">
        <v>61</v>
      </c>
      <c r="BA8" s="5" t="s">
        <v>63</v>
      </c>
      <c r="BB8" s="5" t="s">
        <v>65</v>
      </c>
      <c r="BC8" s="5" t="s">
        <v>67</v>
      </c>
      <c r="BD8" s="5" t="s">
        <v>68</v>
      </c>
      <c r="BE8" s="5" t="s">
        <v>70</v>
      </c>
      <c r="BF8" s="5" t="s">
        <v>264</v>
      </c>
      <c r="BG8" s="5" t="s">
        <v>72</v>
      </c>
      <c r="BH8" s="5" t="s">
        <v>74</v>
      </c>
      <c r="BI8" s="5" t="s">
        <v>76</v>
      </c>
      <c r="BJ8" s="5" t="s">
        <v>78</v>
      </c>
      <c r="BK8" s="5" t="s">
        <v>80</v>
      </c>
      <c r="BL8" s="5" t="s">
        <v>82</v>
      </c>
      <c r="BM8" s="5" t="s">
        <v>84</v>
      </c>
      <c r="BN8" s="5" t="s">
        <v>86</v>
      </c>
      <c r="BO8" s="5" t="s">
        <v>88</v>
      </c>
      <c r="BP8" s="5" t="s">
        <v>90</v>
      </c>
      <c r="BQ8" s="5" t="s">
        <v>92</v>
      </c>
      <c r="BR8" s="5" t="s">
        <v>94</v>
      </c>
      <c r="BS8" s="5" t="s">
        <v>96</v>
      </c>
      <c r="BT8" s="5" t="s">
        <v>98</v>
      </c>
      <c r="BU8" s="5" t="s">
        <v>100</v>
      </c>
      <c r="BV8" s="5" t="s">
        <v>102</v>
      </c>
      <c r="BW8" s="5" t="s">
        <v>266</v>
      </c>
      <c r="BX8" s="5" t="s">
        <v>104</v>
      </c>
      <c r="BY8" s="5" t="s">
        <v>107</v>
      </c>
      <c r="BZ8" s="5" t="s">
        <v>267</v>
      </c>
      <c r="CA8" s="5" t="s">
        <v>108</v>
      </c>
      <c r="CB8" s="5" t="s">
        <v>110</v>
      </c>
      <c r="CC8" s="5" t="s">
        <v>112</v>
      </c>
      <c r="CD8" s="5" t="s">
        <v>114</v>
      </c>
      <c r="CE8" s="5" t="s">
        <v>116</v>
      </c>
      <c r="CF8" s="5" t="s">
        <v>119</v>
      </c>
      <c r="CG8" s="5" t="s">
        <v>121</v>
      </c>
      <c r="CH8" s="5" t="s">
        <v>123</v>
      </c>
      <c r="CI8" s="5" t="s">
        <v>125</v>
      </c>
      <c r="CJ8" s="5" t="s">
        <v>126</v>
      </c>
      <c r="CK8" s="5" t="s">
        <v>128</v>
      </c>
      <c r="CL8" s="5" t="s">
        <v>130</v>
      </c>
      <c r="CM8" s="5" t="s">
        <v>132</v>
      </c>
      <c r="CN8" s="5" t="s">
        <v>134</v>
      </c>
      <c r="CO8" s="5" t="s">
        <v>136</v>
      </c>
      <c r="CP8" s="5" t="s">
        <v>138</v>
      </c>
      <c r="CQ8" s="5" t="s">
        <v>140</v>
      </c>
      <c r="CR8" s="5" t="s">
        <v>142</v>
      </c>
      <c r="CS8" s="5" t="s">
        <v>144</v>
      </c>
      <c r="CT8" s="5" t="s">
        <v>146</v>
      </c>
      <c r="CU8" s="5" t="s">
        <v>148</v>
      </c>
      <c r="CV8" s="5" t="s">
        <v>150</v>
      </c>
      <c r="CW8" s="5" t="s">
        <v>152</v>
      </c>
      <c r="CX8" s="5" t="s">
        <v>154</v>
      </c>
      <c r="CY8" s="5" t="s">
        <v>262</v>
      </c>
      <c r="CZ8" s="5" t="s">
        <v>157</v>
      </c>
      <c r="DA8" s="5" t="s">
        <v>159</v>
      </c>
    </row>
    <row r="9" spans="1:124" ht="14.45" customHeight="1" x14ac:dyDescent="0.25">
      <c r="A9" s="2"/>
      <c r="B9" s="12" t="s">
        <v>164</v>
      </c>
      <c r="C9" s="12">
        <f>RTD("rtdtrading.rtdserver",, "WINFUT_F_0", "ULT")</f>
        <v>102680</v>
      </c>
      <c r="D9" s="12">
        <f>RTD("rtdtrading.rtdserver",, "WINFUT_F_0", "ABE")</f>
        <v>102900</v>
      </c>
      <c r="E9" s="12">
        <f>RTD("rtdtrading.rtdserver",, "WINFUT_F_0", "FEC")</f>
        <v>103410</v>
      </c>
      <c r="F9" s="12">
        <f>RTD("rtdtrading.rtdserver",, "WINFUT_F_0", "OCP")</f>
        <v>102665</v>
      </c>
      <c r="G9" s="12">
        <f>RTD("rtdtrading.rtdserver",, "WINFUT_F_0", "OVD")</f>
        <v>102675</v>
      </c>
      <c r="H9" s="12">
        <f>(F9+G9)/2</f>
        <v>102670</v>
      </c>
      <c r="I9" s="14">
        <f>(H9/E9)-1</f>
        <v>-7.1559810463204254E-3</v>
      </c>
      <c r="J9" s="118">
        <v>44622</v>
      </c>
      <c r="L9" s="14" t="e">
        <f>AVERAGE(L15:L115)</f>
        <v>#DIV/0!</v>
      </c>
      <c r="M9" s="14"/>
      <c r="N9" s="100">
        <f>SUM(N15:N115)</f>
        <v>86936.00222854162</v>
      </c>
      <c r="O9" s="14"/>
      <c r="P9" s="14"/>
      <c r="Q9" s="13"/>
      <c r="Y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129"/>
      <c r="BH9" s="129"/>
      <c r="BI9" s="129"/>
      <c r="BJ9" s="129"/>
      <c r="BK9" s="129"/>
      <c r="BL9" s="129"/>
      <c r="BM9" s="129"/>
      <c r="BN9" s="129"/>
      <c r="BO9" s="129"/>
      <c r="BP9" s="129"/>
      <c r="BQ9" s="129"/>
      <c r="BR9" s="129"/>
      <c r="BS9" s="129"/>
      <c r="BT9" s="129"/>
      <c r="BU9" s="129"/>
      <c r="BV9" s="129"/>
      <c r="BW9" s="129"/>
      <c r="BX9" s="129"/>
      <c r="BY9" s="129"/>
      <c r="BZ9" s="129"/>
      <c r="CA9" s="129"/>
      <c r="CB9" s="129"/>
      <c r="CC9" s="129"/>
      <c r="CD9" s="129"/>
      <c r="CE9" s="129"/>
      <c r="CF9" s="129"/>
      <c r="CG9" s="129"/>
      <c r="CH9" s="129"/>
      <c r="CI9" s="129"/>
      <c r="CJ9" s="129"/>
      <c r="CK9" s="129"/>
      <c r="CL9" s="129"/>
      <c r="CM9" s="129"/>
      <c r="CN9" s="129"/>
      <c r="CO9" s="129"/>
      <c r="CP9" s="129"/>
      <c r="CQ9" s="129"/>
      <c r="CR9" s="129"/>
      <c r="CS9" s="129"/>
      <c r="CT9" s="129"/>
      <c r="CU9" s="129"/>
      <c r="CV9" s="129"/>
      <c r="CW9" s="129"/>
      <c r="CX9" s="129"/>
    </row>
    <row r="10" spans="1:124" x14ac:dyDescent="0.25">
      <c r="A10" s="2"/>
      <c r="B10" s="12" t="s">
        <v>172</v>
      </c>
      <c r="C10" s="12">
        <f>RTD("rtdtrading.rtdserver",, "WDOFUT_F_0", "ULT")</f>
        <v>5676.5</v>
      </c>
      <c r="D10" s="12">
        <f>RTD("rtdtrading.rtdserver",, "WDOFUT_F_0", "ABE")</f>
        <v>5673.5</v>
      </c>
      <c r="E10" s="12">
        <f>RTD("rtdtrading.rtdserver",, "WDOFUT_F_0", "FEC")</f>
        <v>5666.0000000000009</v>
      </c>
      <c r="F10" s="12">
        <f>RTD("rtdtrading.rtdserver",, "WDOFUT_F_0", "OCP")</f>
        <v>5676.5</v>
      </c>
      <c r="G10" s="12">
        <f>RTD("rtdtrading.rtdserver",, "WDOFUT_F_0", "OVD")</f>
        <v>5677</v>
      </c>
      <c r="H10" s="12">
        <f>(F10+G10)/2</f>
        <v>5676.75</v>
      </c>
      <c r="I10" s="14">
        <f>(H10/E10)-1</f>
        <v>1.897282033180181E-3</v>
      </c>
      <c r="J10" s="14"/>
      <c r="L10" s="14"/>
      <c r="M10" s="14"/>
      <c r="N10" s="14"/>
      <c r="O10" s="14"/>
      <c r="P10" s="14"/>
      <c r="Q10" s="13"/>
      <c r="Y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29"/>
      <c r="BF10" s="129"/>
      <c r="BG10" s="129"/>
      <c r="BH10" s="129"/>
      <c r="BI10" s="129"/>
      <c r="BJ10" s="129"/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29"/>
      <c r="CH10" s="129"/>
      <c r="CI10" s="129"/>
      <c r="CJ10" s="129"/>
      <c r="CK10" s="129"/>
      <c r="CL10" s="129"/>
      <c r="CM10" s="129"/>
      <c r="CN10" s="129"/>
      <c r="CO10" s="129"/>
      <c r="CP10" s="129"/>
      <c r="CQ10" s="129"/>
      <c r="CR10" s="129"/>
      <c r="CS10" s="129"/>
      <c r="CT10" s="129"/>
      <c r="CU10" s="129"/>
      <c r="CV10" s="129"/>
      <c r="CW10" s="129"/>
      <c r="CX10" s="129"/>
    </row>
    <row r="11" spans="1:124" x14ac:dyDescent="0.25">
      <c r="A11" s="2"/>
      <c r="L11" s="14"/>
      <c r="M11" s="14"/>
      <c r="N11" s="14"/>
      <c r="O11" s="14"/>
      <c r="P11" s="14"/>
      <c r="Q11" s="13"/>
    </row>
    <row r="12" spans="1:124" x14ac:dyDescent="0.25">
      <c r="A12" s="2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3"/>
      <c r="R12" s="2"/>
      <c r="S12" s="2"/>
      <c r="T12" s="2"/>
      <c r="U12" s="2"/>
      <c r="V12" s="2"/>
      <c r="W12" s="2"/>
      <c r="X12" s="2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</row>
    <row r="13" spans="1:124" x14ac:dyDescent="0.25">
      <c r="A13" s="2"/>
      <c r="Q13" s="13"/>
      <c r="U13" s="138" t="s">
        <v>283</v>
      </c>
      <c r="V13" s="138" t="s">
        <v>164</v>
      </c>
      <c r="W13" s="138" t="s">
        <v>284</v>
      </c>
      <c r="X13" s="139" t="s">
        <v>172</v>
      </c>
      <c r="Y13" s="6" t="s">
        <v>4</v>
      </c>
      <c r="Z13" s="6" t="s">
        <v>272</v>
      </c>
      <c r="AA13" s="6" t="s">
        <v>9</v>
      </c>
      <c r="AB13" s="6" t="s">
        <v>12</v>
      </c>
      <c r="AC13" s="6" t="s">
        <v>14</v>
      </c>
      <c r="AD13" s="6" t="s">
        <v>16</v>
      </c>
      <c r="AE13" s="6" t="s">
        <v>19</v>
      </c>
      <c r="AF13" s="6" t="s">
        <v>20</v>
      </c>
      <c r="AG13" s="6" t="s">
        <v>22</v>
      </c>
      <c r="AH13" s="6" t="s">
        <v>24</v>
      </c>
      <c r="AI13" s="6" t="s">
        <v>27</v>
      </c>
      <c r="AJ13" s="6" t="s">
        <v>29</v>
      </c>
      <c r="AK13" s="6" t="s">
        <v>31</v>
      </c>
      <c r="AL13" s="6" t="s">
        <v>33</v>
      </c>
      <c r="AM13" s="6" t="s">
        <v>36</v>
      </c>
      <c r="AN13" s="6" t="s">
        <v>38</v>
      </c>
      <c r="AO13" s="6" t="s">
        <v>40</v>
      </c>
      <c r="AP13" s="6" t="s">
        <v>43</v>
      </c>
      <c r="AQ13" s="6" t="s">
        <v>45</v>
      </c>
      <c r="AR13" s="6" t="s">
        <v>47</v>
      </c>
      <c r="AS13" s="6" t="s">
        <v>49</v>
      </c>
      <c r="AT13" s="6" t="s">
        <v>265</v>
      </c>
      <c r="AU13" s="6" t="s">
        <v>51</v>
      </c>
      <c r="AV13" s="6" t="s">
        <v>53</v>
      </c>
      <c r="AW13" s="6" t="s">
        <v>55</v>
      </c>
      <c r="AX13" s="6" t="s">
        <v>57</v>
      </c>
      <c r="AY13" s="6" t="s">
        <v>59</v>
      </c>
      <c r="AZ13" s="6" t="s">
        <v>61</v>
      </c>
      <c r="BA13" s="6" t="s">
        <v>63</v>
      </c>
      <c r="BB13" s="6" t="s">
        <v>65</v>
      </c>
      <c r="BC13" s="6" t="s">
        <v>67</v>
      </c>
      <c r="BD13" s="6" t="s">
        <v>68</v>
      </c>
      <c r="BE13" s="6" t="s">
        <v>70</v>
      </c>
      <c r="BF13" s="6" t="s">
        <v>264</v>
      </c>
      <c r="BG13" s="6" t="s">
        <v>72</v>
      </c>
      <c r="BH13" s="6" t="s">
        <v>74</v>
      </c>
      <c r="BI13" s="6" t="s">
        <v>76</v>
      </c>
      <c r="BJ13" s="6" t="s">
        <v>78</v>
      </c>
      <c r="BK13" s="6" t="s">
        <v>80</v>
      </c>
      <c r="BL13" s="6" t="s">
        <v>82</v>
      </c>
      <c r="BM13" s="6" t="s">
        <v>84</v>
      </c>
      <c r="BN13" s="6" t="s">
        <v>86</v>
      </c>
      <c r="BO13" s="6" t="s">
        <v>88</v>
      </c>
      <c r="BP13" s="6" t="s">
        <v>90</v>
      </c>
      <c r="BQ13" s="6" t="s">
        <v>92</v>
      </c>
      <c r="BR13" s="6" t="s">
        <v>94</v>
      </c>
      <c r="BS13" s="6" t="s">
        <v>96</v>
      </c>
      <c r="BT13" s="6" t="s">
        <v>98</v>
      </c>
      <c r="BU13" s="6" t="s">
        <v>100</v>
      </c>
      <c r="BV13" s="6" t="s">
        <v>102</v>
      </c>
      <c r="BW13" s="6" t="s">
        <v>266</v>
      </c>
      <c r="BX13" s="6" t="s">
        <v>104</v>
      </c>
      <c r="BY13" s="6" t="s">
        <v>107</v>
      </c>
      <c r="BZ13" s="6" t="s">
        <v>267</v>
      </c>
      <c r="CA13" s="6" t="s">
        <v>108</v>
      </c>
      <c r="CB13" s="6" t="s">
        <v>110</v>
      </c>
      <c r="CC13" s="6" t="s">
        <v>112</v>
      </c>
      <c r="CD13" s="6" t="s">
        <v>114</v>
      </c>
      <c r="CE13" s="6" t="s">
        <v>116</v>
      </c>
      <c r="CF13" s="6" t="s">
        <v>119</v>
      </c>
      <c r="CG13" s="6" t="s">
        <v>121</v>
      </c>
      <c r="CH13" s="6" t="s">
        <v>123</v>
      </c>
      <c r="CI13" s="6" t="s">
        <v>125</v>
      </c>
      <c r="CJ13" s="6" t="s">
        <v>126</v>
      </c>
      <c r="CK13" s="6" t="s">
        <v>128</v>
      </c>
      <c r="CL13" s="6" t="s">
        <v>130</v>
      </c>
      <c r="CM13" s="6" t="s">
        <v>132</v>
      </c>
      <c r="CN13" s="6" t="s">
        <v>134</v>
      </c>
      <c r="CO13" s="6" t="s">
        <v>136</v>
      </c>
      <c r="CP13" s="6" t="s">
        <v>138</v>
      </c>
      <c r="CQ13" s="6" t="s">
        <v>140</v>
      </c>
      <c r="CR13" s="6" t="s">
        <v>142</v>
      </c>
      <c r="CS13" s="6" t="s">
        <v>144</v>
      </c>
      <c r="CT13" s="6" t="s">
        <v>146</v>
      </c>
      <c r="CU13" s="6" t="s">
        <v>148</v>
      </c>
      <c r="CV13" s="6" t="s">
        <v>150</v>
      </c>
      <c r="CW13" s="6" t="s">
        <v>152</v>
      </c>
      <c r="CX13" s="6" t="s">
        <v>154</v>
      </c>
      <c r="CY13" s="6" t="s">
        <v>262</v>
      </c>
      <c r="CZ13" s="6" t="s">
        <v>157</v>
      </c>
      <c r="DA13" s="6" t="s">
        <v>159</v>
      </c>
    </row>
    <row r="14" spans="1:124" x14ac:dyDescent="0.25">
      <c r="A14" s="2"/>
      <c r="B14" s="4" t="s">
        <v>165</v>
      </c>
      <c r="C14" s="97" t="s">
        <v>226</v>
      </c>
      <c r="D14" s="4" t="s">
        <v>167</v>
      </c>
      <c r="E14" s="4" t="s">
        <v>219</v>
      </c>
      <c r="F14" s="4" t="s">
        <v>221</v>
      </c>
      <c r="G14" s="4" t="s">
        <v>222</v>
      </c>
      <c r="H14" s="4" t="s">
        <v>223</v>
      </c>
      <c r="I14" s="4" t="s">
        <v>175</v>
      </c>
      <c r="J14" s="91" t="s">
        <v>220</v>
      </c>
      <c r="K14" s="4" t="s">
        <v>224</v>
      </c>
      <c r="L14" s="4" t="s">
        <v>225</v>
      </c>
      <c r="M14" s="82" t="s">
        <v>256</v>
      </c>
      <c r="N14" s="90" t="s">
        <v>257</v>
      </c>
      <c r="O14" s="90"/>
      <c r="P14" s="90"/>
      <c r="Q14" s="13"/>
      <c r="S14" s="133">
        <v>147</v>
      </c>
      <c r="T14" s="134" t="s">
        <v>263</v>
      </c>
      <c r="U14" s="27" t="e">
        <f>RTD("srv.rtd","","PLAYERSRANKING",$U$13,S14,"SALDO","VOLF")</f>
        <v>#N/A</v>
      </c>
      <c r="V14" s="27" t="e">
        <f>RTD("srv.rtd","","PLAYERSRANKING",V$13,S14,"SALDO","VOLF")*0.2</f>
        <v>#N/A</v>
      </c>
      <c r="W14" s="27" t="e">
        <f>RTD("srv.rtd","","PLAYERSRANKING",W$13,S14,"SALDO","VOLF")*50</f>
        <v>#N/A</v>
      </c>
      <c r="X14" s="27" t="e">
        <f>RTD("srv.rtd","","PLAYERSRANKING",X$13,S14,"SALDO","VOLF")*10</f>
        <v>#N/A</v>
      </c>
      <c r="Y14" s="27" t="e">
        <f>RTD("srv.rtd","","PLAYERSRANKING",Y$13,$S14,"SALDO","VOLF")</f>
        <v>#N/A</v>
      </c>
      <c r="Z14" s="27" t="e">
        <f>RTD("srv.rtd","","PLAYERSRANKING",Z$13,$S14,"SALDO","VOLF")</f>
        <v>#N/A</v>
      </c>
      <c r="AA14" s="27" t="e">
        <f>RTD("srv.rtd","","PLAYERSRANKING",AA$13,$S14,"SALDO","VOLF")</f>
        <v>#N/A</v>
      </c>
      <c r="AB14" s="27" t="e">
        <f>RTD("srv.rtd","","PLAYERSRANKING",AB$13,$S14,"SALDO","VOLF")</f>
        <v>#N/A</v>
      </c>
      <c r="AC14" s="27" t="e">
        <f>RTD("srv.rtd","","PLAYERSRANKING",AC$13,$S14,"SALDO","VOLF")</f>
        <v>#N/A</v>
      </c>
      <c r="AD14" s="27" t="e">
        <f>RTD("srv.rtd","","PLAYERSRANKING",AD$13,$S14,"SALDO","VOLF")</f>
        <v>#N/A</v>
      </c>
      <c r="AE14" s="27" t="e">
        <f>RTD("srv.rtd","","PLAYERSRANKING",AE$13,$S14,"SALDO","VOLF")</f>
        <v>#N/A</v>
      </c>
      <c r="AF14" s="27" t="e">
        <f>RTD("srv.rtd","","PLAYERSRANKING",AF$13,$S14,"SALDO","VOLF")</f>
        <v>#N/A</v>
      </c>
      <c r="AG14" s="27" t="e">
        <f>RTD("srv.rtd","","PLAYERSRANKING",AG$13,$S14,"SALDO","VOLF")</f>
        <v>#N/A</v>
      </c>
      <c r="AH14" s="27" t="e">
        <f>RTD("srv.rtd","","PLAYERSRANKING",AH$13,$S14,"SALDO","VOLF")</f>
        <v>#N/A</v>
      </c>
      <c r="AI14" s="27" t="e">
        <f>RTD("srv.rtd","","PLAYERSRANKING",AI$13,$S14,"SALDO","VOLF")</f>
        <v>#N/A</v>
      </c>
      <c r="AJ14" s="27" t="e">
        <f>RTD("srv.rtd","","PLAYERSRANKING",AJ$13,$S14,"SALDO","VOLF")</f>
        <v>#N/A</v>
      </c>
      <c r="AK14" s="27" t="e">
        <f>RTD("srv.rtd","","PLAYERSRANKING",AK$13,$S14,"SALDO","VOLF")</f>
        <v>#N/A</v>
      </c>
      <c r="AL14" s="27" t="e">
        <f>RTD("srv.rtd","","PLAYERSRANKING",AL$13,$S14,"SALDO","VOLF")</f>
        <v>#N/A</v>
      </c>
      <c r="AM14" s="27" t="e">
        <f>RTD("srv.rtd","","PLAYERSRANKING",AM$13,$S14,"SALDO","VOLF")</f>
        <v>#N/A</v>
      </c>
      <c r="AN14" s="27" t="e">
        <f>RTD("srv.rtd","","PLAYERSRANKING",AN$13,$S14,"SALDO","VOLF")</f>
        <v>#N/A</v>
      </c>
      <c r="AO14" s="27" t="e">
        <f>RTD("srv.rtd","","PLAYERSRANKING",AO$13,$S14,"SALDO","VOLF")</f>
        <v>#N/A</v>
      </c>
      <c r="AP14" s="27" t="e">
        <f>RTD("srv.rtd","","PLAYERSRANKING",AP$13,$S14,"SALDO","VOLF")</f>
        <v>#N/A</v>
      </c>
      <c r="AQ14" s="27" t="e">
        <f>RTD("srv.rtd","","PLAYERSRANKING",AQ$13,$S14,"SALDO","VOLF")</f>
        <v>#N/A</v>
      </c>
      <c r="AR14" s="27" t="e">
        <f>RTD("srv.rtd","","PLAYERSRANKING",AR$13,$S14,"SALDO","VOLF")</f>
        <v>#N/A</v>
      </c>
      <c r="AS14" s="27" t="e">
        <f>RTD("srv.rtd","","PLAYERSRANKING",AS$13,$S14,"SALDO","VOLF")</f>
        <v>#N/A</v>
      </c>
      <c r="AT14" s="27" t="e">
        <f>RTD("srv.rtd","","PLAYERSRANKING",AT$13,$S14,"SALDO","VOLF")</f>
        <v>#N/A</v>
      </c>
      <c r="AU14" s="27" t="e">
        <f>RTD("srv.rtd","","PLAYERSRANKING",AU$13,$S14,"SALDO","VOLF")</f>
        <v>#N/A</v>
      </c>
      <c r="AV14" s="27" t="e">
        <f>RTD("srv.rtd","","PLAYERSRANKING",AV$13,$S14,"SALDO","VOLF")</f>
        <v>#N/A</v>
      </c>
      <c r="AW14" s="27" t="e">
        <f>RTD("srv.rtd","","PLAYERSRANKING",AW$13,$S14,"SALDO","VOLF")</f>
        <v>#N/A</v>
      </c>
      <c r="AX14" s="27" t="e">
        <f>RTD("srv.rtd","","PLAYERSRANKING",AX$13,$S14,"SALDO","VOLF")</f>
        <v>#N/A</v>
      </c>
      <c r="AY14" s="27" t="e">
        <f>RTD("srv.rtd","","PLAYERSRANKING",AY$13,$S14,"SALDO","VOLF")</f>
        <v>#N/A</v>
      </c>
      <c r="AZ14" s="27" t="e">
        <f>RTD("srv.rtd","","PLAYERSRANKING",AZ$13,$S14,"SALDO","VOLF")</f>
        <v>#N/A</v>
      </c>
      <c r="BA14" s="27" t="e">
        <f>RTD("srv.rtd","","PLAYERSRANKING",BA$13,$S14,"SALDO","VOLF")</f>
        <v>#N/A</v>
      </c>
      <c r="BB14" s="27" t="e">
        <f>RTD("srv.rtd","","PLAYERSRANKING",BB$13,$S14,"SALDO","VOLF")</f>
        <v>#N/A</v>
      </c>
      <c r="BC14" s="27" t="e">
        <f>RTD("srv.rtd","","PLAYERSRANKING",BC$13,$S14,"SALDO","VOLF")</f>
        <v>#N/A</v>
      </c>
      <c r="BD14" s="27" t="e">
        <f>RTD("srv.rtd","","PLAYERSRANKING",BD$13,$S14,"SALDO","VOLF")</f>
        <v>#N/A</v>
      </c>
      <c r="BE14" s="27" t="e">
        <f>RTD("srv.rtd","","PLAYERSRANKING",BE$13,$S14,"SALDO","VOLF")</f>
        <v>#N/A</v>
      </c>
      <c r="BF14" s="27" t="e">
        <f>RTD("srv.rtd","","PLAYERSRANKING",BF$13,$S14,"SALDO","VOLF")</f>
        <v>#N/A</v>
      </c>
      <c r="BG14" s="27" t="e">
        <f>RTD("srv.rtd","","PLAYERSRANKING",BG$13,$S14,"SALDO","VOLF")</f>
        <v>#N/A</v>
      </c>
      <c r="BH14" s="27" t="e">
        <f>RTD("srv.rtd","","PLAYERSRANKING",BH$13,$S14,"SALDO","VOLF")</f>
        <v>#N/A</v>
      </c>
      <c r="BI14" s="27" t="e">
        <f>RTD("srv.rtd","","PLAYERSRANKING",BI$13,$S14,"SALDO","VOLF")</f>
        <v>#N/A</v>
      </c>
      <c r="BJ14" s="27" t="e">
        <f>RTD("srv.rtd","","PLAYERSRANKING",BJ$13,$S14,"SALDO","VOLF")</f>
        <v>#N/A</v>
      </c>
      <c r="BK14" s="27" t="e">
        <f>RTD("srv.rtd","","PLAYERSRANKING",BK$13,$S14,"SALDO","VOLF")</f>
        <v>#N/A</v>
      </c>
      <c r="BL14" s="27" t="e">
        <f>RTD("srv.rtd","","PLAYERSRANKING",BL$13,$S14,"SALDO","VOLF")</f>
        <v>#N/A</v>
      </c>
      <c r="BM14" s="27" t="e">
        <f>RTD("srv.rtd","","PLAYERSRANKING",BM$13,$S14,"SALDO","VOLF")</f>
        <v>#N/A</v>
      </c>
      <c r="BN14" s="27" t="e">
        <f>RTD("srv.rtd","","PLAYERSRANKING",BN$13,$S14,"SALDO","VOLF")</f>
        <v>#N/A</v>
      </c>
      <c r="BO14" s="27" t="e">
        <f>RTD("srv.rtd","","PLAYERSRANKING",BO$13,$S14,"SALDO","VOLF")</f>
        <v>#N/A</v>
      </c>
      <c r="BP14" s="27" t="e">
        <f>RTD("srv.rtd","","PLAYERSRANKING",BP$13,$S14,"SALDO","VOLF")</f>
        <v>#N/A</v>
      </c>
      <c r="BQ14" s="27" t="e">
        <f>RTD("srv.rtd","","PLAYERSRANKING",BQ$13,$S14,"SALDO","VOLF")</f>
        <v>#N/A</v>
      </c>
      <c r="BR14" s="27" t="e">
        <f>RTD("srv.rtd","","PLAYERSRANKING",BR$13,$S14,"SALDO","VOLF")</f>
        <v>#N/A</v>
      </c>
      <c r="BS14" s="27" t="e">
        <f>RTD("srv.rtd","","PLAYERSRANKING",BS$13,$S14,"SALDO","VOLF")</f>
        <v>#N/A</v>
      </c>
      <c r="BT14" s="27" t="e">
        <f>RTD("srv.rtd","","PLAYERSRANKING",BT$13,$S14,"SALDO","VOLF")</f>
        <v>#N/A</v>
      </c>
      <c r="BU14" s="27" t="e">
        <f>RTD("srv.rtd","","PLAYERSRANKING",BU$13,$S14,"SALDO","VOLF")</f>
        <v>#N/A</v>
      </c>
      <c r="BV14" s="27" t="e">
        <f>RTD("srv.rtd","","PLAYERSRANKING",BV$13,$S14,"SALDO","VOLF")</f>
        <v>#N/A</v>
      </c>
      <c r="BW14" s="27" t="e">
        <f>RTD("srv.rtd","","PLAYERSRANKING",BW$13,$S14,"SALDO","VOLF")</f>
        <v>#N/A</v>
      </c>
      <c r="BX14" s="27" t="e">
        <f>RTD("srv.rtd","","PLAYERSRANKING",BX$13,$S14,"SALDO","VOLF")</f>
        <v>#N/A</v>
      </c>
      <c r="BY14" s="27" t="e">
        <f>RTD("srv.rtd","","PLAYERSRANKING",BY$13,$S14,"SALDO","VOLF")</f>
        <v>#N/A</v>
      </c>
      <c r="BZ14" s="27" t="e">
        <f>RTD("srv.rtd","","PLAYERSRANKING",BZ$13,$S14,"SALDO","VOLF")</f>
        <v>#N/A</v>
      </c>
      <c r="CA14" s="27" t="e">
        <f>RTD("srv.rtd","","PLAYERSRANKING",CA$13,$S14,"SALDO","VOLF")</f>
        <v>#N/A</v>
      </c>
      <c r="CB14" s="27" t="e">
        <f>RTD("srv.rtd","","PLAYERSRANKING",CB$13,$S14,"SALDO","VOLF")</f>
        <v>#N/A</v>
      </c>
      <c r="CC14" s="27" t="e">
        <f>RTD("srv.rtd","","PLAYERSRANKING",CC$13,$S14,"SALDO","VOLF")</f>
        <v>#N/A</v>
      </c>
      <c r="CD14" s="27" t="e">
        <f>RTD("srv.rtd","","PLAYERSRANKING",CD$13,$S14,"SALDO","VOLF")</f>
        <v>#N/A</v>
      </c>
      <c r="CE14" s="27" t="e">
        <f>RTD("srv.rtd","","PLAYERSRANKING",CE$13,$S14,"SALDO","VOLF")</f>
        <v>#N/A</v>
      </c>
      <c r="CF14" s="27" t="e">
        <f>RTD("srv.rtd","","PLAYERSRANKING",CF$13,$S14,"SALDO","VOLF")</f>
        <v>#N/A</v>
      </c>
      <c r="CG14" s="27" t="e">
        <f>RTD("srv.rtd","","PLAYERSRANKING",CG$13,$S14,"SALDO","VOLF")</f>
        <v>#N/A</v>
      </c>
      <c r="CH14" s="27" t="e">
        <f>RTD("srv.rtd","","PLAYERSRANKING",CH$13,$S14,"SALDO","VOLF")</f>
        <v>#N/A</v>
      </c>
      <c r="CI14" s="27" t="e">
        <f>RTD("srv.rtd","","PLAYERSRANKING",CI$13,$S14,"SALDO","VOLF")</f>
        <v>#N/A</v>
      </c>
      <c r="CJ14" s="27" t="e">
        <f>RTD("srv.rtd","","PLAYERSRANKING",CJ$13,$S14,"SALDO","VOLF")</f>
        <v>#N/A</v>
      </c>
      <c r="CK14" s="27" t="e">
        <f>RTD("srv.rtd","","PLAYERSRANKING",CK$13,$S14,"SALDO","VOLF")</f>
        <v>#N/A</v>
      </c>
      <c r="CL14" s="27" t="e">
        <f>RTD("srv.rtd","","PLAYERSRANKING",CL$13,$S14,"SALDO","VOLF")</f>
        <v>#N/A</v>
      </c>
      <c r="CM14" s="27" t="e">
        <f>RTD("srv.rtd","","PLAYERSRANKING",CM$13,$S14,"SALDO","VOLF")</f>
        <v>#N/A</v>
      </c>
      <c r="CN14" s="27" t="e">
        <f>RTD("srv.rtd","","PLAYERSRANKING",CN$13,$S14,"SALDO","VOLF")</f>
        <v>#N/A</v>
      </c>
      <c r="CO14" s="27" t="e">
        <f>RTD("srv.rtd","","PLAYERSRANKING",CO$13,$S14,"SALDO","VOLF")</f>
        <v>#N/A</v>
      </c>
      <c r="CP14" s="27" t="e">
        <f>RTD("srv.rtd","","PLAYERSRANKING",CP$13,$S14,"SALDO","VOLF")</f>
        <v>#N/A</v>
      </c>
      <c r="CQ14" s="27" t="e">
        <f>RTD("srv.rtd","","PLAYERSRANKING",CQ$13,$S14,"SALDO","VOLF")</f>
        <v>#N/A</v>
      </c>
      <c r="CR14" s="27" t="e">
        <f>RTD("srv.rtd","","PLAYERSRANKING",CR$13,$S14,"SALDO","VOLF")</f>
        <v>#N/A</v>
      </c>
      <c r="CS14" s="27" t="e">
        <f>RTD("srv.rtd","","PLAYERSRANKING",CS$13,$S14,"SALDO","VOLF")</f>
        <v>#N/A</v>
      </c>
      <c r="CT14" s="27" t="e">
        <f>RTD("srv.rtd","","PLAYERSRANKING",CT$13,$S14,"SALDO","VOLF")</f>
        <v>#N/A</v>
      </c>
      <c r="CU14" s="27" t="e">
        <f>RTD("srv.rtd","","PLAYERSRANKING",CU$13,$S14,"SALDO","VOLF")</f>
        <v>#N/A</v>
      </c>
      <c r="CV14" s="27" t="e">
        <f>RTD("srv.rtd","","PLAYERSRANKING",CV$13,$S14,"SALDO","VOLF")</f>
        <v>#N/A</v>
      </c>
      <c r="CW14" s="27" t="e">
        <f>RTD("srv.rtd","","PLAYERSRANKING",CW$13,$S14,"SALDO","VOLF")</f>
        <v>#N/A</v>
      </c>
      <c r="CX14" s="27" t="e">
        <f>RTD("srv.rtd","","PLAYERSRANKING",CX$13,$S14,"SALDO","VOLF")</f>
        <v>#N/A</v>
      </c>
      <c r="CY14" s="27" t="e">
        <f>RTD("srv.rtd","","PLAYERSRANKING",CY$13,$S14,"SALDO","VOLF")</f>
        <v>#N/A</v>
      </c>
      <c r="CZ14" s="27" t="e">
        <f>RTD("srv.rtd","","PLAYERSRANKING",CZ$13,$S14,"SALDO","VOLF")</f>
        <v>#N/A</v>
      </c>
      <c r="DA14" s="27" t="e">
        <f>RTD("srv.rtd","","PLAYERSRANKING",DA$13,$S14,"SALDO","VOLF")</f>
        <v>#N/A</v>
      </c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</row>
    <row r="15" spans="1:124" x14ac:dyDescent="0.25">
      <c r="A15" s="2"/>
      <c r="B15" s="6" t="s">
        <v>4</v>
      </c>
      <c r="C15" s="19">
        <f>VLOOKUP(B15,RTD!$A$1:$H$196,2,0)</f>
        <v>14.41</v>
      </c>
      <c r="D15" s="19">
        <f>VLOOKUP(B15,RTD!$A$1:$H$196,3,0)</f>
        <v>14.44</v>
      </c>
      <c r="E15" s="19">
        <f>VLOOKUP(B15,RTD!$A$1:$H$196,4,0)</f>
        <v>14.530000000000001</v>
      </c>
      <c r="F15" s="19">
        <f>VLOOKUP(B15,RTD!$A$1:$H$196,5,0)</f>
        <v>14.4</v>
      </c>
      <c r="G15" s="19">
        <f>VLOOKUP(B15,RTD!$A$1:$H$196,6,0)</f>
        <v>14.42</v>
      </c>
      <c r="H15" s="19">
        <f t="shared" ref="H15:H47" si="6">(F15+G15)/2</f>
        <v>14.41</v>
      </c>
      <c r="I15" s="14">
        <f t="shared" ref="I15:I47" si="7">(H15/E15)-1</f>
        <v>-8.2587749483826745E-3</v>
      </c>
      <c r="J15" s="98">
        <f>VLOOKUP(B15,'Market Data'!$A$4:$F$100,6,0)*C15</f>
        <v>3409.3426834197444</v>
      </c>
      <c r="K15" s="19">
        <f>VLOOKUP(B15,RTD!$A$2:$H$100,8,0)</f>
        <v>1.29</v>
      </c>
      <c r="L15" s="14">
        <f>((($I$9*K15)-I15)*-1)</f>
        <v>9.7244060137067524E-4</v>
      </c>
      <c r="M15" s="19">
        <f>VLOOKUP(B15,RTD!$A$1:$H$196,7,0)</f>
        <v>0</v>
      </c>
      <c r="N15" s="98">
        <f>IF(M15=0,J15,IF(M15=0,C15,M15)*VLOOKUP(B15,'Market Data'!$A$4:$F$100,6,0))</f>
        <v>3409.3426834197444</v>
      </c>
      <c r="O15" s="7" t="s">
        <v>4</v>
      </c>
      <c r="P15" s="14"/>
      <c r="Q15" s="13"/>
      <c r="S15" s="133">
        <v>122</v>
      </c>
      <c r="T15" s="133" t="s">
        <v>190</v>
      </c>
      <c r="U15" s="27" t="e">
        <f>RTD("srv.rtd","","PLAYERSRANKING",$U$13,S15,"SALDO","VOLF")</f>
        <v>#N/A</v>
      </c>
      <c r="V15" s="27" t="e">
        <f>RTD("srv.rtd","","PLAYERSRANKING",V$13,S15,"SALDO","VOLF")*0.2</f>
        <v>#N/A</v>
      </c>
      <c r="W15" s="27" t="e">
        <f>RTD("srv.rtd","","PLAYERSRANKING",W$13,S15,"SALDO","VOLF")*50</f>
        <v>#N/A</v>
      </c>
      <c r="X15" s="27" t="e">
        <f>RTD("srv.rtd","","PLAYERSRANKING",X$13,S15,"SALDO","VOLF")*10</f>
        <v>#N/A</v>
      </c>
      <c r="Y15" s="27" t="e">
        <f>RTD("srv.rtd","","PLAYERSRANKING",Y$13,$S15,"SALDO","VOLF")</f>
        <v>#N/A</v>
      </c>
      <c r="Z15" s="27" t="e">
        <f>RTD("srv.rtd","","PLAYERSRANKING",Z$13,$S15,"SALDO","VOLF")</f>
        <v>#N/A</v>
      </c>
      <c r="AA15" s="27" t="e">
        <f>RTD("srv.rtd","","PLAYERSRANKING",AA$13,$S15,"SALDO","VOLF")</f>
        <v>#N/A</v>
      </c>
      <c r="AB15" s="27" t="e">
        <f>RTD("srv.rtd","","PLAYERSRANKING",AB$13,$S15,"SALDO","VOLF")</f>
        <v>#N/A</v>
      </c>
      <c r="AC15" s="27" t="e">
        <f>RTD("srv.rtd","","PLAYERSRANKING",AC$13,$S15,"SALDO","VOLF")</f>
        <v>#N/A</v>
      </c>
      <c r="AD15" s="27" t="e">
        <f>RTD("srv.rtd","","PLAYERSRANKING",AD$13,$S15,"SALDO","VOLF")</f>
        <v>#N/A</v>
      </c>
      <c r="AE15" s="27" t="e">
        <f>RTD("srv.rtd","","PLAYERSRANKING",AE$13,$S15,"SALDO","VOLF")</f>
        <v>#N/A</v>
      </c>
      <c r="AF15" s="27" t="e">
        <f>RTD("srv.rtd","","PLAYERSRANKING",AF$13,$S15,"SALDO","VOLF")</f>
        <v>#N/A</v>
      </c>
      <c r="AG15" s="27" t="e">
        <f>RTD("srv.rtd","","PLAYERSRANKING",AG$13,$S15,"SALDO","VOLF")</f>
        <v>#N/A</v>
      </c>
      <c r="AH15" s="27" t="e">
        <f>RTD("srv.rtd","","PLAYERSRANKING",AH$13,$S15,"SALDO","VOLF")</f>
        <v>#N/A</v>
      </c>
      <c r="AI15" s="27" t="e">
        <f>RTD("srv.rtd","","PLAYERSRANKING",AI$13,$S15,"SALDO","VOLF")</f>
        <v>#N/A</v>
      </c>
      <c r="AJ15" s="27" t="e">
        <f>RTD("srv.rtd","","PLAYERSRANKING",AJ$13,$S15,"SALDO","VOLF")</f>
        <v>#N/A</v>
      </c>
      <c r="AK15" s="27" t="e">
        <f>RTD("srv.rtd","","PLAYERSRANKING",AK$13,$S15,"SALDO","VOLF")</f>
        <v>#N/A</v>
      </c>
      <c r="AL15" s="27" t="e">
        <f>RTD("srv.rtd","","PLAYERSRANKING",AL$13,$S15,"SALDO","VOLF")</f>
        <v>#N/A</v>
      </c>
      <c r="AM15" s="27" t="e">
        <f>RTD("srv.rtd","","PLAYERSRANKING",AM$13,$S15,"SALDO","VOLF")</f>
        <v>#N/A</v>
      </c>
      <c r="AN15" s="27" t="e">
        <f>RTD("srv.rtd","","PLAYERSRANKING",AN$13,$S15,"SALDO","VOLF")</f>
        <v>#N/A</v>
      </c>
      <c r="AO15" s="27" t="e">
        <f>RTD("srv.rtd","","PLAYERSRANKING",AO$13,$S15,"SALDO","VOLF")</f>
        <v>#N/A</v>
      </c>
      <c r="AP15" s="27" t="e">
        <f>RTD("srv.rtd","","PLAYERSRANKING",AP$13,$S15,"SALDO","VOLF")</f>
        <v>#N/A</v>
      </c>
      <c r="AQ15" s="27" t="e">
        <f>RTD("srv.rtd","","PLAYERSRANKING",AQ$13,$S15,"SALDO","VOLF")</f>
        <v>#N/A</v>
      </c>
      <c r="AR15" s="27" t="e">
        <f>RTD("srv.rtd","","PLAYERSRANKING",AR$13,$S15,"SALDO","VOLF")</f>
        <v>#N/A</v>
      </c>
      <c r="AS15" s="27" t="e">
        <f>RTD("srv.rtd","","PLAYERSRANKING",AS$13,$S15,"SALDO","VOLF")</f>
        <v>#N/A</v>
      </c>
      <c r="AT15" s="27" t="e">
        <f>RTD("srv.rtd","","PLAYERSRANKING",AT$13,$S15,"SALDO","VOLF")</f>
        <v>#N/A</v>
      </c>
      <c r="AU15" s="27" t="e">
        <f>RTD("srv.rtd","","PLAYERSRANKING",AU$13,$S15,"SALDO","VOLF")</f>
        <v>#N/A</v>
      </c>
      <c r="AV15" s="27" t="e">
        <f>RTD("srv.rtd","","PLAYERSRANKING",AV$13,$S15,"SALDO","VOLF")</f>
        <v>#N/A</v>
      </c>
      <c r="AW15" s="27" t="e">
        <f>RTD("srv.rtd","","PLAYERSRANKING",AW$13,$S15,"SALDO","VOLF")</f>
        <v>#N/A</v>
      </c>
      <c r="AX15" s="27" t="e">
        <f>RTD("srv.rtd","","PLAYERSRANKING",AX$13,$S15,"SALDO","VOLF")</f>
        <v>#N/A</v>
      </c>
      <c r="AY15" s="27" t="e">
        <f>RTD("srv.rtd","","PLAYERSRANKING",AY$13,$S15,"SALDO","VOLF")</f>
        <v>#N/A</v>
      </c>
      <c r="AZ15" s="27" t="e">
        <f>RTD("srv.rtd","","PLAYERSRANKING",AZ$13,$S15,"SALDO","VOLF")</f>
        <v>#N/A</v>
      </c>
      <c r="BA15" s="27" t="e">
        <f>RTD("srv.rtd","","PLAYERSRANKING",BA$13,$S15,"SALDO","VOLF")</f>
        <v>#N/A</v>
      </c>
      <c r="BB15" s="27" t="e">
        <f>RTD("srv.rtd","","PLAYERSRANKING",BB$13,$S15,"SALDO","VOLF")</f>
        <v>#N/A</v>
      </c>
      <c r="BC15" s="27" t="e">
        <f>RTD("srv.rtd","","PLAYERSRANKING",BC$13,$S15,"SALDO","VOLF")</f>
        <v>#N/A</v>
      </c>
      <c r="BD15" s="27" t="e">
        <f>RTD("srv.rtd","","PLAYERSRANKING",BD$13,$S15,"SALDO","VOLF")</f>
        <v>#N/A</v>
      </c>
      <c r="BE15" s="27" t="e">
        <f>RTD("srv.rtd","","PLAYERSRANKING",BE$13,$S15,"SALDO","VOLF")</f>
        <v>#N/A</v>
      </c>
      <c r="BF15" s="27" t="e">
        <f>RTD("srv.rtd","","PLAYERSRANKING",BF$13,$S15,"SALDO","VOLF")</f>
        <v>#N/A</v>
      </c>
      <c r="BG15" s="27" t="e">
        <f>RTD("srv.rtd","","PLAYERSRANKING",BG$13,$S15,"SALDO","VOLF")</f>
        <v>#N/A</v>
      </c>
      <c r="BH15" s="27" t="e">
        <f>RTD("srv.rtd","","PLAYERSRANKING",BH$13,$S15,"SALDO","VOLF")</f>
        <v>#N/A</v>
      </c>
      <c r="BI15" s="27" t="e">
        <f>RTD("srv.rtd","","PLAYERSRANKING",BI$13,$S15,"SALDO","VOLF")</f>
        <v>#N/A</v>
      </c>
      <c r="BJ15" s="27" t="e">
        <f>RTD("srv.rtd","","PLAYERSRANKING",BJ$13,$S15,"SALDO","VOLF")</f>
        <v>#N/A</v>
      </c>
      <c r="BK15" s="27" t="e">
        <f>RTD("srv.rtd","","PLAYERSRANKING",BK$13,$S15,"SALDO","VOLF")</f>
        <v>#N/A</v>
      </c>
      <c r="BL15" s="27" t="e">
        <f>RTD("srv.rtd","","PLAYERSRANKING",BL$13,$S15,"SALDO","VOLF")</f>
        <v>#N/A</v>
      </c>
      <c r="BM15" s="27" t="e">
        <f>RTD("srv.rtd","","PLAYERSRANKING",BM$13,$S15,"SALDO","VOLF")</f>
        <v>#N/A</v>
      </c>
      <c r="BN15" s="27" t="e">
        <f>RTD("srv.rtd","","PLAYERSRANKING",BN$13,$S15,"SALDO","VOLF")</f>
        <v>#N/A</v>
      </c>
      <c r="BO15" s="27" t="e">
        <f>RTD("srv.rtd","","PLAYERSRANKING",BO$13,$S15,"SALDO","VOLF")</f>
        <v>#N/A</v>
      </c>
      <c r="BP15" s="27" t="e">
        <f>RTD("srv.rtd","","PLAYERSRANKING",BP$13,$S15,"SALDO","VOLF")</f>
        <v>#N/A</v>
      </c>
      <c r="BQ15" s="27" t="e">
        <f>RTD("srv.rtd","","PLAYERSRANKING",BQ$13,$S15,"SALDO","VOLF")</f>
        <v>#N/A</v>
      </c>
      <c r="BR15" s="27" t="e">
        <f>RTD("srv.rtd","","PLAYERSRANKING",BR$13,$S15,"SALDO","VOLF")</f>
        <v>#N/A</v>
      </c>
      <c r="BS15" s="27" t="e">
        <f>RTD("srv.rtd","","PLAYERSRANKING",BS$13,$S15,"SALDO","VOLF")</f>
        <v>#N/A</v>
      </c>
      <c r="BT15" s="27" t="e">
        <f>RTD("srv.rtd","","PLAYERSRANKING",BT$13,$S15,"SALDO","VOLF")</f>
        <v>#N/A</v>
      </c>
      <c r="BU15" s="27" t="e">
        <f>RTD("srv.rtd","","PLAYERSRANKING",BU$13,$S15,"SALDO","VOLF")</f>
        <v>#N/A</v>
      </c>
      <c r="BV15" s="27" t="e">
        <f>RTD("srv.rtd","","PLAYERSRANKING",BV$13,$S15,"SALDO","VOLF")</f>
        <v>#N/A</v>
      </c>
      <c r="BW15" s="27" t="e">
        <f>RTD("srv.rtd","","PLAYERSRANKING",BW$13,$S15,"SALDO","VOLF")</f>
        <v>#N/A</v>
      </c>
      <c r="BX15" s="27" t="e">
        <f>RTD("srv.rtd","","PLAYERSRANKING",BX$13,$S15,"SALDO","VOLF")</f>
        <v>#N/A</v>
      </c>
      <c r="BY15" s="27" t="e">
        <f>RTD("srv.rtd","","PLAYERSRANKING",BY$13,$S15,"SALDO","VOLF")</f>
        <v>#N/A</v>
      </c>
      <c r="BZ15" s="27" t="e">
        <f>RTD("srv.rtd","","PLAYERSRANKING",BZ$13,$S15,"SALDO","VOLF")</f>
        <v>#N/A</v>
      </c>
      <c r="CA15" s="27" t="e">
        <f>RTD("srv.rtd","","PLAYERSRANKING",CA$13,$S15,"SALDO","VOLF")</f>
        <v>#N/A</v>
      </c>
      <c r="CB15" s="27" t="e">
        <f>RTD("srv.rtd","","PLAYERSRANKING",CB$13,$S15,"SALDO","VOLF")</f>
        <v>#N/A</v>
      </c>
      <c r="CC15" s="27" t="e">
        <f>RTD("srv.rtd","","PLAYERSRANKING",CC$13,$S15,"SALDO","VOLF")</f>
        <v>#N/A</v>
      </c>
      <c r="CD15" s="27" t="e">
        <f>RTD("srv.rtd","","PLAYERSRANKING",CD$13,$S15,"SALDO","VOLF")</f>
        <v>#N/A</v>
      </c>
      <c r="CE15" s="27" t="e">
        <f>RTD("srv.rtd","","PLAYERSRANKING",CE$13,$S15,"SALDO","VOLF")</f>
        <v>#N/A</v>
      </c>
      <c r="CF15" s="27" t="e">
        <f>RTD("srv.rtd","","PLAYERSRANKING",CF$13,$S15,"SALDO","VOLF")</f>
        <v>#N/A</v>
      </c>
      <c r="CG15" s="27" t="e">
        <f>RTD("srv.rtd","","PLAYERSRANKING",CG$13,$S15,"SALDO","VOLF")</f>
        <v>#N/A</v>
      </c>
      <c r="CH15" s="27" t="e">
        <f>RTD("srv.rtd","","PLAYERSRANKING",CH$13,$S15,"SALDO","VOLF")</f>
        <v>#N/A</v>
      </c>
      <c r="CI15" s="27" t="e">
        <f>RTD("srv.rtd","","PLAYERSRANKING",CI$13,$S15,"SALDO","VOLF")</f>
        <v>#N/A</v>
      </c>
      <c r="CJ15" s="27" t="e">
        <f>RTD("srv.rtd","","PLAYERSRANKING",CJ$13,$S15,"SALDO","VOLF")</f>
        <v>#N/A</v>
      </c>
      <c r="CK15" s="27" t="e">
        <f>RTD("srv.rtd","","PLAYERSRANKING",CK$13,$S15,"SALDO","VOLF")</f>
        <v>#N/A</v>
      </c>
      <c r="CL15" s="27" t="e">
        <f>RTD("srv.rtd","","PLAYERSRANKING",CL$13,$S15,"SALDO","VOLF")</f>
        <v>#N/A</v>
      </c>
      <c r="CM15" s="27" t="e">
        <f>RTD("srv.rtd","","PLAYERSRANKING",CM$13,$S15,"SALDO","VOLF")</f>
        <v>#N/A</v>
      </c>
      <c r="CN15" s="27" t="e">
        <f>RTD("srv.rtd","","PLAYERSRANKING",CN$13,$S15,"SALDO","VOLF")</f>
        <v>#N/A</v>
      </c>
      <c r="CO15" s="27" t="e">
        <f>RTD("srv.rtd","","PLAYERSRANKING",CO$13,$S15,"SALDO","VOLF")</f>
        <v>#N/A</v>
      </c>
      <c r="CP15" s="27" t="e">
        <f>RTD("srv.rtd","","PLAYERSRANKING",CP$13,$S15,"SALDO","VOLF")</f>
        <v>#N/A</v>
      </c>
      <c r="CQ15" s="27" t="e">
        <f>RTD("srv.rtd","","PLAYERSRANKING",CQ$13,$S15,"SALDO","VOLF")</f>
        <v>#N/A</v>
      </c>
      <c r="CR15" s="27" t="e">
        <f>RTD("srv.rtd","","PLAYERSRANKING",CR$13,$S15,"SALDO","VOLF")</f>
        <v>#N/A</v>
      </c>
      <c r="CS15" s="27" t="e">
        <f>RTD("srv.rtd","","PLAYERSRANKING",CS$13,$S15,"SALDO","VOLF")</f>
        <v>#N/A</v>
      </c>
      <c r="CT15" s="27" t="e">
        <f>RTD("srv.rtd","","PLAYERSRANKING",CT$13,$S15,"SALDO","VOLF")</f>
        <v>#N/A</v>
      </c>
      <c r="CU15" s="27" t="e">
        <f>RTD("srv.rtd","","PLAYERSRANKING",CU$13,$S15,"SALDO","VOLF")</f>
        <v>#N/A</v>
      </c>
      <c r="CV15" s="27" t="e">
        <f>RTD("srv.rtd","","PLAYERSRANKING",CV$13,$S15,"SALDO","VOLF")</f>
        <v>#N/A</v>
      </c>
      <c r="CW15" s="27" t="e">
        <f>RTD("srv.rtd","","PLAYERSRANKING",CW$13,$S15,"SALDO","VOLF")</f>
        <v>#N/A</v>
      </c>
      <c r="CX15" s="27" t="e">
        <f>RTD("srv.rtd","","PLAYERSRANKING",CX$13,$S15,"SALDO","VOLF")</f>
        <v>#N/A</v>
      </c>
      <c r="CY15" s="27" t="e">
        <f>RTD("srv.rtd","","PLAYERSRANKING",CY$13,$S15,"SALDO","VOLF")</f>
        <v>#N/A</v>
      </c>
      <c r="CZ15" s="27" t="e">
        <f>RTD("srv.rtd","","PLAYERSRANKING",CZ$13,$S15,"SALDO","VOLF")</f>
        <v>#N/A</v>
      </c>
      <c r="DA15" s="27" t="e">
        <f>RTD("srv.rtd","","PLAYERSRANKING",DA$13,$S15,"SALDO","VOLF")</f>
        <v>#N/A</v>
      </c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</row>
    <row r="16" spans="1:124" x14ac:dyDescent="0.25">
      <c r="A16" s="2"/>
      <c r="B16" s="6" t="s">
        <v>272</v>
      </c>
      <c r="C16" s="19">
        <f>VLOOKUP(B16,RTD!$A$1:$H$196,2,0)</f>
        <v>11.25</v>
      </c>
      <c r="D16" s="19">
        <f>VLOOKUP(B16,RTD!$A$1:$H$196,3,0)</f>
        <v>11.26</v>
      </c>
      <c r="E16" s="19">
        <f>VLOOKUP(B16,RTD!$A$1:$H$196,4,0)</f>
        <v>11.360000000000001</v>
      </c>
      <c r="F16" s="19">
        <f>VLOOKUP(B16,RTD!$A$1:$H$196,5,0)</f>
        <v>11.23</v>
      </c>
      <c r="G16" s="19">
        <f>VLOOKUP(B16,RTD!$A$1:$H$196,6,0)</f>
        <v>11.25</v>
      </c>
      <c r="H16" s="19">
        <f>(F16+G16)/2</f>
        <v>11.24</v>
      </c>
      <c r="I16" s="14">
        <f>(H16/E16)-1</f>
        <v>-1.0563380281690238E-2</v>
      </c>
      <c r="J16" s="98">
        <f>VLOOKUP(B16,'Market Data'!$A$4:$F$100,6,0)*C16</f>
        <v>96.340485348309713</v>
      </c>
      <c r="K16" s="19">
        <f>VLOOKUP(B16,RTD!$A$2:$H$100,8,0)</f>
        <v>1.21</v>
      </c>
      <c r="L16" s="14">
        <f>((($I$9*K16)-I16)*-1)</f>
        <v>-1.9046432156425239E-3</v>
      </c>
      <c r="M16" s="19">
        <f>VLOOKUP(B16,RTD!$A$1:$H$196,7,0)</f>
        <v>0</v>
      </c>
      <c r="N16" s="98">
        <f>IF(M16=0,J16,IF(M16=0,C16,M16)*VLOOKUP(B16,'Market Data'!$A$4:$F$100,6,0))</f>
        <v>96.340485348309713</v>
      </c>
      <c r="O16" s="7" t="s">
        <v>272</v>
      </c>
      <c r="P16" s="14"/>
    </row>
    <row r="17" spans="1:124" s="26" customFormat="1" x14ac:dyDescent="0.25">
      <c r="A17" s="17"/>
      <c r="B17" s="6" t="s">
        <v>9</v>
      </c>
      <c r="C17" s="19">
        <f>VLOOKUP(B17,RTD!$A$1:$H$196,2,0)</f>
        <v>23.43000000000001</v>
      </c>
      <c r="D17" s="19">
        <f>VLOOKUP(B17,RTD!$A$1:$H$196,3,0)</f>
        <v>23.43</v>
      </c>
      <c r="E17" s="19">
        <f>VLOOKUP(B17,RTD!$A$1:$H$196,4,0)</f>
        <v>23.900000000000002</v>
      </c>
      <c r="F17" s="19">
        <f>VLOOKUP(B17,RTD!$A$1:$H$196,5,0)</f>
        <v>23.400000000000002</v>
      </c>
      <c r="G17" s="19">
        <f>VLOOKUP(B17,RTD!$A$1:$H$196,6,0)</f>
        <v>23.43</v>
      </c>
      <c r="H17" s="19">
        <f t="shared" si="6"/>
        <v>23.414999999999999</v>
      </c>
      <c r="I17" s="14">
        <f t="shared" si="7"/>
        <v>-2.0292887029288775E-2</v>
      </c>
      <c r="J17" s="98">
        <f>VLOOKUP(B17,'Market Data'!$A$4:$F$100,6,0)*C17</f>
        <v>416.57872945986446</v>
      </c>
      <c r="K17" s="19">
        <f>VLOOKUP(B17,RTD!$A$2:$H$100,8,0)</f>
        <v>1.68</v>
      </c>
      <c r="L17" s="14">
        <f t="shared" ref="L17:L80" si="8">((($I$9*K17)-I17)*-1)</f>
        <v>-8.2708388714704609E-3</v>
      </c>
      <c r="M17" s="19">
        <f>VLOOKUP(B17,RTD!$A$1:$H$196,7,0)</f>
        <v>0</v>
      </c>
      <c r="N17" s="98">
        <f>IF(M17=0,J17,IF(M17=0,C17,M17)*VLOOKUP(B17,'Market Data'!$A$4:$F$100,6,0))</f>
        <v>416.57872945986446</v>
      </c>
      <c r="O17" s="7" t="s">
        <v>9</v>
      </c>
      <c r="P17" s="14"/>
      <c r="Q17" s="20"/>
      <c r="R17" s="12"/>
      <c r="S17" s="133">
        <v>85</v>
      </c>
      <c r="T17" s="135" t="s">
        <v>191</v>
      </c>
      <c r="U17" s="27" t="e">
        <f>RTD("srv.rtd","","PLAYERSRANKING",$U$13,S17,"SALDO","VOLF")</f>
        <v>#N/A</v>
      </c>
      <c r="V17" s="27" t="e">
        <f>RTD("srv.rtd","","PLAYERSRANKING",V$13,S17,"SALDO","VOLF")*0.2</f>
        <v>#N/A</v>
      </c>
      <c r="W17" s="27" t="e">
        <f>RTD("srv.rtd","","PLAYERSRANKING",W$13,S17,"SALDO","VOLF")*50</f>
        <v>#N/A</v>
      </c>
      <c r="X17" s="27" t="e">
        <f>RTD("srv.rtd","","PLAYERSRANKING",X$13,S17,"SALDO","VOLF")*10</f>
        <v>#N/A</v>
      </c>
      <c r="Y17" s="27" t="e">
        <f>RTD("srv.rtd","","PLAYERSRANKING",Y$13,$S17,"SALDO","VOLF")</f>
        <v>#N/A</v>
      </c>
      <c r="Z17" s="27" t="e">
        <f>RTD("srv.rtd","","PLAYERSRANKING",Z$13,$S17,"SALDO","VOLF")</f>
        <v>#N/A</v>
      </c>
      <c r="AA17" s="27" t="e">
        <f>RTD("srv.rtd","","PLAYERSRANKING",AA$13,$S17,"SALDO","VOLF")</f>
        <v>#N/A</v>
      </c>
      <c r="AB17" s="27" t="e">
        <f>RTD("srv.rtd","","PLAYERSRANKING",AB$13,$S17,"SALDO","VOLF")</f>
        <v>#N/A</v>
      </c>
      <c r="AC17" s="27" t="e">
        <f>RTD("srv.rtd","","PLAYERSRANKING",AC$13,$S17,"SALDO","VOLF")</f>
        <v>#N/A</v>
      </c>
      <c r="AD17" s="27" t="e">
        <f>RTD("srv.rtd","","PLAYERSRANKING",AD$13,$S17,"SALDO","VOLF")</f>
        <v>#N/A</v>
      </c>
      <c r="AE17" s="27" t="e">
        <f>RTD("srv.rtd","","PLAYERSRANKING",AE$13,$S17,"SALDO","VOLF")</f>
        <v>#N/A</v>
      </c>
      <c r="AF17" s="27" t="e">
        <f>RTD("srv.rtd","","PLAYERSRANKING",AF$13,$S17,"SALDO","VOLF")</f>
        <v>#N/A</v>
      </c>
      <c r="AG17" s="27" t="e">
        <f>RTD("srv.rtd","","PLAYERSRANKING",AG$13,$S17,"SALDO","VOLF")</f>
        <v>#N/A</v>
      </c>
      <c r="AH17" s="27" t="e">
        <f>RTD("srv.rtd","","PLAYERSRANKING",AH$13,$S17,"SALDO","VOLF")</f>
        <v>#N/A</v>
      </c>
      <c r="AI17" s="27" t="e">
        <f>RTD("srv.rtd","","PLAYERSRANKING",AI$13,$S17,"SALDO","VOLF")</f>
        <v>#N/A</v>
      </c>
      <c r="AJ17" s="27" t="e">
        <f>RTD("srv.rtd","","PLAYERSRANKING",AJ$13,$S17,"SALDO","VOLF")</f>
        <v>#N/A</v>
      </c>
      <c r="AK17" s="27" t="e">
        <f>RTD("srv.rtd","","PLAYERSRANKING",AK$13,$S17,"SALDO","VOLF")</f>
        <v>#N/A</v>
      </c>
      <c r="AL17" s="27" t="e">
        <f>RTD("srv.rtd","","PLAYERSRANKING",AL$13,$S17,"SALDO","VOLF")</f>
        <v>#N/A</v>
      </c>
      <c r="AM17" s="27" t="e">
        <f>RTD("srv.rtd","","PLAYERSRANKING",AM$13,$S17,"SALDO","VOLF")</f>
        <v>#N/A</v>
      </c>
      <c r="AN17" s="27" t="e">
        <f>RTD("srv.rtd","","PLAYERSRANKING",AN$13,$S17,"SALDO","VOLF")</f>
        <v>#N/A</v>
      </c>
      <c r="AO17" s="27" t="e">
        <f>RTD("srv.rtd","","PLAYERSRANKING",AO$13,$S17,"SALDO","VOLF")</f>
        <v>#N/A</v>
      </c>
      <c r="AP17" s="27" t="e">
        <f>RTD("srv.rtd","","PLAYERSRANKING",AP$13,$S17,"SALDO","VOLF")</f>
        <v>#N/A</v>
      </c>
      <c r="AQ17" s="27" t="e">
        <f>RTD("srv.rtd","","PLAYERSRANKING",AQ$13,$S17,"SALDO","VOLF")</f>
        <v>#N/A</v>
      </c>
      <c r="AR17" s="27" t="e">
        <f>RTD("srv.rtd","","PLAYERSRANKING",AR$13,$S17,"SALDO","VOLF")</f>
        <v>#N/A</v>
      </c>
      <c r="AS17" s="27" t="e">
        <f>RTD("srv.rtd","","PLAYERSRANKING",AS$13,$S17,"SALDO","VOLF")</f>
        <v>#N/A</v>
      </c>
      <c r="AT17" s="27" t="e">
        <f>RTD("srv.rtd","","PLAYERSRANKING",AT$13,$S17,"SALDO","VOLF")</f>
        <v>#N/A</v>
      </c>
      <c r="AU17" s="27" t="e">
        <f>RTD("srv.rtd","","PLAYERSRANKING",AU$13,$S17,"SALDO","VOLF")</f>
        <v>#N/A</v>
      </c>
      <c r="AV17" s="27" t="e">
        <f>RTD("srv.rtd","","PLAYERSRANKING",AV$13,$S17,"SALDO","VOLF")</f>
        <v>#N/A</v>
      </c>
      <c r="AW17" s="27" t="e">
        <f>RTD("srv.rtd","","PLAYERSRANKING",AW$13,$S17,"SALDO","VOLF")</f>
        <v>#N/A</v>
      </c>
      <c r="AX17" s="27" t="e">
        <f>RTD("srv.rtd","","PLAYERSRANKING",AX$13,$S17,"SALDO","VOLF")</f>
        <v>#N/A</v>
      </c>
      <c r="AY17" s="27" t="e">
        <f>RTD("srv.rtd","","PLAYERSRANKING",AY$13,$S17,"SALDO","VOLF")</f>
        <v>#N/A</v>
      </c>
      <c r="AZ17" s="27" t="e">
        <f>RTD("srv.rtd","","PLAYERSRANKING",AZ$13,$S17,"SALDO","VOLF")</f>
        <v>#N/A</v>
      </c>
      <c r="BA17" s="27" t="e">
        <f>RTD("srv.rtd","","PLAYERSRANKING",BA$13,$S17,"SALDO","VOLF")</f>
        <v>#N/A</v>
      </c>
      <c r="BB17" s="27" t="e">
        <f>RTD("srv.rtd","","PLAYERSRANKING",BB$13,$S17,"SALDO","VOLF")</f>
        <v>#N/A</v>
      </c>
      <c r="BC17" s="27" t="e">
        <f>RTD("srv.rtd","","PLAYERSRANKING",BC$13,$S17,"SALDO","VOLF")</f>
        <v>#N/A</v>
      </c>
      <c r="BD17" s="27" t="e">
        <f>RTD("srv.rtd","","PLAYERSRANKING",BD$13,$S17,"SALDO","VOLF")</f>
        <v>#N/A</v>
      </c>
      <c r="BE17" s="27" t="e">
        <f>RTD("srv.rtd","","PLAYERSRANKING",BE$13,$S17,"SALDO","VOLF")</f>
        <v>#N/A</v>
      </c>
      <c r="BF17" s="27" t="e">
        <f>RTD("srv.rtd","","PLAYERSRANKING",BF$13,$S17,"SALDO","VOLF")</f>
        <v>#N/A</v>
      </c>
      <c r="BG17" s="27" t="e">
        <f>RTD("srv.rtd","","PLAYERSRANKING",BG$13,$S17,"SALDO","VOLF")</f>
        <v>#N/A</v>
      </c>
      <c r="BH17" s="27" t="e">
        <f>RTD("srv.rtd","","PLAYERSRANKING",BH$13,$S17,"SALDO","VOLF")</f>
        <v>#N/A</v>
      </c>
      <c r="BI17" s="27" t="e">
        <f>RTD("srv.rtd","","PLAYERSRANKING",BI$13,$S17,"SALDO","VOLF")</f>
        <v>#N/A</v>
      </c>
      <c r="BJ17" s="27" t="e">
        <f>RTD("srv.rtd","","PLAYERSRANKING",BJ$13,$S17,"SALDO","VOLF")</f>
        <v>#N/A</v>
      </c>
      <c r="BK17" s="27" t="e">
        <f>RTD("srv.rtd","","PLAYERSRANKING",BK$13,$S17,"SALDO","VOLF")</f>
        <v>#N/A</v>
      </c>
      <c r="BL17" s="27" t="e">
        <f>RTD("srv.rtd","","PLAYERSRANKING",BL$13,$S17,"SALDO","VOLF")</f>
        <v>#N/A</v>
      </c>
      <c r="BM17" s="27" t="e">
        <f>RTD("srv.rtd","","PLAYERSRANKING",BM$13,$S17,"SALDO","VOLF")</f>
        <v>#N/A</v>
      </c>
      <c r="BN17" s="27" t="e">
        <f>RTD("srv.rtd","","PLAYERSRANKING",BN$13,$S17,"SALDO","VOLF")</f>
        <v>#N/A</v>
      </c>
      <c r="BO17" s="27" t="e">
        <f>RTD("srv.rtd","","PLAYERSRANKING",BO$13,$S17,"SALDO","VOLF")</f>
        <v>#N/A</v>
      </c>
      <c r="BP17" s="27" t="e">
        <f>RTD("srv.rtd","","PLAYERSRANKING",BP$13,$S17,"SALDO","VOLF")</f>
        <v>#N/A</v>
      </c>
      <c r="BQ17" s="27" t="e">
        <f>RTD("srv.rtd","","PLAYERSRANKING",BQ$13,$S17,"SALDO","VOLF")</f>
        <v>#N/A</v>
      </c>
      <c r="BR17" s="27" t="e">
        <f>RTD("srv.rtd","","PLAYERSRANKING",BR$13,$S17,"SALDO","VOLF")</f>
        <v>#N/A</v>
      </c>
      <c r="BS17" s="27" t="e">
        <f>RTD("srv.rtd","","PLAYERSRANKING",BS$13,$S17,"SALDO","VOLF")</f>
        <v>#N/A</v>
      </c>
      <c r="BT17" s="27" t="e">
        <f>RTD("srv.rtd","","PLAYERSRANKING",BT$13,$S17,"SALDO","VOLF")</f>
        <v>#N/A</v>
      </c>
      <c r="BU17" s="27" t="e">
        <f>RTD("srv.rtd","","PLAYERSRANKING",BU$13,$S17,"SALDO","VOLF")</f>
        <v>#N/A</v>
      </c>
      <c r="BV17" s="27" t="e">
        <f>RTD("srv.rtd","","PLAYERSRANKING",BV$13,$S17,"SALDO","VOLF")</f>
        <v>#N/A</v>
      </c>
      <c r="BW17" s="27" t="e">
        <f>RTD("srv.rtd","","PLAYERSRANKING",BW$13,$S17,"SALDO","VOLF")</f>
        <v>#N/A</v>
      </c>
      <c r="BX17" s="27" t="e">
        <f>RTD("srv.rtd","","PLAYERSRANKING",BX$13,$S17,"SALDO","VOLF")</f>
        <v>#N/A</v>
      </c>
      <c r="BY17" s="27" t="e">
        <f>RTD("srv.rtd","","PLAYERSRANKING",BY$13,$S17,"SALDO","VOLF")</f>
        <v>#N/A</v>
      </c>
      <c r="BZ17" s="27" t="e">
        <f>RTD("srv.rtd","","PLAYERSRANKING",BZ$13,$S17,"SALDO","VOLF")</f>
        <v>#N/A</v>
      </c>
      <c r="CA17" s="27" t="e">
        <f>RTD("srv.rtd","","PLAYERSRANKING",CA$13,$S17,"SALDO","VOLF")</f>
        <v>#N/A</v>
      </c>
      <c r="CB17" s="27" t="e">
        <f>RTD("srv.rtd","","PLAYERSRANKING",CB$13,$S17,"SALDO","VOLF")</f>
        <v>#N/A</v>
      </c>
      <c r="CC17" s="27" t="e">
        <f>RTD("srv.rtd","","PLAYERSRANKING",CC$13,$S17,"SALDO","VOLF")</f>
        <v>#N/A</v>
      </c>
      <c r="CD17" s="27" t="e">
        <f>RTD("srv.rtd","","PLAYERSRANKING",CD$13,$S17,"SALDO","VOLF")</f>
        <v>#N/A</v>
      </c>
      <c r="CE17" s="27" t="e">
        <f>RTD("srv.rtd","","PLAYERSRANKING",CE$13,$S17,"SALDO","VOLF")</f>
        <v>#N/A</v>
      </c>
      <c r="CF17" s="27" t="e">
        <f>RTD("srv.rtd","","PLAYERSRANKING",CF$13,$S17,"SALDO","VOLF")</f>
        <v>#N/A</v>
      </c>
      <c r="CG17" s="27" t="e">
        <f>RTD("srv.rtd","","PLAYERSRANKING",CG$13,$S17,"SALDO","VOLF")</f>
        <v>#N/A</v>
      </c>
      <c r="CH17" s="27" t="e">
        <f>RTD("srv.rtd","","PLAYERSRANKING",CH$13,$S17,"SALDO","VOLF")</f>
        <v>#N/A</v>
      </c>
      <c r="CI17" s="27" t="e">
        <f>RTD("srv.rtd","","PLAYERSRANKING",CI$13,$S17,"SALDO","VOLF")</f>
        <v>#N/A</v>
      </c>
      <c r="CJ17" s="27" t="e">
        <f>RTD("srv.rtd","","PLAYERSRANKING",CJ$13,$S17,"SALDO","VOLF")</f>
        <v>#N/A</v>
      </c>
      <c r="CK17" s="27" t="e">
        <f>RTD("srv.rtd","","PLAYERSRANKING",CK$13,$S17,"SALDO","VOLF")</f>
        <v>#N/A</v>
      </c>
      <c r="CL17" s="27" t="e">
        <f>RTD("srv.rtd","","PLAYERSRANKING",CL$13,$S17,"SALDO","VOLF")</f>
        <v>#N/A</v>
      </c>
      <c r="CM17" s="27" t="e">
        <f>RTD("srv.rtd","","PLAYERSRANKING",CM$13,$S17,"SALDO","VOLF")</f>
        <v>#N/A</v>
      </c>
      <c r="CN17" s="27" t="e">
        <f>RTD("srv.rtd","","PLAYERSRANKING",CN$13,$S17,"SALDO","VOLF")</f>
        <v>#N/A</v>
      </c>
      <c r="CO17" s="27" t="e">
        <f>RTD("srv.rtd","","PLAYERSRANKING",CO$13,$S17,"SALDO","VOLF")</f>
        <v>#N/A</v>
      </c>
      <c r="CP17" s="27" t="e">
        <f>RTD("srv.rtd","","PLAYERSRANKING",CP$13,$S17,"SALDO","VOLF")</f>
        <v>#N/A</v>
      </c>
      <c r="CQ17" s="27" t="e">
        <f>RTD("srv.rtd","","PLAYERSRANKING",CQ$13,$S17,"SALDO","VOLF")</f>
        <v>#N/A</v>
      </c>
      <c r="CR17" s="27" t="e">
        <f>RTD("srv.rtd","","PLAYERSRANKING",CR$13,$S17,"SALDO","VOLF")</f>
        <v>#N/A</v>
      </c>
      <c r="CS17" s="27" t="e">
        <f>RTD("srv.rtd","","PLAYERSRANKING",CS$13,$S17,"SALDO","VOLF")</f>
        <v>#N/A</v>
      </c>
      <c r="CT17" s="27" t="e">
        <f>RTD("srv.rtd","","PLAYERSRANKING",CT$13,$S17,"SALDO","VOLF")</f>
        <v>#N/A</v>
      </c>
      <c r="CU17" s="27" t="e">
        <f>RTD("srv.rtd","","PLAYERSRANKING",CU$13,$S17,"SALDO","VOLF")</f>
        <v>#N/A</v>
      </c>
      <c r="CV17" s="27" t="e">
        <f>RTD("srv.rtd","","PLAYERSRANKING",CV$13,$S17,"SALDO","VOLF")</f>
        <v>#N/A</v>
      </c>
      <c r="CW17" s="27" t="e">
        <f>RTD("srv.rtd","","PLAYERSRANKING",CW$13,$S17,"SALDO","VOLF")</f>
        <v>#N/A</v>
      </c>
      <c r="CX17" s="27" t="e">
        <f>RTD("srv.rtd","","PLAYERSRANKING",CX$13,$S17,"SALDO","VOLF")</f>
        <v>#N/A</v>
      </c>
      <c r="CY17" s="27" t="e">
        <f>RTD("srv.rtd","","PLAYERSRANKING",CY$13,$S17,"SALDO","VOLF")</f>
        <v>#N/A</v>
      </c>
      <c r="CZ17" s="27" t="e">
        <f>RTD("srv.rtd","","PLAYERSRANKING",CZ$13,$S17,"SALDO","VOLF")</f>
        <v>#N/A</v>
      </c>
      <c r="DA17" s="27" t="e">
        <f>RTD("srv.rtd","","PLAYERSRANKING",DA$13,$S17,"SALDO","VOLF")</f>
        <v>#N/A</v>
      </c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</row>
    <row r="18" spans="1:124" x14ac:dyDescent="0.25">
      <c r="A18" s="2"/>
      <c r="B18" s="6" t="s">
        <v>12</v>
      </c>
      <c r="C18" s="19">
        <f>VLOOKUP(B18,RTD!$A$1:$H$196,2,0)</f>
        <v>11.06</v>
      </c>
      <c r="D18" s="19">
        <f>VLOOKUP(B18,RTD!$A$1:$H$196,3,0)</f>
        <v>11.1</v>
      </c>
      <c r="E18" s="19">
        <f>VLOOKUP(B18,RTD!$A$1:$H$196,4,0)</f>
        <v>11.24</v>
      </c>
      <c r="F18" s="19">
        <f>VLOOKUP(B18,RTD!$A$1:$H$196,5,0)</f>
        <v>11.06</v>
      </c>
      <c r="G18" s="19">
        <f>VLOOKUP(B18,RTD!$A$1:$H$196,6,0)</f>
        <v>11.07</v>
      </c>
      <c r="H18" s="19">
        <f t="shared" si="6"/>
        <v>11.065000000000001</v>
      </c>
      <c r="I18" s="14">
        <f t="shared" si="7"/>
        <v>-1.556939501779353E-2</v>
      </c>
      <c r="J18" s="98">
        <f>VLOOKUP(B18,'Market Data'!$A$4:$F$100,6,0)*C18</f>
        <v>1160.1416779902902</v>
      </c>
      <c r="K18" s="19">
        <f>VLOOKUP(B18,RTD!$A$2:$H$100,8,0)</f>
        <v>0.86</v>
      </c>
      <c r="L18" s="14">
        <f t="shared" si="8"/>
        <v>-9.415251317957965E-3</v>
      </c>
      <c r="M18" s="19">
        <f>VLOOKUP(B18,RTD!$A$1:$H$196,7,0)</f>
        <v>0</v>
      </c>
      <c r="N18" s="98">
        <f>IF(M18=0,J18,IF(M18=0,C18,M18)*VLOOKUP(B18,'Market Data'!$A$4:$F$100,6,0))</f>
        <v>1160.1416779902902</v>
      </c>
      <c r="O18" s="7" t="s">
        <v>12</v>
      </c>
      <c r="P18" s="14"/>
      <c r="Q18" s="13"/>
      <c r="S18" s="133">
        <v>72</v>
      </c>
      <c r="T18" s="135" t="s">
        <v>17</v>
      </c>
      <c r="U18" s="27" t="e">
        <f>RTD("srv.rtd","","PLAYERSRANKING",$U$13,S18,"SALDO","VOLF")</f>
        <v>#N/A</v>
      </c>
      <c r="V18" s="27" t="e">
        <f>RTD("srv.rtd","","PLAYERSRANKING",V$13,S18,"SALDO","VOLF")*0.2</f>
        <v>#N/A</v>
      </c>
      <c r="W18" s="27" t="e">
        <f>RTD("srv.rtd","","PLAYERSRANKING",W$13,S18,"SALDO","VOLF")*50</f>
        <v>#N/A</v>
      </c>
      <c r="X18" s="27" t="e">
        <f>RTD("srv.rtd","","PLAYERSRANKING",X$13,S18,"SALDO","VOLF")*10</f>
        <v>#N/A</v>
      </c>
      <c r="Y18" s="27" t="e">
        <f>RTD("srv.rtd","","PLAYERSRANKING",Y$13,$S18,"SALDO","VOLF")</f>
        <v>#N/A</v>
      </c>
      <c r="Z18" s="27" t="e">
        <f>RTD("srv.rtd","","PLAYERSRANKING",Z$13,$S18,"SALDO","VOLF")</f>
        <v>#N/A</v>
      </c>
      <c r="AA18" s="27" t="e">
        <f>RTD("srv.rtd","","PLAYERSRANKING",AA$13,$S18,"SALDO","VOLF")</f>
        <v>#N/A</v>
      </c>
      <c r="AB18" s="27" t="e">
        <f>RTD("srv.rtd","","PLAYERSRANKING",AB$13,$S18,"SALDO","VOLF")</f>
        <v>#N/A</v>
      </c>
      <c r="AC18" s="27" t="e">
        <f>RTD("srv.rtd","","PLAYERSRANKING",AC$13,$S18,"SALDO","VOLF")</f>
        <v>#N/A</v>
      </c>
      <c r="AD18" s="27" t="e">
        <f>RTD("srv.rtd","","PLAYERSRANKING",AD$13,$S18,"SALDO","VOLF")</f>
        <v>#N/A</v>
      </c>
      <c r="AE18" s="27" t="e">
        <f>RTD("srv.rtd","","PLAYERSRANKING",AE$13,$S18,"SALDO","VOLF")</f>
        <v>#N/A</v>
      </c>
      <c r="AF18" s="27" t="e">
        <f>RTD("srv.rtd","","PLAYERSRANKING",AF$13,$S18,"SALDO","VOLF")</f>
        <v>#N/A</v>
      </c>
      <c r="AG18" s="27" t="e">
        <f>RTD("srv.rtd","","PLAYERSRANKING",AG$13,$S18,"SALDO","VOLF")</f>
        <v>#N/A</v>
      </c>
      <c r="AH18" s="27" t="e">
        <f>RTD("srv.rtd","","PLAYERSRANKING",AH$13,$S18,"SALDO","VOLF")</f>
        <v>#N/A</v>
      </c>
      <c r="AI18" s="27" t="e">
        <f>RTD("srv.rtd","","PLAYERSRANKING",AI$13,$S18,"SALDO","VOLF")</f>
        <v>#N/A</v>
      </c>
      <c r="AJ18" s="27" t="e">
        <f>RTD("srv.rtd","","PLAYERSRANKING",AJ$13,$S18,"SALDO","VOLF")</f>
        <v>#N/A</v>
      </c>
      <c r="AK18" s="27" t="e">
        <f>RTD("srv.rtd","","PLAYERSRANKING",AK$13,$S18,"SALDO","VOLF")</f>
        <v>#N/A</v>
      </c>
      <c r="AL18" s="27" t="e">
        <f>RTD("srv.rtd","","PLAYERSRANKING",AL$13,$S18,"SALDO","VOLF")</f>
        <v>#N/A</v>
      </c>
      <c r="AM18" s="27" t="e">
        <f>RTD("srv.rtd","","PLAYERSRANKING",AM$13,$S18,"SALDO","VOLF")</f>
        <v>#N/A</v>
      </c>
      <c r="AN18" s="27" t="e">
        <f>RTD("srv.rtd","","PLAYERSRANKING",AN$13,$S18,"SALDO","VOLF")</f>
        <v>#N/A</v>
      </c>
      <c r="AO18" s="27" t="e">
        <f>RTD("srv.rtd","","PLAYERSRANKING",AO$13,$S18,"SALDO","VOLF")</f>
        <v>#N/A</v>
      </c>
      <c r="AP18" s="27" t="e">
        <f>RTD("srv.rtd","","PLAYERSRANKING",AP$13,$S18,"SALDO","VOLF")</f>
        <v>#N/A</v>
      </c>
      <c r="AQ18" s="27" t="e">
        <f>RTD("srv.rtd","","PLAYERSRANKING",AQ$13,$S18,"SALDO","VOLF")</f>
        <v>#N/A</v>
      </c>
      <c r="AR18" s="27" t="e">
        <f>RTD("srv.rtd","","PLAYERSRANKING",AR$13,$S18,"SALDO","VOLF")</f>
        <v>#N/A</v>
      </c>
      <c r="AS18" s="27" t="e">
        <f>RTD("srv.rtd","","PLAYERSRANKING",AS$13,$S18,"SALDO","VOLF")</f>
        <v>#N/A</v>
      </c>
      <c r="AT18" s="27" t="e">
        <f>RTD("srv.rtd","","PLAYERSRANKING",AT$13,$S18,"SALDO","VOLF")</f>
        <v>#N/A</v>
      </c>
      <c r="AU18" s="27" t="e">
        <f>RTD("srv.rtd","","PLAYERSRANKING",AU$13,$S18,"SALDO","VOLF")</f>
        <v>#N/A</v>
      </c>
      <c r="AV18" s="27" t="e">
        <f>RTD("srv.rtd","","PLAYERSRANKING",AV$13,$S18,"SALDO","VOLF")</f>
        <v>#N/A</v>
      </c>
      <c r="AW18" s="27" t="e">
        <f>RTD("srv.rtd","","PLAYERSRANKING",AW$13,$S18,"SALDO","VOLF")</f>
        <v>#N/A</v>
      </c>
      <c r="AX18" s="27" t="e">
        <f>RTD("srv.rtd","","PLAYERSRANKING",AX$13,$S18,"SALDO","VOLF")</f>
        <v>#N/A</v>
      </c>
      <c r="AY18" s="27" t="e">
        <f>RTD("srv.rtd","","PLAYERSRANKING",AY$13,$S18,"SALDO","VOLF")</f>
        <v>#N/A</v>
      </c>
      <c r="AZ18" s="27" t="e">
        <f>RTD("srv.rtd","","PLAYERSRANKING",AZ$13,$S18,"SALDO","VOLF")</f>
        <v>#N/A</v>
      </c>
      <c r="BA18" s="27" t="e">
        <f>RTD("srv.rtd","","PLAYERSRANKING",BA$13,$S18,"SALDO","VOLF")</f>
        <v>#N/A</v>
      </c>
      <c r="BB18" s="27" t="e">
        <f>RTD("srv.rtd","","PLAYERSRANKING",BB$13,$S18,"SALDO","VOLF")</f>
        <v>#N/A</v>
      </c>
      <c r="BC18" s="27" t="e">
        <f>RTD("srv.rtd","","PLAYERSRANKING",BC$13,$S18,"SALDO","VOLF")</f>
        <v>#N/A</v>
      </c>
      <c r="BD18" s="27" t="e">
        <f>RTD("srv.rtd","","PLAYERSRANKING",BD$13,$S18,"SALDO","VOLF")</f>
        <v>#N/A</v>
      </c>
      <c r="BE18" s="27" t="e">
        <f>RTD("srv.rtd","","PLAYERSRANKING",BE$13,$S18,"SALDO","VOLF")</f>
        <v>#N/A</v>
      </c>
      <c r="BF18" s="27" t="e">
        <f>RTD("srv.rtd","","PLAYERSRANKING",BF$13,$S18,"SALDO","VOLF")</f>
        <v>#N/A</v>
      </c>
      <c r="BG18" s="27" t="e">
        <f>RTD("srv.rtd","","PLAYERSRANKING",BG$13,$S18,"SALDO","VOLF")</f>
        <v>#N/A</v>
      </c>
      <c r="BH18" s="27" t="e">
        <f>RTD("srv.rtd","","PLAYERSRANKING",BH$13,$S18,"SALDO","VOLF")</f>
        <v>#N/A</v>
      </c>
      <c r="BI18" s="27" t="e">
        <f>RTD("srv.rtd","","PLAYERSRANKING",BI$13,$S18,"SALDO","VOLF")</f>
        <v>#N/A</v>
      </c>
      <c r="BJ18" s="27" t="e">
        <f>RTD("srv.rtd","","PLAYERSRANKING",BJ$13,$S18,"SALDO","VOLF")</f>
        <v>#N/A</v>
      </c>
      <c r="BK18" s="27" t="e">
        <f>RTD("srv.rtd","","PLAYERSRANKING",BK$13,$S18,"SALDO","VOLF")</f>
        <v>#N/A</v>
      </c>
      <c r="BL18" s="27" t="e">
        <f>RTD("srv.rtd","","PLAYERSRANKING",BL$13,$S18,"SALDO","VOLF")</f>
        <v>#N/A</v>
      </c>
      <c r="BM18" s="27" t="e">
        <f>RTD("srv.rtd","","PLAYERSRANKING",BM$13,$S18,"SALDO","VOLF")</f>
        <v>#N/A</v>
      </c>
      <c r="BN18" s="27" t="e">
        <f>RTD("srv.rtd","","PLAYERSRANKING",BN$13,$S18,"SALDO","VOLF")</f>
        <v>#N/A</v>
      </c>
      <c r="BO18" s="27" t="e">
        <f>RTD("srv.rtd","","PLAYERSRANKING",BO$13,$S18,"SALDO","VOLF")</f>
        <v>#N/A</v>
      </c>
      <c r="BP18" s="27" t="e">
        <f>RTD("srv.rtd","","PLAYERSRANKING",BP$13,$S18,"SALDO","VOLF")</f>
        <v>#N/A</v>
      </c>
      <c r="BQ18" s="27" t="e">
        <f>RTD("srv.rtd","","PLAYERSRANKING",BQ$13,$S18,"SALDO","VOLF")</f>
        <v>#N/A</v>
      </c>
      <c r="BR18" s="27" t="e">
        <f>RTD("srv.rtd","","PLAYERSRANKING",BR$13,$S18,"SALDO","VOLF")</f>
        <v>#N/A</v>
      </c>
      <c r="BS18" s="27" t="e">
        <f>RTD("srv.rtd","","PLAYERSRANKING",BS$13,$S18,"SALDO","VOLF")</f>
        <v>#N/A</v>
      </c>
      <c r="BT18" s="27" t="e">
        <f>RTD("srv.rtd","","PLAYERSRANKING",BT$13,$S18,"SALDO","VOLF")</f>
        <v>#N/A</v>
      </c>
      <c r="BU18" s="27" t="e">
        <f>RTD("srv.rtd","","PLAYERSRANKING",BU$13,$S18,"SALDO","VOLF")</f>
        <v>#N/A</v>
      </c>
      <c r="BV18" s="27" t="e">
        <f>RTD("srv.rtd","","PLAYERSRANKING",BV$13,$S18,"SALDO","VOLF")</f>
        <v>#N/A</v>
      </c>
      <c r="BW18" s="27" t="e">
        <f>RTD("srv.rtd","","PLAYERSRANKING",BW$13,$S18,"SALDO","VOLF")</f>
        <v>#N/A</v>
      </c>
      <c r="BX18" s="27" t="e">
        <f>RTD("srv.rtd","","PLAYERSRANKING",BX$13,$S18,"SALDO","VOLF")</f>
        <v>#N/A</v>
      </c>
      <c r="BY18" s="27" t="e">
        <f>RTD("srv.rtd","","PLAYERSRANKING",BY$13,$S18,"SALDO","VOLF")</f>
        <v>#N/A</v>
      </c>
      <c r="BZ18" s="27" t="e">
        <f>RTD("srv.rtd","","PLAYERSRANKING",BZ$13,$S18,"SALDO","VOLF")</f>
        <v>#N/A</v>
      </c>
      <c r="CA18" s="27" t="e">
        <f>RTD("srv.rtd","","PLAYERSRANKING",CA$13,$S18,"SALDO","VOLF")</f>
        <v>#N/A</v>
      </c>
      <c r="CB18" s="27" t="e">
        <f>RTD("srv.rtd","","PLAYERSRANKING",CB$13,$S18,"SALDO","VOLF")</f>
        <v>#N/A</v>
      </c>
      <c r="CC18" s="27" t="e">
        <f>RTD("srv.rtd","","PLAYERSRANKING",CC$13,$S18,"SALDO","VOLF")</f>
        <v>#N/A</v>
      </c>
      <c r="CD18" s="27" t="e">
        <f>RTD("srv.rtd","","PLAYERSRANKING",CD$13,$S18,"SALDO","VOLF")</f>
        <v>#N/A</v>
      </c>
      <c r="CE18" s="27" t="e">
        <f>RTD("srv.rtd","","PLAYERSRANKING",CE$13,$S18,"SALDO","VOLF")</f>
        <v>#N/A</v>
      </c>
      <c r="CF18" s="27" t="e">
        <f>RTD("srv.rtd","","PLAYERSRANKING",CF$13,$S18,"SALDO","VOLF")</f>
        <v>#N/A</v>
      </c>
      <c r="CG18" s="27" t="e">
        <f>RTD("srv.rtd","","PLAYERSRANKING",CG$13,$S18,"SALDO","VOLF")</f>
        <v>#N/A</v>
      </c>
      <c r="CH18" s="27" t="e">
        <f>RTD("srv.rtd","","PLAYERSRANKING",CH$13,$S18,"SALDO","VOLF")</f>
        <v>#N/A</v>
      </c>
      <c r="CI18" s="27" t="e">
        <f>RTD("srv.rtd","","PLAYERSRANKING",CI$13,$S18,"SALDO","VOLF")</f>
        <v>#N/A</v>
      </c>
      <c r="CJ18" s="27" t="e">
        <f>RTD("srv.rtd","","PLAYERSRANKING",CJ$13,$S18,"SALDO","VOLF")</f>
        <v>#N/A</v>
      </c>
      <c r="CK18" s="27" t="e">
        <f>RTD("srv.rtd","","PLAYERSRANKING",CK$13,$S18,"SALDO","VOLF")</f>
        <v>#N/A</v>
      </c>
      <c r="CL18" s="27" t="e">
        <f>RTD("srv.rtd","","PLAYERSRANKING",CL$13,$S18,"SALDO","VOLF")</f>
        <v>#N/A</v>
      </c>
      <c r="CM18" s="27" t="e">
        <f>RTD("srv.rtd","","PLAYERSRANKING",CM$13,$S18,"SALDO","VOLF")</f>
        <v>#N/A</v>
      </c>
      <c r="CN18" s="27" t="e">
        <f>RTD("srv.rtd","","PLAYERSRANKING",CN$13,$S18,"SALDO","VOLF")</f>
        <v>#N/A</v>
      </c>
      <c r="CO18" s="27" t="e">
        <f>RTD("srv.rtd","","PLAYERSRANKING",CO$13,$S18,"SALDO","VOLF")</f>
        <v>#N/A</v>
      </c>
      <c r="CP18" s="27" t="e">
        <f>RTD("srv.rtd","","PLAYERSRANKING",CP$13,$S18,"SALDO","VOLF")</f>
        <v>#N/A</v>
      </c>
      <c r="CQ18" s="27" t="e">
        <f>RTD("srv.rtd","","PLAYERSRANKING",CQ$13,$S18,"SALDO","VOLF")</f>
        <v>#N/A</v>
      </c>
      <c r="CR18" s="27" t="e">
        <f>RTD("srv.rtd","","PLAYERSRANKING",CR$13,$S18,"SALDO","VOLF")</f>
        <v>#N/A</v>
      </c>
      <c r="CS18" s="27" t="e">
        <f>RTD("srv.rtd","","PLAYERSRANKING",CS$13,$S18,"SALDO","VOLF")</f>
        <v>#N/A</v>
      </c>
      <c r="CT18" s="27" t="e">
        <f>RTD("srv.rtd","","PLAYERSRANKING",CT$13,$S18,"SALDO","VOLF")</f>
        <v>#N/A</v>
      </c>
      <c r="CU18" s="27" t="e">
        <f>RTD("srv.rtd","","PLAYERSRANKING",CU$13,$S18,"SALDO","VOLF")</f>
        <v>#N/A</v>
      </c>
      <c r="CV18" s="27" t="e">
        <f>RTD("srv.rtd","","PLAYERSRANKING",CV$13,$S18,"SALDO","VOLF")</f>
        <v>#N/A</v>
      </c>
      <c r="CW18" s="27" t="e">
        <f>RTD("srv.rtd","","PLAYERSRANKING",CW$13,$S18,"SALDO","VOLF")</f>
        <v>#N/A</v>
      </c>
      <c r="CX18" s="27" t="e">
        <f>RTD("srv.rtd","","PLAYERSRANKING",CX$13,$S18,"SALDO","VOLF")</f>
        <v>#N/A</v>
      </c>
      <c r="CY18" s="27" t="e">
        <f>RTD("srv.rtd","","PLAYERSRANKING",CY$13,$S18,"SALDO","VOLF")</f>
        <v>#N/A</v>
      </c>
      <c r="CZ18" s="27" t="e">
        <f>RTD("srv.rtd","","PLAYERSRANKING",CZ$13,$S18,"SALDO","VOLF")</f>
        <v>#N/A</v>
      </c>
      <c r="DA18" s="27" t="e">
        <f>RTD("srv.rtd","","PLAYERSRANKING",DA$13,$S18,"SALDO","VOLF")</f>
        <v>#N/A</v>
      </c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</row>
    <row r="19" spans="1:124" x14ac:dyDescent="0.25">
      <c r="A19" s="2"/>
      <c r="B19" s="6" t="s">
        <v>14</v>
      </c>
      <c r="C19" s="19">
        <f>VLOOKUP(B19,RTD!$A$1:$H$196,2,0)</f>
        <v>28.86</v>
      </c>
      <c r="D19" s="19">
        <f>VLOOKUP(B19,RTD!$A$1:$H$196,3,0)</f>
        <v>28.54</v>
      </c>
      <c r="E19" s="19">
        <f>VLOOKUP(B19,RTD!$A$1:$H$196,4,0)</f>
        <v>28.630000000000003</v>
      </c>
      <c r="F19" s="19">
        <f>VLOOKUP(B19,RTD!$A$1:$H$196,5,0)</f>
        <v>28.84</v>
      </c>
      <c r="G19" s="19">
        <f>VLOOKUP(B19,RTD!$A$1:$H$196,6,0)</f>
        <v>28.85</v>
      </c>
      <c r="H19" s="19">
        <f t="shared" si="6"/>
        <v>28.844999999999999</v>
      </c>
      <c r="I19" s="14">
        <f t="shared" si="7"/>
        <v>7.5096053091161519E-3</v>
      </c>
      <c r="J19" s="98">
        <f>VLOOKUP(B19,'Market Data'!$A$4:$F$100,6,0)*C19</f>
        <v>2011.8278577724896</v>
      </c>
      <c r="K19" s="19">
        <f>VLOOKUP(B19,RTD!$A$2:$H$100,8,0)</f>
        <v>1.37</v>
      </c>
      <c r="L19" s="14">
        <f t="shared" si="8"/>
        <v>1.7313299342575136E-2</v>
      </c>
      <c r="M19" s="19">
        <f>VLOOKUP(B19,RTD!$A$1:$H$196,7,0)</f>
        <v>0</v>
      </c>
      <c r="N19" s="98">
        <f>IF(M19=0,J19,IF(M19=0,C19,M19)*VLOOKUP(B19,'Market Data'!$A$4:$F$100,6,0))</f>
        <v>2011.8278577724896</v>
      </c>
      <c r="O19" s="7" t="s">
        <v>14</v>
      </c>
      <c r="P19" s="14"/>
      <c r="Q19" s="13"/>
      <c r="S19" s="133">
        <v>6003</v>
      </c>
      <c r="T19" s="135" t="s">
        <v>179</v>
      </c>
      <c r="U19" s="27" t="e">
        <f>RTD("srv.rtd","","PLAYERSRANKING",$U$13,S19,"SALDO","VOLF")</f>
        <v>#N/A</v>
      </c>
      <c r="V19" s="27" t="e">
        <f>RTD("srv.rtd","","PLAYERSRANKING",V$13,S19,"SALDO","VOLF")*0.2</f>
        <v>#N/A</v>
      </c>
      <c r="W19" s="27" t="e">
        <f>RTD("srv.rtd","","PLAYERSRANKING",W$13,S19,"SALDO","VOLF")*50</f>
        <v>#N/A</v>
      </c>
      <c r="X19" s="27" t="e">
        <f>RTD("srv.rtd","","PLAYERSRANKING",X$13,S19,"SALDO","VOLF")*10</f>
        <v>#N/A</v>
      </c>
      <c r="Y19" s="27" t="e">
        <f>RTD("srv.rtd","","PLAYERSRANKING",Y$13,$S19,"SALDO","VOLF")</f>
        <v>#N/A</v>
      </c>
      <c r="Z19" s="27" t="e">
        <f>RTD("srv.rtd","","PLAYERSRANKING",Z$13,$S19,"SALDO","VOLF")</f>
        <v>#N/A</v>
      </c>
      <c r="AA19" s="27" t="e">
        <f>RTD("srv.rtd","","PLAYERSRANKING",AA$13,$S19,"SALDO","VOLF")</f>
        <v>#N/A</v>
      </c>
      <c r="AB19" s="27" t="e">
        <f>RTD("srv.rtd","","PLAYERSRANKING",AB$13,$S19,"SALDO","VOLF")</f>
        <v>#N/A</v>
      </c>
      <c r="AC19" s="27" t="e">
        <f>RTD("srv.rtd","","PLAYERSRANKING",AC$13,$S19,"SALDO","VOLF")</f>
        <v>#N/A</v>
      </c>
      <c r="AD19" s="27" t="e">
        <f>RTD("srv.rtd","","PLAYERSRANKING",AD$13,$S19,"SALDO","VOLF")</f>
        <v>#N/A</v>
      </c>
      <c r="AE19" s="27" t="e">
        <f>RTD("srv.rtd","","PLAYERSRANKING",AE$13,$S19,"SALDO","VOLF")</f>
        <v>#N/A</v>
      </c>
      <c r="AF19" s="27" t="e">
        <f>RTD("srv.rtd","","PLAYERSRANKING",AF$13,$S19,"SALDO","VOLF")</f>
        <v>#N/A</v>
      </c>
      <c r="AG19" s="27" t="e">
        <f>RTD("srv.rtd","","PLAYERSRANKING",AG$13,$S19,"SALDO","VOLF")</f>
        <v>#N/A</v>
      </c>
      <c r="AH19" s="27" t="e">
        <f>RTD("srv.rtd","","PLAYERSRANKING",AH$13,$S19,"SALDO","VOLF")</f>
        <v>#N/A</v>
      </c>
      <c r="AI19" s="27" t="e">
        <f>RTD("srv.rtd","","PLAYERSRANKING",AI$13,$S19,"SALDO","VOLF")</f>
        <v>#N/A</v>
      </c>
      <c r="AJ19" s="27" t="e">
        <f>RTD("srv.rtd","","PLAYERSRANKING",AJ$13,$S19,"SALDO","VOLF")</f>
        <v>#N/A</v>
      </c>
      <c r="AK19" s="27" t="e">
        <f>RTD("srv.rtd","","PLAYERSRANKING",AK$13,$S19,"SALDO","VOLF")</f>
        <v>#N/A</v>
      </c>
      <c r="AL19" s="27" t="e">
        <f>RTD("srv.rtd","","PLAYERSRANKING",AL$13,$S19,"SALDO","VOLF")</f>
        <v>#N/A</v>
      </c>
      <c r="AM19" s="27" t="e">
        <f>RTD("srv.rtd","","PLAYERSRANKING",AM$13,$S19,"SALDO","VOLF")</f>
        <v>#N/A</v>
      </c>
      <c r="AN19" s="27" t="e">
        <f>RTD("srv.rtd","","PLAYERSRANKING",AN$13,$S19,"SALDO","VOLF")</f>
        <v>#N/A</v>
      </c>
      <c r="AO19" s="27" t="e">
        <f>RTD("srv.rtd","","PLAYERSRANKING",AO$13,$S19,"SALDO","VOLF")</f>
        <v>#N/A</v>
      </c>
      <c r="AP19" s="27" t="e">
        <f>RTD("srv.rtd","","PLAYERSRANKING",AP$13,$S19,"SALDO","VOLF")</f>
        <v>#N/A</v>
      </c>
      <c r="AQ19" s="27" t="e">
        <f>RTD("srv.rtd","","PLAYERSRANKING",AQ$13,$S19,"SALDO","VOLF")</f>
        <v>#N/A</v>
      </c>
      <c r="AR19" s="27" t="e">
        <f>RTD("srv.rtd","","PLAYERSRANKING",AR$13,$S19,"SALDO","VOLF")</f>
        <v>#N/A</v>
      </c>
      <c r="AS19" s="27" t="e">
        <f>RTD("srv.rtd","","PLAYERSRANKING",AS$13,$S19,"SALDO","VOLF")</f>
        <v>#N/A</v>
      </c>
      <c r="AT19" s="27" t="e">
        <f>RTD("srv.rtd","","PLAYERSRANKING",AT$13,$S19,"SALDO","VOLF")</f>
        <v>#N/A</v>
      </c>
      <c r="AU19" s="27" t="e">
        <f>RTD("srv.rtd","","PLAYERSRANKING",AU$13,$S19,"SALDO","VOLF")</f>
        <v>#N/A</v>
      </c>
      <c r="AV19" s="27" t="e">
        <f>RTD("srv.rtd","","PLAYERSRANKING",AV$13,$S19,"SALDO","VOLF")</f>
        <v>#N/A</v>
      </c>
      <c r="AW19" s="27" t="e">
        <f>RTD("srv.rtd","","PLAYERSRANKING",AW$13,$S19,"SALDO","VOLF")</f>
        <v>#N/A</v>
      </c>
      <c r="AX19" s="27" t="e">
        <f>RTD("srv.rtd","","PLAYERSRANKING",AX$13,$S19,"SALDO","VOLF")</f>
        <v>#N/A</v>
      </c>
      <c r="AY19" s="27" t="e">
        <f>RTD("srv.rtd","","PLAYERSRANKING",AY$13,$S19,"SALDO","VOLF")</f>
        <v>#N/A</v>
      </c>
      <c r="AZ19" s="27" t="e">
        <f>RTD("srv.rtd","","PLAYERSRANKING",AZ$13,$S19,"SALDO","VOLF")</f>
        <v>#N/A</v>
      </c>
      <c r="BA19" s="27" t="e">
        <f>RTD("srv.rtd","","PLAYERSRANKING",BA$13,$S19,"SALDO","VOLF")</f>
        <v>#N/A</v>
      </c>
      <c r="BB19" s="27" t="e">
        <f>RTD("srv.rtd","","PLAYERSRANKING",BB$13,$S19,"SALDO","VOLF")</f>
        <v>#N/A</v>
      </c>
      <c r="BC19" s="27" t="e">
        <f>RTD("srv.rtd","","PLAYERSRANKING",BC$13,$S19,"SALDO","VOLF")</f>
        <v>#N/A</v>
      </c>
      <c r="BD19" s="27" t="e">
        <f>RTD("srv.rtd","","PLAYERSRANKING",BD$13,$S19,"SALDO","VOLF")</f>
        <v>#N/A</v>
      </c>
      <c r="BE19" s="27" t="e">
        <f>RTD("srv.rtd","","PLAYERSRANKING",BE$13,$S19,"SALDO","VOLF")</f>
        <v>#N/A</v>
      </c>
      <c r="BF19" s="27" t="e">
        <f>RTD("srv.rtd","","PLAYERSRANKING",BF$13,$S19,"SALDO","VOLF")</f>
        <v>#N/A</v>
      </c>
      <c r="BG19" s="27" t="e">
        <f>RTD("srv.rtd","","PLAYERSRANKING",BG$13,$S19,"SALDO","VOLF")</f>
        <v>#N/A</v>
      </c>
      <c r="BH19" s="27" t="e">
        <f>RTD("srv.rtd","","PLAYERSRANKING",BH$13,$S19,"SALDO","VOLF")</f>
        <v>#N/A</v>
      </c>
      <c r="BI19" s="27" t="e">
        <f>RTD("srv.rtd","","PLAYERSRANKING",BI$13,$S19,"SALDO","VOLF")</f>
        <v>#N/A</v>
      </c>
      <c r="BJ19" s="27" t="e">
        <f>RTD("srv.rtd","","PLAYERSRANKING",BJ$13,$S19,"SALDO","VOLF")</f>
        <v>#N/A</v>
      </c>
      <c r="BK19" s="27" t="e">
        <f>RTD("srv.rtd","","PLAYERSRANKING",BK$13,$S19,"SALDO","VOLF")</f>
        <v>#N/A</v>
      </c>
      <c r="BL19" s="27" t="e">
        <f>RTD("srv.rtd","","PLAYERSRANKING",BL$13,$S19,"SALDO","VOLF")</f>
        <v>#N/A</v>
      </c>
      <c r="BM19" s="27" t="e">
        <f>RTD("srv.rtd","","PLAYERSRANKING",BM$13,$S19,"SALDO","VOLF")</f>
        <v>#N/A</v>
      </c>
      <c r="BN19" s="27" t="e">
        <f>RTD("srv.rtd","","PLAYERSRANKING",BN$13,$S19,"SALDO","VOLF")</f>
        <v>#N/A</v>
      </c>
      <c r="BO19" s="27" t="e">
        <f>RTD("srv.rtd","","PLAYERSRANKING",BO$13,$S19,"SALDO","VOLF")</f>
        <v>#N/A</v>
      </c>
      <c r="BP19" s="27" t="e">
        <f>RTD("srv.rtd","","PLAYERSRANKING",BP$13,$S19,"SALDO","VOLF")</f>
        <v>#N/A</v>
      </c>
      <c r="BQ19" s="27" t="e">
        <f>RTD("srv.rtd","","PLAYERSRANKING",BQ$13,$S19,"SALDO","VOLF")</f>
        <v>#N/A</v>
      </c>
      <c r="BR19" s="27" t="e">
        <f>RTD("srv.rtd","","PLAYERSRANKING",BR$13,$S19,"SALDO","VOLF")</f>
        <v>#N/A</v>
      </c>
      <c r="BS19" s="27" t="e">
        <f>RTD("srv.rtd","","PLAYERSRANKING",BS$13,$S19,"SALDO","VOLF")</f>
        <v>#N/A</v>
      </c>
      <c r="BT19" s="27" t="e">
        <f>RTD("srv.rtd","","PLAYERSRANKING",BT$13,$S19,"SALDO","VOLF")</f>
        <v>#N/A</v>
      </c>
      <c r="BU19" s="27" t="e">
        <f>RTD("srv.rtd","","PLAYERSRANKING",BU$13,$S19,"SALDO","VOLF")</f>
        <v>#N/A</v>
      </c>
      <c r="BV19" s="27" t="e">
        <f>RTD("srv.rtd","","PLAYERSRANKING",BV$13,$S19,"SALDO","VOLF")</f>
        <v>#N/A</v>
      </c>
      <c r="BW19" s="27" t="e">
        <f>RTD("srv.rtd","","PLAYERSRANKING",BW$13,$S19,"SALDO","VOLF")</f>
        <v>#N/A</v>
      </c>
      <c r="BX19" s="27" t="e">
        <f>RTD("srv.rtd","","PLAYERSRANKING",BX$13,$S19,"SALDO","VOLF")</f>
        <v>#N/A</v>
      </c>
      <c r="BY19" s="27" t="e">
        <f>RTD("srv.rtd","","PLAYERSRANKING",BY$13,$S19,"SALDO","VOLF")</f>
        <v>#N/A</v>
      </c>
      <c r="BZ19" s="27" t="e">
        <f>RTD("srv.rtd","","PLAYERSRANKING",BZ$13,$S19,"SALDO","VOLF")</f>
        <v>#N/A</v>
      </c>
      <c r="CA19" s="27" t="e">
        <f>RTD("srv.rtd","","PLAYERSRANKING",CA$13,$S19,"SALDO","VOLF")</f>
        <v>#N/A</v>
      </c>
      <c r="CB19" s="27" t="e">
        <f>RTD("srv.rtd","","PLAYERSRANKING",CB$13,$S19,"SALDO","VOLF")</f>
        <v>#N/A</v>
      </c>
      <c r="CC19" s="27" t="e">
        <f>RTD("srv.rtd","","PLAYERSRANKING",CC$13,$S19,"SALDO","VOLF")</f>
        <v>#N/A</v>
      </c>
      <c r="CD19" s="27" t="e">
        <f>RTD("srv.rtd","","PLAYERSRANKING",CD$13,$S19,"SALDO","VOLF")</f>
        <v>#N/A</v>
      </c>
      <c r="CE19" s="27" t="e">
        <f>RTD("srv.rtd","","PLAYERSRANKING",CE$13,$S19,"SALDO","VOLF")</f>
        <v>#N/A</v>
      </c>
      <c r="CF19" s="27" t="e">
        <f>RTD("srv.rtd","","PLAYERSRANKING",CF$13,$S19,"SALDO","VOLF")</f>
        <v>#N/A</v>
      </c>
      <c r="CG19" s="27" t="e">
        <f>RTD("srv.rtd","","PLAYERSRANKING",CG$13,$S19,"SALDO","VOLF")</f>
        <v>#N/A</v>
      </c>
      <c r="CH19" s="27" t="e">
        <f>RTD("srv.rtd","","PLAYERSRANKING",CH$13,$S19,"SALDO","VOLF")</f>
        <v>#N/A</v>
      </c>
      <c r="CI19" s="27" t="e">
        <f>RTD("srv.rtd","","PLAYERSRANKING",CI$13,$S19,"SALDO","VOLF")</f>
        <v>#N/A</v>
      </c>
      <c r="CJ19" s="27" t="e">
        <f>RTD("srv.rtd","","PLAYERSRANKING",CJ$13,$S19,"SALDO","VOLF")</f>
        <v>#N/A</v>
      </c>
      <c r="CK19" s="27" t="e">
        <f>RTD("srv.rtd","","PLAYERSRANKING",CK$13,$S19,"SALDO","VOLF")</f>
        <v>#N/A</v>
      </c>
      <c r="CL19" s="27" t="e">
        <f>RTD("srv.rtd","","PLAYERSRANKING",CL$13,$S19,"SALDO","VOLF")</f>
        <v>#N/A</v>
      </c>
      <c r="CM19" s="27" t="e">
        <f>RTD("srv.rtd","","PLAYERSRANKING",CM$13,$S19,"SALDO","VOLF")</f>
        <v>#N/A</v>
      </c>
      <c r="CN19" s="27" t="e">
        <f>RTD("srv.rtd","","PLAYERSRANKING",CN$13,$S19,"SALDO","VOLF")</f>
        <v>#N/A</v>
      </c>
      <c r="CO19" s="27" t="e">
        <f>RTD("srv.rtd","","PLAYERSRANKING",CO$13,$S19,"SALDO","VOLF")</f>
        <v>#N/A</v>
      </c>
      <c r="CP19" s="27" t="e">
        <f>RTD("srv.rtd","","PLAYERSRANKING",CP$13,$S19,"SALDO","VOLF")</f>
        <v>#N/A</v>
      </c>
      <c r="CQ19" s="27" t="e">
        <f>RTD("srv.rtd","","PLAYERSRANKING",CQ$13,$S19,"SALDO","VOLF")</f>
        <v>#N/A</v>
      </c>
      <c r="CR19" s="27" t="e">
        <f>RTD("srv.rtd","","PLAYERSRANKING",CR$13,$S19,"SALDO","VOLF")</f>
        <v>#N/A</v>
      </c>
      <c r="CS19" s="27" t="e">
        <f>RTD("srv.rtd","","PLAYERSRANKING",CS$13,$S19,"SALDO","VOLF")</f>
        <v>#N/A</v>
      </c>
      <c r="CT19" s="27" t="e">
        <f>RTD("srv.rtd","","PLAYERSRANKING",CT$13,$S19,"SALDO","VOLF")</f>
        <v>#N/A</v>
      </c>
      <c r="CU19" s="27" t="e">
        <f>RTD("srv.rtd","","PLAYERSRANKING",CU$13,$S19,"SALDO","VOLF")</f>
        <v>#N/A</v>
      </c>
      <c r="CV19" s="27" t="e">
        <f>RTD("srv.rtd","","PLAYERSRANKING",CV$13,$S19,"SALDO","VOLF")</f>
        <v>#N/A</v>
      </c>
      <c r="CW19" s="27" t="e">
        <f>RTD("srv.rtd","","PLAYERSRANKING",CW$13,$S19,"SALDO","VOLF")</f>
        <v>#N/A</v>
      </c>
      <c r="CX19" s="27" t="e">
        <f>RTD("srv.rtd","","PLAYERSRANKING",CX$13,$S19,"SALDO","VOLF")</f>
        <v>#N/A</v>
      </c>
      <c r="CY19" s="27" t="e">
        <f>RTD("srv.rtd","","PLAYERSRANKING",CY$13,$S19,"SALDO","VOLF")</f>
        <v>#N/A</v>
      </c>
      <c r="CZ19" s="27" t="e">
        <f>RTD("srv.rtd","","PLAYERSRANKING",CZ$13,$S19,"SALDO","VOLF")</f>
        <v>#N/A</v>
      </c>
      <c r="DA19" s="27" t="e">
        <f>RTD("srv.rtd","","PLAYERSRANKING",DA$13,$S19,"SALDO","VOLF")</f>
        <v>#N/A</v>
      </c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</row>
    <row r="20" spans="1:124" x14ac:dyDescent="0.25">
      <c r="A20" s="2"/>
      <c r="B20" s="6" t="s">
        <v>16</v>
      </c>
      <c r="C20" s="19">
        <f>VLOOKUP(B20,RTD!$A$1:$H$196,2,0)</f>
        <v>16.780000000000015</v>
      </c>
      <c r="D20" s="19">
        <f>VLOOKUP(B20,RTD!$A$1:$H$196,3,0)</f>
        <v>16.670000000000002</v>
      </c>
      <c r="E20" s="19">
        <f>VLOOKUP(B20,RTD!$A$1:$H$196,4,0)</f>
        <v>16.75</v>
      </c>
      <c r="F20" s="19">
        <f>VLOOKUP(B20,RTD!$A$1:$H$196,5,0)</f>
        <v>16.78</v>
      </c>
      <c r="G20" s="19">
        <f>VLOOKUP(B20,RTD!$A$1:$H$196,6,0)</f>
        <v>16.79</v>
      </c>
      <c r="H20" s="19">
        <f t="shared" si="6"/>
        <v>16.785</v>
      </c>
      <c r="I20" s="14">
        <f t="shared" si="7"/>
        <v>2.089552238806025E-3</v>
      </c>
      <c r="J20" s="98">
        <f>VLOOKUP(B20,'Market Data'!$A$4:$F$100,6,0)*C20</f>
        <v>1045.8152776369539</v>
      </c>
      <c r="K20" s="19">
        <f>VLOOKUP(B20,RTD!$A$2:$H$100,8,0)</f>
        <v>1.55</v>
      </c>
      <c r="L20" s="14">
        <f t="shared" si="8"/>
        <v>1.3181322860602685E-2</v>
      </c>
      <c r="M20" s="19">
        <f>VLOOKUP(B20,RTD!$A$1:$H$196,7,0)</f>
        <v>0</v>
      </c>
      <c r="N20" s="98">
        <f>IF(M20=0,J20,IF(M20=0,C20,M20)*VLOOKUP(B20,'Market Data'!$A$4:$F$100,6,0))</f>
        <v>1045.8152776369539</v>
      </c>
      <c r="O20" s="7" t="s">
        <v>16</v>
      </c>
      <c r="P20" s="14"/>
      <c r="Q20" s="13"/>
      <c r="S20" s="133">
        <v>88</v>
      </c>
      <c r="T20" s="135" t="s">
        <v>192</v>
      </c>
      <c r="U20" s="27" t="e">
        <f>RTD("srv.rtd","","PLAYERSRANKING",$U$13,S20,"SALDO","VOLF")</f>
        <v>#N/A</v>
      </c>
      <c r="V20" s="27" t="e">
        <f>RTD("srv.rtd","","PLAYERSRANKING",V$13,S20,"SALDO","VOLF")*0.2</f>
        <v>#N/A</v>
      </c>
      <c r="W20" s="27" t="e">
        <f>RTD("srv.rtd","","PLAYERSRANKING",W$13,S20,"SALDO","VOLF")*50</f>
        <v>#N/A</v>
      </c>
      <c r="X20" s="27" t="e">
        <f>RTD("srv.rtd","","PLAYERSRANKING",X$13,S20,"SALDO","VOLF")*10</f>
        <v>#N/A</v>
      </c>
      <c r="Y20" s="27" t="e">
        <f>RTD("srv.rtd","","PLAYERSRANKING",Y$13,$S20,"SALDO","VOLF")</f>
        <v>#N/A</v>
      </c>
      <c r="Z20" s="27" t="e">
        <f>RTD("srv.rtd","","PLAYERSRANKING",Z$13,$S20,"SALDO","VOLF")</f>
        <v>#N/A</v>
      </c>
      <c r="AA20" s="27" t="e">
        <f>RTD("srv.rtd","","PLAYERSRANKING",AA$13,$S20,"SALDO","VOLF")</f>
        <v>#N/A</v>
      </c>
      <c r="AB20" s="27" t="e">
        <f>RTD("srv.rtd","","PLAYERSRANKING",AB$13,$S20,"SALDO","VOLF")</f>
        <v>#N/A</v>
      </c>
      <c r="AC20" s="27" t="e">
        <f>RTD("srv.rtd","","PLAYERSRANKING",AC$13,$S20,"SALDO","VOLF")</f>
        <v>#N/A</v>
      </c>
      <c r="AD20" s="27" t="e">
        <f>RTD("srv.rtd","","PLAYERSRANKING",AD$13,$S20,"SALDO","VOLF")</f>
        <v>#N/A</v>
      </c>
      <c r="AE20" s="27" t="e">
        <f>RTD("srv.rtd","","PLAYERSRANKING",AE$13,$S20,"SALDO","VOLF")</f>
        <v>#N/A</v>
      </c>
      <c r="AF20" s="27" t="e">
        <f>RTD("srv.rtd","","PLAYERSRANKING",AF$13,$S20,"SALDO","VOLF")</f>
        <v>#N/A</v>
      </c>
      <c r="AG20" s="27" t="e">
        <f>RTD("srv.rtd","","PLAYERSRANKING",AG$13,$S20,"SALDO","VOLF")</f>
        <v>#N/A</v>
      </c>
      <c r="AH20" s="27" t="e">
        <f>RTD("srv.rtd","","PLAYERSRANKING",AH$13,$S20,"SALDO","VOLF")</f>
        <v>#N/A</v>
      </c>
      <c r="AI20" s="27" t="e">
        <f>RTD("srv.rtd","","PLAYERSRANKING",AI$13,$S20,"SALDO","VOLF")</f>
        <v>#N/A</v>
      </c>
      <c r="AJ20" s="27" t="e">
        <f>RTD("srv.rtd","","PLAYERSRANKING",AJ$13,$S20,"SALDO","VOLF")</f>
        <v>#N/A</v>
      </c>
      <c r="AK20" s="27" t="e">
        <f>RTD("srv.rtd","","PLAYERSRANKING",AK$13,$S20,"SALDO","VOLF")</f>
        <v>#N/A</v>
      </c>
      <c r="AL20" s="27" t="e">
        <f>RTD("srv.rtd","","PLAYERSRANKING",AL$13,$S20,"SALDO","VOLF")</f>
        <v>#N/A</v>
      </c>
      <c r="AM20" s="27" t="e">
        <f>RTD("srv.rtd","","PLAYERSRANKING",AM$13,$S20,"SALDO","VOLF")</f>
        <v>#N/A</v>
      </c>
      <c r="AN20" s="27" t="e">
        <f>RTD("srv.rtd","","PLAYERSRANKING",AN$13,$S20,"SALDO","VOLF")</f>
        <v>#N/A</v>
      </c>
      <c r="AO20" s="27" t="e">
        <f>RTD("srv.rtd","","PLAYERSRANKING",AO$13,$S20,"SALDO","VOLF")</f>
        <v>#N/A</v>
      </c>
      <c r="AP20" s="27" t="e">
        <f>RTD("srv.rtd","","PLAYERSRANKING",AP$13,$S20,"SALDO","VOLF")</f>
        <v>#N/A</v>
      </c>
      <c r="AQ20" s="27" t="e">
        <f>RTD("srv.rtd","","PLAYERSRANKING",AQ$13,$S20,"SALDO","VOLF")</f>
        <v>#N/A</v>
      </c>
      <c r="AR20" s="27" t="e">
        <f>RTD("srv.rtd","","PLAYERSRANKING",AR$13,$S20,"SALDO","VOLF")</f>
        <v>#N/A</v>
      </c>
      <c r="AS20" s="27" t="e">
        <f>RTD("srv.rtd","","PLAYERSRANKING",AS$13,$S20,"SALDO","VOLF")</f>
        <v>#N/A</v>
      </c>
      <c r="AT20" s="27" t="e">
        <f>RTD("srv.rtd","","PLAYERSRANKING",AT$13,$S20,"SALDO","VOLF")</f>
        <v>#N/A</v>
      </c>
      <c r="AU20" s="27" t="e">
        <f>RTD("srv.rtd","","PLAYERSRANKING",AU$13,$S20,"SALDO","VOLF")</f>
        <v>#N/A</v>
      </c>
      <c r="AV20" s="27" t="e">
        <f>RTD("srv.rtd","","PLAYERSRANKING",AV$13,$S20,"SALDO","VOLF")</f>
        <v>#N/A</v>
      </c>
      <c r="AW20" s="27" t="e">
        <f>RTD("srv.rtd","","PLAYERSRANKING",AW$13,$S20,"SALDO","VOLF")</f>
        <v>#N/A</v>
      </c>
      <c r="AX20" s="27" t="e">
        <f>RTD("srv.rtd","","PLAYERSRANKING",AX$13,$S20,"SALDO","VOLF")</f>
        <v>#N/A</v>
      </c>
      <c r="AY20" s="27" t="e">
        <f>RTD("srv.rtd","","PLAYERSRANKING",AY$13,$S20,"SALDO","VOLF")</f>
        <v>#N/A</v>
      </c>
      <c r="AZ20" s="27" t="e">
        <f>RTD("srv.rtd","","PLAYERSRANKING",AZ$13,$S20,"SALDO","VOLF")</f>
        <v>#N/A</v>
      </c>
      <c r="BA20" s="27" t="e">
        <f>RTD("srv.rtd","","PLAYERSRANKING",BA$13,$S20,"SALDO","VOLF")</f>
        <v>#N/A</v>
      </c>
      <c r="BB20" s="27" t="e">
        <f>RTD("srv.rtd","","PLAYERSRANKING",BB$13,$S20,"SALDO","VOLF")</f>
        <v>#N/A</v>
      </c>
      <c r="BC20" s="27" t="e">
        <f>RTD("srv.rtd","","PLAYERSRANKING",BC$13,$S20,"SALDO","VOLF")</f>
        <v>#N/A</v>
      </c>
      <c r="BD20" s="27" t="e">
        <f>RTD("srv.rtd","","PLAYERSRANKING",BD$13,$S20,"SALDO","VOLF")</f>
        <v>#N/A</v>
      </c>
      <c r="BE20" s="27" t="e">
        <f>RTD("srv.rtd","","PLAYERSRANKING",BE$13,$S20,"SALDO","VOLF")</f>
        <v>#N/A</v>
      </c>
      <c r="BF20" s="27" t="e">
        <f>RTD("srv.rtd","","PLAYERSRANKING",BF$13,$S20,"SALDO","VOLF")</f>
        <v>#N/A</v>
      </c>
      <c r="BG20" s="27" t="e">
        <f>RTD("srv.rtd","","PLAYERSRANKING",BG$13,$S20,"SALDO","VOLF")</f>
        <v>#N/A</v>
      </c>
      <c r="BH20" s="27" t="e">
        <f>RTD("srv.rtd","","PLAYERSRANKING",BH$13,$S20,"SALDO","VOLF")</f>
        <v>#N/A</v>
      </c>
      <c r="BI20" s="27" t="e">
        <f>RTD("srv.rtd","","PLAYERSRANKING",BI$13,$S20,"SALDO","VOLF")</f>
        <v>#N/A</v>
      </c>
      <c r="BJ20" s="27" t="e">
        <f>RTD("srv.rtd","","PLAYERSRANKING",BJ$13,$S20,"SALDO","VOLF")</f>
        <v>#N/A</v>
      </c>
      <c r="BK20" s="27" t="e">
        <f>RTD("srv.rtd","","PLAYERSRANKING",BK$13,$S20,"SALDO","VOLF")</f>
        <v>#N/A</v>
      </c>
      <c r="BL20" s="27" t="e">
        <f>RTD("srv.rtd","","PLAYERSRANKING",BL$13,$S20,"SALDO","VOLF")</f>
        <v>#N/A</v>
      </c>
      <c r="BM20" s="27" t="e">
        <f>RTD("srv.rtd","","PLAYERSRANKING",BM$13,$S20,"SALDO","VOLF")</f>
        <v>#N/A</v>
      </c>
      <c r="BN20" s="27" t="e">
        <f>RTD("srv.rtd","","PLAYERSRANKING",BN$13,$S20,"SALDO","VOLF")</f>
        <v>#N/A</v>
      </c>
      <c r="BO20" s="27" t="e">
        <f>RTD("srv.rtd","","PLAYERSRANKING",BO$13,$S20,"SALDO","VOLF")</f>
        <v>#N/A</v>
      </c>
      <c r="BP20" s="27" t="e">
        <f>RTD("srv.rtd","","PLAYERSRANKING",BP$13,$S20,"SALDO","VOLF")</f>
        <v>#N/A</v>
      </c>
      <c r="BQ20" s="27" t="e">
        <f>RTD("srv.rtd","","PLAYERSRANKING",BQ$13,$S20,"SALDO","VOLF")</f>
        <v>#N/A</v>
      </c>
      <c r="BR20" s="27" t="e">
        <f>RTD("srv.rtd","","PLAYERSRANKING",BR$13,$S20,"SALDO","VOLF")</f>
        <v>#N/A</v>
      </c>
      <c r="BS20" s="27" t="e">
        <f>RTD("srv.rtd","","PLAYERSRANKING",BS$13,$S20,"SALDO","VOLF")</f>
        <v>#N/A</v>
      </c>
      <c r="BT20" s="27" t="e">
        <f>RTD("srv.rtd","","PLAYERSRANKING",BT$13,$S20,"SALDO","VOLF")</f>
        <v>#N/A</v>
      </c>
      <c r="BU20" s="27" t="e">
        <f>RTD("srv.rtd","","PLAYERSRANKING",BU$13,$S20,"SALDO","VOLF")</f>
        <v>#N/A</v>
      </c>
      <c r="BV20" s="27" t="e">
        <f>RTD("srv.rtd","","PLAYERSRANKING",BV$13,$S20,"SALDO","VOLF")</f>
        <v>#N/A</v>
      </c>
      <c r="BW20" s="27" t="e">
        <f>RTD("srv.rtd","","PLAYERSRANKING",BW$13,$S20,"SALDO","VOLF")</f>
        <v>#N/A</v>
      </c>
      <c r="BX20" s="27" t="e">
        <f>RTD("srv.rtd","","PLAYERSRANKING",BX$13,$S20,"SALDO","VOLF")</f>
        <v>#N/A</v>
      </c>
      <c r="BY20" s="27" t="e">
        <f>RTD("srv.rtd","","PLAYERSRANKING",BY$13,$S20,"SALDO","VOLF")</f>
        <v>#N/A</v>
      </c>
      <c r="BZ20" s="27" t="e">
        <f>RTD("srv.rtd","","PLAYERSRANKING",BZ$13,$S20,"SALDO","VOLF")</f>
        <v>#N/A</v>
      </c>
      <c r="CA20" s="27" t="e">
        <f>RTD("srv.rtd","","PLAYERSRANKING",CA$13,$S20,"SALDO","VOLF")</f>
        <v>#N/A</v>
      </c>
      <c r="CB20" s="27" t="e">
        <f>RTD("srv.rtd","","PLAYERSRANKING",CB$13,$S20,"SALDO","VOLF")</f>
        <v>#N/A</v>
      </c>
      <c r="CC20" s="27" t="e">
        <f>RTD("srv.rtd","","PLAYERSRANKING",CC$13,$S20,"SALDO","VOLF")</f>
        <v>#N/A</v>
      </c>
      <c r="CD20" s="27" t="e">
        <f>RTD("srv.rtd","","PLAYERSRANKING",CD$13,$S20,"SALDO","VOLF")</f>
        <v>#N/A</v>
      </c>
      <c r="CE20" s="27" t="e">
        <f>RTD("srv.rtd","","PLAYERSRANKING",CE$13,$S20,"SALDO","VOLF")</f>
        <v>#N/A</v>
      </c>
      <c r="CF20" s="27" t="e">
        <f>RTD("srv.rtd","","PLAYERSRANKING",CF$13,$S20,"SALDO","VOLF")</f>
        <v>#N/A</v>
      </c>
      <c r="CG20" s="27" t="e">
        <f>RTD("srv.rtd","","PLAYERSRANKING",CG$13,$S20,"SALDO","VOLF")</f>
        <v>#N/A</v>
      </c>
      <c r="CH20" s="27" t="e">
        <f>RTD("srv.rtd","","PLAYERSRANKING",CH$13,$S20,"SALDO","VOLF")</f>
        <v>#N/A</v>
      </c>
      <c r="CI20" s="27" t="e">
        <f>RTD("srv.rtd","","PLAYERSRANKING",CI$13,$S20,"SALDO","VOLF")</f>
        <v>#N/A</v>
      </c>
      <c r="CJ20" s="27" t="e">
        <f>RTD("srv.rtd","","PLAYERSRANKING",CJ$13,$S20,"SALDO","VOLF")</f>
        <v>#N/A</v>
      </c>
      <c r="CK20" s="27" t="e">
        <f>RTD("srv.rtd","","PLAYERSRANKING",CK$13,$S20,"SALDO","VOLF")</f>
        <v>#N/A</v>
      </c>
      <c r="CL20" s="27" t="e">
        <f>RTD("srv.rtd","","PLAYERSRANKING",CL$13,$S20,"SALDO","VOLF")</f>
        <v>#N/A</v>
      </c>
      <c r="CM20" s="27" t="e">
        <f>RTD("srv.rtd","","PLAYERSRANKING",CM$13,$S20,"SALDO","VOLF")</f>
        <v>#N/A</v>
      </c>
      <c r="CN20" s="27" t="e">
        <f>RTD("srv.rtd","","PLAYERSRANKING",CN$13,$S20,"SALDO","VOLF")</f>
        <v>#N/A</v>
      </c>
      <c r="CO20" s="27" t="e">
        <f>RTD("srv.rtd","","PLAYERSRANKING",CO$13,$S20,"SALDO","VOLF")</f>
        <v>#N/A</v>
      </c>
      <c r="CP20" s="27" t="e">
        <f>RTD("srv.rtd","","PLAYERSRANKING",CP$13,$S20,"SALDO","VOLF")</f>
        <v>#N/A</v>
      </c>
      <c r="CQ20" s="27" t="e">
        <f>RTD("srv.rtd","","PLAYERSRANKING",CQ$13,$S20,"SALDO","VOLF")</f>
        <v>#N/A</v>
      </c>
      <c r="CR20" s="27" t="e">
        <f>RTD("srv.rtd","","PLAYERSRANKING",CR$13,$S20,"SALDO","VOLF")</f>
        <v>#N/A</v>
      </c>
      <c r="CS20" s="27" t="e">
        <f>RTD("srv.rtd","","PLAYERSRANKING",CS$13,$S20,"SALDO","VOLF")</f>
        <v>#N/A</v>
      </c>
      <c r="CT20" s="27" t="e">
        <f>RTD("srv.rtd","","PLAYERSRANKING",CT$13,$S20,"SALDO","VOLF")</f>
        <v>#N/A</v>
      </c>
      <c r="CU20" s="27" t="e">
        <f>RTD("srv.rtd","","PLAYERSRANKING",CU$13,$S20,"SALDO","VOLF")</f>
        <v>#N/A</v>
      </c>
      <c r="CV20" s="27" t="e">
        <f>RTD("srv.rtd","","PLAYERSRANKING",CV$13,$S20,"SALDO","VOLF")</f>
        <v>#N/A</v>
      </c>
      <c r="CW20" s="27" t="e">
        <f>RTD("srv.rtd","","PLAYERSRANKING",CW$13,$S20,"SALDO","VOLF")</f>
        <v>#N/A</v>
      </c>
      <c r="CX20" s="27" t="e">
        <f>RTD("srv.rtd","","PLAYERSRANKING",CX$13,$S20,"SALDO","VOLF")</f>
        <v>#N/A</v>
      </c>
      <c r="CY20" s="27" t="e">
        <f>RTD("srv.rtd","","PLAYERSRANKING",CY$13,$S20,"SALDO","VOLF")</f>
        <v>#N/A</v>
      </c>
      <c r="CZ20" s="27" t="e">
        <f>RTD("srv.rtd","","PLAYERSRANKING",CZ$13,$S20,"SALDO","VOLF")</f>
        <v>#N/A</v>
      </c>
      <c r="DA20" s="27" t="e">
        <f>RTD("srv.rtd","","PLAYERSRANKING",DA$13,$S20,"SALDO","VOLF")</f>
        <v>#N/A</v>
      </c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</row>
    <row r="21" spans="1:124" x14ac:dyDescent="0.25">
      <c r="A21" s="2"/>
      <c r="B21" s="6" t="s">
        <v>19</v>
      </c>
      <c r="C21" s="19">
        <f>VLOOKUP(B21,RTD!$A$1:$H$196,2,0)</f>
        <v>20.240000000000002</v>
      </c>
      <c r="D21" s="19">
        <f>VLOOKUP(B21,RTD!$A$1:$H$196,3,0)</f>
        <v>20.05</v>
      </c>
      <c r="E21" s="19">
        <f>VLOOKUP(B21,RTD!$A$1:$H$196,4,0)</f>
        <v>20.23</v>
      </c>
      <c r="F21" s="19">
        <f>VLOOKUP(B21,RTD!$A$1:$H$196,5,0)</f>
        <v>20.23</v>
      </c>
      <c r="G21" s="19">
        <f>VLOOKUP(B21,RTD!$A$1:$H$196,6,0)</f>
        <v>20.240000000000002</v>
      </c>
      <c r="H21" s="19">
        <f t="shared" si="6"/>
        <v>20.234999999999999</v>
      </c>
      <c r="I21" s="14">
        <f t="shared" si="7"/>
        <v>2.4715768660410475E-4</v>
      </c>
      <c r="J21" s="98">
        <f>VLOOKUP(B21,'Market Data'!$A$4:$F$100,6,0)*C21</f>
        <v>4685.8602313657539</v>
      </c>
      <c r="K21" s="19">
        <f>VLOOKUP(B21,RTD!$A$2:$H$100,8,0)</f>
        <v>1.59</v>
      </c>
      <c r="L21" s="14">
        <f t="shared" si="8"/>
        <v>1.1625167550253581E-2</v>
      </c>
      <c r="M21" s="19">
        <f>VLOOKUP(B21,RTD!$A$1:$H$196,7,0)</f>
        <v>0</v>
      </c>
      <c r="N21" s="98">
        <f>IF(M21=0,J21,IF(M21=0,C21,M21)*VLOOKUP(B21,'Market Data'!$A$4:$F$100,6,0))</f>
        <v>4685.8602313657539</v>
      </c>
      <c r="O21" s="7" t="s">
        <v>19</v>
      </c>
      <c r="P21" s="14"/>
      <c r="Q21" s="13"/>
      <c r="S21" s="133">
        <v>45</v>
      </c>
      <c r="T21" s="135" t="s">
        <v>193</v>
      </c>
      <c r="U21" s="27" t="e">
        <f>RTD("srv.rtd","","PLAYERSRANKING",$U$13,S21,"SALDO","VOLF")</f>
        <v>#N/A</v>
      </c>
      <c r="V21" s="27" t="e">
        <f>RTD("srv.rtd","","PLAYERSRANKING",V$13,S21,"SALDO","VOLF")*0.2</f>
        <v>#N/A</v>
      </c>
      <c r="W21" s="27" t="e">
        <f>RTD("srv.rtd","","PLAYERSRANKING",W$13,S21,"SALDO","VOLF")*50</f>
        <v>#N/A</v>
      </c>
      <c r="X21" s="27" t="e">
        <f>RTD("srv.rtd","","PLAYERSRANKING",X$13,S21,"SALDO","VOLF")*10</f>
        <v>#N/A</v>
      </c>
      <c r="Y21" s="27" t="e">
        <f>RTD("srv.rtd","","PLAYERSRANKING",Y$13,$S21,"SALDO","VOLF")</f>
        <v>#N/A</v>
      </c>
      <c r="Z21" s="27" t="e">
        <f>RTD("srv.rtd","","PLAYERSRANKING",Z$13,$S21,"SALDO","VOLF")</f>
        <v>#N/A</v>
      </c>
      <c r="AA21" s="27" t="e">
        <f>RTD("srv.rtd","","PLAYERSRANKING",AA$13,$S21,"SALDO","VOLF")</f>
        <v>#N/A</v>
      </c>
      <c r="AB21" s="27" t="e">
        <f>RTD("srv.rtd","","PLAYERSRANKING",AB$13,$S21,"SALDO","VOLF")</f>
        <v>#N/A</v>
      </c>
      <c r="AC21" s="27" t="e">
        <f>RTD("srv.rtd","","PLAYERSRANKING",AC$13,$S21,"SALDO","VOLF")</f>
        <v>#N/A</v>
      </c>
      <c r="AD21" s="27" t="e">
        <f>RTD("srv.rtd","","PLAYERSRANKING",AD$13,$S21,"SALDO","VOLF")</f>
        <v>#N/A</v>
      </c>
      <c r="AE21" s="27" t="e">
        <f>RTD("srv.rtd","","PLAYERSRANKING",AE$13,$S21,"SALDO","VOLF")</f>
        <v>#N/A</v>
      </c>
      <c r="AF21" s="27" t="e">
        <f>RTD("srv.rtd","","PLAYERSRANKING",AF$13,$S21,"SALDO","VOLF")</f>
        <v>#N/A</v>
      </c>
      <c r="AG21" s="27" t="e">
        <f>RTD("srv.rtd","","PLAYERSRANKING",AG$13,$S21,"SALDO","VOLF")</f>
        <v>#N/A</v>
      </c>
      <c r="AH21" s="27" t="e">
        <f>RTD("srv.rtd","","PLAYERSRANKING",AH$13,$S21,"SALDO","VOLF")</f>
        <v>#N/A</v>
      </c>
      <c r="AI21" s="27" t="e">
        <f>RTD("srv.rtd","","PLAYERSRANKING",AI$13,$S21,"SALDO","VOLF")</f>
        <v>#N/A</v>
      </c>
      <c r="AJ21" s="27" t="e">
        <f>RTD("srv.rtd","","PLAYERSRANKING",AJ$13,$S21,"SALDO","VOLF")</f>
        <v>#N/A</v>
      </c>
      <c r="AK21" s="27" t="e">
        <f>RTD("srv.rtd","","PLAYERSRANKING",AK$13,$S21,"SALDO","VOLF")</f>
        <v>#N/A</v>
      </c>
      <c r="AL21" s="27" t="e">
        <f>RTD("srv.rtd","","PLAYERSRANKING",AL$13,$S21,"SALDO","VOLF")</f>
        <v>#N/A</v>
      </c>
      <c r="AM21" s="27" t="e">
        <f>RTD("srv.rtd","","PLAYERSRANKING",AM$13,$S21,"SALDO","VOLF")</f>
        <v>#N/A</v>
      </c>
      <c r="AN21" s="27" t="e">
        <f>RTD("srv.rtd","","PLAYERSRANKING",AN$13,$S21,"SALDO","VOLF")</f>
        <v>#N/A</v>
      </c>
      <c r="AO21" s="27" t="e">
        <f>RTD("srv.rtd","","PLAYERSRANKING",AO$13,$S21,"SALDO","VOLF")</f>
        <v>#N/A</v>
      </c>
      <c r="AP21" s="27" t="e">
        <f>RTD("srv.rtd","","PLAYERSRANKING",AP$13,$S21,"SALDO","VOLF")</f>
        <v>#N/A</v>
      </c>
      <c r="AQ21" s="27" t="e">
        <f>RTD("srv.rtd","","PLAYERSRANKING",AQ$13,$S21,"SALDO","VOLF")</f>
        <v>#N/A</v>
      </c>
      <c r="AR21" s="27" t="e">
        <f>RTD("srv.rtd","","PLAYERSRANKING",AR$13,$S21,"SALDO","VOLF")</f>
        <v>#N/A</v>
      </c>
      <c r="AS21" s="27" t="e">
        <f>RTD("srv.rtd","","PLAYERSRANKING",AS$13,$S21,"SALDO","VOLF")</f>
        <v>#N/A</v>
      </c>
      <c r="AT21" s="27" t="e">
        <f>RTD("srv.rtd","","PLAYERSRANKING",AT$13,$S21,"SALDO","VOLF")</f>
        <v>#N/A</v>
      </c>
      <c r="AU21" s="27" t="e">
        <f>RTD("srv.rtd","","PLAYERSRANKING",AU$13,$S21,"SALDO","VOLF")</f>
        <v>#N/A</v>
      </c>
      <c r="AV21" s="27" t="e">
        <f>RTD("srv.rtd","","PLAYERSRANKING",AV$13,$S21,"SALDO","VOLF")</f>
        <v>#N/A</v>
      </c>
      <c r="AW21" s="27" t="e">
        <f>RTD("srv.rtd","","PLAYERSRANKING",AW$13,$S21,"SALDO","VOLF")</f>
        <v>#N/A</v>
      </c>
      <c r="AX21" s="27" t="e">
        <f>RTD("srv.rtd","","PLAYERSRANKING",AX$13,$S21,"SALDO","VOLF")</f>
        <v>#N/A</v>
      </c>
      <c r="AY21" s="27" t="e">
        <f>RTD("srv.rtd","","PLAYERSRANKING",AY$13,$S21,"SALDO","VOLF")</f>
        <v>#N/A</v>
      </c>
      <c r="AZ21" s="27" t="e">
        <f>RTD("srv.rtd","","PLAYERSRANKING",AZ$13,$S21,"SALDO","VOLF")</f>
        <v>#N/A</v>
      </c>
      <c r="BA21" s="27" t="e">
        <f>RTD("srv.rtd","","PLAYERSRANKING",BA$13,$S21,"SALDO","VOLF")</f>
        <v>#N/A</v>
      </c>
      <c r="BB21" s="27" t="e">
        <f>RTD("srv.rtd","","PLAYERSRANKING",BB$13,$S21,"SALDO","VOLF")</f>
        <v>#N/A</v>
      </c>
      <c r="BC21" s="27" t="e">
        <f>RTD("srv.rtd","","PLAYERSRANKING",BC$13,$S21,"SALDO","VOLF")</f>
        <v>#N/A</v>
      </c>
      <c r="BD21" s="27" t="e">
        <f>RTD("srv.rtd","","PLAYERSRANKING",BD$13,$S21,"SALDO","VOLF")</f>
        <v>#N/A</v>
      </c>
      <c r="BE21" s="27" t="e">
        <f>RTD("srv.rtd","","PLAYERSRANKING",BE$13,$S21,"SALDO","VOLF")</f>
        <v>#N/A</v>
      </c>
      <c r="BF21" s="27" t="e">
        <f>RTD("srv.rtd","","PLAYERSRANKING",BF$13,$S21,"SALDO","VOLF")</f>
        <v>#N/A</v>
      </c>
      <c r="BG21" s="27" t="e">
        <f>RTD("srv.rtd","","PLAYERSRANKING",BG$13,$S21,"SALDO","VOLF")</f>
        <v>#N/A</v>
      </c>
      <c r="BH21" s="27" t="e">
        <f>RTD("srv.rtd","","PLAYERSRANKING",BH$13,$S21,"SALDO","VOLF")</f>
        <v>#N/A</v>
      </c>
      <c r="BI21" s="27" t="e">
        <f>RTD("srv.rtd","","PLAYERSRANKING",BI$13,$S21,"SALDO","VOLF")</f>
        <v>#N/A</v>
      </c>
      <c r="BJ21" s="27" t="e">
        <f>RTD("srv.rtd","","PLAYERSRANKING",BJ$13,$S21,"SALDO","VOLF")</f>
        <v>#N/A</v>
      </c>
      <c r="BK21" s="27" t="e">
        <f>RTD("srv.rtd","","PLAYERSRANKING",BK$13,$S21,"SALDO","VOLF")</f>
        <v>#N/A</v>
      </c>
      <c r="BL21" s="27" t="e">
        <f>RTD("srv.rtd","","PLAYERSRANKING",BL$13,$S21,"SALDO","VOLF")</f>
        <v>#N/A</v>
      </c>
      <c r="BM21" s="27" t="e">
        <f>RTD("srv.rtd","","PLAYERSRANKING",BM$13,$S21,"SALDO","VOLF")</f>
        <v>#N/A</v>
      </c>
      <c r="BN21" s="27" t="e">
        <f>RTD("srv.rtd","","PLAYERSRANKING",BN$13,$S21,"SALDO","VOLF")</f>
        <v>#N/A</v>
      </c>
      <c r="BO21" s="27" t="e">
        <f>RTD("srv.rtd","","PLAYERSRANKING",BO$13,$S21,"SALDO","VOLF")</f>
        <v>#N/A</v>
      </c>
      <c r="BP21" s="27" t="e">
        <f>RTD("srv.rtd","","PLAYERSRANKING",BP$13,$S21,"SALDO","VOLF")</f>
        <v>#N/A</v>
      </c>
      <c r="BQ21" s="27" t="e">
        <f>RTD("srv.rtd","","PLAYERSRANKING",BQ$13,$S21,"SALDO","VOLF")</f>
        <v>#N/A</v>
      </c>
      <c r="BR21" s="27" t="e">
        <f>RTD("srv.rtd","","PLAYERSRANKING",BR$13,$S21,"SALDO","VOLF")</f>
        <v>#N/A</v>
      </c>
      <c r="BS21" s="27" t="e">
        <f>RTD("srv.rtd","","PLAYERSRANKING",BS$13,$S21,"SALDO","VOLF")</f>
        <v>#N/A</v>
      </c>
      <c r="BT21" s="27" t="e">
        <f>RTD("srv.rtd","","PLAYERSRANKING",BT$13,$S21,"SALDO","VOLF")</f>
        <v>#N/A</v>
      </c>
      <c r="BU21" s="27" t="e">
        <f>RTD("srv.rtd","","PLAYERSRANKING",BU$13,$S21,"SALDO","VOLF")</f>
        <v>#N/A</v>
      </c>
      <c r="BV21" s="27" t="e">
        <f>RTD("srv.rtd","","PLAYERSRANKING",BV$13,$S21,"SALDO","VOLF")</f>
        <v>#N/A</v>
      </c>
      <c r="BW21" s="27" t="e">
        <f>RTD("srv.rtd","","PLAYERSRANKING",BW$13,$S21,"SALDO","VOLF")</f>
        <v>#N/A</v>
      </c>
      <c r="BX21" s="27" t="e">
        <f>RTD("srv.rtd","","PLAYERSRANKING",BX$13,$S21,"SALDO","VOLF")</f>
        <v>#N/A</v>
      </c>
      <c r="BY21" s="27" t="e">
        <f>RTD("srv.rtd","","PLAYERSRANKING",BY$13,$S21,"SALDO","VOLF")</f>
        <v>#N/A</v>
      </c>
      <c r="BZ21" s="27" t="e">
        <f>RTD("srv.rtd","","PLAYERSRANKING",BZ$13,$S21,"SALDO","VOLF")</f>
        <v>#N/A</v>
      </c>
      <c r="CA21" s="27" t="e">
        <f>RTD("srv.rtd","","PLAYERSRANKING",CA$13,$S21,"SALDO","VOLF")</f>
        <v>#N/A</v>
      </c>
      <c r="CB21" s="27" t="e">
        <f>RTD("srv.rtd","","PLAYERSRANKING",CB$13,$S21,"SALDO","VOLF")</f>
        <v>#N/A</v>
      </c>
      <c r="CC21" s="27" t="e">
        <f>RTD("srv.rtd","","PLAYERSRANKING",CC$13,$S21,"SALDO","VOLF")</f>
        <v>#N/A</v>
      </c>
      <c r="CD21" s="27" t="e">
        <f>RTD("srv.rtd","","PLAYERSRANKING",CD$13,$S21,"SALDO","VOLF")</f>
        <v>#N/A</v>
      </c>
      <c r="CE21" s="27" t="e">
        <f>RTD("srv.rtd","","PLAYERSRANKING",CE$13,$S21,"SALDO","VOLF")</f>
        <v>#N/A</v>
      </c>
      <c r="CF21" s="27" t="e">
        <f>RTD("srv.rtd","","PLAYERSRANKING",CF$13,$S21,"SALDO","VOLF")</f>
        <v>#N/A</v>
      </c>
      <c r="CG21" s="27" t="e">
        <f>RTD("srv.rtd","","PLAYERSRANKING",CG$13,$S21,"SALDO","VOLF")</f>
        <v>#N/A</v>
      </c>
      <c r="CH21" s="27" t="e">
        <f>RTD("srv.rtd","","PLAYERSRANKING",CH$13,$S21,"SALDO","VOLF")</f>
        <v>#N/A</v>
      </c>
      <c r="CI21" s="27" t="e">
        <f>RTD("srv.rtd","","PLAYERSRANKING",CI$13,$S21,"SALDO","VOLF")</f>
        <v>#N/A</v>
      </c>
      <c r="CJ21" s="27" t="e">
        <f>RTD("srv.rtd","","PLAYERSRANKING",CJ$13,$S21,"SALDO","VOLF")</f>
        <v>#N/A</v>
      </c>
      <c r="CK21" s="27" t="e">
        <f>RTD("srv.rtd","","PLAYERSRANKING",CK$13,$S21,"SALDO","VOLF")</f>
        <v>#N/A</v>
      </c>
      <c r="CL21" s="27" t="e">
        <f>RTD("srv.rtd","","PLAYERSRANKING",CL$13,$S21,"SALDO","VOLF")</f>
        <v>#N/A</v>
      </c>
      <c r="CM21" s="27" t="e">
        <f>RTD("srv.rtd","","PLAYERSRANKING",CM$13,$S21,"SALDO","VOLF")</f>
        <v>#N/A</v>
      </c>
      <c r="CN21" s="27" t="e">
        <f>RTD("srv.rtd","","PLAYERSRANKING",CN$13,$S21,"SALDO","VOLF")</f>
        <v>#N/A</v>
      </c>
      <c r="CO21" s="27" t="e">
        <f>RTD("srv.rtd","","PLAYERSRANKING",CO$13,$S21,"SALDO","VOLF")</f>
        <v>#N/A</v>
      </c>
      <c r="CP21" s="27" t="e">
        <f>RTD("srv.rtd","","PLAYERSRANKING",CP$13,$S21,"SALDO","VOLF")</f>
        <v>#N/A</v>
      </c>
      <c r="CQ21" s="27" t="e">
        <f>RTD("srv.rtd","","PLAYERSRANKING",CQ$13,$S21,"SALDO","VOLF")</f>
        <v>#N/A</v>
      </c>
      <c r="CR21" s="27" t="e">
        <f>RTD("srv.rtd","","PLAYERSRANKING",CR$13,$S21,"SALDO","VOLF")</f>
        <v>#N/A</v>
      </c>
      <c r="CS21" s="27" t="e">
        <f>RTD("srv.rtd","","PLAYERSRANKING",CS$13,$S21,"SALDO","VOLF")</f>
        <v>#N/A</v>
      </c>
      <c r="CT21" s="27" t="e">
        <f>RTD("srv.rtd","","PLAYERSRANKING",CT$13,$S21,"SALDO","VOLF")</f>
        <v>#N/A</v>
      </c>
      <c r="CU21" s="27" t="e">
        <f>RTD("srv.rtd","","PLAYERSRANKING",CU$13,$S21,"SALDO","VOLF")</f>
        <v>#N/A</v>
      </c>
      <c r="CV21" s="27" t="e">
        <f>RTD("srv.rtd","","PLAYERSRANKING",CV$13,$S21,"SALDO","VOLF")</f>
        <v>#N/A</v>
      </c>
      <c r="CW21" s="27" t="e">
        <f>RTD("srv.rtd","","PLAYERSRANKING",CW$13,$S21,"SALDO","VOLF")</f>
        <v>#N/A</v>
      </c>
      <c r="CX21" s="27" t="e">
        <f>RTD("srv.rtd","","PLAYERSRANKING",CX$13,$S21,"SALDO","VOLF")</f>
        <v>#N/A</v>
      </c>
      <c r="CY21" s="27" t="e">
        <f>RTD("srv.rtd","","PLAYERSRANKING",CY$13,$S21,"SALDO","VOLF")</f>
        <v>#N/A</v>
      </c>
      <c r="CZ21" s="27" t="e">
        <f>RTD("srv.rtd","","PLAYERSRANKING",CZ$13,$S21,"SALDO","VOLF")</f>
        <v>#N/A</v>
      </c>
      <c r="DA21" s="27" t="e">
        <f>RTD("srv.rtd","","PLAYERSRANKING",DA$13,$S21,"SALDO","VOLF")</f>
        <v>#N/A</v>
      </c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</row>
    <row r="22" spans="1:124" x14ac:dyDescent="0.25">
      <c r="A22" s="2"/>
      <c r="B22" s="6" t="s">
        <v>20</v>
      </c>
      <c r="C22" s="19">
        <f>VLOOKUP(B22,RTD!$A$1:$H$196,2,0)</f>
        <v>19.379999999999974</v>
      </c>
      <c r="D22" s="19">
        <f>VLOOKUP(B22,RTD!$A$1:$H$196,3,0)</f>
        <v>19.759999999999998</v>
      </c>
      <c r="E22" s="19">
        <f>VLOOKUP(B22,RTD!$A$1:$H$196,4,0)</f>
        <v>19.8</v>
      </c>
      <c r="F22" s="19">
        <f>VLOOKUP(B22,RTD!$A$1:$H$196,5,0)</f>
        <v>19.37</v>
      </c>
      <c r="G22" s="19">
        <f>VLOOKUP(B22,RTD!$A$1:$H$196,6,0)</f>
        <v>19.39</v>
      </c>
      <c r="H22" s="19">
        <f t="shared" si="6"/>
        <v>19.380000000000003</v>
      </c>
      <c r="I22" s="14">
        <f t="shared" si="7"/>
        <v>-2.1212121212121127E-2</v>
      </c>
      <c r="J22" s="98">
        <f>VLOOKUP(B22,'Market Data'!$A$4:$F$100,6,0)*C22</f>
        <v>707.05913528818542</v>
      </c>
      <c r="K22" s="19">
        <f>VLOOKUP(B22,RTD!$A$2:$H$100,8,0)</f>
        <v>0.92</v>
      </c>
      <c r="L22" s="14">
        <f t="shared" si="8"/>
        <v>-1.4628618649506335E-2</v>
      </c>
      <c r="M22" s="19">
        <f>VLOOKUP(B22,RTD!$A$1:$H$196,7,0)</f>
        <v>0</v>
      </c>
      <c r="N22" s="98">
        <f>IF(M22=0,J22,IF(M22=0,C22,M22)*VLOOKUP(B22,'Market Data'!$A$4:$F$100,6,0))</f>
        <v>707.05913528818542</v>
      </c>
      <c r="O22" s="7" t="s">
        <v>20</v>
      </c>
      <c r="P22" s="14"/>
      <c r="Q22" s="13"/>
      <c r="S22" s="133">
        <v>120</v>
      </c>
      <c r="T22" s="135" t="s">
        <v>181</v>
      </c>
      <c r="U22" s="27" t="e">
        <f>RTD("srv.rtd","","PLAYERSRANKING",$U$13,S22,"SALDO","VOLF")</f>
        <v>#N/A</v>
      </c>
      <c r="V22" s="27" t="e">
        <f>RTD("srv.rtd","","PLAYERSRANKING",V$13,S22,"SALDO","VOLF")*0.2</f>
        <v>#N/A</v>
      </c>
      <c r="W22" s="27" t="e">
        <f>RTD("srv.rtd","","PLAYERSRANKING",W$13,S22,"SALDO","VOLF")*50</f>
        <v>#N/A</v>
      </c>
      <c r="X22" s="27" t="e">
        <f>RTD("srv.rtd","","PLAYERSRANKING",X$13,S22,"SALDO","VOLF")*10</f>
        <v>#N/A</v>
      </c>
      <c r="Y22" s="27" t="e">
        <f>RTD("srv.rtd","","PLAYERSRANKING",Y$13,$S22,"SALDO","VOLF")</f>
        <v>#N/A</v>
      </c>
      <c r="Z22" s="27" t="e">
        <f>RTD("srv.rtd","","PLAYERSRANKING",Z$13,$S22,"SALDO","VOLF")</f>
        <v>#N/A</v>
      </c>
      <c r="AA22" s="27" t="e">
        <f>RTD("srv.rtd","","PLAYERSRANKING",AA$13,$S22,"SALDO","VOLF")</f>
        <v>#N/A</v>
      </c>
      <c r="AB22" s="27" t="e">
        <f>RTD("srv.rtd","","PLAYERSRANKING",AB$13,$S22,"SALDO","VOLF")</f>
        <v>#N/A</v>
      </c>
      <c r="AC22" s="27" t="e">
        <f>RTD("srv.rtd","","PLAYERSRANKING",AC$13,$S22,"SALDO","VOLF")</f>
        <v>#N/A</v>
      </c>
      <c r="AD22" s="27" t="e">
        <f>RTD("srv.rtd","","PLAYERSRANKING",AD$13,$S22,"SALDO","VOLF")</f>
        <v>#N/A</v>
      </c>
      <c r="AE22" s="27" t="e">
        <f>RTD("srv.rtd","","PLAYERSRANKING",AE$13,$S22,"SALDO","VOLF")</f>
        <v>#N/A</v>
      </c>
      <c r="AF22" s="27" t="e">
        <f>RTD("srv.rtd","","PLAYERSRANKING",AF$13,$S22,"SALDO","VOLF")</f>
        <v>#N/A</v>
      </c>
      <c r="AG22" s="27" t="e">
        <f>RTD("srv.rtd","","PLAYERSRANKING",AG$13,$S22,"SALDO","VOLF")</f>
        <v>#N/A</v>
      </c>
      <c r="AH22" s="27" t="e">
        <f>RTD("srv.rtd","","PLAYERSRANKING",AH$13,$S22,"SALDO","VOLF")</f>
        <v>#N/A</v>
      </c>
      <c r="AI22" s="27" t="e">
        <f>RTD("srv.rtd","","PLAYERSRANKING",AI$13,$S22,"SALDO","VOLF")</f>
        <v>#N/A</v>
      </c>
      <c r="AJ22" s="27" t="e">
        <f>RTD("srv.rtd","","PLAYERSRANKING",AJ$13,$S22,"SALDO","VOLF")</f>
        <v>#N/A</v>
      </c>
      <c r="AK22" s="27" t="e">
        <f>RTD("srv.rtd","","PLAYERSRANKING",AK$13,$S22,"SALDO","VOLF")</f>
        <v>#N/A</v>
      </c>
      <c r="AL22" s="27" t="e">
        <f>RTD("srv.rtd","","PLAYERSRANKING",AL$13,$S22,"SALDO","VOLF")</f>
        <v>#N/A</v>
      </c>
      <c r="AM22" s="27" t="e">
        <f>RTD("srv.rtd","","PLAYERSRANKING",AM$13,$S22,"SALDO","VOLF")</f>
        <v>#N/A</v>
      </c>
      <c r="AN22" s="27" t="e">
        <f>RTD("srv.rtd","","PLAYERSRANKING",AN$13,$S22,"SALDO","VOLF")</f>
        <v>#N/A</v>
      </c>
      <c r="AO22" s="27" t="e">
        <f>RTD("srv.rtd","","PLAYERSRANKING",AO$13,$S22,"SALDO","VOLF")</f>
        <v>#N/A</v>
      </c>
      <c r="AP22" s="27" t="e">
        <f>RTD("srv.rtd","","PLAYERSRANKING",AP$13,$S22,"SALDO","VOLF")</f>
        <v>#N/A</v>
      </c>
      <c r="AQ22" s="27" t="e">
        <f>RTD("srv.rtd","","PLAYERSRANKING",AQ$13,$S22,"SALDO","VOLF")</f>
        <v>#N/A</v>
      </c>
      <c r="AR22" s="27" t="e">
        <f>RTD("srv.rtd","","PLAYERSRANKING",AR$13,$S22,"SALDO","VOLF")</f>
        <v>#N/A</v>
      </c>
      <c r="AS22" s="27" t="e">
        <f>RTD("srv.rtd","","PLAYERSRANKING",AS$13,$S22,"SALDO","VOLF")</f>
        <v>#N/A</v>
      </c>
      <c r="AT22" s="27" t="e">
        <f>RTD("srv.rtd","","PLAYERSRANKING",AT$13,$S22,"SALDO","VOLF")</f>
        <v>#N/A</v>
      </c>
      <c r="AU22" s="27" t="e">
        <f>RTD("srv.rtd","","PLAYERSRANKING",AU$13,$S22,"SALDO","VOLF")</f>
        <v>#N/A</v>
      </c>
      <c r="AV22" s="27" t="e">
        <f>RTD("srv.rtd","","PLAYERSRANKING",AV$13,$S22,"SALDO","VOLF")</f>
        <v>#N/A</v>
      </c>
      <c r="AW22" s="27" t="e">
        <f>RTD("srv.rtd","","PLAYERSRANKING",AW$13,$S22,"SALDO","VOLF")</f>
        <v>#N/A</v>
      </c>
      <c r="AX22" s="27" t="e">
        <f>RTD("srv.rtd","","PLAYERSRANKING",AX$13,$S22,"SALDO","VOLF")</f>
        <v>#N/A</v>
      </c>
      <c r="AY22" s="27" t="e">
        <f>RTD("srv.rtd","","PLAYERSRANKING",AY$13,$S22,"SALDO","VOLF")</f>
        <v>#N/A</v>
      </c>
      <c r="AZ22" s="27" t="e">
        <f>RTD("srv.rtd","","PLAYERSRANKING",AZ$13,$S22,"SALDO","VOLF")</f>
        <v>#N/A</v>
      </c>
      <c r="BA22" s="27" t="e">
        <f>RTD("srv.rtd","","PLAYERSRANKING",BA$13,$S22,"SALDO","VOLF")</f>
        <v>#N/A</v>
      </c>
      <c r="BB22" s="27" t="e">
        <f>RTD("srv.rtd","","PLAYERSRANKING",BB$13,$S22,"SALDO","VOLF")</f>
        <v>#N/A</v>
      </c>
      <c r="BC22" s="27" t="e">
        <f>RTD("srv.rtd","","PLAYERSRANKING",BC$13,$S22,"SALDO","VOLF")</f>
        <v>#N/A</v>
      </c>
      <c r="BD22" s="27" t="e">
        <f>RTD("srv.rtd","","PLAYERSRANKING",BD$13,$S22,"SALDO","VOLF")</f>
        <v>#N/A</v>
      </c>
      <c r="BE22" s="27" t="e">
        <f>RTD("srv.rtd","","PLAYERSRANKING",BE$13,$S22,"SALDO","VOLF")</f>
        <v>#N/A</v>
      </c>
      <c r="BF22" s="27" t="e">
        <f>RTD("srv.rtd","","PLAYERSRANKING",BF$13,$S22,"SALDO","VOLF")</f>
        <v>#N/A</v>
      </c>
      <c r="BG22" s="27" t="e">
        <f>RTD("srv.rtd","","PLAYERSRANKING",BG$13,$S22,"SALDO","VOLF")</f>
        <v>#N/A</v>
      </c>
      <c r="BH22" s="27" t="e">
        <f>RTD("srv.rtd","","PLAYERSRANKING",BH$13,$S22,"SALDO","VOLF")</f>
        <v>#N/A</v>
      </c>
      <c r="BI22" s="27" t="e">
        <f>RTD("srv.rtd","","PLAYERSRANKING",BI$13,$S22,"SALDO","VOLF")</f>
        <v>#N/A</v>
      </c>
      <c r="BJ22" s="27" t="e">
        <f>RTD("srv.rtd","","PLAYERSRANKING",BJ$13,$S22,"SALDO","VOLF")</f>
        <v>#N/A</v>
      </c>
      <c r="BK22" s="27" t="e">
        <f>RTD("srv.rtd","","PLAYERSRANKING",BK$13,$S22,"SALDO","VOLF")</f>
        <v>#N/A</v>
      </c>
      <c r="BL22" s="27" t="e">
        <f>RTD("srv.rtd","","PLAYERSRANKING",BL$13,$S22,"SALDO","VOLF")</f>
        <v>#N/A</v>
      </c>
      <c r="BM22" s="27" t="e">
        <f>RTD("srv.rtd","","PLAYERSRANKING",BM$13,$S22,"SALDO","VOLF")</f>
        <v>#N/A</v>
      </c>
      <c r="BN22" s="27" t="e">
        <f>RTD("srv.rtd","","PLAYERSRANKING",BN$13,$S22,"SALDO","VOLF")</f>
        <v>#N/A</v>
      </c>
      <c r="BO22" s="27" t="e">
        <f>RTD("srv.rtd","","PLAYERSRANKING",BO$13,$S22,"SALDO","VOLF")</f>
        <v>#N/A</v>
      </c>
      <c r="BP22" s="27" t="e">
        <f>RTD("srv.rtd","","PLAYERSRANKING",BP$13,$S22,"SALDO","VOLF")</f>
        <v>#N/A</v>
      </c>
      <c r="BQ22" s="27" t="e">
        <f>RTD("srv.rtd","","PLAYERSRANKING",BQ$13,$S22,"SALDO","VOLF")</f>
        <v>#N/A</v>
      </c>
      <c r="BR22" s="27" t="e">
        <f>RTD("srv.rtd","","PLAYERSRANKING",BR$13,$S22,"SALDO","VOLF")</f>
        <v>#N/A</v>
      </c>
      <c r="BS22" s="27" t="e">
        <f>RTD("srv.rtd","","PLAYERSRANKING",BS$13,$S22,"SALDO","VOLF")</f>
        <v>#N/A</v>
      </c>
      <c r="BT22" s="27" t="e">
        <f>RTD("srv.rtd","","PLAYERSRANKING",BT$13,$S22,"SALDO","VOLF")</f>
        <v>#N/A</v>
      </c>
      <c r="BU22" s="27" t="e">
        <f>RTD("srv.rtd","","PLAYERSRANKING",BU$13,$S22,"SALDO","VOLF")</f>
        <v>#N/A</v>
      </c>
      <c r="BV22" s="27" t="e">
        <f>RTD("srv.rtd","","PLAYERSRANKING",BV$13,$S22,"SALDO","VOLF")</f>
        <v>#N/A</v>
      </c>
      <c r="BW22" s="27" t="e">
        <f>RTD("srv.rtd","","PLAYERSRANKING",BW$13,$S22,"SALDO","VOLF")</f>
        <v>#N/A</v>
      </c>
      <c r="BX22" s="27" t="e">
        <f>RTD("srv.rtd","","PLAYERSRANKING",BX$13,$S22,"SALDO","VOLF")</f>
        <v>#N/A</v>
      </c>
      <c r="BY22" s="27" t="e">
        <f>RTD("srv.rtd","","PLAYERSRANKING",BY$13,$S22,"SALDO","VOLF")</f>
        <v>#N/A</v>
      </c>
      <c r="BZ22" s="27" t="e">
        <f>RTD("srv.rtd","","PLAYERSRANKING",BZ$13,$S22,"SALDO","VOLF")</f>
        <v>#N/A</v>
      </c>
      <c r="CA22" s="27" t="e">
        <f>RTD("srv.rtd","","PLAYERSRANKING",CA$13,$S22,"SALDO","VOLF")</f>
        <v>#N/A</v>
      </c>
      <c r="CB22" s="27" t="e">
        <f>RTD("srv.rtd","","PLAYERSRANKING",CB$13,$S22,"SALDO","VOLF")</f>
        <v>#N/A</v>
      </c>
      <c r="CC22" s="27" t="e">
        <f>RTD("srv.rtd","","PLAYERSRANKING",CC$13,$S22,"SALDO","VOLF")</f>
        <v>#N/A</v>
      </c>
      <c r="CD22" s="27" t="e">
        <f>RTD("srv.rtd","","PLAYERSRANKING",CD$13,$S22,"SALDO","VOLF")</f>
        <v>#N/A</v>
      </c>
      <c r="CE22" s="27" t="e">
        <f>RTD("srv.rtd","","PLAYERSRANKING",CE$13,$S22,"SALDO","VOLF")</f>
        <v>#N/A</v>
      </c>
      <c r="CF22" s="27" t="e">
        <f>RTD("srv.rtd","","PLAYERSRANKING",CF$13,$S22,"SALDO","VOLF")</f>
        <v>#N/A</v>
      </c>
      <c r="CG22" s="27" t="e">
        <f>RTD("srv.rtd","","PLAYERSRANKING",CG$13,$S22,"SALDO","VOLF")</f>
        <v>#N/A</v>
      </c>
      <c r="CH22" s="27" t="e">
        <f>RTD("srv.rtd","","PLAYERSRANKING",CH$13,$S22,"SALDO","VOLF")</f>
        <v>#N/A</v>
      </c>
      <c r="CI22" s="27" t="e">
        <f>RTD("srv.rtd","","PLAYERSRANKING",CI$13,$S22,"SALDO","VOLF")</f>
        <v>#N/A</v>
      </c>
      <c r="CJ22" s="27" t="e">
        <f>RTD("srv.rtd","","PLAYERSRANKING",CJ$13,$S22,"SALDO","VOLF")</f>
        <v>#N/A</v>
      </c>
      <c r="CK22" s="27" t="e">
        <f>RTD("srv.rtd","","PLAYERSRANKING",CK$13,$S22,"SALDO","VOLF")</f>
        <v>#N/A</v>
      </c>
      <c r="CL22" s="27" t="e">
        <f>RTD("srv.rtd","","PLAYERSRANKING",CL$13,$S22,"SALDO","VOLF")</f>
        <v>#N/A</v>
      </c>
      <c r="CM22" s="27" t="e">
        <f>RTD("srv.rtd","","PLAYERSRANKING",CM$13,$S22,"SALDO","VOLF")</f>
        <v>#N/A</v>
      </c>
      <c r="CN22" s="27" t="e">
        <f>RTD("srv.rtd","","PLAYERSRANKING",CN$13,$S22,"SALDO","VOLF")</f>
        <v>#N/A</v>
      </c>
      <c r="CO22" s="27" t="e">
        <f>RTD("srv.rtd","","PLAYERSRANKING",CO$13,$S22,"SALDO","VOLF")</f>
        <v>#N/A</v>
      </c>
      <c r="CP22" s="27" t="e">
        <f>RTD("srv.rtd","","PLAYERSRANKING",CP$13,$S22,"SALDO","VOLF")</f>
        <v>#N/A</v>
      </c>
      <c r="CQ22" s="27" t="e">
        <f>RTD("srv.rtd","","PLAYERSRANKING",CQ$13,$S22,"SALDO","VOLF")</f>
        <v>#N/A</v>
      </c>
      <c r="CR22" s="27" t="e">
        <f>RTD("srv.rtd","","PLAYERSRANKING",CR$13,$S22,"SALDO","VOLF")</f>
        <v>#N/A</v>
      </c>
      <c r="CS22" s="27" t="e">
        <f>RTD("srv.rtd","","PLAYERSRANKING",CS$13,$S22,"SALDO","VOLF")</f>
        <v>#N/A</v>
      </c>
      <c r="CT22" s="27" t="e">
        <f>RTD("srv.rtd","","PLAYERSRANKING",CT$13,$S22,"SALDO","VOLF")</f>
        <v>#N/A</v>
      </c>
      <c r="CU22" s="27" t="e">
        <f>RTD("srv.rtd","","PLAYERSRANKING",CU$13,$S22,"SALDO","VOLF")</f>
        <v>#N/A</v>
      </c>
      <c r="CV22" s="27" t="e">
        <f>RTD("srv.rtd","","PLAYERSRANKING",CV$13,$S22,"SALDO","VOLF")</f>
        <v>#N/A</v>
      </c>
      <c r="CW22" s="27" t="e">
        <f>RTD("srv.rtd","","PLAYERSRANKING",CW$13,$S22,"SALDO","VOLF")</f>
        <v>#N/A</v>
      </c>
      <c r="CX22" s="27" t="e">
        <f>RTD("srv.rtd","","PLAYERSRANKING",CX$13,$S22,"SALDO","VOLF")</f>
        <v>#N/A</v>
      </c>
      <c r="CY22" s="27" t="e">
        <f>RTD("srv.rtd","","PLAYERSRANKING",CY$13,$S22,"SALDO","VOLF")</f>
        <v>#N/A</v>
      </c>
      <c r="CZ22" s="27" t="e">
        <f>RTD("srv.rtd","","PLAYERSRANKING",CZ$13,$S22,"SALDO","VOLF")</f>
        <v>#N/A</v>
      </c>
      <c r="DA22" s="27" t="e">
        <f>RTD("srv.rtd","","PLAYERSRANKING",DA$13,$S22,"SALDO","VOLF")</f>
        <v>#N/A</v>
      </c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</row>
    <row r="23" spans="1:124" x14ac:dyDescent="0.25">
      <c r="A23" s="2"/>
      <c r="B23" s="6" t="s">
        <v>22</v>
      </c>
      <c r="C23" s="19">
        <f>VLOOKUP(B23,RTD!$A$1:$H$196,2,0)</f>
        <v>9.9699999999999989</v>
      </c>
      <c r="D23" s="19">
        <f>VLOOKUP(B23,RTD!$A$1:$H$196,3,0)</f>
        <v>9.8899999999999988</v>
      </c>
      <c r="E23" s="19">
        <f>VLOOKUP(B23,RTD!$A$1:$H$196,4,0)</f>
        <v>9.92</v>
      </c>
      <c r="F23" s="19">
        <f>VLOOKUP(B23,RTD!$A$1:$H$196,5,0)</f>
        <v>10</v>
      </c>
      <c r="G23" s="19">
        <f>VLOOKUP(B23,RTD!$A$1:$H$196,6,0)</f>
        <v>10.02</v>
      </c>
      <c r="H23" s="19">
        <f t="shared" si="6"/>
        <v>10.01</v>
      </c>
      <c r="I23" s="14">
        <f t="shared" si="7"/>
        <v>9.0725806451612545E-3</v>
      </c>
      <c r="J23" s="98">
        <f>VLOOKUP(B23,'Market Data'!$A$4:$F$100,6,0)*C23</f>
        <v>129.62728375404566</v>
      </c>
      <c r="K23" s="19">
        <f>VLOOKUP(B23,RTD!$A$2:$H$100,8,0)</f>
        <v>0.5</v>
      </c>
      <c r="L23" s="14">
        <f t="shared" si="8"/>
        <v>1.2650571168321467E-2</v>
      </c>
      <c r="M23" s="19">
        <f>VLOOKUP(B23,RTD!$A$1:$H$196,7,0)</f>
        <v>0</v>
      </c>
      <c r="N23" s="98">
        <f>IF(M23=0,J23,IF(M23=0,C23,M23)*VLOOKUP(B23,'Market Data'!$A$4:$F$100,6,0))</f>
        <v>129.62728375404566</v>
      </c>
      <c r="O23" s="7" t="s">
        <v>22</v>
      </c>
      <c r="P23" s="14"/>
      <c r="Q23" s="13"/>
      <c r="S23" s="133">
        <v>238</v>
      </c>
      <c r="T23" s="135" t="s">
        <v>182</v>
      </c>
      <c r="U23" s="27" t="e">
        <f>RTD("srv.rtd","","PLAYERSRANKING",$U$13,S23,"SALDO","VOLF")</f>
        <v>#N/A</v>
      </c>
      <c r="V23" s="27" t="e">
        <f>RTD("srv.rtd","","PLAYERSRANKING",V$13,S23,"SALDO","VOLF")*0.2</f>
        <v>#N/A</v>
      </c>
      <c r="W23" s="27" t="e">
        <f>RTD("srv.rtd","","PLAYERSRANKING",W$13,S23,"SALDO","VOLF")*50</f>
        <v>#N/A</v>
      </c>
      <c r="X23" s="27" t="e">
        <f>RTD("srv.rtd","","PLAYERSRANKING",X$13,S23,"SALDO","VOLF")*10</f>
        <v>#N/A</v>
      </c>
      <c r="Y23" s="27" t="e">
        <f>RTD("srv.rtd","","PLAYERSRANKING",Y$13,$S23,"SALDO","VOLF")</f>
        <v>#N/A</v>
      </c>
      <c r="Z23" s="27" t="e">
        <f>RTD("srv.rtd","","PLAYERSRANKING",Z$13,$S23,"SALDO","VOLF")</f>
        <v>#N/A</v>
      </c>
      <c r="AA23" s="27" t="e">
        <f>RTD("srv.rtd","","PLAYERSRANKING",AA$13,$S23,"SALDO","VOLF")</f>
        <v>#N/A</v>
      </c>
      <c r="AB23" s="27" t="e">
        <f>RTD("srv.rtd","","PLAYERSRANKING",AB$13,$S23,"SALDO","VOLF")</f>
        <v>#N/A</v>
      </c>
      <c r="AC23" s="27" t="e">
        <f>RTD("srv.rtd","","PLAYERSRANKING",AC$13,$S23,"SALDO","VOLF")</f>
        <v>#N/A</v>
      </c>
      <c r="AD23" s="27" t="e">
        <f>RTD("srv.rtd","","PLAYERSRANKING",AD$13,$S23,"SALDO","VOLF")</f>
        <v>#N/A</v>
      </c>
      <c r="AE23" s="27" t="e">
        <f>RTD("srv.rtd","","PLAYERSRANKING",AE$13,$S23,"SALDO","VOLF")</f>
        <v>#N/A</v>
      </c>
      <c r="AF23" s="27" t="e">
        <f>RTD("srv.rtd","","PLAYERSRANKING",AF$13,$S23,"SALDO","VOLF")</f>
        <v>#N/A</v>
      </c>
      <c r="AG23" s="27" t="e">
        <f>RTD("srv.rtd","","PLAYERSRANKING",AG$13,$S23,"SALDO","VOLF")</f>
        <v>#N/A</v>
      </c>
      <c r="AH23" s="27" t="e">
        <f>RTD("srv.rtd","","PLAYERSRANKING",AH$13,$S23,"SALDO","VOLF")</f>
        <v>#N/A</v>
      </c>
      <c r="AI23" s="27" t="e">
        <f>RTD("srv.rtd","","PLAYERSRANKING",AI$13,$S23,"SALDO","VOLF")</f>
        <v>#N/A</v>
      </c>
      <c r="AJ23" s="27" t="e">
        <f>RTD("srv.rtd","","PLAYERSRANKING",AJ$13,$S23,"SALDO","VOLF")</f>
        <v>#N/A</v>
      </c>
      <c r="AK23" s="27" t="e">
        <f>RTD("srv.rtd","","PLAYERSRANKING",AK$13,$S23,"SALDO","VOLF")</f>
        <v>#N/A</v>
      </c>
      <c r="AL23" s="27" t="e">
        <f>RTD("srv.rtd","","PLAYERSRANKING",AL$13,$S23,"SALDO","VOLF")</f>
        <v>#N/A</v>
      </c>
      <c r="AM23" s="27" t="e">
        <f>RTD("srv.rtd","","PLAYERSRANKING",AM$13,$S23,"SALDO","VOLF")</f>
        <v>#N/A</v>
      </c>
      <c r="AN23" s="27" t="e">
        <f>RTD("srv.rtd","","PLAYERSRANKING",AN$13,$S23,"SALDO","VOLF")</f>
        <v>#N/A</v>
      </c>
      <c r="AO23" s="27" t="e">
        <f>RTD("srv.rtd","","PLAYERSRANKING",AO$13,$S23,"SALDO","VOLF")</f>
        <v>#N/A</v>
      </c>
      <c r="AP23" s="27" t="e">
        <f>RTD("srv.rtd","","PLAYERSRANKING",AP$13,$S23,"SALDO","VOLF")</f>
        <v>#N/A</v>
      </c>
      <c r="AQ23" s="27" t="e">
        <f>RTD("srv.rtd","","PLAYERSRANKING",AQ$13,$S23,"SALDO","VOLF")</f>
        <v>#N/A</v>
      </c>
      <c r="AR23" s="27" t="e">
        <f>RTD("srv.rtd","","PLAYERSRANKING",AR$13,$S23,"SALDO","VOLF")</f>
        <v>#N/A</v>
      </c>
      <c r="AS23" s="27" t="e">
        <f>RTD("srv.rtd","","PLAYERSRANKING",AS$13,$S23,"SALDO","VOLF")</f>
        <v>#N/A</v>
      </c>
      <c r="AT23" s="27" t="e">
        <f>RTD("srv.rtd","","PLAYERSRANKING",AT$13,$S23,"SALDO","VOLF")</f>
        <v>#N/A</v>
      </c>
      <c r="AU23" s="27" t="e">
        <f>RTD("srv.rtd","","PLAYERSRANKING",AU$13,$S23,"SALDO","VOLF")</f>
        <v>#N/A</v>
      </c>
      <c r="AV23" s="27" t="e">
        <f>RTD("srv.rtd","","PLAYERSRANKING",AV$13,$S23,"SALDO","VOLF")</f>
        <v>#N/A</v>
      </c>
      <c r="AW23" s="27" t="e">
        <f>RTD("srv.rtd","","PLAYERSRANKING",AW$13,$S23,"SALDO","VOLF")</f>
        <v>#N/A</v>
      </c>
      <c r="AX23" s="27" t="e">
        <f>RTD("srv.rtd","","PLAYERSRANKING",AX$13,$S23,"SALDO","VOLF")</f>
        <v>#N/A</v>
      </c>
      <c r="AY23" s="27" t="e">
        <f>RTD("srv.rtd","","PLAYERSRANKING",AY$13,$S23,"SALDO","VOLF")</f>
        <v>#N/A</v>
      </c>
      <c r="AZ23" s="27" t="e">
        <f>RTD("srv.rtd","","PLAYERSRANKING",AZ$13,$S23,"SALDO","VOLF")</f>
        <v>#N/A</v>
      </c>
      <c r="BA23" s="27" t="e">
        <f>RTD("srv.rtd","","PLAYERSRANKING",BA$13,$S23,"SALDO","VOLF")</f>
        <v>#N/A</v>
      </c>
      <c r="BB23" s="27" t="e">
        <f>RTD("srv.rtd","","PLAYERSRANKING",BB$13,$S23,"SALDO","VOLF")</f>
        <v>#N/A</v>
      </c>
      <c r="BC23" s="27" t="e">
        <f>RTD("srv.rtd","","PLAYERSRANKING",BC$13,$S23,"SALDO","VOLF")</f>
        <v>#N/A</v>
      </c>
      <c r="BD23" s="27" t="e">
        <f>RTD("srv.rtd","","PLAYERSRANKING",BD$13,$S23,"SALDO","VOLF")</f>
        <v>#N/A</v>
      </c>
      <c r="BE23" s="27" t="e">
        <f>RTD("srv.rtd","","PLAYERSRANKING",BE$13,$S23,"SALDO","VOLF")</f>
        <v>#N/A</v>
      </c>
      <c r="BF23" s="27" t="e">
        <f>RTD("srv.rtd","","PLAYERSRANKING",BF$13,$S23,"SALDO","VOLF")</f>
        <v>#N/A</v>
      </c>
      <c r="BG23" s="27" t="e">
        <f>RTD("srv.rtd","","PLAYERSRANKING",BG$13,$S23,"SALDO","VOLF")</f>
        <v>#N/A</v>
      </c>
      <c r="BH23" s="27" t="e">
        <f>RTD("srv.rtd","","PLAYERSRANKING",BH$13,$S23,"SALDO","VOLF")</f>
        <v>#N/A</v>
      </c>
      <c r="BI23" s="27" t="e">
        <f>RTD("srv.rtd","","PLAYERSRANKING",BI$13,$S23,"SALDO","VOLF")</f>
        <v>#N/A</v>
      </c>
      <c r="BJ23" s="27" t="e">
        <f>RTD("srv.rtd","","PLAYERSRANKING",BJ$13,$S23,"SALDO","VOLF")</f>
        <v>#N/A</v>
      </c>
      <c r="BK23" s="27" t="e">
        <f>RTD("srv.rtd","","PLAYERSRANKING",BK$13,$S23,"SALDO","VOLF")</f>
        <v>#N/A</v>
      </c>
      <c r="BL23" s="27" t="e">
        <f>RTD("srv.rtd","","PLAYERSRANKING",BL$13,$S23,"SALDO","VOLF")</f>
        <v>#N/A</v>
      </c>
      <c r="BM23" s="27" t="e">
        <f>RTD("srv.rtd","","PLAYERSRANKING",BM$13,$S23,"SALDO","VOLF")</f>
        <v>#N/A</v>
      </c>
      <c r="BN23" s="27" t="e">
        <f>RTD("srv.rtd","","PLAYERSRANKING",BN$13,$S23,"SALDO","VOLF")</f>
        <v>#N/A</v>
      </c>
      <c r="BO23" s="27" t="e">
        <f>RTD("srv.rtd","","PLAYERSRANKING",BO$13,$S23,"SALDO","VOLF")</f>
        <v>#N/A</v>
      </c>
      <c r="BP23" s="27" t="e">
        <f>RTD("srv.rtd","","PLAYERSRANKING",BP$13,$S23,"SALDO","VOLF")</f>
        <v>#N/A</v>
      </c>
      <c r="BQ23" s="27" t="e">
        <f>RTD("srv.rtd","","PLAYERSRANKING",BQ$13,$S23,"SALDO","VOLF")</f>
        <v>#N/A</v>
      </c>
      <c r="BR23" s="27" t="e">
        <f>RTD("srv.rtd","","PLAYERSRANKING",BR$13,$S23,"SALDO","VOLF")</f>
        <v>#N/A</v>
      </c>
      <c r="BS23" s="27" t="e">
        <f>RTD("srv.rtd","","PLAYERSRANKING",BS$13,$S23,"SALDO","VOLF")</f>
        <v>#N/A</v>
      </c>
      <c r="BT23" s="27" t="e">
        <f>RTD("srv.rtd","","PLAYERSRANKING",BT$13,$S23,"SALDO","VOLF")</f>
        <v>#N/A</v>
      </c>
      <c r="BU23" s="27" t="e">
        <f>RTD("srv.rtd","","PLAYERSRANKING",BU$13,$S23,"SALDO","VOLF")</f>
        <v>#N/A</v>
      </c>
      <c r="BV23" s="27" t="e">
        <f>RTD("srv.rtd","","PLAYERSRANKING",BV$13,$S23,"SALDO","VOLF")</f>
        <v>#N/A</v>
      </c>
      <c r="BW23" s="27" t="e">
        <f>RTD("srv.rtd","","PLAYERSRANKING",BW$13,$S23,"SALDO","VOLF")</f>
        <v>#N/A</v>
      </c>
      <c r="BX23" s="27" t="e">
        <f>RTD("srv.rtd","","PLAYERSRANKING",BX$13,$S23,"SALDO","VOLF")</f>
        <v>#N/A</v>
      </c>
      <c r="BY23" s="27" t="e">
        <f>RTD("srv.rtd","","PLAYERSRANKING",BY$13,$S23,"SALDO","VOLF")</f>
        <v>#N/A</v>
      </c>
      <c r="BZ23" s="27" t="e">
        <f>RTD("srv.rtd","","PLAYERSRANKING",BZ$13,$S23,"SALDO","VOLF")</f>
        <v>#N/A</v>
      </c>
      <c r="CA23" s="27" t="e">
        <f>RTD("srv.rtd","","PLAYERSRANKING",CA$13,$S23,"SALDO","VOLF")</f>
        <v>#N/A</v>
      </c>
      <c r="CB23" s="27" t="e">
        <f>RTD("srv.rtd","","PLAYERSRANKING",CB$13,$S23,"SALDO","VOLF")</f>
        <v>#N/A</v>
      </c>
      <c r="CC23" s="27" t="e">
        <f>RTD("srv.rtd","","PLAYERSRANKING",CC$13,$S23,"SALDO","VOLF")</f>
        <v>#N/A</v>
      </c>
      <c r="CD23" s="27" t="e">
        <f>RTD("srv.rtd","","PLAYERSRANKING",CD$13,$S23,"SALDO","VOLF")</f>
        <v>#N/A</v>
      </c>
      <c r="CE23" s="27" t="e">
        <f>RTD("srv.rtd","","PLAYERSRANKING",CE$13,$S23,"SALDO","VOLF")</f>
        <v>#N/A</v>
      </c>
      <c r="CF23" s="27" t="e">
        <f>RTD("srv.rtd","","PLAYERSRANKING",CF$13,$S23,"SALDO","VOLF")</f>
        <v>#N/A</v>
      </c>
      <c r="CG23" s="27" t="e">
        <f>RTD("srv.rtd","","PLAYERSRANKING",CG$13,$S23,"SALDO","VOLF")</f>
        <v>#N/A</v>
      </c>
      <c r="CH23" s="27" t="e">
        <f>RTD("srv.rtd","","PLAYERSRANKING",CH$13,$S23,"SALDO","VOLF")</f>
        <v>#N/A</v>
      </c>
      <c r="CI23" s="27" t="e">
        <f>RTD("srv.rtd","","PLAYERSRANKING",CI$13,$S23,"SALDO","VOLF")</f>
        <v>#N/A</v>
      </c>
      <c r="CJ23" s="27" t="e">
        <f>RTD("srv.rtd","","PLAYERSRANKING",CJ$13,$S23,"SALDO","VOLF")</f>
        <v>#N/A</v>
      </c>
      <c r="CK23" s="27" t="e">
        <f>RTD("srv.rtd","","PLAYERSRANKING",CK$13,$S23,"SALDO","VOLF")</f>
        <v>#N/A</v>
      </c>
      <c r="CL23" s="27" t="e">
        <f>RTD("srv.rtd","","PLAYERSRANKING",CL$13,$S23,"SALDO","VOLF")</f>
        <v>#N/A</v>
      </c>
      <c r="CM23" s="27" t="e">
        <f>RTD("srv.rtd","","PLAYERSRANKING",CM$13,$S23,"SALDO","VOLF")</f>
        <v>#N/A</v>
      </c>
      <c r="CN23" s="27" t="e">
        <f>RTD("srv.rtd","","PLAYERSRANKING",CN$13,$S23,"SALDO","VOLF")</f>
        <v>#N/A</v>
      </c>
      <c r="CO23" s="27" t="e">
        <f>RTD("srv.rtd","","PLAYERSRANKING",CO$13,$S23,"SALDO","VOLF")</f>
        <v>#N/A</v>
      </c>
      <c r="CP23" s="27" t="e">
        <f>RTD("srv.rtd","","PLAYERSRANKING",CP$13,$S23,"SALDO","VOLF")</f>
        <v>#N/A</v>
      </c>
      <c r="CQ23" s="27" t="e">
        <f>RTD("srv.rtd","","PLAYERSRANKING",CQ$13,$S23,"SALDO","VOLF")</f>
        <v>#N/A</v>
      </c>
      <c r="CR23" s="27" t="e">
        <f>RTD("srv.rtd","","PLAYERSRANKING",CR$13,$S23,"SALDO","VOLF")</f>
        <v>#N/A</v>
      </c>
      <c r="CS23" s="27" t="e">
        <f>RTD("srv.rtd","","PLAYERSRANKING",CS$13,$S23,"SALDO","VOLF")</f>
        <v>#N/A</v>
      </c>
      <c r="CT23" s="27" t="e">
        <f>RTD("srv.rtd","","PLAYERSRANKING",CT$13,$S23,"SALDO","VOLF")</f>
        <v>#N/A</v>
      </c>
      <c r="CU23" s="27" t="e">
        <f>RTD("srv.rtd","","PLAYERSRANKING",CU$13,$S23,"SALDO","VOLF")</f>
        <v>#N/A</v>
      </c>
      <c r="CV23" s="27" t="e">
        <f>RTD("srv.rtd","","PLAYERSRANKING",CV$13,$S23,"SALDO","VOLF")</f>
        <v>#N/A</v>
      </c>
      <c r="CW23" s="27" t="e">
        <f>RTD("srv.rtd","","PLAYERSRANKING",CW$13,$S23,"SALDO","VOLF")</f>
        <v>#N/A</v>
      </c>
      <c r="CX23" s="27" t="e">
        <f>RTD("srv.rtd","","PLAYERSRANKING",CX$13,$S23,"SALDO","VOLF")</f>
        <v>#N/A</v>
      </c>
      <c r="CY23" s="27" t="e">
        <f>RTD("srv.rtd","","PLAYERSRANKING",CY$13,$S23,"SALDO","VOLF")</f>
        <v>#N/A</v>
      </c>
      <c r="CZ23" s="27" t="e">
        <f>RTD("srv.rtd","","PLAYERSRANKING",CZ$13,$S23,"SALDO","VOLF")</f>
        <v>#N/A</v>
      </c>
      <c r="DA23" s="27" t="e">
        <f>RTD("srv.rtd","","PLAYERSRANKING",DA$13,$S23,"SALDO","VOLF")</f>
        <v>#N/A</v>
      </c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</row>
    <row r="24" spans="1:124" x14ac:dyDescent="0.25">
      <c r="A24" s="2"/>
      <c r="B24" s="6" t="s">
        <v>24</v>
      </c>
      <c r="C24" s="19">
        <f>VLOOKUP(B24,RTD!$A$1:$H$196,2,0)</f>
        <v>18.420000000000009</v>
      </c>
      <c r="D24" s="19">
        <f>VLOOKUP(B24,RTD!$A$1:$H$196,3,0)</f>
        <v>18.55</v>
      </c>
      <c r="E24" s="19">
        <f>VLOOKUP(B24,RTD!$A$1:$H$196,4,0)</f>
        <v>18.630000000000003</v>
      </c>
      <c r="F24" s="19">
        <f>VLOOKUP(B24,RTD!$A$1:$H$196,5,0)</f>
        <v>18.41</v>
      </c>
      <c r="G24" s="19">
        <f>VLOOKUP(B24,RTD!$A$1:$H$196,6,0)</f>
        <v>18.420000000000002</v>
      </c>
      <c r="H24" s="19">
        <f t="shared" si="6"/>
        <v>18.414999999999999</v>
      </c>
      <c r="I24" s="14">
        <f t="shared" si="7"/>
        <v>-1.1540526033279819E-2</v>
      </c>
      <c r="J24" s="98">
        <f>VLOOKUP(B24,'Market Data'!$A$4:$F$100,6,0)*C24</f>
        <v>264.04826038489762</v>
      </c>
      <c r="K24" s="19">
        <f>VLOOKUP(B24,RTD!$A$2:$H$100,8,0)</f>
        <v>0.83</v>
      </c>
      <c r="L24" s="14">
        <f t="shared" si="8"/>
        <v>-5.6010617648338656E-3</v>
      </c>
      <c r="M24" s="19">
        <f>VLOOKUP(B24,RTD!$A$1:$H$196,7,0)</f>
        <v>0</v>
      </c>
      <c r="N24" s="98">
        <f>IF(M24=0,J24,IF(M24=0,C24,M24)*VLOOKUP(B24,'Market Data'!$A$4:$F$100,6,0))</f>
        <v>264.04826038489762</v>
      </c>
      <c r="O24" s="7" t="s">
        <v>24</v>
      </c>
      <c r="P24" s="14"/>
      <c r="Q24" s="13"/>
      <c r="S24" s="133"/>
      <c r="T24" s="135"/>
      <c r="U24" s="27" t="e">
        <f>RTD("srv.rtd","","PLAYERSRANKING",$U$13,S24,"SALDO","VOLF")</f>
        <v>#N/A</v>
      </c>
      <c r="V24" s="27" t="e">
        <f>RTD("srv.rtd","","PLAYERSRANKING",V$13,S24,"SALDO","VOLF")*0.2</f>
        <v>#N/A</v>
      </c>
      <c r="W24" s="27" t="e">
        <f>RTD("srv.rtd","","PLAYERSRANKING",W$13,S24,"SALDO","VOLF")*50</f>
        <v>#N/A</v>
      </c>
      <c r="X24" s="27" t="e">
        <f>RTD("srv.rtd","","PLAYERSRANKING",X$13,S24,"SALDO","VOLF")*10</f>
        <v>#N/A</v>
      </c>
      <c r="Y24" s="27" t="e">
        <f>RTD("srv.rtd","","PLAYERSRANKING",Y$13,$S24,"SALDO","VOLF")</f>
        <v>#N/A</v>
      </c>
      <c r="Z24" s="27" t="e">
        <f>RTD("srv.rtd","","PLAYERSRANKING",Z$13,$S24,"SALDO","VOLF")</f>
        <v>#N/A</v>
      </c>
      <c r="AA24" s="27" t="e">
        <f>RTD("srv.rtd","","PLAYERSRANKING",AA$13,$S24,"SALDO","VOLF")</f>
        <v>#N/A</v>
      </c>
      <c r="AB24" s="27" t="e">
        <f>RTD("srv.rtd","","PLAYERSRANKING",AB$13,$S24,"SALDO","VOLF")</f>
        <v>#N/A</v>
      </c>
      <c r="AC24" s="27" t="e">
        <f>RTD("srv.rtd","","PLAYERSRANKING",AC$13,$S24,"SALDO","VOLF")</f>
        <v>#N/A</v>
      </c>
      <c r="AD24" s="27" t="e">
        <f>RTD("srv.rtd","","PLAYERSRANKING",AD$13,$S24,"SALDO","VOLF")</f>
        <v>#N/A</v>
      </c>
      <c r="AE24" s="27" t="e">
        <f>RTD("srv.rtd","","PLAYERSRANKING",AE$13,$S24,"SALDO","VOLF")</f>
        <v>#N/A</v>
      </c>
      <c r="AF24" s="27" t="e">
        <f>RTD("srv.rtd","","PLAYERSRANKING",AF$13,$S24,"SALDO","VOLF")</f>
        <v>#N/A</v>
      </c>
      <c r="AG24" s="27" t="e">
        <f>RTD("srv.rtd","","PLAYERSRANKING",AG$13,$S24,"SALDO","VOLF")</f>
        <v>#N/A</v>
      </c>
      <c r="AH24" s="27" t="e">
        <f>RTD("srv.rtd","","PLAYERSRANKING",AH$13,$S24,"SALDO","VOLF")</f>
        <v>#N/A</v>
      </c>
      <c r="AI24" s="27" t="e">
        <f>RTD("srv.rtd","","PLAYERSRANKING",AI$13,$S24,"SALDO","VOLF")</f>
        <v>#N/A</v>
      </c>
      <c r="AJ24" s="27" t="e">
        <f>RTD("srv.rtd","","PLAYERSRANKING",AJ$13,$S24,"SALDO","VOLF")</f>
        <v>#N/A</v>
      </c>
      <c r="AK24" s="27" t="e">
        <f>RTD("srv.rtd","","PLAYERSRANKING",AK$13,$S24,"SALDO","VOLF")</f>
        <v>#N/A</v>
      </c>
      <c r="AL24" s="27" t="e">
        <f>RTD("srv.rtd","","PLAYERSRANKING",AL$13,$S24,"SALDO","VOLF")</f>
        <v>#N/A</v>
      </c>
      <c r="AM24" s="27" t="e">
        <f>RTD("srv.rtd","","PLAYERSRANKING",AM$13,$S24,"SALDO","VOLF")</f>
        <v>#N/A</v>
      </c>
      <c r="AN24" s="27" t="e">
        <f>RTD("srv.rtd","","PLAYERSRANKING",AN$13,$S24,"SALDO","VOLF")</f>
        <v>#N/A</v>
      </c>
      <c r="AO24" s="27" t="e">
        <f>RTD("srv.rtd","","PLAYERSRANKING",AO$13,$S24,"SALDO","VOLF")</f>
        <v>#N/A</v>
      </c>
      <c r="AP24" s="27" t="e">
        <f>RTD("srv.rtd","","PLAYERSRANKING",AP$13,$S24,"SALDO","VOLF")</f>
        <v>#N/A</v>
      </c>
      <c r="AQ24" s="27" t="e">
        <f>RTD("srv.rtd","","PLAYERSRANKING",AQ$13,$S24,"SALDO","VOLF")</f>
        <v>#N/A</v>
      </c>
      <c r="AR24" s="27" t="e">
        <f>RTD("srv.rtd","","PLAYERSRANKING",AR$13,$S24,"SALDO","VOLF")</f>
        <v>#N/A</v>
      </c>
      <c r="AS24" s="27" t="e">
        <f>RTD("srv.rtd","","PLAYERSRANKING",AS$13,$S24,"SALDO","VOLF")</f>
        <v>#N/A</v>
      </c>
      <c r="AT24" s="27" t="e">
        <f>RTD("srv.rtd","","PLAYERSRANKING",AT$13,$S24,"SALDO","VOLF")</f>
        <v>#N/A</v>
      </c>
      <c r="AU24" s="27" t="e">
        <f>RTD("srv.rtd","","PLAYERSRANKING",AU$13,$S24,"SALDO","VOLF")</f>
        <v>#N/A</v>
      </c>
      <c r="AV24" s="27" t="e">
        <f>RTD("srv.rtd","","PLAYERSRANKING",AV$13,$S24,"SALDO","VOLF")</f>
        <v>#N/A</v>
      </c>
      <c r="AW24" s="27" t="e">
        <f>RTD("srv.rtd","","PLAYERSRANKING",AW$13,$S24,"SALDO","VOLF")</f>
        <v>#N/A</v>
      </c>
      <c r="AX24" s="27" t="e">
        <f>RTD("srv.rtd","","PLAYERSRANKING",AX$13,$S24,"SALDO","VOLF")</f>
        <v>#N/A</v>
      </c>
      <c r="AY24" s="27" t="e">
        <f>RTD("srv.rtd","","PLAYERSRANKING",AY$13,$S24,"SALDO","VOLF")</f>
        <v>#N/A</v>
      </c>
      <c r="AZ24" s="27" t="e">
        <f>RTD("srv.rtd","","PLAYERSRANKING",AZ$13,$S24,"SALDO","VOLF")</f>
        <v>#N/A</v>
      </c>
      <c r="BA24" s="27" t="e">
        <f>RTD("srv.rtd","","PLAYERSRANKING",BA$13,$S24,"SALDO","VOLF")</f>
        <v>#N/A</v>
      </c>
      <c r="BB24" s="27" t="e">
        <f>RTD("srv.rtd","","PLAYERSRANKING",BB$13,$S24,"SALDO","VOLF")</f>
        <v>#N/A</v>
      </c>
      <c r="BC24" s="27" t="e">
        <f>RTD("srv.rtd","","PLAYERSRANKING",BC$13,$S24,"SALDO","VOLF")</f>
        <v>#N/A</v>
      </c>
      <c r="BD24" s="27" t="e">
        <f>RTD("srv.rtd","","PLAYERSRANKING",BD$13,$S24,"SALDO","VOLF")</f>
        <v>#N/A</v>
      </c>
      <c r="BE24" s="27" t="e">
        <f>RTD("srv.rtd","","PLAYERSRANKING",BE$13,$S24,"SALDO","VOLF")</f>
        <v>#N/A</v>
      </c>
      <c r="BF24" s="27" t="e">
        <f>RTD("srv.rtd","","PLAYERSRANKING",BF$13,$S24,"SALDO","VOLF")</f>
        <v>#N/A</v>
      </c>
      <c r="BG24" s="27" t="e">
        <f>RTD("srv.rtd","","PLAYERSRANKING",BG$13,$S24,"SALDO","VOLF")</f>
        <v>#N/A</v>
      </c>
      <c r="BH24" s="27" t="e">
        <f>RTD("srv.rtd","","PLAYERSRANKING",BH$13,$S24,"SALDO","VOLF")</f>
        <v>#N/A</v>
      </c>
      <c r="BI24" s="27" t="e">
        <f>RTD("srv.rtd","","PLAYERSRANKING",BI$13,$S24,"SALDO","VOLF")</f>
        <v>#N/A</v>
      </c>
      <c r="BJ24" s="27" t="e">
        <f>RTD("srv.rtd","","PLAYERSRANKING",BJ$13,$S24,"SALDO","VOLF")</f>
        <v>#N/A</v>
      </c>
      <c r="BK24" s="27" t="e">
        <f>RTD("srv.rtd","","PLAYERSRANKING",BK$13,$S24,"SALDO","VOLF")</f>
        <v>#N/A</v>
      </c>
      <c r="BL24" s="27" t="e">
        <f>RTD("srv.rtd","","PLAYERSRANKING",BL$13,$S24,"SALDO","VOLF")</f>
        <v>#N/A</v>
      </c>
      <c r="BM24" s="27" t="e">
        <f>RTD("srv.rtd","","PLAYERSRANKING",BM$13,$S24,"SALDO","VOLF")</f>
        <v>#N/A</v>
      </c>
      <c r="BN24" s="27" t="e">
        <f>RTD("srv.rtd","","PLAYERSRANKING",BN$13,$S24,"SALDO","VOLF")</f>
        <v>#N/A</v>
      </c>
      <c r="BO24" s="27" t="e">
        <f>RTD("srv.rtd","","PLAYERSRANKING",BO$13,$S24,"SALDO","VOLF")</f>
        <v>#N/A</v>
      </c>
      <c r="BP24" s="27" t="e">
        <f>RTD("srv.rtd","","PLAYERSRANKING",BP$13,$S24,"SALDO","VOLF")</f>
        <v>#N/A</v>
      </c>
      <c r="BQ24" s="27" t="e">
        <f>RTD("srv.rtd","","PLAYERSRANKING",BQ$13,$S24,"SALDO","VOLF")</f>
        <v>#N/A</v>
      </c>
      <c r="BR24" s="27" t="e">
        <f>RTD("srv.rtd","","PLAYERSRANKING",BR$13,$S24,"SALDO","VOLF")</f>
        <v>#N/A</v>
      </c>
      <c r="BS24" s="27" t="e">
        <f>RTD("srv.rtd","","PLAYERSRANKING",BS$13,$S24,"SALDO","VOLF")</f>
        <v>#N/A</v>
      </c>
      <c r="BT24" s="27" t="e">
        <f>RTD("srv.rtd","","PLAYERSRANKING",BT$13,$S24,"SALDO","VOLF")</f>
        <v>#N/A</v>
      </c>
      <c r="BU24" s="27" t="e">
        <f>RTD("srv.rtd","","PLAYERSRANKING",BU$13,$S24,"SALDO","VOLF")</f>
        <v>#N/A</v>
      </c>
      <c r="BV24" s="27" t="e">
        <f>RTD("srv.rtd","","PLAYERSRANKING",BV$13,$S24,"SALDO","VOLF")</f>
        <v>#N/A</v>
      </c>
      <c r="BW24" s="27" t="e">
        <f>RTD("srv.rtd","","PLAYERSRANKING",BW$13,$S24,"SALDO","VOLF")</f>
        <v>#N/A</v>
      </c>
      <c r="BX24" s="27" t="e">
        <f>RTD("srv.rtd","","PLAYERSRANKING",BX$13,$S24,"SALDO","VOLF")</f>
        <v>#N/A</v>
      </c>
      <c r="BY24" s="27" t="e">
        <f>RTD("srv.rtd","","PLAYERSRANKING",BY$13,$S24,"SALDO","VOLF")</f>
        <v>#N/A</v>
      </c>
      <c r="BZ24" s="27" t="e">
        <f>RTD("srv.rtd","","PLAYERSRANKING",BZ$13,$S24,"SALDO","VOLF")</f>
        <v>#N/A</v>
      </c>
      <c r="CA24" s="27" t="e">
        <f>RTD("srv.rtd","","PLAYERSRANKING",CA$13,$S24,"SALDO","VOLF")</f>
        <v>#N/A</v>
      </c>
      <c r="CB24" s="27" t="e">
        <f>RTD("srv.rtd","","PLAYERSRANKING",CB$13,$S24,"SALDO","VOLF")</f>
        <v>#N/A</v>
      </c>
      <c r="CC24" s="27" t="e">
        <f>RTD("srv.rtd","","PLAYERSRANKING",CC$13,$S24,"SALDO","VOLF")</f>
        <v>#N/A</v>
      </c>
      <c r="CD24" s="27" t="e">
        <f>RTD("srv.rtd","","PLAYERSRANKING",CD$13,$S24,"SALDO","VOLF")</f>
        <v>#N/A</v>
      </c>
      <c r="CE24" s="27" t="e">
        <f>RTD("srv.rtd","","PLAYERSRANKING",CE$13,$S24,"SALDO","VOLF")</f>
        <v>#N/A</v>
      </c>
      <c r="CF24" s="27" t="e">
        <f>RTD("srv.rtd","","PLAYERSRANKING",CF$13,$S24,"SALDO","VOLF")</f>
        <v>#N/A</v>
      </c>
      <c r="CG24" s="27" t="e">
        <f>RTD("srv.rtd","","PLAYERSRANKING",CG$13,$S24,"SALDO","VOLF")</f>
        <v>#N/A</v>
      </c>
      <c r="CH24" s="27" t="e">
        <f>RTD("srv.rtd","","PLAYERSRANKING",CH$13,$S24,"SALDO","VOLF")</f>
        <v>#N/A</v>
      </c>
      <c r="CI24" s="27" t="e">
        <f>RTD("srv.rtd","","PLAYERSRANKING",CI$13,$S24,"SALDO","VOLF")</f>
        <v>#N/A</v>
      </c>
      <c r="CJ24" s="27" t="e">
        <f>RTD("srv.rtd","","PLAYERSRANKING",CJ$13,$S24,"SALDO","VOLF")</f>
        <v>#N/A</v>
      </c>
      <c r="CK24" s="27" t="e">
        <f>RTD("srv.rtd","","PLAYERSRANKING",CK$13,$S24,"SALDO","VOLF")</f>
        <v>#N/A</v>
      </c>
      <c r="CL24" s="27" t="e">
        <f>RTD("srv.rtd","","PLAYERSRANKING",CL$13,$S24,"SALDO","VOLF")</f>
        <v>#N/A</v>
      </c>
      <c r="CM24" s="27" t="e">
        <f>RTD("srv.rtd","","PLAYERSRANKING",CM$13,$S24,"SALDO","VOLF")</f>
        <v>#N/A</v>
      </c>
      <c r="CN24" s="27" t="e">
        <f>RTD("srv.rtd","","PLAYERSRANKING",CN$13,$S24,"SALDO","VOLF")</f>
        <v>#N/A</v>
      </c>
      <c r="CO24" s="27" t="e">
        <f>RTD("srv.rtd","","PLAYERSRANKING",CO$13,$S24,"SALDO","VOLF")</f>
        <v>#N/A</v>
      </c>
      <c r="CP24" s="27" t="e">
        <f>RTD("srv.rtd","","PLAYERSRANKING",CP$13,$S24,"SALDO","VOLF")</f>
        <v>#N/A</v>
      </c>
      <c r="CQ24" s="27" t="e">
        <f>RTD("srv.rtd","","PLAYERSRANKING",CQ$13,$S24,"SALDO","VOLF")</f>
        <v>#N/A</v>
      </c>
      <c r="CR24" s="27" t="e">
        <f>RTD("srv.rtd","","PLAYERSRANKING",CR$13,$S24,"SALDO","VOLF")</f>
        <v>#N/A</v>
      </c>
      <c r="CS24" s="27" t="e">
        <f>RTD("srv.rtd","","PLAYERSRANKING",CS$13,$S24,"SALDO","VOLF")</f>
        <v>#N/A</v>
      </c>
      <c r="CT24" s="27" t="e">
        <f>RTD("srv.rtd","","PLAYERSRANKING",CT$13,$S24,"SALDO","VOLF")</f>
        <v>#N/A</v>
      </c>
      <c r="CU24" s="27" t="e">
        <f>RTD("srv.rtd","","PLAYERSRANKING",CU$13,$S24,"SALDO","VOLF")</f>
        <v>#N/A</v>
      </c>
      <c r="CV24" s="27" t="e">
        <f>RTD("srv.rtd","","PLAYERSRANKING",CV$13,$S24,"SALDO","VOLF")</f>
        <v>#N/A</v>
      </c>
      <c r="CW24" s="27" t="e">
        <f>RTD("srv.rtd","","PLAYERSRANKING",CW$13,$S24,"SALDO","VOLF")</f>
        <v>#N/A</v>
      </c>
      <c r="CX24" s="27" t="e">
        <f>RTD("srv.rtd","","PLAYERSRANKING",CX$13,$S24,"SALDO","VOLF")</f>
        <v>#N/A</v>
      </c>
      <c r="CY24" s="27" t="e">
        <f>RTD("srv.rtd","","PLAYERSRANKING",CY$13,$S24,"SALDO","VOLF")</f>
        <v>#N/A</v>
      </c>
      <c r="CZ24" s="27" t="e">
        <f>RTD("srv.rtd","","PLAYERSRANKING",CZ$13,$S24,"SALDO","VOLF")</f>
        <v>#N/A</v>
      </c>
      <c r="DA24" s="27" t="e">
        <f>RTD("srv.rtd","","PLAYERSRANKING",DA$13,$S24,"SALDO","VOLF")</f>
        <v>#N/A</v>
      </c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</row>
    <row r="25" spans="1:124" x14ac:dyDescent="0.25">
      <c r="A25" s="2"/>
      <c r="B25" s="6" t="s">
        <v>27</v>
      </c>
      <c r="C25" s="19">
        <f>VLOOKUP(B25,RTD!$A$1:$H$196,2,0)</f>
        <v>26.3</v>
      </c>
      <c r="D25" s="19">
        <f>VLOOKUP(B25,RTD!$A$1:$H$196,3,0)</f>
        <v>26.44</v>
      </c>
      <c r="E25" s="19">
        <f>VLOOKUP(B25,RTD!$A$1:$H$196,4,0)</f>
        <v>26.66</v>
      </c>
      <c r="F25" s="19">
        <f>VLOOKUP(B25,RTD!$A$1:$H$196,5,0)</f>
        <v>26.29</v>
      </c>
      <c r="G25" s="19">
        <f>VLOOKUP(B25,RTD!$A$1:$H$196,6,0)</f>
        <v>26.310000000000002</v>
      </c>
      <c r="H25" s="19">
        <f t="shared" si="6"/>
        <v>26.3</v>
      </c>
      <c r="I25" s="14">
        <f t="shared" si="7"/>
        <v>-1.3503375843960996E-2</v>
      </c>
      <c r="J25" s="98">
        <f>VLOOKUP(B25,'Market Data'!$A$4:$F$100,6,0)*C25</f>
        <v>317.29103267117324</v>
      </c>
      <c r="K25" s="19">
        <f>VLOOKUP(B25,RTD!$A$2:$H$100,8,0)</f>
        <v>0.77</v>
      </c>
      <c r="L25" s="14">
        <f t="shared" si="8"/>
        <v>-7.9932704382942692E-3</v>
      </c>
      <c r="M25" s="19">
        <f>VLOOKUP(B25,RTD!$A$1:$H$196,7,0)</f>
        <v>0</v>
      </c>
      <c r="N25" s="98">
        <f>IF(M25=0,J25,IF(M25=0,C25,M25)*VLOOKUP(B25,'Market Data'!$A$4:$F$100,6,0))</f>
        <v>317.29103267117324</v>
      </c>
      <c r="O25" s="7" t="s">
        <v>27</v>
      </c>
      <c r="P25" s="14"/>
      <c r="Q25" s="13"/>
      <c r="S25" s="133"/>
      <c r="T25" s="135"/>
      <c r="U25" s="27" t="e">
        <f>RTD("srv.rtd","","PLAYERSRANKING",$U$13,S25,"SALDO","VOLF")</f>
        <v>#N/A</v>
      </c>
      <c r="V25" s="27" t="e">
        <f>RTD("srv.rtd","","PLAYERSRANKING",V$13,S25,"SALDO","VOLF")*0.2</f>
        <v>#N/A</v>
      </c>
      <c r="W25" s="27" t="e">
        <f>RTD("srv.rtd","","PLAYERSRANKING",W$13,S25,"SALDO","VOLF")*50</f>
        <v>#N/A</v>
      </c>
      <c r="X25" s="27" t="e">
        <f>RTD("srv.rtd","","PLAYERSRANKING",X$13,S25,"SALDO","VOLF")*10</f>
        <v>#N/A</v>
      </c>
      <c r="Y25" s="27" t="e">
        <f>RTD("srv.rtd","","PLAYERSRANKING",Y$13,$S25,"SALDO","VOLF")</f>
        <v>#N/A</v>
      </c>
      <c r="Z25" s="27" t="e">
        <f>RTD("srv.rtd","","PLAYERSRANKING",Z$13,$S25,"SALDO","VOLF")</f>
        <v>#N/A</v>
      </c>
      <c r="AA25" s="27" t="e">
        <f>RTD("srv.rtd","","PLAYERSRANKING",AA$13,$S25,"SALDO","VOLF")</f>
        <v>#N/A</v>
      </c>
      <c r="AB25" s="27" t="e">
        <f>RTD("srv.rtd","","PLAYERSRANKING",AB$13,$S25,"SALDO","VOLF")</f>
        <v>#N/A</v>
      </c>
      <c r="AC25" s="27" t="e">
        <f>RTD("srv.rtd","","PLAYERSRANKING",AC$13,$S25,"SALDO","VOLF")</f>
        <v>#N/A</v>
      </c>
      <c r="AD25" s="27" t="e">
        <f>RTD("srv.rtd","","PLAYERSRANKING",AD$13,$S25,"SALDO","VOLF")</f>
        <v>#N/A</v>
      </c>
      <c r="AE25" s="27" t="e">
        <f>RTD("srv.rtd","","PLAYERSRANKING",AE$13,$S25,"SALDO","VOLF")</f>
        <v>#N/A</v>
      </c>
      <c r="AF25" s="27" t="e">
        <f>RTD("srv.rtd","","PLAYERSRANKING",AF$13,$S25,"SALDO","VOLF")</f>
        <v>#N/A</v>
      </c>
      <c r="AG25" s="27" t="e">
        <f>RTD("srv.rtd","","PLAYERSRANKING",AG$13,$S25,"SALDO","VOLF")</f>
        <v>#N/A</v>
      </c>
      <c r="AH25" s="27" t="e">
        <f>RTD("srv.rtd","","PLAYERSRANKING",AH$13,$S25,"SALDO","VOLF")</f>
        <v>#N/A</v>
      </c>
      <c r="AI25" s="27" t="e">
        <f>RTD("srv.rtd","","PLAYERSRANKING",AI$13,$S25,"SALDO","VOLF")</f>
        <v>#N/A</v>
      </c>
      <c r="AJ25" s="27" t="e">
        <f>RTD("srv.rtd","","PLAYERSRANKING",AJ$13,$S25,"SALDO","VOLF")</f>
        <v>#N/A</v>
      </c>
      <c r="AK25" s="27" t="e">
        <f>RTD("srv.rtd","","PLAYERSRANKING",AK$13,$S25,"SALDO","VOLF")</f>
        <v>#N/A</v>
      </c>
      <c r="AL25" s="27" t="e">
        <f>RTD("srv.rtd","","PLAYERSRANKING",AL$13,$S25,"SALDO","VOLF")</f>
        <v>#N/A</v>
      </c>
      <c r="AM25" s="27" t="e">
        <f>RTD("srv.rtd","","PLAYERSRANKING",AM$13,$S25,"SALDO","VOLF")</f>
        <v>#N/A</v>
      </c>
      <c r="AN25" s="27" t="e">
        <f>RTD("srv.rtd","","PLAYERSRANKING",AN$13,$S25,"SALDO","VOLF")</f>
        <v>#N/A</v>
      </c>
      <c r="AO25" s="27" t="e">
        <f>RTD("srv.rtd","","PLAYERSRANKING",AO$13,$S25,"SALDO","VOLF")</f>
        <v>#N/A</v>
      </c>
      <c r="AP25" s="27" t="e">
        <f>RTD("srv.rtd","","PLAYERSRANKING",AP$13,$S25,"SALDO","VOLF")</f>
        <v>#N/A</v>
      </c>
      <c r="AQ25" s="27" t="e">
        <f>RTD("srv.rtd","","PLAYERSRANKING",AQ$13,$S25,"SALDO","VOLF")</f>
        <v>#N/A</v>
      </c>
      <c r="AR25" s="27" t="e">
        <f>RTD("srv.rtd","","PLAYERSRANKING",AR$13,$S25,"SALDO","VOLF")</f>
        <v>#N/A</v>
      </c>
      <c r="AS25" s="27" t="e">
        <f>RTD("srv.rtd","","PLAYERSRANKING",AS$13,$S25,"SALDO","VOLF")</f>
        <v>#N/A</v>
      </c>
      <c r="AT25" s="27" t="e">
        <f>RTD("srv.rtd","","PLAYERSRANKING",AT$13,$S25,"SALDO","VOLF")</f>
        <v>#N/A</v>
      </c>
      <c r="AU25" s="27" t="e">
        <f>RTD("srv.rtd","","PLAYERSRANKING",AU$13,$S25,"SALDO","VOLF")</f>
        <v>#N/A</v>
      </c>
      <c r="AV25" s="27" t="e">
        <f>RTD("srv.rtd","","PLAYERSRANKING",AV$13,$S25,"SALDO","VOLF")</f>
        <v>#N/A</v>
      </c>
      <c r="AW25" s="27" t="e">
        <f>RTD("srv.rtd","","PLAYERSRANKING",AW$13,$S25,"SALDO","VOLF")</f>
        <v>#N/A</v>
      </c>
      <c r="AX25" s="27" t="e">
        <f>RTD("srv.rtd","","PLAYERSRANKING",AX$13,$S25,"SALDO","VOLF")</f>
        <v>#N/A</v>
      </c>
      <c r="AY25" s="27" t="e">
        <f>RTD("srv.rtd","","PLAYERSRANKING",AY$13,$S25,"SALDO","VOLF")</f>
        <v>#N/A</v>
      </c>
      <c r="AZ25" s="27" t="e">
        <f>RTD("srv.rtd","","PLAYERSRANKING",AZ$13,$S25,"SALDO","VOLF")</f>
        <v>#N/A</v>
      </c>
      <c r="BA25" s="27" t="e">
        <f>RTD("srv.rtd","","PLAYERSRANKING",BA$13,$S25,"SALDO","VOLF")</f>
        <v>#N/A</v>
      </c>
      <c r="BB25" s="27" t="e">
        <f>RTD("srv.rtd","","PLAYERSRANKING",BB$13,$S25,"SALDO","VOLF")</f>
        <v>#N/A</v>
      </c>
      <c r="BC25" s="27" t="e">
        <f>RTD("srv.rtd","","PLAYERSRANKING",BC$13,$S25,"SALDO","VOLF")</f>
        <v>#N/A</v>
      </c>
      <c r="BD25" s="27" t="e">
        <f>RTD("srv.rtd","","PLAYERSRANKING",BD$13,$S25,"SALDO","VOLF")</f>
        <v>#N/A</v>
      </c>
      <c r="BE25" s="27" t="e">
        <f>RTD("srv.rtd","","PLAYERSRANKING",BE$13,$S25,"SALDO","VOLF")</f>
        <v>#N/A</v>
      </c>
      <c r="BF25" s="27" t="e">
        <f>RTD("srv.rtd","","PLAYERSRANKING",BF$13,$S25,"SALDO","VOLF")</f>
        <v>#N/A</v>
      </c>
      <c r="BG25" s="27" t="e">
        <f>RTD("srv.rtd","","PLAYERSRANKING",BG$13,$S25,"SALDO","VOLF")</f>
        <v>#N/A</v>
      </c>
      <c r="BH25" s="27" t="e">
        <f>RTD("srv.rtd","","PLAYERSRANKING",BH$13,$S25,"SALDO","VOLF")</f>
        <v>#N/A</v>
      </c>
      <c r="BI25" s="27" t="e">
        <f>RTD("srv.rtd","","PLAYERSRANKING",BI$13,$S25,"SALDO","VOLF")</f>
        <v>#N/A</v>
      </c>
      <c r="BJ25" s="27" t="e">
        <f>RTD("srv.rtd","","PLAYERSRANKING",BJ$13,$S25,"SALDO","VOLF")</f>
        <v>#N/A</v>
      </c>
      <c r="BK25" s="27" t="e">
        <f>RTD("srv.rtd","","PLAYERSRANKING",BK$13,$S25,"SALDO","VOLF")</f>
        <v>#N/A</v>
      </c>
      <c r="BL25" s="27" t="e">
        <f>RTD("srv.rtd","","PLAYERSRANKING",BL$13,$S25,"SALDO","VOLF")</f>
        <v>#N/A</v>
      </c>
      <c r="BM25" s="27" t="e">
        <f>RTD("srv.rtd","","PLAYERSRANKING",BM$13,$S25,"SALDO","VOLF")</f>
        <v>#N/A</v>
      </c>
      <c r="BN25" s="27" t="e">
        <f>RTD("srv.rtd","","PLAYERSRANKING",BN$13,$S25,"SALDO","VOLF")</f>
        <v>#N/A</v>
      </c>
      <c r="BO25" s="27" t="e">
        <f>RTD("srv.rtd","","PLAYERSRANKING",BO$13,$S25,"SALDO","VOLF")</f>
        <v>#N/A</v>
      </c>
      <c r="BP25" s="27" t="e">
        <f>RTD("srv.rtd","","PLAYERSRANKING",BP$13,$S25,"SALDO","VOLF")</f>
        <v>#N/A</v>
      </c>
      <c r="BQ25" s="27" t="e">
        <f>RTD("srv.rtd","","PLAYERSRANKING",BQ$13,$S25,"SALDO","VOLF")</f>
        <v>#N/A</v>
      </c>
      <c r="BR25" s="27" t="e">
        <f>RTD("srv.rtd","","PLAYERSRANKING",BR$13,$S25,"SALDO","VOLF")</f>
        <v>#N/A</v>
      </c>
      <c r="BS25" s="27" t="e">
        <f>RTD("srv.rtd","","PLAYERSRANKING",BS$13,$S25,"SALDO","VOLF")</f>
        <v>#N/A</v>
      </c>
      <c r="BT25" s="27" t="e">
        <f>RTD("srv.rtd","","PLAYERSRANKING",BT$13,$S25,"SALDO","VOLF")</f>
        <v>#N/A</v>
      </c>
      <c r="BU25" s="27" t="e">
        <f>RTD("srv.rtd","","PLAYERSRANKING",BU$13,$S25,"SALDO","VOLF")</f>
        <v>#N/A</v>
      </c>
      <c r="BV25" s="27" t="e">
        <f>RTD("srv.rtd","","PLAYERSRANKING",BV$13,$S25,"SALDO","VOLF")</f>
        <v>#N/A</v>
      </c>
      <c r="BW25" s="27" t="e">
        <f>RTD("srv.rtd","","PLAYERSRANKING",BW$13,$S25,"SALDO","VOLF")</f>
        <v>#N/A</v>
      </c>
      <c r="BX25" s="27" t="e">
        <f>RTD("srv.rtd","","PLAYERSRANKING",BX$13,$S25,"SALDO","VOLF")</f>
        <v>#N/A</v>
      </c>
      <c r="BY25" s="27" t="e">
        <f>RTD("srv.rtd","","PLAYERSRANKING",BY$13,$S25,"SALDO","VOLF")</f>
        <v>#N/A</v>
      </c>
      <c r="BZ25" s="27" t="e">
        <f>RTD("srv.rtd","","PLAYERSRANKING",BZ$13,$S25,"SALDO","VOLF")</f>
        <v>#N/A</v>
      </c>
      <c r="CA25" s="27" t="e">
        <f>RTD("srv.rtd","","PLAYERSRANKING",CA$13,$S25,"SALDO","VOLF")</f>
        <v>#N/A</v>
      </c>
      <c r="CB25" s="27" t="e">
        <f>RTD("srv.rtd","","PLAYERSRANKING",CB$13,$S25,"SALDO","VOLF")</f>
        <v>#N/A</v>
      </c>
      <c r="CC25" s="27" t="e">
        <f>RTD("srv.rtd","","PLAYERSRANKING",CC$13,$S25,"SALDO","VOLF")</f>
        <v>#N/A</v>
      </c>
      <c r="CD25" s="27" t="e">
        <f>RTD("srv.rtd","","PLAYERSRANKING",CD$13,$S25,"SALDO","VOLF")</f>
        <v>#N/A</v>
      </c>
      <c r="CE25" s="27" t="e">
        <f>RTD("srv.rtd","","PLAYERSRANKING",CE$13,$S25,"SALDO","VOLF")</f>
        <v>#N/A</v>
      </c>
      <c r="CF25" s="27" t="e">
        <f>RTD("srv.rtd","","PLAYERSRANKING",CF$13,$S25,"SALDO","VOLF")</f>
        <v>#N/A</v>
      </c>
      <c r="CG25" s="27" t="e">
        <f>RTD("srv.rtd","","PLAYERSRANKING",CG$13,$S25,"SALDO","VOLF")</f>
        <v>#N/A</v>
      </c>
      <c r="CH25" s="27" t="e">
        <f>RTD("srv.rtd","","PLAYERSRANKING",CH$13,$S25,"SALDO","VOLF")</f>
        <v>#N/A</v>
      </c>
      <c r="CI25" s="27" t="e">
        <f>RTD("srv.rtd","","PLAYERSRANKING",CI$13,$S25,"SALDO","VOLF")</f>
        <v>#N/A</v>
      </c>
      <c r="CJ25" s="27" t="e">
        <f>RTD("srv.rtd","","PLAYERSRANKING",CJ$13,$S25,"SALDO","VOLF")</f>
        <v>#N/A</v>
      </c>
      <c r="CK25" s="27" t="e">
        <f>RTD("srv.rtd","","PLAYERSRANKING",CK$13,$S25,"SALDO","VOLF")</f>
        <v>#N/A</v>
      </c>
      <c r="CL25" s="27" t="e">
        <f>RTD("srv.rtd","","PLAYERSRANKING",CL$13,$S25,"SALDO","VOLF")</f>
        <v>#N/A</v>
      </c>
      <c r="CM25" s="27" t="e">
        <f>RTD("srv.rtd","","PLAYERSRANKING",CM$13,$S25,"SALDO","VOLF")</f>
        <v>#N/A</v>
      </c>
      <c r="CN25" s="27" t="e">
        <f>RTD("srv.rtd","","PLAYERSRANKING",CN$13,$S25,"SALDO","VOLF")</f>
        <v>#N/A</v>
      </c>
      <c r="CO25" s="27" t="e">
        <f>RTD("srv.rtd","","PLAYERSRANKING",CO$13,$S25,"SALDO","VOLF")</f>
        <v>#N/A</v>
      </c>
      <c r="CP25" s="27" t="e">
        <f>RTD("srv.rtd","","PLAYERSRANKING",CP$13,$S25,"SALDO","VOLF")</f>
        <v>#N/A</v>
      </c>
      <c r="CQ25" s="27" t="e">
        <f>RTD("srv.rtd","","PLAYERSRANKING",CQ$13,$S25,"SALDO","VOLF")</f>
        <v>#N/A</v>
      </c>
      <c r="CR25" s="27" t="e">
        <f>RTD("srv.rtd","","PLAYERSRANKING",CR$13,$S25,"SALDO","VOLF")</f>
        <v>#N/A</v>
      </c>
      <c r="CS25" s="27" t="e">
        <f>RTD("srv.rtd","","PLAYERSRANKING",CS$13,$S25,"SALDO","VOLF")</f>
        <v>#N/A</v>
      </c>
      <c r="CT25" s="27" t="e">
        <f>RTD("srv.rtd","","PLAYERSRANKING",CT$13,$S25,"SALDO","VOLF")</f>
        <v>#N/A</v>
      </c>
      <c r="CU25" s="27" t="e">
        <f>RTD("srv.rtd","","PLAYERSRANKING",CU$13,$S25,"SALDO","VOLF")</f>
        <v>#N/A</v>
      </c>
      <c r="CV25" s="27" t="e">
        <f>RTD("srv.rtd","","PLAYERSRANKING",CV$13,$S25,"SALDO","VOLF")</f>
        <v>#N/A</v>
      </c>
      <c r="CW25" s="27" t="e">
        <f>RTD("srv.rtd","","PLAYERSRANKING",CW$13,$S25,"SALDO","VOLF")</f>
        <v>#N/A</v>
      </c>
      <c r="CX25" s="27" t="e">
        <f>RTD("srv.rtd","","PLAYERSRANKING",CX$13,$S25,"SALDO","VOLF")</f>
        <v>#N/A</v>
      </c>
      <c r="CY25" s="27" t="e">
        <f>RTD("srv.rtd","","PLAYERSRANKING",CY$13,$S25,"SALDO","VOLF")</f>
        <v>#N/A</v>
      </c>
      <c r="CZ25" s="27" t="e">
        <f>RTD("srv.rtd","","PLAYERSRANKING",CZ$13,$S25,"SALDO","VOLF")</f>
        <v>#N/A</v>
      </c>
      <c r="DA25" s="27" t="e">
        <f>RTD("srv.rtd","","PLAYERSRANKING",DA$13,$S25,"SALDO","VOLF")</f>
        <v>#N/A</v>
      </c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</row>
    <row r="26" spans="1:124" x14ac:dyDescent="0.25">
      <c r="A26" s="2"/>
      <c r="B26" s="6" t="s">
        <v>29</v>
      </c>
      <c r="C26" s="19">
        <f>VLOOKUP(B26,RTD!$A$1:$H$196,2,0)</f>
        <v>22.03</v>
      </c>
      <c r="D26" s="19">
        <f>VLOOKUP(B26,RTD!$A$1:$H$196,3,0)</f>
        <v>22.6</v>
      </c>
      <c r="E26" s="19">
        <f>VLOOKUP(B26,RTD!$A$1:$H$196,4,0)</f>
        <v>23.23</v>
      </c>
      <c r="F26" s="19">
        <f>VLOOKUP(B26,RTD!$A$1:$H$196,5,0)</f>
        <v>0</v>
      </c>
      <c r="G26" s="19">
        <f>VLOOKUP(B26,RTD!$A$1:$H$196,6,0)</f>
        <v>0</v>
      </c>
      <c r="H26" s="19">
        <f t="shared" si="6"/>
        <v>0</v>
      </c>
      <c r="I26" s="14">
        <f t="shared" si="7"/>
        <v>-1</v>
      </c>
      <c r="J26" s="98">
        <f>VLOOKUP(B26,'Market Data'!$A$4:$F$100,6,0)*C26</f>
        <v>1394.2026138266679</v>
      </c>
      <c r="K26" s="19">
        <f>VLOOKUP(B26,RTD!$A$2:$H$100,8,0)</f>
        <v>1.05</v>
      </c>
      <c r="L26" s="14">
        <f t="shared" si="8"/>
        <v>-0.99248621990136354</v>
      </c>
      <c r="M26" s="19">
        <f>VLOOKUP(B26,RTD!$A$1:$H$196,7,0)</f>
        <v>0</v>
      </c>
      <c r="N26" s="98">
        <f>IF(M26=0,J26,IF(M26=0,C26,M26)*VLOOKUP(B26,'Market Data'!$A$4:$F$100,6,0))</f>
        <v>1394.2026138266679</v>
      </c>
      <c r="O26" s="7" t="s">
        <v>29</v>
      </c>
      <c r="P26" s="14"/>
      <c r="Q26" s="13"/>
      <c r="S26" s="133">
        <v>1618</v>
      </c>
      <c r="T26" s="135" t="s">
        <v>183</v>
      </c>
      <c r="U26" s="27" t="e">
        <f>RTD("srv.rtd","","PLAYERSRANKING",$U$13,S26,"SALDO","VOLF")</f>
        <v>#N/A</v>
      </c>
      <c r="V26" s="27" t="e">
        <f>RTD("srv.rtd","","PLAYERSRANKING",V$13,S26,"SALDO","VOLF")*0.2</f>
        <v>#N/A</v>
      </c>
      <c r="W26" s="27" t="e">
        <f>RTD("srv.rtd","","PLAYERSRANKING",W$13,S26,"SALDO","VOLF")*50</f>
        <v>#N/A</v>
      </c>
      <c r="X26" s="27" t="e">
        <f>RTD("srv.rtd","","PLAYERSRANKING",X$13,S26,"SALDO","VOLF")*10</f>
        <v>#N/A</v>
      </c>
      <c r="Y26" s="27" t="e">
        <f>RTD("srv.rtd","","PLAYERSRANKING",Y$13,$S26,"SALDO","VOLF")</f>
        <v>#N/A</v>
      </c>
      <c r="Z26" s="27" t="e">
        <f>RTD("srv.rtd","","PLAYERSRANKING",Z$13,$S26,"SALDO","VOLF")</f>
        <v>#N/A</v>
      </c>
      <c r="AA26" s="27" t="e">
        <f>RTD("srv.rtd","","PLAYERSRANKING",AA$13,$S26,"SALDO","VOLF")</f>
        <v>#N/A</v>
      </c>
      <c r="AB26" s="27" t="e">
        <f>RTD("srv.rtd","","PLAYERSRANKING",AB$13,$S26,"SALDO","VOLF")</f>
        <v>#N/A</v>
      </c>
      <c r="AC26" s="27" t="e">
        <f>RTD("srv.rtd","","PLAYERSRANKING",AC$13,$S26,"SALDO","VOLF")</f>
        <v>#N/A</v>
      </c>
      <c r="AD26" s="27" t="e">
        <f>RTD("srv.rtd","","PLAYERSRANKING",AD$13,$S26,"SALDO","VOLF")</f>
        <v>#N/A</v>
      </c>
      <c r="AE26" s="27" t="e">
        <f>RTD("srv.rtd","","PLAYERSRANKING",AE$13,$S26,"SALDO","VOLF")</f>
        <v>#N/A</v>
      </c>
      <c r="AF26" s="27" t="e">
        <f>RTD("srv.rtd","","PLAYERSRANKING",AF$13,$S26,"SALDO","VOLF")</f>
        <v>#N/A</v>
      </c>
      <c r="AG26" s="27" t="e">
        <f>RTD("srv.rtd","","PLAYERSRANKING",AG$13,$S26,"SALDO","VOLF")</f>
        <v>#N/A</v>
      </c>
      <c r="AH26" s="27" t="e">
        <f>RTD("srv.rtd","","PLAYERSRANKING",AH$13,$S26,"SALDO","VOLF")</f>
        <v>#N/A</v>
      </c>
      <c r="AI26" s="27" t="e">
        <f>RTD("srv.rtd","","PLAYERSRANKING",AI$13,$S26,"SALDO","VOLF")</f>
        <v>#N/A</v>
      </c>
      <c r="AJ26" s="27" t="e">
        <f>RTD("srv.rtd","","PLAYERSRANKING",AJ$13,$S26,"SALDO","VOLF")</f>
        <v>#N/A</v>
      </c>
      <c r="AK26" s="27" t="e">
        <f>RTD("srv.rtd","","PLAYERSRANKING",AK$13,$S26,"SALDO","VOLF")</f>
        <v>#N/A</v>
      </c>
      <c r="AL26" s="27" t="e">
        <f>RTD("srv.rtd","","PLAYERSRANKING",AL$13,$S26,"SALDO","VOLF")</f>
        <v>#N/A</v>
      </c>
      <c r="AM26" s="27" t="e">
        <f>RTD("srv.rtd","","PLAYERSRANKING",AM$13,$S26,"SALDO","VOLF")</f>
        <v>#N/A</v>
      </c>
      <c r="AN26" s="27" t="e">
        <f>RTD("srv.rtd","","PLAYERSRANKING",AN$13,$S26,"SALDO","VOLF")</f>
        <v>#N/A</v>
      </c>
      <c r="AO26" s="27" t="e">
        <f>RTD("srv.rtd","","PLAYERSRANKING",AO$13,$S26,"SALDO","VOLF")</f>
        <v>#N/A</v>
      </c>
      <c r="AP26" s="27" t="e">
        <f>RTD("srv.rtd","","PLAYERSRANKING",AP$13,$S26,"SALDO","VOLF")</f>
        <v>#N/A</v>
      </c>
      <c r="AQ26" s="27" t="e">
        <f>RTD("srv.rtd","","PLAYERSRANKING",AQ$13,$S26,"SALDO","VOLF")</f>
        <v>#N/A</v>
      </c>
      <c r="AR26" s="27" t="e">
        <f>RTD("srv.rtd","","PLAYERSRANKING",AR$13,$S26,"SALDO","VOLF")</f>
        <v>#N/A</v>
      </c>
      <c r="AS26" s="27" t="e">
        <f>RTD("srv.rtd","","PLAYERSRANKING",AS$13,$S26,"SALDO","VOLF")</f>
        <v>#N/A</v>
      </c>
      <c r="AT26" s="27" t="e">
        <f>RTD("srv.rtd","","PLAYERSRANKING",AT$13,$S26,"SALDO","VOLF")</f>
        <v>#N/A</v>
      </c>
      <c r="AU26" s="27" t="e">
        <f>RTD("srv.rtd","","PLAYERSRANKING",AU$13,$S26,"SALDO","VOLF")</f>
        <v>#N/A</v>
      </c>
      <c r="AV26" s="27" t="e">
        <f>RTD("srv.rtd","","PLAYERSRANKING",AV$13,$S26,"SALDO","VOLF")</f>
        <v>#N/A</v>
      </c>
      <c r="AW26" s="27" t="e">
        <f>RTD("srv.rtd","","PLAYERSRANKING",AW$13,$S26,"SALDO","VOLF")</f>
        <v>#N/A</v>
      </c>
      <c r="AX26" s="27" t="e">
        <f>RTD("srv.rtd","","PLAYERSRANKING",AX$13,$S26,"SALDO","VOLF")</f>
        <v>#N/A</v>
      </c>
      <c r="AY26" s="27" t="e">
        <f>RTD("srv.rtd","","PLAYERSRANKING",AY$13,$S26,"SALDO","VOLF")</f>
        <v>#N/A</v>
      </c>
      <c r="AZ26" s="27" t="e">
        <f>RTD("srv.rtd","","PLAYERSRANKING",AZ$13,$S26,"SALDO","VOLF")</f>
        <v>#N/A</v>
      </c>
      <c r="BA26" s="27" t="e">
        <f>RTD("srv.rtd","","PLAYERSRANKING",BA$13,$S26,"SALDO","VOLF")</f>
        <v>#N/A</v>
      </c>
      <c r="BB26" s="27" t="e">
        <f>RTD("srv.rtd","","PLAYERSRANKING",BB$13,$S26,"SALDO","VOLF")</f>
        <v>#N/A</v>
      </c>
      <c r="BC26" s="27" t="e">
        <f>RTD("srv.rtd","","PLAYERSRANKING",BC$13,$S26,"SALDO","VOLF")</f>
        <v>#N/A</v>
      </c>
      <c r="BD26" s="27" t="e">
        <f>RTD("srv.rtd","","PLAYERSRANKING",BD$13,$S26,"SALDO","VOLF")</f>
        <v>#N/A</v>
      </c>
      <c r="BE26" s="27" t="e">
        <f>RTD("srv.rtd","","PLAYERSRANKING",BE$13,$S26,"SALDO","VOLF")</f>
        <v>#N/A</v>
      </c>
      <c r="BF26" s="27" t="e">
        <f>RTD("srv.rtd","","PLAYERSRANKING",BF$13,$S26,"SALDO","VOLF")</f>
        <v>#N/A</v>
      </c>
      <c r="BG26" s="27" t="e">
        <f>RTD("srv.rtd","","PLAYERSRANKING",BG$13,$S26,"SALDO","VOLF")</f>
        <v>#N/A</v>
      </c>
      <c r="BH26" s="27" t="e">
        <f>RTD("srv.rtd","","PLAYERSRANKING",BH$13,$S26,"SALDO","VOLF")</f>
        <v>#N/A</v>
      </c>
      <c r="BI26" s="27" t="e">
        <f>RTD("srv.rtd","","PLAYERSRANKING",BI$13,$S26,"SALDO","VOLF")</f>
        <v>#N/A</v>
      </c>
      <c r="BJ26" s="27" t="e">
        <f>RTD("srv.rtd","","PLAYERSRANKING",BJ$13,$S26,"SALDO","VOLF")</f>
        <v>#N/A</v>
      </c>
      <c r="BK26" s="27" t="e">
        <f>RTD("srv.rtd","","PLAYERSRANKING",BK$13,$S26,"SALDO","VOLF")</f>
        <v>#N/A</v>
      </c>
      <c r="BL26" s="27" t="e">
        <f>RTD("srv.rtd","","PLAYERSRANKING",BL$13,$S26,"SALDO","VOLF")</f>
        <v>#N/A</v>
      </c>
      <c r="BM26" s="27" t="e">
        <f>RTD("srv.rtd","","PLAYERSRANKING",BM$13,$S26,"SALDO","VOLF")</f>
        <v>#N/A</v>
      </c>
      <c r="BN26" s="27" t="e">
        <f>RTD("srv.rtd","","PLAYERSRANKING",BN$13,$S26,"SALDO","VOLF")</f>
        <v>#N/A</v>
      </c>
      <c r="BO26" s="27" t="e">
        <f>RTD("srv.rtd","","PLAYERSRANKING",BO$13,$S26,"SALDO","VOLF")</f>
        <v>#N/A</v>
      </c>
      <c r="BP26" s="27" t="e">
        <f>RTD("srv.rtd","","PLAYERSRANKING",BP$13,$S26,"SALDO","VOLF")</f>
        <v>#N/A</v>
      </c>
      <c r="BQ26" s="27" t="e">
        <f>RTD("srv.rtd","","PLAYERSRANKING",BQ$13,$S26,"SALDO","VOLF")</f>
        <v>#N/A</v>
      </c>
      <c r="BR26" s="27" t="e">
        <f>RTD("srv.rtd","","PLAYERSRANKING",BR$13,$S26,"SALDO","VOLF")</f>
        <v>#N/A</v>
      </c>
      <c r="BS26" s="27" t="e">
        <f>RTD("srv.rtd","","PLAYERSRANKING",BS$13,$S26,"SALDO","VOLF")</f>
        <v>#N/A</v>
      </c>
      <c r="BT26" s="27" t="e">
        <f>RTD("srv.rtd","","PLAYERSRANKING",BT$13,$S26,"SALDO","VOLF")</f>
        <v>#N/A</v>
      </c>
      <c r="BU26" s="27" t="e">
        <f>RTD("srv.rtd","","PLAYERSRANKING",BU$13,$S26,"SALDO","VOLF")</f>
        <v>#N/A</v>
      </c>
      <c r="BV26" s="27" t="e">
        <f>RTD("srv.rtd","","PLAYERSRANKING",BV$13,$S26,"SALDO","VOLF")</f>
        <v>#N/A</v>
      </c>
      <c r="BW26" s="27" t="e">
        <f>RTD("srv.rtd","","PLAYERSRANKING",BW$13,$S26,"SALDO","VOLF")</f>
        <v>#N/A</v>
      </c>
      <c r="BX26" s="27" t="e">
        <f>RTD("srv.rtd","","PLAYERSRANKING",BX$13,$S26,"SALDO","VOLF")</f>
        <v>#N/A</v>
      </c>
      <c r="BY26" s="27" t="e">
        <f>RTD("srv.rtd","","PLAYERSRANKING",BY$13,$S26,"SALDO","VOLF")</f>
        <v>#N/A</v>
      </c>
      <c r="BZ26" s="27" t="e">
        <f>RTD("srv.rtd","","PLAYERSRANKING",BZ$13,$S26,"SALDO","VOLF")</f>
        <v>#N/A</v>
      </c>
      <c r="CA26" s="27" t="e">
        <f>RTD("srv.rtd","","PLAYERSRANKING",CA$13,$S26,"SALDO","VOLF")</f>
        <v>#N/A</v>
      </c>
      <c r="CB26" s="27" t="e">
        <f>RTD("srv.rtd","","PLAYERSRANKING",CB$13,$S26,"SALDO","VOLF")</f>
        <v>#N/A</v>
      </c>
      <c r="CC26" s="27" t="e">
        <f>RTD("srv.rtd","","PLAYERSRANKING",CC$13,$S26,"SALDO","VOLF")</f>
        <v>#N/A</v>
      </c>
      <c r="CD26" s="27" t="e">
        <f>RTD("srv.rtd","","PLAYERSRANKING",CD$13,$S26,"SALDO","VOLF")</f>
        <v>#N/A</v>
      </c>
      <c r="CE26" s="27" t="e">
        <f>RTD("srv.rtd","","PLAYERSRANKING",CE$13,$S26,"SALDO","VOLF")</f>
        <v>#N/A</v>
      </c>
      <c r="CF26" s="27" t="e">
        <f>RTD("srv.rtd","","PLAYERSRANKING",CF$13,$S26,"SALDO","VOLF")</f>
        <v>#N/A</v>
      </c>
      <c r="CG26" s="27" t="e">
        <f>RTD("srv.rtd","","PLAYERSRANKING",CG$13,$S26,"SALDO","VOLF")</f>
        <v>#N/A</v>
      </c>
      <c r="CH26" s="27" t="e">
        <f>RTD("srv.rtd","","PLAYERSRANKING",CH$13,$S26,"SALDO","VOLF")</f>
        <v>#N/A</v>
      </c>
      <c r="CI26" s="27" t="e">
        <f>RTD("srv.rtd","","PLAYERSRANKING",CI$13,$S26,"SALDO","VOLF")</f>
        <v>#N/A</v>
      </c>
      <c r="CJ26" s="27" t="e">
        <f>RTD("srv.rtd","","PLAYERSRANKING",CJ$13,$S26,"SALDO","VOLF")</f>
        <v>#N/A</v>
      </c>
      <c r="CK26" s="27" t="e">
        <f>RTD("srv.rtd","","PLAYERSRANKING",CK$13,$S26,"SALDO","VOLF")</f>
        <v>#N/A</v>
      </c>
      <c r="CL26" s="27" t="e">
        <f>RTD("srv.rtd","","PLAYERSRANKING",CL$13,$S26,"SALDO","VOLF")</f>
        <v>#N/A</v>
      </c>
      <c r="CM26" s="27" t="e">
        <f>RTD("srv.rtd","","PLAYERSRANKING",CM$13,$S26,"SALDO","VOLF")</f>
        <v>#N/A</v>
      </c>
      <c r="CN26" s="27" t="e">
        <f>RTD("srv.rtd","","PLAYERSRANKING",CN$13,$S26,"SALDO","VOLF")</f>
        <v>#N/A</v>
      </c>
      <c r="CO26" s="27" t="e">
        <f>RTD("srv.rtd","","PLAYERSRANKING",CO$13,$S26,"SALDO","VOLF")</f>
        <v>#N/A</v>
      </c>
      <c r="CP26" s="27" t="e">
        <f>RTD("srv.rtd","","PLAYERSRANKING",CP$13,$S26,"SALDO","VOLF")</f>
        <v>#N/A</v>
      </c>
      <c r="CQ26" s="27" t="e">
        <f>RTD("srv.rtd","","PLAYERSRANKING",CQ$13,$S26,"SALDO","VOLF")</f>
        <v>#N/A</v>
      </c>
      <c r="CR26" s="27" t="e">
        <f>RTD("srv.rtd","","PLAYERSRANKING",CR$13,$S26,"SALDO","VOLF")</f>
        <v>#N/A</v>
      </c>
      <c r="CS26" s="27" t="e">
        <f>RTD("srv.rtd","","PLAYERSRANKING",CS$13,$S26,"SALDO","VOLF")</f>
        <v>#N/A</v>
      </c>
      <c r="CT26" s="27" t="e">
        <f>RTD("srv.rtd","","PLAYERSRANKING",CT$13,$S26,"SALDO","VOLF")</f>
        <v>#N/A</v>
      </c>
      <c r="CU26" s="27" t="e">
        <f>RTD("srv.rtd","","PLAYERSRANKING",CU$13,$S26,"SALDO","VOLF")</f>
        <v>#N/A</v>
      </c>
      <c r="CV26" s="27" t="e">
        <f>RTD("srv.rtd","","PLAYERSRANKING",CV$13,$S26,"SALDO","VOLF")</f>
        <v>#N/A</v>
      </c>
      <c r="CW26" s="27" t="e">
        <f>RTD("srv.rtd","","PLAYERSRANKING",CW$13,$S26,"SALDO","VOLF")</f>
        <v>#N/A</v>
      </c>
      <c r="CX26" s="27" t="e">
        <f>RTD("srv.rtd","","PLAYERSRANKING",CX$13,$S26,"SALDO","VOLF")</f>
        <v>#N/A</v>
      </c>
      <c r="CY26" s="27" t="e">
        <f>RTD("srv.rtd","","PLAYERSRANKING",CY$13,$S26,"SALDO","VOLF")</f>
        <v>#N/A</v>
      </c>
      <c r="CZ26" s="27" t="e">
        <f>RTD("srv.rtd","","PLAYERSRANKING",CZ$13,$S26,"SALDO","VOLF")</f>
        <v>#N/A</v>
      </c>
      <c r="DA26" s="27" t="e">
        <f>RTD("srv.rtd","","PLAYERSRANKING",DA$13,$S26,"SALDO","VOLF")</f>
        <v>#N/A</v>
      </c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</row>
    <row r="27" spans="1:124" x14ac:dyDescent="0.25">
      <c r="A27" s="2"/>
      <c r="B27" s="6" t="s">
        <v>31</v>
      </c>
      <c r="C27" s="19">
        <f>VLOOKUP(B27,RTD!$A$1:$H$196,2,0)</f>
        <v>24.590000000000003</v>
      </c>
      <c r="D27" s="19">
        <f>VLOOKUP(B27,RTD!$A$1:$H$196,3,0)</f>
        <v>24.37</v>
      </c>
      <c r="E27" s="19">
        <f>VLOOKUP(B27,RTD!$A$1:$H$196,4,0)</f>
        <v>24.6</v>
      </c>
      <c r="F27" s="19">
        <f>VLOOKUP(B27,RTD!$A$1:$H$196,5,0)</f>
        <v>24.57</v>
      </c>
      <c r="G27" s="19">
        <f>VLOOKUP(B27,RTD!$A$1:$H$196,6,0)</f>
        <v>24.59</v>
      </c>
      <c r="H27" s="19">
        <f t="shared" si="6"/>
        <v>24.58</v>
      </c>
      <c r="I27" s="14">
        <f t="shared" si="7"/>
        <v>-8.1300813008144956E-4</v>
      </c>
      <c r="J27" s="98">
        <f>VLOOKUP(B27,'Market Data'!$A$4:$F$100,6,0)*C27</f>
        <v>1084.3941087009912</v>
      </c>
      <c r="K27" s="19">
        <f>VLOOKUP(B27,RTD!$A$2:$H$100,8,0)</f>
        <v>0.7</v>
      </c>
      <c r="L27" s="14">
        <f t="shared" si="8"/>
        <v>4.1961786023428475E-3</v>
      </c>
      <c r="M27" s="19">
        <f>VLOOKUP(B27,RTD!$A$1:$H$196,7,0)</f>
        <v>0</v>
      </c>
      <c r="N27" s="98">
        <f>IF(M27=0,J27,IF(M27=0,C27,M27)*VLOOKUP(B27,'Market Data'!$A$4:$F$100,6,0))</f>
        <v>1084.3941087009912</v>
      </c>
      <c r="O27" s="7" t="s">
        <v>31</v>
      </c>
      <c r="P27" s="14"/>
      <c r="Q27" s="13"/>
      <c r="S27" s="133">
        <v>1130</v>
      </c>
      <c r="T27" s="135" t="s">
        <v>194</v>
      </c>
      <c r="U27" s="27" t="e">
        <f>RTD("srv.rtd","","PLAYERSRANKING",$U$13,S27,"SALDO","VOLF")</f>
        <v>#N/A</v>
      </c>
      <c r="V27" s="27" t="e">
        <f>RTD("srv.rtd","","PLAYERSRANKING",V$13,S27,"SALDO","VOLF")*0.2</f>
        <v>#N/A</v>
      </c>
      <c r="W27" s="27" t="e">
        <f>RTD("srv.rtd","","PLAYERSRANKING",W$13,S27,"SALDO","VOLF")*50</f>
        <v>#N/A</v>
      </c>
      <c r="X27" s="27" t="e">
        <f>RTD("srv.rtd","","PLAYERSRANKING",X$13,S27,"SALDO","VOLF")*10</f>
        <v>#N/A</v>
      </c>
      <c r="Y27" s="27" t="e">
        <f>RTD("srv.rtd","","PLAYERSRANKING",Y$13,$S27,"SALDO","VOLF")</f>
        <v>#N/A</v>
      </c>
      <c r="Z27" s="27" t="e">
        <f>RTD("srv.rtd","","PLAYERSRANKING",Z$13,$S27,"SALDO","VOLF")</f>
        <v>#N/A</v>
      </c>
      <c r="AA27" s="27" t="e">
        <f>RTD("srv.rtd","","PLAYERSRANKING",AA$13,$S27,"SALDO","VOLF")</f>
        <v>#N/A</v>
      </c>
      <c r="AB27" s="27" t="e">
        <f>RTD("srv.rtd","","PLAYERSRANKING",AB$13,$S27,"SALDO","VOLF")</f>
        <v>#N/A</v>
      </c>
      <c r="AC27" s="27" t="e">
        <f>RTD("srv.rtd","","PLAYERSRANKING",AC$13,$S27,"SALDO","VOLF")</f>
        <v>#N/A</v>
      </c>
      <c r="AD27" s="27" t="e">
        <f>RTD("srv.rtd","","PLAYERSRANKING",AD$13,$S27,"SALDO","VOLF")</f>
        <v>#N/A</v>
      </c>
      <c r="AE27" s="27" t="e">
        <f>RTD("srv.rtd","","PLAYERSRANKING",AE$13,$S27,"SALDO","VOLF")</f>
        <v>#N/A</v>
      </c>
      <c r="AF27" s="27" t="e">
        <f>RTD("srv.rtd","","PLAYERSRANKING",AF$13,$S27,"SALDO","VOLF")</f>
        <v>#N/A</v>
      </c>
      <c r="AG27" s="27" t="e">
        <f>RTD("srv.rtd","","PLAYERSRANKING",AG$13,$S27,"SALDO","VOLF")</f>
        <v>#N/A</v>
      </c>
      <c r="AH27" s="27" t="e">
        <f>RTD("srv.rtd","","PLAYERSRANKING",AH$13,$S27,"SALDO","VOLF")</f>
        <v>#N/A</v>
      </c>
      <c r="AI27" s="27" t="e">
        <f>RTD("srv.rtd","","PLAYERSRANKING",AI$13,$S27,"SALDO","VOLF")</f>
        <v>#N/A</v>
      </c>
      <c r="AJ27" s="27" t="e">
        <f>RTD("srv.rtd","","PLAYERSRANKING",AJ$13,$S27,"SALDO","VOLF")</f>
        <v>#N/A</v>
      </c>
      <c r="AK27" s="27" t="e">
        <f>RTD("srv.rtd","","PLAYERSRANKING",AK$13,$S27,"SALDO","VOLF")</f>
        <v>#N/A</v>
      </c>
      <c r="AL27" s="27" t="e">
        <f>RTD("srv.rtd","","PLAYERSRANKING",AL$13,$S27,"SALDO","VOLF")</f>
        <v>#N/A</v>
      </c>
      <c r="AM27" s="27" t="e">
        <f>RTD("srv.rtd","","PLAYERSRANKING",AM$13,$S27,"SALDO","VOLF")</f>
        <v>#N/A</v>
      </c>
      <c r="AN27" s="27" t="e">
        <f>RTD("srv.rtd","","PLAYERSRANKING",AN$13,$S27,"SALDO","VOLF")</f>
        <v>#N/A</v>
      </c>
      <c r="AO27" s="27" t="e">
        <f>RTD("srv.rtd","","PLAYERSRANKING",AO$13,$S27,"SALDO","VOLF")</f>
        <v>#N/A</v>
      </c>
      <c r="AP27" s="27" t="e">
        <f>RTD("srv.rtd","","PLAYERSRANKING",AP$13,$S27,"SALDO","VOLF")</f>
        <v>#N/A</v>
      </c>
      <c r="AQ27" s="27" t="e">
        <f>RTD("srv.rtd","","PLAYERSRANKING",AQ$13,$S27,"SALDO","VOLF")</f>
        <v>#N/A</v>
      </c>
      <c r="AR27" s="27" t="e">
        <f>RTD("srv.rtd","","PLAYERSRANKING",AR$13,$S27,"SALDO","VOLF")</f>
        <v>#N/A</v>
      </c>
      <c r="AS27" s="27" t="e">
        <f>RTD("srv.rtd","","PLAYERSRANKING",AS$13,$S27,"SALDO","VOLF")</f>
        <v>#N/A</v>
      </c>
      <c r="AT27" s="27" t="e">
        <f>RTD("srv.rtd","","PLAYERSRANKING",AT$13,$S27,"SALDO","VOLF")</f>
        <v>#N/A</v>
      </c>
      <c r="AU27" s="27" t="e">
        <f>RTD("srv.rtd","","PLAYERSRANKING",AU$13,$S27,"SALDO","VOLF")</f>
        <v>#N/A</v>
      </c>
      <c r="AV27" s="27" t="e">
        <f>RTD("srv.rtd","","PLAYERSRANKING",AV$13,$S27,"SALDO","VOLF")</f>
        <v>#N/A</v>
      </c>
      <c r="AW27" s="27" t="e">
        <f>RTD("srv.rtd","","PLAYERSRANKING",AW$13,$S27,"SALDO","VOLF")</f>
        <v>#N/A</v>
      </c>
      <c r="AX27" s="27" t="e">
        <f>RTD("srv.rtd","","PLAYERSRANKING",AX$13,$S27,"SALDO","VOLF")</f>
        <v>#N/A</v>
      </c>
      <c r="AY27" s="27" t="e">
        <f>RTD("srv.rtd","","PLAYERSRANKING",AY$13,$S27,"SALDO","VOLF")</f>
        <v>#N/A</v>
      </c>
      <c r="AZ27" s="27" t="e">
        <f>RTD("srv.rtd","","PLAYERSRANKING",AZ$13,$S27,"SALDO","VOLF")</f>
        <v>#N/A</v>
      </c>
      <c r="BA27" s="27" t="e">
        <f>RTD("srv.rtd","","PLAYERSRANKING",BA$13,$S27,"SALDO","VOLF")</f>
        <v>#N/A</v>
      </c>
      <c r="BB27" s="27" t="e">
        <f>RTD("srv.rtd","","PLAYERSRANKING",BB$13,$S27,"SALDO","VOLF")</f>
        <v>#N/A</v>
      </c>
      <c r="BC27" s="27" t="e">
        <f>RTD("srv.rtd","","PLAYERSRANKING",BC$13,$S27,"SALDO","VOLF")</f>
        <v>#N/A</v>
      </c>
      <c r="BD27" s="27" t="e">
        <f>RTD("srv.rtd","","PLAYERSRANKING",BD$13,$S27,"SALDO","VOLF")</f>
        <v>#N/A</v>
      </c>
      <c r="BE27" s="27" t="e">
        <f>RTD("srv.rtd","","PLAYERSRANKING",BE$13,$S27,"SALDO","VOLF")</f>
        <v>#N/A</v>
      </c>
      <c r="BF27" s="27" t="e">
        <f>RTD("srv.rtd","","PLAYERSRANKING",BF$13,$S27,"SALDO","VOLF")</f>
        <v>#N/A</v>
      </c>
      <c r="BG27" s="27" t="e">
        <f>RTD("srv.rtd","","PLAYERSRANKING",BG$13,$S27,"SALDO","VOLF")</f>
        <v>#N/A</v>
      </c>
      <c r="BH27" s="27" t="e">
        <f>RTD("srv.rtd","","PLAYERSRANKING",BH$13,$S27,"SALDO","VOLF")</f>
        <v>#N/A</v>
      </c>
      <c r="BI27" s="27" t="e">
        <f>RTD("srv.rtd","","PLAYERSRANKING",BI$13,$S27,"SALDO","VOLF")</f>
        <v>#N/A</v>
      </c>
      <c r="BJ27" s="27" t="e">
        <f>RTD("srv.rtd","","PLAYERSRANKING",BJ$13,$S27,"SALDO","VOLF")</f>
        <v>#N/A</v>
      </c>
      <c r="BK27" s="27" t="e">
        <f>RTD("srv.rtd","","PLAYERSRANKING",BK$13,$S27,"SALDO","VOLF")</f>
        <v>#N/A</v>
      </c>
      <c r="BL27" s="27" t="e">
        <f>RTD("srv.rtd","","PLAYERSRANKING",BL$13,$S27,"SALDO","VOLF")</f>
        <v>#N/A</v>
      </c>
      <c r="BM27" s="27" t="e">
        <f>RTD("srv.rtd","","PLAYERSRANKING",BM$13,$S27,"SALDO","VOLF")</f>
        <v>#N/A</v>
      </c>
      <c r="BN27" s="27" t="e">
        <f>RTD("srv.rtd","","PLAYERSRANKING",BN$13,$S27,"SALDO","VOLF")</f>
        <v>#N/A</v>
      </c>
      <c r="BO27" s="27" t="e">
        <f>RTD("srv.rtd","","PLAYERSRANKING",BO$13,$S27,"SALDO","VOLF")</f>
        <v>#N/A</v>
      </c>
      <c r="BP27" s="27" t="e">
        <f>RTD("srv.rtd","","PLAYERSRANKING",BP$13,$S27,"SALDO","VOLF")</f>
        <v>#N/A</v>
      </c>
      <c r="BQ27" s="27" t="e">
        <f>RTD("srv.rtd","","PLAYERSRANKING",BQ$13,$S27,"SALDO","VOLF")</f>
        <v>#N/A</v>
      </c>
      <c r="BR27" s="27" t="e">
        <f>RTD("srv.rtd","","PLAYERSRANKING",BR$13,$S27,"SALDO","VOLF")</f>
        <v>#N/A</v>
      </c>
      <c r="BS27" s="27" t="e">
        <f>RTD("srv.rtd","","PLAYERSRANKING",BS$13,$S27,"SALDO","VOLF")</f>
        <v>#N/A</v>
      </c>
      <c r="BT27" s="27" t="e">
        <f>RTD("srv.rtd","","PLAYERSRANKING",BT$13,$S27,"SALDO","VOLF")</f>
        <v>#N/A</v>
      </c>
      <c r="BU27" s="27" t="e">
        <f>RTD("srv.rtd","","PLAYERSRANKING",BU$13,$S27,"SALDO","VOLF")</f>
        <v>#N/A</v>
      </c>
      <c r="BV27" s="27" t="e">
        <f>RTD("srv.rtd","","PLAYERSRANKING",BV$13,$S27,"SALDO","VOLF")</f>
        <v>#N/A</v>
      </c>
      <c r="BW27" s="27" t="e">
        <f>RTD("srv.rtd","","PLAYERSRANKING",BW$13,$S27,"SALDO","VOLF")</f>
        <v>#N/A</v>
      </c>
      <c r="BX27" s="27" t="e">
        <f>RTD("srv.rtd","","PLAYERSRANKING",BX$13,$S27,"SALDO","VOLF")</f>
        <v>#N/A</v>
      </c>
      <c r="BY27" s="27" t="e">
        <f>RTD("srv.rtd","","PLAYERSRANKING",BY$13,$S27,"SALDO","VOLF")</f>
        <v>#N/A</v>
      </c>
      <c r="BZ27" s="27" t="e">
        <f>RTD("srv.rtd","","PLAYERSRANKING",BZ$13,$S27,"SALDO","VOLF")</f>
        <v>#N/A</v>
      </c>
      <c r="CA27" s="27" t="e">
        <f>RTD("srv.rtd","","PLAYERSRANKING",CA$13,$S27,"SALDO","VOLF")</f>
        <v>#N/A</v>
      </c>
      <c r="CB27" s="27" t="e">
        <f>RTD("srv.rtd","","PLAYERSRANKING",CB$13,$S27,"SALDO","VOLF")</f>
        <v>#N/A</v>
      </c>
      <c r="CC27" s="27" t="e">
        <f>RTD("srv.rtd","","PLAYERSRANKING",CC$13,$S27,"SALDO","VOLF")</f>
        <v>#N/A</v>
      </c>
      <c r="CD27" s="27" t="e">
        <f>RTD("srv.rtd","","PLAYERSRANKING",CD$13,$S27,"SALDO","VOLF")</f>
        <v>#N/A</v>
      </c>
      <c r="CE27" s="27" t="e">
        <f>RTD("srv.rtd","","PLAYERSRANKING",CE$13,$S27,"SALDO","VOLF")</f>
        <v>#N/A</v>
      </c>
      <c r="CF27" s="27" t="e">
        <f>RTD("srv.rtd","","PLAYERSRANKING",CF$13,$S27,"SALDO","VOLF")</f>
        <v>#N/A</v>
      </c>
      <c r="CG27" s="27" t="e">
        <f>RTD("srv.rtd","","PLAYERSRANKING",CG$13,$S27,"SALDO","VOLF")</f>
        <v>#N/A</v>
      </c>
      <c r="CH27" s="27" t="e">
        <f>RTD("srv.rtd","","PLAYERSRANKING",CH$13,$S27,"SALDO","VOLF")</f>
        <v>#N/A</v>
      </c>
      <c r="CI27" s="27" t="e">
        <f>RTD("srv.rtd","","PLAYERSRANKING",CI$13,$S27,"SALDO","VOLF")</f>
        <v>#N/A</v>
      </c>
      <c r="CJ27" s="27" t="e">
        <f>RTD("srv.rtd","","PLAYERSRANKING",CJ$13,$S27,"SALDO","VOLF")</f>
        <v>#N/A</v>
      </c>
      <c r="CK27" s="27" t="e">
        <f>RTD("srv.rtd","","PLAYERSRANKING",CK$13,$S27,"SALDO","VOLF")</f>
        <v>#N/A</v>
      </c>
      <c r="CL27" s="27" t="e">
        <f>RTD("srv.rtd","","PLAYERSRANKING",CL$13,$S27,"SALDO","VOLF")</f>
        <v>#N/A</v>
      </c>
      <c r="CM27" s="27" t="e">
        <f>RTD("srv.rtd","","PLAYERSRANKING",CM$13,$S27,"SALDO","VOLF")</f>
        <v>#N/A</v>
      </c>
      <c r="CN27" s="27" t="e">
        <f>RTD("srv.rtd","","PLAYERSRANKING",CN$13,$S27,"SALDO","VOLF")</f>
        <v>#N/A</v>
      </c>
      <c r="CO27" s="27" t="e">
        <f>RTD("srv.rtd","","PLAYERSRANKING",CO$13,$S27,"SALDO","VOLF")</f>
        <v>#N/A</v>
      </c>
      <c r="CP27" s="27" t="e">
        <f>RTD("srv.rtd","","PLAYERSRANKING",CP$13,$S27,"SALDO","VOLF")</f>
        <v>#N/A</v>
      </c>
      <c r="CQ27" s="27" t="e">
        <f>RTD("srv.rtd","","PLAYERSRANKING",CQ$13,$S27,"SALDO","VOLF")</f>
        <v>#N/A</v>
      </c>
      <c r="CR27" s="27" t="e">
        <f>RTD("srv.rtd","","PLAYERSRANKING",CR$13,$S27,"SALDO","VOLF")</f>
        <v>#N/A</v>
      </c>
      <c r="CS27" s="27" t="e">
        <f>RTD("srv.rtd","","PLAYERSRANKING",CS$13,$S27,"SALDO","VOLF")</f>
        <v>#N/A</v>
      </c>
      <c r="CT27" s="27" t="e">
        <f>RTD("srv.rtd","","PLAYERSRANKING",CT$13,$S27,"SALDO","VOLF")</f>
        <v>#N/A</v>
      </c>
      <c r="CU27" s="27" t="e">
        <f>RTD("srv.rtd","","PLAYERSRANKING",CU$13,$S27,"SALDO","VOLF")</f>
        <v>#N/A</v>
      </c>
      <c r="CV27" s="27" t="e">
        <f>RTD("srv.rtd","","PLAYERSRANKING",CV$13,$S27,"SALDO","VOLF")</f>
        <v>#N/A</v>
      </c>
      <c r="CW27" s="27" t="e">
        <f>RTD("srv.rtd","","PLAYERSRANKING",CW$13,$S27,"SALDO","VOLF")</f>
        <v>#N/A</v>
      </c>
      <c r="CX27" s="27" t="e">
        <f>RTD("srv.rtd","","PLAYERSRANKING",CX$13,$S27,"SALDO","VOLF")</f>
        <v>#N/A</v>
      </c>
      <c r="CY27" s="27" t="e">
        <f>RTD("srv.rtd","","PLAYERSRANKING",CY$13,$S27,"SALDO","VOLF")</f>
        <v>#N/A</v>
      </c>
      <c r="CZ27" s="27" t="e">
        <f>RTD("srv.rtd","","PLAYERSRANKING",CZ$13,$S27,"SALDO","VOLF")</f>
        <v>#N/A</v>
      </c>
      <c r="DA27" s="27" t="e">
        <f>RTD("srv.rtd","","PLAYERSRANKING",DA$13,$S27,"SALDO","VOLF")</f>
        <v>#N/A</v>
      </c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</row>
    <row r="28" spans="1:124" x14ac:dyDescent="0.25">
      <c r="A28" s="2"/>
      <c r="B28" s="6" t="s">
        <v>33</v>
      </c>
      <c r="C28" s="19">
        <f>VLOOKUP(B28,RTD!$A$1:$H$196,2,0)</f>
        <v>52.9</v>
      </c>
      <c r="D28" s="19">
        <f>VLOOKUP(B28,RTD!$A$1:$H$196,3,0)</f>
        <v>52.47</v>
      </c>
      <c r="E28" s="19">
        <f>VLOOKUP(B28,RTD!$A$1:$H$196,4,0)</f>
        <v>52.74</v>
      </c>
      <c r="F28" s="19">
        <f>VLOOKUP(B28,RTD!$A$1:$H$196,5,0)</f>
        <v>52.96</v>
      </c>
      <c r="G28" s="19">
        <f>VLOOKUP(B28,RTD!$A$1:$H$196,6,0)</f>
        <v>53.050000000000004</v>
      </c>
      <c r="H28" s="19">
        <f t="shared" si="6"/>
        <v>53.005000000000003</v>
      </c>
      <c r="I28" s="14">
        <f t="shared" si="7"/>
        <v>5.0246492226013739E-3</v>
      </c>
      <c r="J28" s="98">
        <f>VLOOKUP(B28,'Market Data'!$A$4:$F$100,6,0)*C28</f>
        <v>760.52445562210983</v>
      </c>
      <c r="K28" s="19">
        <f>VLOOKUP(B28,RTD!$A$2:$H$100,8,0)</f>
        <v>0.63</v>
      </c>
      <c r="L28" s="14">
        <f t="shared" si="8"/>
        <v>9.532917281783241E-3</v>
      </c>
      <c r="M28" s="19">
        <f>VLOOKUP(B28,RTD!$A$1:$H$196,7,0)</f>
        <v>0</v>
      </c>
      <c r="N28" s="98">
        <f>IF(M28=0,J28,IF(M28=0,C28,M28)*VLOOKUP(B28,'Market Data'!$A$4:$F$100,6,0))</f>
        <v>760.52445562210983</v>
      </c>
      <c r="O28" s="7" t="s">
        <v>33</v>
      </c>
      <c r="P28" s="14"/>
      <c r="Q28" s="13"/>
      <c r="S28" s="133">
        <v>114</v>
      </c>
      <c r="T28" s="135" t="s">
        <v>184</v>
      </c>
      <c r="U28" s="27" t="e">
        <f>RTD("srv.rtd","","PLAYERSRANKING",$U$13,S28,"SALDO","VOLF")</f>
        <v>#N/A</v>
      </c>
      <c r="V28" s="27" t="e">
        <f>RTD("srv.rtd","","PLAYERSRANKING",V$13,S28,"SALDO","VOLF")*0.2</f>
        <v>#N/A</v>
      </c>
      <c r="W28" s="27" t="e">
        <f>RTD("srv.rtd","","PLAYERSRANKING",W$13,S28,"SALDO","VOLF")*50</f>
        <v>#N/A</v>
      </c>
      <c r="X28" s="27" t="e">
        <f>RTD("srv.rtd","","PLAYERSRANKING",X$13,S28,"SALDO","VOLF")*10</f>
        <v>#N/A</v>
      </c>
      <c r="Y28" s="27" t="e">
        <f>RTD("srv.rtd","","PLAYERSRANKING",Y$13,$S28,"SALDO","VOLF")</f>
        <v>#N/A</v>
      </c>
      <c r="Z28" s="27" t="e">
        <f>RTD("srv.rtd","","PLAYERSRANKING",Z$13,$S28,"SALDO","VOLF")</f>
        <v>#N/A</v>
      </c>
      <c r="AA28" s="27" t="e">
        <f>RTD("srv.rtd","","PLAYERSRANKING",AA$13,$S28,"SALDO","VOLF")</f>
        <v>#N/A</v>
      </c>
      <c r="AB28" s="27" t="e">
        <f>RTD("srv.rtd","","PLAYERSRANKING",AB$13,$S28,"SALDO","VOLF")</f>
        <v>#N/A</v>
      </c>
      <c r="AC28" s="27" t="e">
        <f>RTD("srv.rtd","","PLAYERSRANKING",AC$13,$S28,"SALDO","VOLF")</f>
        <v>#N/A</v>
      </c>
      <c r="AD28" s="27" t="e">
        <f>RTD("srv.rtd","","PLAYERSRANKING",AD$13,$S28,"SALDO","VOLF")</f>
        <v>#N/A</v>
      </c>
      <c r="AE28" s="27" t="e">
        <f>RTD("srv.rtd","","PLAYERSRANKING",AE$13,$S28,"SALDO","VOLF")</f>
        <v>#N/A</v>
      </c>
      <c r="AF28" s="27" t="e">
        <f>RTD("srv.rtd","","PLAYERSRANKING",AF$13,$S28,"SALDO","VOLF")</f>
        <v>#N/A</v>
      </c>
      <c r="AG28" s="27" t="e">
        <f>RTD("srv.rtd","","PLAYERSRANKING",AG$13,$S28,"SALDO","VOLF")</f>
        <v>#N/A</v>
      </c>
      <c r="AH28" s="27" t="e">
        <f>RTD("srv.rtd","","PLAYERSRANKING",AH$13,$S28,"SALDO","VOLF")</f>
        <v>#N/A</v>
      </c>
      <c r="AI28" s="27" t="e">
        <f>RTD("srv.rtd","","PLAYERSRANKING",AI$13,$S28,"SALDO","VOLF")</f>
        <v>#N/A</v>
      </c>
      <c r="AJ28" s="27" t="e">
        <f>RTD("srv.rtd","","PLAYERSRANKING",AJ$13,$S28,"SALDO","VOLF")</f>
        <v>#N/A</v>
      </c>
      <c r="AK28" s="27" t="e">
        <f>RTD("srv.rtd","","PLAYERSRANKING",AK$13,$S28,"SALDO","VOLF")</f>
        <v>#N/A</v>
      </c>
      <c r="AL28" s="27" t="e">
        <f>RTD("srv.rtd","","PLAYERSRANKING",AL$13,$S28,"SALDO","VOLF")</f>
        <v>#N/A</v>
      </c>
      <c r="AM28" s="27" t="e">
        <f>RTD("srv.rtd","","PLAYERSRANKING",AM$13,$S28,"SALDO","VOLF")</f>
        <v>#N/A</v>
      </c>
      <c r="AN28" s="27" t="e">
        <f>RTD("srv.rtd","","PLAYERSRANKING",AN$13,$S28,"SALDO","VOLF")</f>
        <v>#N/A</v>
      </c>
      <c r="AO28" s="27" t="e">
        <f>RTD("srv.rtd","","PLAYERSRANKING",AO$13,$S28,"SALDO","VOLF")</f>
        <v>#N/A</v>
      </c>
      <c r="AP28" s="27" t="e">
        <f>RTD("srv.rtd","","PLAYERSRANKING",AP$13,$S28,"SALDO","VOLF")</f>
        <v>#N/A</v>
      </c>
      <c r="AQ28" s="27" t="e">
        <f>RTD("srv.rtd","","PLAYERSRANKING",AQ$13,$S28,"SALDO","VOLF")</f>
        <v>#N/A</v>
      </c>
      <c r="AR28" s="27" t="e">
        <f>RTD("srv.rtd","","PLAYERSRANKING",AR$13,$S28,"SALDO","VOLF")</f>
        <v>#N/A</v>
      </c>
      <c r="AS28" s="27" t="e">
        <f>RTD("srv.rtd","","PLAYERSRANKING",AS$13,$S28,"SALDO","VOLF")</f>
        <v>#N/A</v>
      </c>
      <c r="AT28" s="27" t="e">
        <f>RTD("srv.rtd","","PLAYERSRANKING",AT$13,$S28,"SALDO","VOLF")</f>
        <v>#N/A</v>
      </c>
      <c r="AU28" s="27" t="e">
        <f>RTD("srv.rtd","","PLAYERSRANKING",AU$13,$S28,"SALDO","VOLF")</f>
        <v>#N/A</v>
      </c>
      <c r="AV28" s="27" t="e">
        <f>RTD("srv.rtd","","PLAYERSRANKING",AV$13,$S28,"SALDO","VOLF")</f>
        <v>#N/A</v>
      </c>
      <c r="AW28" s="27" t="e">
        <f>RTD("srv.rtd","","PLAYERSRANKING",AW$13,$S28,"SALDO","VOLF")</f>
        <v>#N/A</v>
      </c>
      <c r="AX28" s="27" t="e">
        <f>RTD("srv.rtd","","PLAYERSRANKING",AX$13,$S28,"SALDO","VOLF")</f>
        <v>#N/A</v>
      </c>
      <c r="AY28" s="27" t="e">
        <f>RTD("srv.rtd","","PLAYERSRANKING",AY$13,$S28,"SALDO","VOLF")</f>
        <v>#N/A</v>
      </c>
      <c r="AZ28" s="27" t="e">
        <f>RTD("srv.rtd","","PLAYERSRANKING",AZ$13,$S28,"SALDO","VOLF")</f>
        <v>#N/A</v>
      </c>
      <c r="BA28" s="27" t="e">
        <f>RTD("srv.rtd","","PLAYERSRANKING",BA$13,$S28,"SALDO","VOLF")</f>
        <v>#N/A</v>
      </c>
      <c r="BB28" s="27" t="e">
        <f>RTD("srv.rtd","","PLAYERSRANKING",BB$13,$S28,"SALDO","VOLF")</f>
        <v>#N/A</v>
      </c>
      <c r="BC28" s="27" t="e">
        <f>RTD("srv.rtd","","PLAYERSRANKING",BC$13,$S28,"SALDO","VOLF")</f>
        <v>#N/A</v>
      </c>
      <c r="BD28" s="27" t="e">
        <f>RTD("srv.rtd","","PLAYERSRANKING",BD$13,$S28,"SALDO","VOLF")</f>
        <v>#N/A</v>
      </c>
      <c r="BE28" s="27" t="e">
        <f>RTD("srv.rtd","","PLAYERSRANKING",BE$13,$S28,"SALDO","VOLF")</f>
        <v>#N/A</v>
      </c>
      <c r="BF28" s="27" t="e">
        <f>RTD("srv.rtd","","PLAYERSRANKING",BF$13,$S28,"SALDO","VOLF")</f>
        <v>#N/A</v>
      </c>
      <c r="BG28" s="27" t="e">
        <f>RTD("srv.rtd","","PLAYERSRANKING",BG$13,$S28,"SALDO","VOLF")</f>
        <v>#N/A</v>
      </c>
      <c r="BH28" s="27" t="e">
        <f>RTD("srv.rtd","","PLAYERSRANKING",BH$13,$S28,"SALDO","VOLF")</f>
        <v>#N/A</v>
      </c>
      <c r="BI28" s="27" t="e">
        <f>RTD("srv.rtd","","PLAYERSRANKING",BI$13,$S28,"SALDO","VOLF")</f>
        <v>#N/A</v>
      </c>
      <c r="BJ28" s="27" t="e">
        <f>RTD("srv.rtd","","PLAYERSRANKING",BJ$13,$S28,"SALDO","VOLF")</f>
        <v>#N/A</v>
      </c>
      <c r="BK28" s="27" t="e">
        <f>RTD("srv.rtd","","PLAYERSRANKING",BK$13,$S28,"SALDO","VOLF")</f>
        <v>#N/A</v>
      </c>
      <c r="BL28" s="27" t="e">
        <f>RTD("srv.rtd","","PLAYERSRANKING",BL$13,$S28,"SALDO","VOLF")</f>
        <v>#N/A</v>
      </c>
      <c r="BM28" s="27" t="e">
        <f>RTD("srv.rtd","","PLAYERSRANKING",BM$13,$S28,"SALDO","VOLF")</f>
        <v>#N/A</v>
      </c>
      <c r="BN28" s="27" t="e">
        <f>RTD("srv.rtd","","PLAYERSRANKING",BN$13,$S28,"SALDO","VOLF")</f>
        <v>#N/A</v>
      </c>
      <c r="BO28" s="27" t="e">
        <f>RTD("srv.rtd","","PLAYERSRANKING",BO$13,$S28,"SALDO","VOLF")</f>
        <v>#N/A</v>
      </c>
      <c r="BP28" s="27" t="e">
        <f>RTD("srv.rtd","","PLAYERSRANKING",BP$13,$S28,"SALDO","VOLF")</f>
        <v>#N/A</v>
      </c>
      <c r="BQ28" s="27" t="e">
        <f>RTD("srv.rtd","","PLAYERSRANKING",BQ$13,$S28,"SALDO","VOLF")</f>
        <v>#N/A</v>
      </c>
      <c r="BR28" s="27" t="e">
        <f>RTD("srv.rtd","","PLAYERSRANKING",BR$13,$S28,"SALDO","VOLF")</f>
        <v>#N/A</v>
      </c>
      <c r="BS28" s="27" t="e">
        <f>RTD("srv.rtd","","PLAYERSRANKING",BS$13,$S28,"SALDO","VOLF")</f>
        <v>#N/A</v>
      </c>
      <c r="BT28" s="27" t="e">
        <f>RTD("srv.rtd","","PLAYERSRANKING",BT$13,$S28,"SALDO","VOLF")</f>
        <v>#N/A</v>
      </c>
      <c r="BU28" s="27" t="e">
        <f>RTD("srv.rtd","","PLAYERSRANKING",BU$13,$S28,"SALDO","VOLF")</f>
        <v>#N/A</v>
      </c>
      <c r="BV28" s="27" t="e">
        <f>RTD("srv.rtd","","PLAYERSRANKING",BV$13,$S28,"SALDO","VOLF")</f>
        <v>#N/A</v>
      </c>
      <c r="BW28" s="27" t="e">
        <f>RTD("srv.rtd","","PLAYERSRANKING",BW$13,$S28,"SALDO","VOLF")</f>
        <v>#N/A</v>
      </c>
      <c r="BX28" s="27" t="e">
        <f>RTD("srv.rtd","","PLAYERSRANKING",BX$13,$S28,"SALDO","VOLF")</f>
        <v>#N/A</v>
      </c>
      <c r="BY28" s="27" t="e">
        <f>RTD("srv.rtd","","PLAYERSRANKING",BY$13,$S28,"SALDO","VOLF")</f>
        <v>#N/A</v>
      </c>
      <c r="BZ28" s="27" t="e">
        <f>RTD("srv.rtd","","PLAYERSRANKING",BZ$13,$S28,"SALDO","VOLF")</f>
        <v>#N/A</v>
      </c>
      <c r="CA28" s="27" t="e">
        <f>RTD("srv.rtd","","PLAYERSRANKING",CA$13,$S28,"SALDO","VOLF")</f>
        <v>#N/A</v>
      </c>
      <c r="CB28" s="27" t="e">
        <f>RTD("srv.rtd","","PLAYERSRANKING",CB$13,$S28,"SALDO","VOLF")</f>
        <v>#N/A</v>
      </c>
      <c r="CC28" s="27" t="e">
        <f>RTD("srv.rtd","","PLAYERSRANKING",CC$13,$S28,"SALDO","VOLF")</f>
        <v>#N/A</v>
      </c>
      <c r="CD28" s="27" t="e">
        <f>RTD("srv.rtd","","PLAYERSRANKING",CD$13,$S28,"SALDO","VOLF")</f>
        <v>#N/A</v>
      </c>
      <c r="CE28" s="27" t="e">
        <f>RTD("srv.rtd","","PLAYERSRANKING",CE$13,$S28,"SALDO","VOLF")</f>
        <v>#N/A</v>
      </c>
      <c r="CF28" s="27" t="e">
        <f>RTD("srv.rtd","","PLAYERSRANKING",CF$13,$S28,"SALDO","VOLF")</f>
        <v>#N/A</v>
      </c>
      <c r="CG28" s="27" t="e">
        <f>RTD("srv.rtd","","PLAYERSRANKING",CG$13,$S28,"SALDO","VOLF")</f>
        <v>#N/A</v>
      </c>
      <c r="CH28" s="27" t="e">
        <f>RTD("srv.rtd","","PLAYERSRANKING",CH$13,$S28,"SALDO","VOLF")</f>
        <v>#N/A</v>
      </c>
      <c r="CI28" s="27" t="e">
        <f>RTD("srv.rtd","","PLAYERSRANKING",CI$13,$S28,"SALDO","VOLF")</f>
        <v>#N/A</v>
      </c>
      <c r="CJ28" s="27" t="e">
        <f>RTD("srv.rtd","","PLAYERSRANKING",CJ$13,$S28,"SALDO","VOLF")</f>
        <v>#N/A</v>
      </c>
      <c r="CK28" s="27" t="e">
        <f>RTD("srv.rtd","","PLAYERSRANKING",CK$13,$S28,"SALDO","VOLF")</f>
        <v>#N/A</v>
      </c>
      <c r="CL28" s="27" t="e">
        <f>RTD("srv.rtd","","PLAYERSRANKING",CL$13,$S28,"SALDO","VOLF")</f>
        <v>#N/A</v>
      </c>
      <c r="CM28" s="27" t="e">
        <f>RTD("srv.rtd","","PLAYERSRANKING",CM$13,$S28,"SALDO","VOLF")</f>
        <v>#N/A</v>
      </c>
      <c r="CN28" s="27" t="e">
        <f>RTD("srv.rtd","","PLAYERSRANKING",CN$13,$S28,"SALDO","VOLF")</f>
        <v>#N/A</v>
      </c>
      <c r="CO28" s="27" t="e">
        <f>RTD("srv.rtd","","PLAYERSRANKING",CO$13,$S28,"SALDO","VOLF")</f>
        <v>#N/A</v>
      </c>
      <c r="CP28" s="27" t="e">
        <f>RTD("srv.rtd","","PLAYERSRANKING",CP$13,$S28,"SALDO","VOLF")</f>
        <v>#N/A</v>
      </c>
      <c r="CQ28" s="27" t="e">
        <f>RTD("srv.rtd","","PLAYERSRANKING",CQ$13,$S28,"SALDO","VOLF")</f>
        <v>#N/A</v>
      </c>
      <c r="CR28" s="27" t="e">
        <f>RTD("srv.rtd","","PLAYERSRANKING",CR$13,$S28,"SALDO","VOLF")</f>
        <v>#N/A</v>
      </c>
      <c r="CS28" s="27" t="e">
        <f>RTD("srv.rtd","","PLAYERSRANKING",CS$13,$S28,"SALDO","VOLF")</f>
        <v>#N/A</v>
      </c>
      <c r="CT28" s="27" t="e">
        <f>RTD("srv.rtd","","PLAYERSRANKING",CT$13,$S28,"SALDO","VOLF")</f>
        <v>#N/A</v>
      </c>
      <c r="CU28" s="27" t="e">
        <f>RTD("srv.rtd","","PLAYERSRANKING",CU$13,$S28,"SALDO","VOLF")</f>
        <v>#N/A</v>
      </c>
      <c r="CV28" s="27" t="e">
        <f>RTD("srv.rtd","","PLAYERSRANKING",CV$13,$S28,"SALDO","VOLF")</f>
        <v>#N/A</v>
      </c>
      <c r="CW28" s="27" t="e">
        <f>RTD("srv.rtd","","PLAYERSRANKING",CW$13,$S28,"SALDO","VOLF")</f>
        <v>#N/A</v>
      </c>
      <c r="CX28" s="27" t="e">
        <f>RTD("srv.rtd","","PLAYERSRANKING",CX$13,$S28,"SALDO","VOLF")</f>
        <v>#N/A</v>
      </c>
      <c r="CY28" s="27" t="e">
        <f>RTD("srv.rtd","","PLAYERSRANKING",CY$13,$S28,"SALDO","VOLF")</f>
        <v>#N/A</v>
      </c>
      <c r="CZ28" s="27" t="e">
        <f>RTD("srv.rtd","","PLAYERSRANKING",CZ$13,$S28,"SALDO","VOLF")</f>
        <v>#N/A</v>
      </c>
      <c r="DA28" s="27" t="e">
        <f>RTD("srv.rtd","","PLAYERSRANKING",DA$13,$S28,"SALDO","VOLF")</f>
        <v>#N/A</v>
      </c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</row>
    <row r="29" spans="1:124" x14ac:dyDescent="0.25">
      <c r="A29" s="2"/>
      <c r="B29" s="6" t="s">
        <v>36</v>
      </c>
      <c r="C29" s="19">
        <f>VLOOKUP(B29,RTD!$A$1:$H$196,2,0)</f>
        <v>7.0700000000000038</v>
      </c>
      <c r="D29" s="19">
        <f>VLOOKUP(B29,RTD!$A$1:$H$196,3,0)</f>
        <v>7.22</v>
      </c>
      <c r="E29" s="19">
        <f>VLOOKUP(B29,RTD!$A$1:$H$196,4,0)</f>
        <v>7.28</v>
      </c>
      <c r="F29" s="19">
        <f>VLOOKUP(B29,RTD!$A$1:$H$196,5,0)</f>
        <v>7.0600000000000005</v>
      </c>
      <c r="G29" s="19">
        <f>VLOOKUP(B29,RTD!$A$1:$H$196,6,0)</f>
        <v>7.07</v>
      </c>
      <c r="H29" s="19">
        <f t="shared" si="6"/>
        <v>7.0650000000000004</v>
      </c>
      <c r="I29" s="14">
        <f t="shared" si="7"/>
        <v>-2.9532967032967039E-2</v>
      </c>
      <c r="J29" s="98">
        <f>VLOOKUP(B29,'Market Data'!$A$4:$F$100,6,0)*C29</f>
        <v>324.05841844586701</v>
      </c>
      <c r="K29" s="19">
        <f>VLOOKUP(B29,RTD!$A$2:$H$100,8,0)</f>
        <v>1.46</v>
      </c>
      <c r="L29" s="14">
        <f t="shared" si="8"/>
        <v>-1.9085234705339217E-2</v>
      </c>
      <c r="M29" s="19">
        <f>VLOOKUP(B29,RTD!$A$1:$H$196,7,0)</f>
        <v>0</v>
      </c>
      <c r="N29" s="98">
        <f>IF(M29=0,J29,IF(M29=0,C29,M29)*VLOOKUP(B29,'Market Data'!$A$4:$F$100,6,0))</f>
        <v>324.05841844586701</v>
      </c>
      <c r="O29" s="7" t="s">
        <v>36</v>
      </c>
      <c r="P29" s="14"/>
      <c r="Q29" s="13"/>
      <c r="S29" s="133">
        <v>16</v>
      </c>
      <c r="T29" s="135" t="s">
        <v>195</v>
      </c>
      <c r="U29" s="27" t="e">
        <f>RTD("srv.rtd","","PLAYERSRANKING",$U$13,S29,"SALDO","VOLF")</f>
        <v>#N/A</v>
      </c>
      <c r="V29" s="27" t="e">
        <f>RTD("srv.rtd","","PLAYERSRANKING",V$13,S29,"SALDO","VOLF")*0.2</f>
        <v>#N/A</v>
      </c>
      <c r="W29" s="27" t="e">
        <f>RTD("srv.rtd","","PLAYERSRANKING",W$13,S29,"SALDO","VOLF")*50</f>
        <v>#N/A</v>
      </c>
      <c r="X29" s="27" t="e">
        <f>RTD("srv.rtd","","PLAYERSRANKING",X$13,S29,"SALDO","VOLF")*10</f>
        <v>#N/A</v>
      </c>
      <c r="Y29" s="27" t="e">
        <f>RTD("srv.rtd","","PLAYERSRANKING",Y$13,$S29,"SALDO","VOLF")</f>
        <v>#N/A</v>
      </c>
      <c r="Z29" s="27" t="e">
        <f>RTD("srv.rtd","","PLAYERSRANKING",Z$13,$S29,"SALDO","VOLF")</f>
        <v>#N/A</v>
      </c>
      <c r="AA29" s="27" t="e">
        <f>RTD("srv.rtd","","PLAYERSRANKING",AA$13,$S29,"SALDO","VOLF")</f>
        <v>#N/A</v>
      </c>
      <c r="AB29" s="27" t="e">
        <f>RTD("srv.rtd","","PLAYERSRANKING",AB$13,$S29,"SALDO","VOLF")</f>
        <v>#N/A</v>
      </c>
      <c r="AC29" s="27" t="e">
        <f>RTD("srv.rtd","","PLAYERSRANKING",AC$13,$S29,"SALDO","VOLF")</f>
        <v>#N/A</v>
      </c>
      <c r="AD29" s="27" t="e">
        <f>RTD("srv.rtd","","PLAYERSRANKING",AD$13,$S29,"SALDO","VOLF")</f>
        <v>#N/A</v>
      </c>
      <c r="AE29" s="27" t="e">
        <f>RTD("srv.rtd","","PLAYERSRANKING",AE$13,$S29,"SALDO","VOLF")</f>
        <v>#N/A</v>
      </c>
      <c r="AF29" s="27" t="e">
        <f>RTD("srv.rtd","","PLAYERSRANKING",AF$13,$S29,"SALDO","VOLF")</f>
        <v>#N/A</v>
      </c>
      <c r="AG29" s="27" t="e">
        <f>RTD("srv.rtd","","PLAYERSRANKING",AG$13,$S29,"SALDO","VOLF")</f>
        <v>#N/A</v>
      </c>
      <c r="AH29" s="27" t="e">
        <f>RTD("srv.rtd","","PLAYERSRANKING",AH$13,$S29,"SALDO","VOLF")</f>
        <v>#N/A</v>
      </c>
      <c r="AI29" s="27" t="e">
        <f>RTD("srv.rtd","","PLAYERSRANKING",AI$13,$S29,"SALDO","VOLF")</f>
        <v>#N/A</v>
      </c>
      <c r="AJ29" s="27" t="e">
        <f>RTD("srv.rtd","","PLAYERSRANKING",AJ$13,$S29,"SALDO","VOLF")</f>
        <v>#N/A</v>
      </c>
      <c r="AK29" s="27" t="e">
        <f>RTD("srv.rtd","","PLAYERSRANKING",AK$13,$S29,"SALDO","VOLF")</f>
        <v>#N/A</v>
      </c>
      <c r="AL29" s="27" t="e">
        <f>RTD("srv.rtd","","PLAYERSRANKING",AL$13,$S29,"SALDO","VOLF")</f>
        <v>#N/A</v>
      </c>
      <c r="AM29" s="27" t="e">
        <f>RTD("srv.rtd","","PLAYERSRANKING",AM$13,$S29,"SALDO","VOLF")</f>
        <v>#N/A</v>
      </c>
      <c r="AN29" s="27" t="e">
        <f>RTD("srv.rtd","","PLAYERSRANKING",AN$13,$S29,"SALDO","VOLF")</f>
        <v>#N/A</v>
      </c>
      <c r="AO29" s="27" t="e">
        <f>RTD("srv.rtd","","PLAYERSRANKING",AO$13,$S29,"SALDO","VOLF")</f>
        <v>#N/A</v>
      </c>
      <c r="AP29" s="27" t="e">
        <f>RTD("srv.rtd","","PLAYERSRANKING",AP$13,$S29,"SALDO","VOLF")</f>
        <v>#N/A</v>
      </c>
      <c r="AQ29" s="27" t="e">
        <f>RTD("srv.rtd","","PLAYERSRANKING",AQ$13,$S29,"SALDO","VOLF")</f>
        <v>#N/A</v>
      </c>
      <c r="AR29" s="27" t="e">
        <f>RTD("srv.rtd","","PLAYERSRANKING",AR$13,$S29,"SALDO","VOLF")</f>
        <v>#N/A</v>
      </c>
      <c r="AS29" s="27" t="e">
        <f>RTD("srv.rtd","","PLAYERSRANKING",AS$13,$S29,"SALDO","VOLF")</f>
        <v>#N/A</v>
      </c>
      <c r="AT29" s="27" t="e">
        <f>RTD("srv.rtd","","PLAYERSRANKING",AT$13,$S29,"SALDO","VOLF")</f>
        <v>#N/A</v>
      </c>
      <c r="AU29" s="27" t="e">
        <f>RTD("srv.rtd","","PLAYERSRANKING",AU$13,$S29,"SALDO","VOLF")</f>
        <v>#N/A</v>
      </c>
      <c r="AV29" s="27" t="e">
        <f>RTD("srv.rtd","","PLAYERSRANKING",AV$13,$S29,"SALDO","VOLF")</f>
        <v>#N/A</v>
      </c>
      <c r="AW29" s="27" t="e">
        <f>RTD("srv.rtd","","PLAYERSRANKING",AW$13,$S29,"SALDO","VOLF")</f>
        <v>#N/A</v>
      </c>
      <c r="AX29" s="27" t="e">
        <f>RTD("srv.rtd","","PLAYERSRANKING",AX$13,$S29,"SALDO","VOLF")</f>
        <v>#N/A</v>
      </c>
      <c r="AY29" s="27" t="e">
        <f>RTD("srv.rtd","","PLAYERSRANKING",AY$13,$S29,"SALDO","VOLF")</f>
        <v>#N/A</v>
      </c>
      <c r="AZ29" s="27" t="e">
        <f>RTD("srv.rtd","","PLAYERSRANKING",AZ$13,$S29,"SALDO","VOLF")</f>
        <v>#N/A</v>
      </c>
      <c r="BA29" s="27" t="e">
        <f>RTD("srv.rtd","","PLAYERSRANKING",BA$13,$S29,"SALDO","VOLF")</f>
        <v>#N/A</v>
      </c>
      <c r="BB29" s="27" t="e">
        <f>RTD("srv.rtd","","PLAYERSRANKING",BB$13,$S29,"SALDO","VOLF")</f>
        <v>#N/A</v>
      </c>
      <c r="BC29" s="27" t="e">
        <f>RTD("srv.rtd","","PLAYERSRANKING",BC$13,$S29,"SALDO","VOLF")</f>
        <v>#N/A</v>
      </c>
      <c r="BD29" s="27" t="e">
        <f>RTD("srv.rtd","","PLAYERSRANKING",BD$13,$S29,"SALDO","VOLF")</f>
        <v>#N/A</v>
      </c>
      <c r="BE29" s="27" t="e">
        <f>RTD("srv.rtd","","PLAYERSRANKING",BE$13,$S29,"SALDO","VOLF")</f>
        <v>#N/A</v>
      </c>
      <c r="BF29" s="27" t="e">
        <f>RTD("srv.rtd","","PLAYERSRANKING",BF$13,$S29,"SALDO","VOLF")</f>
        <v>#N/A</v>
      </c>
      <c r="BG29" s="27" t="e">
        <f>RTD("srv.rtd","","PLAYERSRANKING",BG$13,$S29,"SALDO","VOLF")</f>
        <v>#N/A</v>
      </c>
      <c r="BH29" s="27" t="e">
        <f>RTD("srv.rtd","","PLAYERSRANKING",BH$13,$S29,"SALDO","VOLF")</f>
        <v>#N/A</v>
      </c>
      <c r="BI29" s="27" t="e">
        <f>RTD("srv.rtd","","PLAYERSRANKING",BI$13,$S29,"SALDO","VOLF")</f>
        <v>#N/A</v>
      </c>
      <c r="BJ29" s="27" t="e">
        <f>RTD("srv.rtd","","PLAYERSRANKING",BJ$13,$S29,"SALDO","VOLF")</f>
        <v>#N/A</v>
      </c>
      <c r="BK29" s="27" t="e">
        <f>RTD("srv.rtd","","PLAYERSRANKING",BK$13,$S29,"SALDO","VOLF")</f>
        <v>#N/A</v>
      </c>
      <c r="BL29" s="27" t="e">
        <f>RTD("srv.rtd","","PLAYERSRANKING",BL$13,$S29,"SALDO","VOLF")</f>
        <v>#N/A</v>
      </c>
      <c r="BM29" s="27" t="e">
        <f>RTD("srv.rtd","","PLAYERSRANKING",BM$13,$S29,"SALDO","VOLF")</f>
        <v>#N/A</v>
      </c>
      <c r="BN29" s="27" t="e">
        <f>RTD("srv.rtd","","PLAYERSRANKING",BN$13,$S29,"SALDO","VOLF")</f>
        <v>#N/A</v>
      </c>
      <c r="BO29" s="27" t="e">
        <f>RTD("srv.rtd","","PLAYERSRANKING",BO$13,$S29,"SALDO","VOLF")</f>
        <v>#N/A</v>
      </c>
      <c r="BP29" s="27" t="e">
        <f>RTD("srv.rtd","","PLAYERSRANKING",BP$13,$S29,"SALDO","VOLF")</f>
        <v>#N/A</v>
      </c>
      <c r="BQ29" s="27" t="e">
        <f>RTD("srv.rtd","","PLAYERSRANKING",BQ$13,$S29,"SALDO","VOLF")</f>
        <v>#N/A</v>
      </c>
      <c r="BR29" s="27" t="e">
        <f>RTD("srv.rtd","","PLAYERSRANKING",BR$13,$S29,"SALDO","VOLF")</f>
        <v>#N/A</v>
      </c>
      <c r="BS29" s="27" t="e">
        <f>RTD("srv.rtd","","PLAYERSRANKING",BS$13,$S29,"SALDO","VOLF")</f>
        <v>#N/A</v>
      </c>
      <c r="BT29" s="27" t="e">
        <f>RTD("srv.rtd","","PLAYERSRANKING",BT$13,$S29,"SALDO","VOLF")</f>
        <v>#N/A</v>
      </c>
      <c r="BU29" s="27" t="e">
        <f>RTD("srv.rtd","","PLAYERSRANKING",BU$13,$S29,"SALDO","VOLF")</f>
        <v>#N/A</v>
      </c>
      <c r="BV29" s="27" t="e">
        <f>RTD("srv.rtd","","PLAYERSRANKING",BV$13,$S29,"SALDO","VOLF")</f>
        <v>#N/A</v>
      </c>
      <c r="BW29" s="27" t="e">
        <f>RTD("srv.rtd","","PLAYERSRANKING",BW$13,$S29,"SALDO","VOLF")</f>
        <v>#N/A</v>
      </c>
      <c r="BX29" s="27" t="e">
        <f>RTD("srv.rtd","","PLAYERSRANKING",BX$13,$S29,"SALDO","VOLF")</f>
        <v>#N/A</v>
      </c>
      <c r="BY29" s="27" t="e">
        <f>RTD("srv.rtd","","PLAYERSRANKING",BY$13,$S29,"SALDO","VOLF")</f>
        <v>#N/A</v>
      </c>
      <c r="BZ29" s="27" t="e">
        <f>RTD("srv.rtd","","PLAYERSRANKING",BZ$13,$S29,"SALDO","VOLF")</f>
        <v>#N/A</v>
      </c>
      <c r="CA29" s="27" t="e">
        <f>RTD("srv.rtd","","PLAYERSRANKING",CA$13,$S29,"SALDO","VOLF")</f>
        <v>#N/A</v>
      </c>
      <c r="CB29" s="27" t="e">
        <f>RTD("srv.rtd","","PLAYERSRANKING",CB$13,$S29,"SALDO","VOLF")</f>
        <v>#N/A</v>
      </c>
      <c r="CC29" s="27" t="e">
        <f>RTD("srv.rtd","","PLAYERSRANKING",CC$13,$S29,"SALDO","VOLF")</f>
        <v>#N/A</v>
      </c>
      <c r="CD29" s="27" t="e">
        <f>RTD("srv.rtd","","PLAYERSRANKING",CD$13,$S29,"SALDO","VOLF")</f>
        <v>#N/A</v>
      </c>
      <c r="CE29" s="27" t="e">
        <f>RTD("srv.rtd","","PLAYERSRANKING",CE$13,$S29,"SALDO","VOLF")</f>
        <v>#N/A</v>
      </c>
      <c r="CF29" s="27" t="e">
        <f>RTD("srv.rtd","","PLAYERSRANKING",CF$13,$S29,"SALDO","VOLF")</f>
        <v>#N/A</v>
      </c>
      <c r="CG29" s="27" t="e">
        <f>RTD("srv.rtd","","PLAYERSRANKING",CG$13,$S29,"SALDO","VOLF")</f>
        <v>#N/A</v>
      </c>
      <c r="CH29" s="27" t="e">
        <f>RTD("srv.rtd","","PLAYERSRANKING",CH$13,$S29,"SALDO","VOLF")</f>
        <v>#N/A</v>
      </c>
      <c r="CI29" s="27" t="e">
        <f>RTD("srv.rtd","","PLAYERSRANKING",CI$13,$S29,"SALDO","VOLF")</f>
        <v>#N/A</v>
      </c>
      <c r="CJ29" s="27" t="e">
        <f>RTD("srv.rtd","","PLAYERSRANKING",CJ$13,$S29,"SALDO","VOLF")</f>
        <v>#N/A</v>
      </c>
      <c r="CK29" s="27" t="e">
        <f>RTD("srv.rtd","","PLAYERSRANKING",CK$13,$S29,"SALDO","VOLF")</f>
        <v>#N/A</v>
      </c>
      <c r="CL29" s="27" t="e">
        <f>RTD("srv.rtd","","PLAYERSRANKING",CL$13,$S29,"SALDO","VOLF")</f>
        <v>#N/A</v>
      </c>
      <c r="CM29" s="27" t="e">
        <f>RTD("srv.rtd","","PLAYERSRANKING",CM$13,$S29,"SALDO","VOLF")</f>
        <v>#N/A</v>
      </c>
      <c r="CN29" s="27" t="e">
        <f>RTD("srv.rtd","","PLAYERSRANKING",CN$13,$S29,"SALDO","VOLF")</f>
        <v>#N/A</v>
      </c>
      <c r="CO29" s="27" t="e">
        <f>RTD("srv.rtd","","PLAYERSRANKING",CO$13,$S29,"SALDO","VOLF")</f>
        <v>#N/A</v>
      </c>
      <c r="CP29" s="27" t="e">
        <f>RTD("srv.rtd","","PLAYERSRANKING",CP$13,$S29,"SALDO","VOLF")</f>
        <v>#N/A</v>
      </c>
      <c r="CQ29" s="27" t="e">
        <f>RTD("srv.rtd","","PLAYERSRANKING",CQ$13,$S29,"SALDO","VOLF")</f>
        <v>#N/A</v>
      </c>
      <c r="CR29" s="27" t="e">
        <f>RTD("srv.rtd","","PLAYERSRANKING",CR$13,$S29,"SALDO","VOLF")</f>
        <v>#N/A</v>
      </c>
      <c r="CS29" s="27" t="e">
        <f>RTD("srv.rtd","","PLAYERSRANKING",CS$13,$S29,"SALDO","VOLF")</f>
        <v>#N/A</v>
      </c>
      <c r="CT29" s="27" t="e">
        <f>RTD("srv.rtd","","PLAYERSRANKING",CT$13,$S29,"SALDO","VOLF")</f>
        <v>#N/A</v>
      </c>
      <c r="CU29" s="27" t="e">
        <f>RTD("srv.rtd","","PLAYERSRANKING",CU$13,$S29,"SALDO","VOLF")</f>
        <v>#N/A</v>
      </c>
      <c r="CV29" s="27" t="e">
        <f>RTD("srv.rtd","","PLAYERSRANKING",CV$13,$S29,"SALDO","VOLF")</f>
        <v>#N/A</v>
      </c>
      <c r="CW29" s="27" t="e">
        <f>RTD("srv.rtd","","PLAYERSRANKING",CW$13,$S29,"SALDO","VOLF")</f>
        <v>#N/A</v>
      </c>
      <c r="CX29" s="27" t="e">
        <f>RTD("srv.rtd","","PLAYERSRANKING",CX$13,$S29,"SALDO","VOLF")</f>
        <v>#N/A</v>
      </c>
      <c r="CY29" s="27" t="e">
        <f>RTD("srv.rtd","","PLAYERSRANKING",CY$13,$S29,"SALDO","VOLF")</f>
        <v>#N/A</v>
      </c>
      <c r="CZ29" s="27" t="e">
        <f>RTD("srv.rtd","","PLAYERSRANKING",CZ$13,$S29,"SALDO","VOLF")</f>
        <v>#N/A</v>
      </c>
      <c r="DA29" s="27" t="e">
        <f>RTD("srv.rtd","","PLAYERSRANKING",DA$13,$S29,"SALDO","VOLF")</f>
        <v>#N/A</v>
      </c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</row>
    <row r="30" spans="1:124" x14ac:dyDescent="0.25">
      <c r="A30" s="2"/>
      <c r="B30" s="6" t="s">
        <v>38</v>
      </c>
      <c r="C30" s="19">
        <f>VLOOKUP(B30,RTD!$A$1:$H$196,2,0)</f>
        <v>0</v>
      </c>
      <c r="D30" s="19">
        <f>VLOOKUP(B30,RTD!$A$1:$H$196,3,0)</f>
        <v>0</v>
      </c>
      <c r="E30" s="19">
        <f>VLOOKUP(B30,RTD!$A$1:$H$196,4,0)</f>
        <v>0</v>
      </c>
      <c r="F30" s="19">
        <f>VLOOKUP(B30,RTD!$A$1:$H$196,5,0)</f>
        <v>0</v>
      </c>
      <c r="G30" s="19">
        <f>VLOOKUP(B30,RTD!$A$1:$H$196,6,0)</f>
        <v>0</v>
      </c>
      <c r="H30" s="19">
        <f t="shared" si="6"/>
        <v>0</v>
      </c>
      <c r="I30" s="14" t="e">
        <f t="shared" si="7"/>
        <v>#DIV/0!</v>
      </c>
      <c r="J30" s="98">
        <f>VLOOKUP(B30,'Market Data'!$A$4:$F$100,6,0)*C30</f>
        <v>0</v>
      </c>
      <c r="K30" s="19">
        <f>VLOOKUP(B30,RTD!$A$2:$H$100,8,0)</f>
        <v>0.7</v>
      </c>
      <c r="L30" s="14" t="e">
        <f t="shared" si="8"/>
        <v>#DIV/0!</v>
      </c>
      <c r="M30" s="19">
        <f>VLOOKUP(B30,RTD!$A$1:$H$196,7,0)</f>
        <v>0</v>
      </c>
      <c r="N30" s="98">
        <f>IF(M30=0,J30,IF(M30=0,C30,M30)*VLOOKUP(B30,'Market Data'!$A$4:$F$100,6,0))</f>
        <v>0</v>
      </c>
      <c r="O30" s="7" t="s">
        <v>38</v>
      </c>
      <c r="P30" s="14"/>
      <c r="Q30" s="13"/>
      <c r="S30" s="133">
        <v>13</v>
      </c>
      <c r="T30" s="135" t="s">
        <v>196</v>
      </c>
      <c r="U30" s="27" t="e">
        <f>RTD("srv.rtd","","PLAYERSRANKING",$U$13,S30,"SALDO","VOLF")</f>
        <v>#N/A</v>
      </c>
      <c r="V30" s="27" t="e">
        <f>RTD("srv.rtd","","PLAYERSRANKING",V$13,S30,"SALDO","VOLF")*0.2</f>
        <v>#N/A</v>
      </c>
      <c r="W30" s="27" t="e">
        <f>RTD("srv.rtd","","PLAYERSRANKING",W$13,S30,"SALDO","VOLF")*50</f>
        <v>#N/A</v>
      </c>
      <c r="X30" s="27" t="e">
        <f>RTD("srv.rtd","","PLAYERSRANKING",X$13,S30,"SALDO","VOLF")*10</f>
        <v>#N/A</v>
      </c>
      <c r="Y30" s="27" t="e">
        <f>RTD("srv.rtd","","PLAYERSRANKING",Y$13,$S30,"SALDO","VOLF")</f>
        <v>#N/A</v>
      </c>
      <c r="Z30" s="27" t="e">
        <f>RTD("srv.rtd","","PLAYERSRANKING",Z$13,$S30,"SALDO","VOLF")</f>
        <v>#N/A</v>
      </c>
      <c r="AA30" s="27" t="e">
        <f>RTD("srv.rtd","","PLAYERSRANKING",AA$13,$S30,"SALDO","VOLF")</f>
        <v>#N/A</v>
      </c>
      <c r="AB30" s="27" t="e">
        <f>RTD("srv.rtd","","PLAYERSRANKING",AB$13,$S30,"SALDO","VOLF")</f>
        <v>#N/A</v>
      </c>
      <c r="AC30" s="27" t="e">
        <f>RTD("srv.rtd","","PLAYERSRANKING",AC$13,$S30,"SALDO","VOLF")</f>
        <v>#N/A</v>
      </c>
      <c r="AD30" s="27" t="e">
        <f>RTD("srv.rtd","","PLAYERSRANKING",AD$13,$S30,"SALDO","VOLF")</f>
        <v>#N/A</v>
      </c>
      <c r="AE30" s="27" t="e">
        <f>RTD("srv.rtd","","PLAYERSRANKING",AE$13,$S30,"SALDO","VOLF")</f>
        <v>#N/A</v>
      </c>
      <c r="AF30" s="27" t="e">
        <f>RTD("srv.rtd","","PLAYERSRANKING",AF$13,$S30,"SALDO","VOLF")</f>
        <v>#N/A</v>
      </c>
      <c r="AG30" s="27" t="e">
        <f>RTD("srv.rtd","","PLAYERSRANKING",AG$13,$S30,"SALDO","VOLF")</f>
        <v>#N/A</v>
      </c>
      <c r="AH30" s="27" t="e">
        <f>RTD("srv.rtd","","PLAYERSRANKING",AH$13,$S30,"SALDO","VOLF")</f>
        <v>#N/A</v>
      </c>
      <c r="AI30" s="27" t="e">
        <f>RTD("srv.rtd","","PLAYERSRANKING",AI$13,$S30,"SALDO","VOLF")</f>
        <v>#N/A</v>
      </c>
      <c r="AJ30" s="27" t="e">
        <f>RTD("srv.rtd","","PLAYERSRANKING",AJ$13,$S30,"SALDO","VOLF")</f>
        <v>#N/A</v>
      </c>
      <c r="AK30" s="27" t="e">
        <f>RTD("srv.rtd","","PLAYERSRANKING",AK$13,$S30,"SALDO","VOLF")</f>
        <v>#N/A</v>
      </c>
      <c r="AL30" s="27" t="e">
        <f>RTD("srv.rtd","","PLAYERSRANKING",AL$13,$S30,"SALDO","VOLF")</f>
        <v>#N/A</v>
      </c>
      <c r="AM30" s="27" t="e">
        <f>RTD("srv.rtd","","PLAYERSRANKING",AM$13,$S30,"SALDO","VOLF")</f>
        <v>#N/A</v>
      </c>
      <c r="AN30" s="27" t="e">
        <f>RTD("srv.rtd","","PLAYERSRANKING",AN$13,$S30,"SALDO","VOLF")</f>
        <v>#N/A</v>
      </c>
      <c r="AO30" s="27" t="e">
        <f>RTD("srv.rtd","","PLAYERSRANKING",AO$13,$S30,"SALDO","VOLF")</f>
        <v>#N/A</v>
      </c>
      <c r="AP30" s="27" t="e">
        <f>RTD("srv.rtd","","PLAYERSRANKING",AP$13,$S30,"SALDO","VOLF")</f>
        <v>#N/A</v>
      </c>
      <c r="AQ30" s="27" t="e">
        <f>RTD("srv.rtd","","PLAYERSRANKING",AQ$13,$S30,"SALDO","VOLF")</f>
        <v>#N/A</v>
      </c>
      <c r="AR30" s="27" t="e">
        <f>RTD("srv.rtd","","PLAYERSRANKING",AR$13,$S30,"SALDO","VOLF")</f>
        <v>#N/A</v>
      </c>
      <c r="AS30" s="27" t="e">
        <f>RTD("srv.rtd","","PLAYERSRANKING",AS$13,$S30,"SALDO","VOLF")</f>
        <v>#N/A</v>
      </c>
      <c r="AT30" s="27" t="e">
        <f>RTD("srv.rtd","","PLAYERSRANKING",AT$13,$S30,"SALDO","VOLF")</f>
        <v>#N/A</v>
      </c>
      <c r="AU30" s="27" t="e">
        <f>RTD("srv.rtd","","PLAYERSRANKING",AU$13,$S30,"SALDO","VOLF")</f>
        <v>#N/A</v>
      </c>
      <c r="AV30" s="27" t="e">
        <f>RTD("srv.rtd","","PLAYERSRANKING",AV$13,$S30,"SALDO","VOLF")</f>
        <v>#N/A</v>
      </c>
      <c r="AW30" s="27" t="e">
        <f>RTD("srv.rtd","","PLAYERSRANKING",AW$13,$S30,"SALDO","VOLF")</f>
        <v>#N/A</v>
      </c>
      <c r="AX30" s="27" t="e">
        <f>RTD("srv.rtd","","PLAYERSRANKING",AX$13,$S30,"SALDO","VOLF")</f>
        <v>#N/A</v>
      </c>
      <c r="AY30" s="27" t="e">
        <f>RTD("srv.rtd","","PLAYERSRANKING",AY$13,$S30,"SALDO","VOLF")</f>
        <v>#N/A</v>
      </c>
      <c r="AZ30" s="27" t="e">
        <f>RTD("srv.rtd","","PLAYERSRANKING",AZ$13,$S30,"SALDO","VOLF")</f>
        <v>#N/A</v>
      </c>
      <c r="BA30" s="27" t="e">
        <f>RTD("srv.rtd","","PLAYERSRANKING",BA$13,$S30,"SALDO","VOLF")</f>
        <v>#N/A</v>
      </c>
      <c r="BB30" s="27" t="e">
        <f>RTD("srv.rtd","","PLAYERSRANKING",BB$13,$S30,"SALDO","VOLF")</f>
        <v>#N/A</v>
      </c>
      <c r="BC30" s="27" t="e">
        <f>RTD("srv.rtd","","PLAYERSRANKING",BC$13,$S30,"SALDO","VOLF")</f>
        <v>#N/A</v>
      </c>
      <c r="BD30" s="27" t="e">
        <f>RTD("srv.rtd","","PLAYERSRANKING",BD$13,$S30,"SALDO","VOLF")</f>
        <v>#N/A</v>
      </c>
      <c r="BE30" s="27" t="e">
        <f>RTD("srv.rtd","","PLAYERSRANKING",BE$13,$S30,"SALDO","VOLF")</f>
        <v>#N/A</v>
      </c>
      <c r="BF30" s="27" t="e">
        <f>RTD("srv.rtd","","PLAYERSRANKING",BF$13,$S30,"SALDO","VOLF")</f>
        <v>#N/A</v>
      </c>
      <c r="BG30" s="27" t="e">
        <f>RTD("srv.rtd","","PLAYERSRANKING",BG$13,$S30,"SALDO","VOLF")</f>
        <v>#N/A</v>
      </c>
      <c r="BH30" s="27" t="e">
        <f>RTD("srv.rtd","","PLAYERSRANKING",BH$13,$S30,"SALDO","VOLF")</f>
        <v>#N/A</v>
      </c>
      <c r="BI30" s="27" t="e">
        <f>RTD("srv.rtd","","PLAYERSRANKING",BI$13,$S30,"SALDO","VOLF")</f>
        <v>#N/A</v>
      </c>
      <c r="BJ30" s="27" t="e">
        <f>RTD("srv.rtd","","PLAYERSRANKING",BJ$13,$S30,"SALDO","VOLF")</f>
        <v>#N/A</v>
      </c>
      <c r="BK30" s="27" t="e">
        <f>RTD("srv.rtd","","PLAYERSRANKING",BK$13,$S30,"SALDO","VOLF")</f>
        <v>#N/A</v>
      </c>
      <c r="BL30" s="27" t="e">
        <f>RTD("srv.rtd","","PLAYERSRANKING",BL$13,$S30,"SALDO","VOLF")</f>
        <v>#N/A</v>
      </c>
      <c r="BM30" s="27" t="e">
        <f>RTD("srv.rtd","","PLAYERSRANKING",BM$13,$S30,"SALDO","VOLF")</f>
        <v>#N/A</v>
      </c>
      <c r="BN30" s="27" t="e">
        <f>RTD("srv.rtd","","PLAYERSRANKING",BN$13,$S30,"SALDO","VOLF")</f>
        <v>#N/A</v>
      </c>
      <c r="BO30" s="27" t="e">
        <f>RTD("srv.rtd","","PLAYERSRANKING",BO$13,$S30,"SALDO","VOLF")</f>
        <v>#N/A</v>
      </c>
      <c r="BP30" s="27" t="e">
        <f>RTD("srv.rtd","","PLAYERSRANKING",BP$13,$S30,"SALDO","VOLF")</f>
        <v>#N/A</v>
      </c>
      <c r="BQ30" s="27" t="e">
        <f>RTD("srv.rtd","","PLAYERSRANKING",BQ$13,$S30,"SALDO","VOLF")</f>
        <v>#N/A</v>
      </c>
      <c r="BR30" s="27" t="e">
        <f>RTD("srv.rtd","","PLAYERSRANKING",BR$13,$S30,"SALDO","VOLF")</f>
        <v>#N/A</v>
      </c>
      <c r="BS30" s="27" t="e">
        <f>RTD("srv.rtd","","PLAYERSRANKING",BS$13,$S30,"SALDO","VOLF")</f>
        <v>#N/A</v>
      </c>
      <c r="BT30" s="27" t="e">
        <f>RTD("srv.rtd","","PLAYERSRANKING",BT$13,$S30,"SALDO","VOLF")</f>
        <v>#N/A</v>
      </c>
      <c r="BU30" s="27" t="e">
        <f>RTD("srv.rtd","","PLAYERSRANKING",BU$13,$S30,"SALDO","VOLF")</f>
        <v>#N/A</v>
      </c>
      <c r="BV30" s="27" t="e">
        <f>RTD("srv.rtd","","PLAYERSRANKING",BV$13,$S30,"SALDO","VOLF")</f>
        <v>#N/A</v>
      </c>
      <c r="BW30" s="27" t="e">
        <f>RTD("srv.rtd","","PLAYERSRANKING",BW$13,$S30,"SALDO","VOLF")</f>
        <v>#N/A</v>
      </c>
      <c r="BX30" s="27" t="e">
        <f>RTD("srv.rtd","","PLAYERSRANKING",BX$13,$S30,"SALDO","VOLF")</f>
        <v>#N/A</v>
      </c>
      <c r="BY30" s="27" t="e">
        <f>RTD("srv.rtd","","PLAYERSRANKING",BY$13,$S30,"SALDO","VOLF")</f>
        <v>#N/A</v>
      </c>
      <c r="BZ30" s="27" t="e">
        <f>RTD("srv.rtd","","PLAYERSRANKING",BZ$13,$S30,"SALDO","VOLF")</f>
        <v>#N/A</v>
      </c>
      <c r="CA30" s="27" t="e">
        <f>RTD("srv.rtd","","PLAYERSRANKING",CA$13,$S30,"SALDO","VOLF")</f>
        <v>#N/A</v>
      </c>
      <c r="CB30" s="27" t="e">
        <f>RTD("srv.rtd","","PLAYERSRANKING",CB$13,$S30,"SALDO","VOLF")</f>
        <v>#N/A</v>
      </c>
      <c r="CC30" s="27" t="e">
        <f>RTD("srv.rtd","","PLAYERSRANKING",CC$13,$S30,"SALDO","VOLF")</f>
        <v>#N/A</v>
      </c>
      <c r="CD30" s="27" t="e">
        <f>RTD("srv.rtd","","PLAYERSRANKING",CD$13,$S30,"SALDO","VOLF")</f>
        <v>#N/A</v>
      </c>
      <c r="CE30" s="27" t="e">
        <f>RTD("srv.rtd","","PLAYERSRANKING",CE$13,$S30,"SALDO","VOLF")</f>
        <v>#N/A</v>
      </c>
      <c r="CF30" s="27" t="e">
        <f>RTD("srv.rtd","","PLAYERSRANKING",CF$13,$S30,"SALDO","VOLF")</f>
        <v>#N/A</v>
      </c>
      <c r="CG30" s="27" t="e">
        <f>RTD("srv.rtd","","PLAYERSRANKING",CG$13,$S30,"SALDO","VOLF")</f>
        <v>#N/A</v>
      </c>
      <c r="CH30" s="27" t="e">
        <f>RTD("srv.rtd","","PLAYERSRANKING",CH$13,$S30,"SALDO","VOLF")</f>
        <v>#N/A</v>
      </c>
      <c r="CI30" s="27" t="e">
        <f>RTD("srv.rtd","","PLAYERSRANKING",CI$13,$S30,"SALDO","VOLF")</f>
        <v>#N/A</v>
      </c>
      <c r="CJ30" s="27" t="e">
        <f>RTD("srv.rtd","","PLAYERSRANKING",CJ$13,$S30,"SALDO","VOLF")</f>
        <v>#N/A</v>
      </c>
      <c r="CK30" s="27" t="e">
        <f>RTD("srv.rtd","","PLAYERSRANKING",CK$13,$S30,"SALDO","VOLF")</f>
        <v>#N/A</v>
      </c>
      <c r="CL30" s="27" t="e">
        <f>RTD("srv.rtd","","PLAYERSRANKING",CL$13,$S30,"SALDO","VOLF")</f>
        <v>#N/A</v>
      </c>
      <c r="CM30" s="27" t="e">
        <f>RTD("srv.rtd","","PLAYERSRANKING",CM$13,$S30,"SALDO","VOLF")</f>
        <v>#N/A</v>
      </c>
      <c r="CN30" s="27" t="e">
        <f>RTD("srv.rtd","","PLAYERSRANKING",CN$13,$S30,"SALDO","VOLF")</f>
        <v>#N/A</v>
      </c>
      <c r="CO30" s="27" t="e">
        <f>RTD("srv.rtd","","PLAYERSRANKING",CO$13,$S30,"SALDO","VOLF")</f>
        <v>#N/A</v>
      </c>
      <c r="CP30" s="27" t="e">
        <f>RTD("srv.rtd","","PLAYERSRANKING",CP$13,$S30,"SALDO","VOLF")</f>
        <v>#N/A</v>
      </c>
      <c r="CQ30" s="27" t="e">
        <f>RTD("srv.rtd","","PLAYERSRANKING",CQ$13,$S30,"SALDO","VOLF")</f>
        <v>#N/A</v>
      </c>
      <c r="CR30" s="27" t="e">
        <f>RTD("srv.rtd","","PLAYERSRANKING",CR$13,$S30,"SALDO","VOLF")</f>
        <v>#N/A</v>
      </c>
      <c r="CS30" s="27" t="e">
        <f>RTD("srv.rtd","","PLAYERSRANKING",CS$13,$S30,"SALDO","VOLF")</f>
        <v>#N/A</v>
      </c>
      <c r="CT30" s="27" t="e">
        <f>RTD("srv.rtd","","PLAYERSRANKING",CT$13,$S30,"SALDO","VOLF")</f>
        <v>#N/A</v>
      </c>
      <c r="CU30" s="27" t="e">
        <f>RTD("srv.rtd","","PLAYERSRANKING",CU$13,$S30,"SALDO","VOLF")</f>
        <v>#N/A</v>
      </c>
      <c r="CV30" s="27" t="e">
        <f>RTD("srv.rtd","","PLAYERSRANKING",CV$13,$S30,"SALDO","VOLF")</f>
        <v>#N/A</v>
      </c>
      <c r="CW30" s="27" t="e">
        <f>RTD("srv.rtd","","PLAYERSRANKING",CW$13,$S30,"SALDO","VOLF")</f>
        <v>#N/A</v>
      </c>
      <c r="CX30" s="27" t="e">
        <f>RTD("srv.rtd","","PLAYERSRANKING",CX$13,$S30,"SALDO","VOLF")</f>
        <v>#N/A</v>
      </c>
      <c r="CY30" s="27" t="e">
        <f>RTD("srv.rtd","","PLAYERSRANKING",CY$13,$S30,"SALDO","VOLF")</f>
        <v>#N/A</v>
      </c>
      <c r="CZ30" s="27" t="e">
        <f>RTD("srv.rtd","","PLAYERSRANKING",CZ$13,$S30,"SALDO","VOLF")</f>
        <v>#N/A</v>
      </c>
      <c r="DA30" s="27" t="e">
        <f>RTD("srv.rtd","","PLAYERSRANKING",DA$13,$S30,"SALDO","VOLF")</f>
        <v>#N/A</v>
      </c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</row>
    <row r="31" spans="1:124" x14ac:dyDescent="0.25">
      <c r="A31" s="2"/>
      <c r="B31" s="6" t="s">
        <v>40</v>
      </c>
      <c r="C31" s="19">
        <f>VLOOKUP(B31,RTD!$A$1:$H$196,2,0)</f>
        <v>11.060000000000002</v>
      </c>
      <c r="D31" s="19">
        <f>VLOOKUP(B31,RTD!$A$1:$H$196,3,0)</f>
        <v>11.2</v>
      </c>
      <c r="E31" s="19">
        <f>VLOOKUP(B31,RTD!$A$1:$H$196,4,0)</f>
        <v>11.26</v>
      </c>
      <c r="F31" s="19">
        <f>VLOOKUP(B31,RTD!$A$1:$H$196,5,0)</f>
        <v>11.05</v>
      </c>
      <c r="G31" s="19">
        <f>VLOOKUP(B31,RTD!$A$1:$H$196,6,0)</f>
        <v>11.06</v>
      </c>
      <c r="H31" s="19">
        <f t="shared" si="6"/>
        <v>11.055</v>
      </c>
      <c r="I31" s="14">
        <f t="shared" si="7"/>
        <v>-1.8206039076376523E-2</v>
      </c>
      <c r="J31" s="98">
        <f>VLOOKUP(B31,'Market Data'!$A$4:$F$100,6,0)*C31</f>
        <v>670.35045818729907</v>
      </c>
      <c r="K31" s="19">
        <f>VLOOKUP(B31,RTD!$A$2:$H$100,8,0)</f>
        <v>1.25</v>
      </c>
      <c r="L31" s="14">
        <f t="shared" si="8"/>
        <v>-9.2610627684759916E-3</v>
      </c>
      <c r="M31" s="19">
        <f>VLOOKUP(B31,RTD!$A$1:$H$196,7,0)</f>
        <v>0</v>
      </c>
      <c r="N31" s="98">
        <f>IF(M31=0,J31,IF(M31=0,C31,M31)*VLOOKUP(B31,'Market Data'!$A$4:$F$100,6,0))</f>
        <v>670.35045818729907</v>
      </c>
      <c r="O31" s="7" t="s">
        <v>40</v>
      </c>
      <c r="P31" s="14"/>
      <c r="Q31" s="13"/>
      <c r="S31" s="133"/>
      <c r="T31" s="135"/>
      <c r="U31" s="27" t="e">
        <f>RTD("srv.rtd","","PLAYERSRANKING",$U$13,S31,"SALDO","VOLF")</f>
        <v>#N/A</v>
      </c>
      <c r="V31" s="27" t="e">
        <f>RTD("srv.rtd","","PLAYERSRANKING",V$13,S31,"SALDO","VOLF")*0.2</f>
        <v>#N/A</v>
      </c>
      <c r="W31" s="27" t="e">
        <f>RTD("srv.rtd","","PLAYERSRANKING",W$13,S31,"SALDO","VOLF")*50</f>
        <v>#N/A</v>
      </c>
      <c r="X31" s="27" t="e">
        <f>RTD("srv.rtd","","PLAYERSRANKING",X$13,S31,"SALDO","VOLF")*10</f>
        <v>#N/A</v>
      </c>
      <c r="Y31" s="27" t="e">
        <f>RTD("srv.rtd","","PLAYERSRANKING",Y$13,$S31,"SALDO","VOLF")</f>
        <v>#N/A</v>
      </c>
      <c r="Z31" s="27" t="e">
        <f>RTD("srv.rtd","","PLAYERSRANKING",Z$13,$S31,"SALDO","VOLF")</f>
        <v>#N/A</v>
      </c>
      <c r="AA31" s="27" t="e">
        <f>RTD("srv.rtd","","PLAYERSRANKING",AA$13,$S31,"SALDO","VOLF")</f>
        <v>#N/A</v>
      </c>
      <c r="AB31" s="27" t="e">
        <f>RTD("srv.rtd","","PLAYERSRANKING",AB$13,$S31,"SALDO","VOLF")</f>
        <v>#N/A</v>
      </c>
      <c r="AC31" s="27" t="e">
        <f>RTD("srv.rtd","","PLAYERSRANKING",AC$13,$S31,"SALDO","VOLF")</f>
        <v>#N/A</v>
      </c>
      <c r="AD31" s="27" t="e">
        <f>RTD("srv.rtd","","PLAYERSRANKING",AD$13,$S31,"SALDO","VOLF")</f>
        <v>#N/A</v>
      </c>
      <c r="AE31" s="27" t="e">
        <f>RTD("srv.rtd","","PLAYERSRANKING",AE$13,$S31,"SALDO","VOLF")</f>
        <v>#N/A</v>
      </c>
      <c r="AF31" s="27" t="e">
        <f>RTD("srv.rtd","","PLAYERSRANKING",AF$13,$S31,"SALDO","VOLF")</f>
        <v>#N/A</v>
      </c>
      <c r="AG31" s="27" t="e">
        <f>RTD("srv.rtd","","PLAYERSRANKING",AG$13,$S31,"SALDO","VOLF")</f>
        <v>#N/A</v>
      </c>
      <c r="AH31" s="27" t="e">
        <f>RTD("srv.rtd","","PLAYERSRANKING",AH$13,$S31,"SALDO","VOLF")</f>
        <v>#N/A</v>
      </c>
      <c r="AI31" s="27" t="e">
        <f>RTD("srv.rtd","","PLAYERSRANKING",AI$13,$S31,"SALDO","VOLF")</f>
        <v>#N/A</v>
      </c>
      <c r="AJ31" s="27" t="e">
        <f>RTD("srv.rtd","","PLAYERSRANKING",AJ$13,$S31,"SALDO","VOLF")</f>
        <v>#N/A</v>
      </c>
      <c r="AK31" s="27" t="e">
        <f>RTD("srv.rtd","","PLAYERSRANKING",AK$13,$S31,"SALDO","VOLF")</f>
        <v>#N/A</v>
      </c>
      <c r="AL31" s="27" t="e">
        <f>RTD("srv.rtd","","PLAYERSRANKING",AL$13,$S31,"SALDO","VOLF")</f>
        <v>#N/A</v>
      </c>
      <c r="AM31" s="27" t="e">
        <f>RTD("srv.rtd","","PLAYERSRANKING",AM$13,$S31,"SALDO","VOLF")</f>
        <v>#N/A</v>
      </c>
      <c r="AN31" s="27" t="e">
        <f>RTD("srv.rtd","","PLAYERSRANKING",AN$13,$S31,"SALDO","VOLF")</f>
        <v>#N/A</v>
      </c>
      <c r="AO31" s="27" t="e">
        <f>RTD("srv.rtd","","PLAYERSRANKING",AO$13,$S31,"SALDO","VOLF")</f>
        <v>#N/A</v>
      </c>
      <c r="AP31" s="27" t="e">
        <f>RTD("srv.rtd","","PLAYERSRANKING",AP$13,$S31,"SALDO","VOLF")</f>
        <v>#N/A</v>
      </c>
      <c r="AQ31" s="27" t="e">
        <f>RTD("srv.rtd","","PLAYERSRANKING",AQ$13,$S31,"SALDO","VOLF")</f>
        <v>#N/A</v>
      </c>
      <c r="AR31" s="27" t="e">
        <f>RTD("srv.rtd","","PLAYERSRANKING",AR$13,$S31,"SALDO","VOLF")</f>
        <v>#N/A</v>
      </c>
      <c r="AS31" s="27" t="e">
        <f>RTD("srv.rtd","","PLAYERSRANKING",AS$13,$S31,"SALDO","VOLF")</f>
        <v>#N/A</v>
      </c>
      <c r="AT31" s="27" t="e">
        <f>RTD("srv.rtd","","PLAYERSRANKING",AT$13,$S31,"SALDO","VOLF")</f>
        <v>#N/A</v>
      </c>
      <c r="AU31" s="27" t="e">
        <f>RTD("srv.rtd","","PLAYERSRANKING",AU$13,$S31,"SALDO","VOLF")</f>
        <v>#N/A</v>
      </c>
      <c r="AV31" s="27" t="e">
        <f>RTD("srv.rtd","","PLAYERSRANKING",AV$13,$S31,"SALDO","VOLF")</f>
        <v>#N/A</v>
      </c>
      <c r="AW31" s="27" t="e">
        <f>RTD("srv.rtd","","PLAYERSRANKING",AW$13,$S31,"SALDO","VOLF")</f>
        <v>#N/A</v>
      </c>
      <c r="AX31" s="27" t="e">
        <f>RTD("srv.rtd","","PLAYERSRANKING",AX$13,$S31,"SALDO","VOLF")</f>
        <v>#N/A</v>
      </c>
      <c r="AY31" s="27" t="e">
        <f>RTD("srv.rtd","","PLAYERSRANKING",AY$13,$S31,"SALDO","VOLF")</f>
        <v>#N/A</v>
      </c>
      <c r="AZ31" s="27" t="e">
        <f>RTD("srv.rtd","","PLAYERSRANKING",AZ$13,$S31,"SALDO","VOLF")</f>
        <v>#N/A</v>
      </c>
      <c r="BA31" s="27" t="e">
        <f>RTD("srv.rtd","","PLAYERSRANKING",BA$13,$S31,"SALDO","VOLF")</f>
        <v>#N/A</v>
      </c>
      <c r="BB31" s="27" t="e">
        <f>RTD("srv.rtd","","PLAYERSRANKING",BB$13,$S31,"SALDO","VOLF")</f>
        <v>#N/A</v>
      </c>
      <c r="BC31" s="27" t="e">
        <f>RTD("srv.rtd","","PLAYERSRANKING",BC$13,$S31,"SALDO","VOLF")</f>
        <v>#N/A</v>
      </c>
      <c r="BD31" s="27" t="e">
        <f>RTD("srv.rtd","","PLAYERSRANKING",BD$13,$S31,"SALDO","VOLF")</f>
        <v>#N/A</v>
      </c>
      <c r="BE31" s="27" t="e">
        <f>RTD("srv.rtd","","PLAYERSRANKING",BE$13,$S31,"SALDO","VOLF")</f>
        <v>#N/A</v>
      </c>
      <c r="BF31" s="27" t="e">
        <f>RTD("srv.rtd","","PLAYERSRANKING",BF$13,$S31,"SALDO","VOLF")</f>
        <v>#N/A</v>
      </c>
      <c r="BG31" s="27" t="e">
        <f>RTD("srv.rtd","","PLAYERSRANKING",BG$13,$S31,"SALDO","VOLF")</f>
        <v>#N/A</v>
      </c>
      <c r="BH31" s="27" t="e">
        <f>RTD("srv.rtd","","PLAYERSRANKING",BH$13,$S31,"SALDO","VOLF")</f>
        <v>#N/A</v>
      </c>
      <c r="BI31" s="27" t="e">
        <f>RTD("srv.rtd","","PLAYERSRANKING",BI$13,$S31,"SALDO","VOLF")</f>
        <v>#N/A</v>
      </c>
      <c r="BJ31" s="27" t="e">
        <f>RTD("srv.rtd","","PLAYERSRANKING",BJ$13,$S31,"SALDO","VOLF")</f>
        <v>#N/A</v>
      </c>
      <c r="BK31" s="27" t="e">
        <f>RTD("srv.rtd","","PLAYERSRANKING",BK$13,$S31,"SALDO","VOLF")</f>
        <v>#N/A</v>
      </c>
      <c r="BL31" s="27" t="e">
        <f>RTD("srv.rtd","","PLAYERSRANKING",BL$13,$S31,"SALDO","VOLF")</f>
        <v>#N/A</v>
      </c>
      <c r="BM31" s="27" t="e">
        <f>RTD("srv.rtd","","PLAYERSRANKING",BM$13,$S31,"SALDO","VOLF")</f>
        <v>#N/A</v>
      </c>
      <c r="BN31" s="27" t="e">
        <f>RTD("srv.rtd","","PLAYERSRANKING",BN$13,$S31,"SALDO","VOLF")</f>
        <v>#N/A</v>
      </c>
      <c r="BO31" s="27" t="e">
        <f>RTD("srv.rtd","","PLAYERSRANKING",BO$13,$S31,"SALDO","VOLF")</f>
        <v>#N/A</v>
      </c>
      <c r="BP31" s="27" t="e">
        <f>RTD("srv.rtd","","PLAYERSRANKING",BP$13,$S31,"SALDO","VOLF")</f>
        <v>#N/A</v>
      </c>
      <c r="BQ31" s="27" t="e">
        <f>RTD("srv.rtd","","PLAYERSRANKING",BQ$13,$S31,"SALDO","VOLF")</f>
        <v>#N/A</v>
      </c>
      <c r="BR31" s="27" t="e">
        <f>RTD("srv.rtd","","PLAYERSRANKING",BR$13,$S31,"SALDO","VOLF")</f>
        <v>#N/A</v>
      </c>
      <c r="BS31" s="27" t="e">
        <f>RTD("srv.rtd","","PLAYERSRANKING",BS$13,$S31,"SALDO","VOLF")</f>
        <v>#N/A</v>
      </c>
      <c r="BT31" s="27" t="e">
        <f>RTD("srv.rtd","","PLAYERSRANKING",BT$13,$S31,"SALDO","VOLF")</f>
        <v>#N/A</v>
      </c>
      <c r="BU31" s="27" t="e">
        <f>RTD("srv.rtd","","PLAYERSRANKING",BU$13,$S31,"SALDO","VOLF")</f>
        <v>#N/A</v>
      </c>
      <c r="BV31" s="27" t="e">
        <f>RTD("srv.rtd","","PLAYERSRANKING",BV$13,$S31,"SALDO","VOLF")</f>
        <v>#N/A</v>
      </c>
      <c r="BW31" s="27" t="e">
        <f>RTD("srv.rtd","","PLAYERSRANKING",BW$13,$S31,"SALDO","VOLF")</f>
        <v>#N/A</v>
      </c>
      <c r="BX31" s="27" t="e">
        <f>RTD("srv.rtd","","PLAYERSRANKING",BX$13,$S31,"SALDO","VOLF")</f>
        <v>#N/A</v>
      </c>
      <c r="BY31" s="27" t="e">
        <f>RTD("srv.rtd","","PLAYERSRANKING",BY$13,$S31,"SALDO","VOLF")</f>
        <v>#N/A</v>
      </c>
      <c r="BZ31" s="27" t="e">
        <f>RTD("srv.rtd","","PLAYERSRANKING",BZ$13,$S31,"SALDO","VOLF")</f>
        <v>#N/A</v>
      </c>
      <c r="CA31" s="27" t="e">
        <f>RTD("srv.rtd","","PLAYERSRANKING",CA$13,$S31,"SALDO","VOLF")</f>
        <v>#N/A</v>
      </c>
      <c r="CB31" s="27" t="e">
        <f>RTD("srv.rtd","","PLAYERSRANKING",CB$13,$S31,"SALDO","VOLF")</f>
        <v>#N/A</v>
      </c>
      <c r="CC31" s="27" t="e">
        <f>RTD("srv.rtd","","PLAYERSRANKING",CC$13,$S31,"SALDO","VOLF")</f>
        <v>#N/A</v>
      </c>
      <c r="CD31" s="27" t="e">
        <f>RTD("srv.rtd","","PLAYERSRANKING",CD$13,$S31,"SALDO","VOLF")</f>
        <v>#N/A</v>
      </c>
      <c r="CE31" s="27" t="e">
        <f>RTD("srv.rtd","","PLAYERSRANKING",CE$13,$S31,"SALDO","VOLF")</f>
        <v>#N/A</v>
      </c>
      <c r="CF31" s="27" t="e">
        <f>RTD("srv.rtd","","PLAYERSRANKING",CF$13,$S31,"SALDO","VOLF")</f>
        <v>#N/A</v>
      </c>
      <c r="CG31" s="27" t="e">
        <f>RTD("srv.rtd","","PLAYERSRANKING",CG$13,$S31,"SALDO","VOLF")</f>
        <v>#N/A</v>
      </c>
      <c r="CH31" s="27" t="e">
        <f>RTD("srv.rtd","","PLAYERSRANKING",CH$13,$S31,"SALDO","VOLF")</f>
        <v>#N/A</v>
      </c>
      <c r="CI31" s="27" t="e">
        <f>RTD("srv.rtd","","PLAYERSRANKING",CI$13,$S31,"SALDO","VOLF")</f>
        <v>#N/A</v>
      </c>
      <c r="CJ31" s="27" t="e">
        <f>RTD("srv.rtd","","PLAYERSRANKING",CJ$13,$S31,"SALDO","VOLF")</f>
        <v>#N/A</v>
      </c>
      <c r="CK31" s="27" t="e">
        <f>RTD("srv.rtd","","PLAYERSRANKING",CK$13,$S31,"SALDO","VOLF")</f>
        <v>#N/A</v>
      </c>
      <c r="CL31" s="27" t="e">
        <f>RTD("srv.rtd","","PLAYERSRANKING",CL$13,$S31,"SALDO","VOLF")</f>
        <v>#N/A</v>
      </c>
      <c r="CM31" s="27" t="e">
        <f>RTD("srv.rtd","","PLAYERSRANKING",CM$13,$S31,"SALDO","VOLF")</f>
        <v>#N/A</v>
      </c>
      <c r="CN31" s="27" t="e">
        <f>RTD("srv.rtd","","PLAYERSRANKING",CN$13,$S31,"SALDO","VOLF")</f>
        <v>#N/A</v>
      </c>
      <c r="CO31" s="27" t="e">
        <f>RTD("srv.rtd","","PLAYERSRANKING",CO$13,$S31,"SALDO","VOLF")</f>
        <v>#N/A</v>
      </c>
      <c r="CP31" s="27" t="e">
        <f>RTD("srv.rtd","","PLAYERSRANKING",CP$13,$S31,"SALDO","VOLF")</f>
        <v>#N/A</v>
      </c>
      <c r="CQ31" s="27" t="e">
        <f>RTD("srv.rtd","","PLAYERSRANKING",CQ$13,$S31,"SALDO","VOLF")</f>
        <v>#N/A</v>
      </c>
      <c r="CR31" s="27" t="e">
        <f>RTD("srv.rtd","","PLAYERSRANKING",CR$13,$S31,"SALDO","VOLF")</f>
        <v>#N/A</v>
      </c>
      <c r="CS31" s="27" t="e">
        <f>RTD("srv.rtd","","PLAYERSRANKING",CS$13,$S31,"SALDO","VOLF")</f>
        <v>#N/A</v>
      </c>
      <c r="CT31" s="27" t="e">
        <f>RTD("srv.rtd","","PLAYERSRANKING",CT$13,$S31,"SALDO","VOLF")</f>
        <v>#N/A</v>
      </c>
      <c r="CU31" s="27" t="e">
        <f>RTD("srv.rtd","","PLAYERSRANKING",CU$13,$S31,"SALDO","VOLF")</f>
        <v>#N/A</v>
      </c>
      <c r="CV31" s="27" t="e">
        <f>RTD("srv.rtd","","PLAYERSRANKING",CV$13,$S31,"SALDO","VOLF")</f>
        <v>#N/A</v>
      </c>
      <c r="CW31" s="27" t="e">
        <f>RTD("srv.rtd","","PLAYERSRANKING",CW$13,$S31,"SALDO","VOLF")</f>
        <v>#N/A</v>
      </c>
      <c r="CX31" s="27" t="e">
        <f>RTD("srv.rtd","","PLAYERSRANKING",CX$13,$S31,"SALDO","VOLF")</f>
        <v>#N/A</v>
      </c>
      <c r="CY31" s="27" t="e">
        <f>RTD("srv.rtd","","PLAYERSRANKING",CY$13,$S31,"SALDO","VOLF")</f>
        <v>#N/A</v>
      </c>
      <c r="CZ31" s="27" t="e">
        <f>RTD("srv.rtd","","PLAYERSRANKING",CZ$13,$S31,"SALDO","VOLF")</f>
        <v>#N/A</v>
      </c>
      <c r="DA31" s="27" t="e">
        <f>RTD("srv.rtd","","PLAYERSRANKING",DA$13,$S31,"SALDO","VOLF")</f>
        <v>#N/A</v>
      </c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</row>
    <row r="32" spans="1:124" x14ac:dyDescent="0.25">
      <c r="A32" s="2"/>
      <c r="B32" s="6" t="s">
        <v>43</v>
      </c>
      <c r="C32" s="19">
        <f>VLOOKUP(B32,RTD!$A$1:$H$196,2,0)</f>
        <v>2.04</v>
      </c>
      <c r="D32" s="19">
        <f>VLOOKUP(B32,RTD!$A$1:$H$196,3,0)</f>
        <v>2.0500000000000003</v>
      </c>
      <c r="E32" s="19">
        <f>VLOOKUP(B32,RTD!$A$1:$H$196,4,0)</f>
        <v>2.0500000000000003</v>
      </c>
      <c r="F32" s="19">
        <f>VLOOKUP(B32,RTD!$A$1:$H$196,5,0)</f>
        <v>2.04</v>
      </c>
      <c r="G32" s="19">
        <f>VLOOKUP(B32,RTD!$A$1:$H$196,6,0)</f>
        <v>2.0499999999999998</v>
      </c>
      <c r="H32" s="19">
        <f t="shared" si="6"/>
        <v>2.0449999999999999</v>
      </c>
      <c r="I32" s="14">
        <f t="shared" si="7"/>
        <v>-2.4390243902440156E-3</v>
      </c>
      <c r="J32" s="98">
        <f>VLOOKUP(B32,'Market Data'!$A$4:$F$100,6,0)*C32</f>
        <v>123.25734984597474</v>
      </c>
      <c r="K32" s="19">
        <f>VLOOKUP(B32,RTD!$A$2:$H$100,8,0)</f>
        <v>1.23</v>
      </c>
      <c r="L32" s="14">
        <f t="shared" si="8"/>
        <v>6.3628322967301081E-3</v>
      </c>
      <c r="M32" s="19">
        <f>VLOOKUP(B32,RTD!$A$1:$H$196,7,0)</f>
        <v>0</v>
      </c>
      <c r="N32" s="98">
        <f>IF(M32=0,J32,IF(M32=0,C32,M32)*VLOOKUP(B32,'Market Data'!$A$4:$F$100,6,0))</f>
        <v>123.25734984597474</v>
      </c>
      <c r="O32" s="7" t="s">
        <v>43</v>
      </c>
      <c r="P32" s="14"/>
      <c r="Q32" s="13"/>
      <c r="S32" s="133">
        <v>40</v>
      </c>
      <c r="T32" s="135" t="s">
        <v>197</v>
      </c>
      <c r="U32" s="27" t="e">
        <f>RTD("srv.rtd","","PLAYERSRANKING",$U$13,S32,"SALDO","VOLF")</f>
        <v>#N/A</v>
      </c>
      <c r="V32" s="27" t="e">
        <f>RTD("srv.rtd","","PLAYERSRANKING",V$13,S32,"SALDO","VOLF")*0.2</f>
        <v>#N/A</v>
      </c>
      <c r="W32" s="27" t="e">
        <f>RTD("srv.rtd","","PLAYERSRANKING",W$13,S32,"SALDO","VOLF")*50</f>
        <v>#N/A</v>
      </c>
      <c r="X32" s="27" t="e">
        <f>RTD("srv.rtd","","PLAYERSRANKING",X$13,S32,"SALDO","VOLF")*10</f>
        <v>#N/A</v>
      </c>
      <c r="Y32" s="27" t="e">
        <f>RTD("srv.rtd","","PLAYERSRANKING",Y$13,$S32,"SALDO","VOLF")</f>
        <v>#N/A</v>
      </c>
      <c r="Z32" s="27" t="e">
        <f>RTD("srv.rtd","","PLAYERSRANKING",Z$13,$S32,"SALDO","VOLF")</f>
        <v>#N/A</v>
      </c>
      <c r="AA32" s="27" t="e">
        <f>RTD("srv.rtd","","PLAYERSRANKING",AA$13,$S32,"SALDO","VOLF")</f>
        <v>#N/A</v>
      </c>
      <c r="AB32" s="27" t="e">
        <f>RTD("srv.rtd","","PLAYERSRANKING",AB$13,$S32,"SALDO","VOLF")</f>
        <v>#N/A</v>
      </c>
      <c r="AC32" s="27" t="e">
        <f>RTD("srv.rtd","","PLAYERSRANKING",AC$13,$S32,"SALDO","VOLF")</f>
        <v>#N/A</v>
      </c>
      <c r="AD32" s="27" t="e">
        <f>RTD("srv.rtd","","PLAYERSRANKING",AD$13,$S32,"SALDO","VOLF")</f>
        <v>#N/A</v>
      </c>
      <c r="AE32" s="27" t="e">
        <f>RTD("srv.rtd","","PLAYERSRANKING",AE$13,$S32,"SALDO","VOLF")</f>
        <v>#N/A</v>
      </c>
      <c r="AF32" s="27" t="e">
        <f>RTD("srv.rtd","","PLAYERSRANKING",AF$13,$S32,"SALDO","VOLF")</f>
        <v>#N/A</v>
      </c>
      <c r="AG32" s="27" t="e">
        <f>RTD("srv.rtd","","PLAYERSRANKING",AG$13,$S32,"SALDO","VOLF")</f>
        <v>#N/A</v>
      </c>
      <c r="AH32" s="27" t="e">
        <f>RTD("srv.rtd","","PLAYERSRANKING",AH$13,$S32,"SALDO","VOLF")</f>
        <v>#N/A</v>
      </c>
      <c r="AI32" s="27" t="e">
        <f>RTD("srv.rtd","","PLAYERSRANKING",AI$13,$S32,"SALDO","VOLF")</f>
        <v>#N/A</v>
      </c>
      <c r="AJ32" s="27" t="e">
        <f>RTD("srv.rtd","","PLAYERSRANKING",AJ$13,$S32,"SALDO","VOLF")</f>
        <v>#N/A</v>
      </c>
      <c r="AK32" s="27" t="e">
        <f>RTD("srv.rtd","","PLAYERSRANKING",AK$13,$S32,"SALDO","VOLF")</f>
        <v>#N/A</v>
      </c>
      <c r="AL32" s="27" t="e">
        <f>RTD("srv.rtd","","PLAYERSRANKING",AL$13,$S32,"SALDO","VOLF")</f>
        <v>#N/A</v>
      </c>
      <c r="AM32" s="27" t="e">
        <f>RTD("srv.rtd","","PLAYERSRANKING",AM$13,$S32,"SALDO","VOLF")</f>
        <v>#N/A</v>
      </c>
      <c r="AN32" s="27" t="e">
        <f>RTD("srv.rtd","","PLAYERSRANKING",AN$13,$S32,"SALDO","VOLF")</f>
        <v>#N/A</v>
      </c>
      <c r="AO32" s="27" t="e">
        <f>RTD("srv.rtd","","PLAYERSRANKING",AO$13,$S32,"SALDO","VOLF")</f>
        <v>#N/A</v>
      </c>
      <c r="AP32" s="27" t="e">
        <f>RTD("srv.rtd","","PLAYERSRANKING",AP$13,$S32,"SALDO","VOLF")</f>
        <v>#N/A</v>
      </c>
      <c r="AQ32" s="27" t="e">
        <f>RTD("srv.rtd","","PLAYERSRANKING",AQ$13,$S32,"SALDO","VOLF")</f>
        <v>#N/A</v>
      </c>
      <c r="AR32" s="27" t="e">
        <f>RTD("srv.rtd","","PLAYERSRANKING",AR$13,$S32,"SALDO","VOLF")</f>
        <v>#N/A</v>
      </c>
      <c r="AS32" s="27" t="e">
        <f>RTD("srv.rtd","","PLAYERSRANKING",AS$13,$S32,"SALDO","VOLF")</f>
        <v>#N/A</v>
      </c>
      <c r="AT32" s="27" t="e">
        <f>RTD("srv.rtd","","PLAYERSRANKING",AT$13,$S32,"SALDO","VOLF")</f>
        <v>#N/A</v>
      </c>
      <c r="AU32" s="27" t="e">
        <f>RTD("srv.rtd","","PLAYERSRANKING",AU$13,$S32,"SALDO","VOLF")</f>
        <v>#N/A</v>
      </c>
      <c r="AV32" s="27" t="e">
        <f>RTD("srv.rtd","","PLAYERSRANKING",AV$13,$S32,"SALDO","VOLF")</f>
        <v>#N/A</v>
      </c>
      <c r="AW32" s="27" t="e">
        <f>RTD("srv.rtd","","PLAYERSRANKING",AW$13,$S32,"SALDO","VOLF")</f>
        <v>#N/A</v>
      </c>
      <c r="AX32" s="27" t="e">
        <f>RTD("srv.rtd","","PLAYERSRANKING",AX$13,$S32,"SALDO","VOLF")</f>
        <v>#N/A</v>
      </c>
      <c r="AY32" s="27" t="e">
        <f>RTD("srv.rtd","","PLAYERSRANKING",AY$13,$S32,"SALDO","VOLF")</f>
        <v>#N/A</v>
      </c>
      <c r="AZ32" s="27" t="e">
        <f>RTD("srv.rtd","","PLAYERSRANKING",AZ$13,$S32,"SALDO","VOLF")</f>
        <v>#N/A</v>
      </c>
      <c r="BA32" s="27" t="e">
        <f>RTD("srv.rtd","","PLAYERSRANKING",BA$13,$S32,"SALDO","VOLF")</f>
        <v>#N/A</v>
      </c>
      <c r="BB32" s="27" t="e">
        <f>RTD("srv.rtd","","PLAYERSRANKING",BB$13,$S32,"SALDO","VOLF")</f>
        <v>#N/A</v>
      </c>
      <c r="BC32" s="27" t="e">
        <f>RTD("srv.rtd","","PLAYERSRANKING",BC$13,$S32,"SALDO","VOLF")</f>
        <v>#N/A</v>
      </c>
      <c r="BD32" s="27" t="e">
        <f>RTD("srv.rtd","","PLAYERSRANKING",BD$13,$S32,"SALDO","VOLF")</f>
        <v>#N/A</v>
      </c>
      <c r="BE32" s="27" t="e">
        <f>RTD("srv.rtd","","PLAYERSRANKING",BE$13,$S32,"SALDO","VOLF")</f>
        <v>#N/A</v>
      </c>
      <c r="BF32" s="27" t="e">
        <f>RTD("srv.rtd","","PLAYERSRANKING",BF$13,$S32,"SALDO","VOLF")</f>
        <v>#N/A</v>
      </c>
      <c r="BG32" s="27" t="e">
        <f>RTD("srv.rtd","","PLAYERSRANKING",BG$13,$S32,"SALDO","VOLF")</f>
        <v>#N/A</v>
      </c>
      <c r="BH32" s="27" t="e">
        <f>RTD("srv.rtd","","PLAYERSRANKING",BH$13,$S32,"SALDO","VOLF")</f>
        <v>#N/A</v>
      </c>
      <c r="BI32" s="27" t="e">
        <f>RTD("srv.rtd","","PLAYERSRANKING",BI$13,$S32,"SALDO","VOLF")</f>
        <v>#N/A</v>
      </c>
      <c r="BJ32" s="27" t="e">
        <f>RTD("srv.rtd","","PLAYERSRANKING",BJ$13,$S32,"SALDO","VOLF")</f>
        <v>#N/A</v>
      </c>
      <c r="BK32" s="27" t="e">
        <f>RTD("srv.rtd","","PLAYERSRANKING",BK$13,$S32,"SALDO","VOLF")</f>
        <v>#N/A</v>
      </c>
      <c r="BL32" s="27" t="e">
        <f>RTD("srv.rtd","","PLAYERSRANKING",BL$13,$S32,"SALDO","VOLF")</f>
        <v>#N/A</v>
      </c>
      <c r="BM32" s="27" t="e">
        <f>RTD("srv.rtd","","PLAYERSRANKING",BM$13,$S32,"SALDO","VOLF")</f>
        <v>#N/A</v>
      </c>
      <c r="BN32" s="27" t="e">
        <f>RTD("srv.rtd","","PLAYERSRANKING",BN$13,$S32,"SALDO","VOLF")</f>
        <v>#N/A</v>
      </c>
      <c r="BO32" s="27" t="e">
        <f>RTD("srv.rtd","","PLAYERSRANKING",BO$13,$S32,"SALDO","VOLF")</f>
        <v>#N/A</v>
      </c>
      <c r="BP32" s="27" t="e">
        <f>RTD("srv.rtd","","PLAYERSRANKING",BP$13,$S32,"SALDO","VOLF")</f>
        <v>#N/A</v>
      </c>
      <c r="BQ32" s="27" t="e">
        <f>RTD("srv.rtd","","PLAYERSRANKING",BQ$13,$S32,"SALDO","VOLF")</f>
        <v>#N/A</v>
      </c>
      <c r="BR32" s="27" t="e">
        <f>RTD("srv.rtd","","PLAYERSRANKING",BR$13,$S32,"SALDO","VOLF")</f>
        <v>#N/A</v>
      </c>
      <c r="BS32" s="27" t="e">
        <f>RTD("srv.rtd","","PLAYERSRANKING",BS$13,$S32,"SALDO","VOLF")</f>
        <v>#N/A</v>
      </c>
      <c r="BT32" s="27" t="e">
        <f>RTD("srv.rtd","","PLAYERSRANKING",BT$13,$S32,"SALDO","VOLF")</f>
        <v>#N/A</v>
      </c>
      <c r="BU32" s="27" t="e">
        <f>RTD("srv.rtd","","PLAYERSRANKING",BU$13,$S32,"SALDO","VOLF")</f>
        <v>#N/A</v>
      </c>
      <c r="BV32" s="27" t="e">
        <f>RTD("srv.rtd","","PLAYERSRANKING",BV$13,$S32,"SALDO","VOLF")</f>
        <v>#N/A</v>
      </c>
      <c r="BW32" s="27" t="e">
        <f>RTD("srv.rtd","","PLAYERSRANKING",BW$13,$S32,"SALDO","VOLF")</f>
        <v>#N/A</v>
      </c>
      <c r="BX32" s="27" t="e">
        <f>RTD("srv.rtd","","PLAYERSRANKING",BX$13,$S32,"SALDO","VOLF")</f>
        <v>#N/A</v>
      </c>
      <c r="BY32" s="27" t="e">
        <f>RTD("srv.rtd","","PLAYERSRANKING",BY$13,$S32,"SALDO","VOLF")</f>
        <v>#N/A</v>
      </c>
      <c r="BZ32" s="27" t="e">
        <f>RTD("srv.rtd","","PLAYERSRANKING",BZ$13,$S32,"SALDO","VOLF")</f>
        <v>#N/A</v>
      </c>
      <c r="CA32" s="27" t="e">
        <f>RTD("srv.rtd","","PLAYERSRANKING",CA$13,$S32,"SALDO","VOLF")</f>
        <v>#N/A</v>
      </c>
      <c r="CB32" s="27" t="e">
        <f>RTD("srv.rtd","","PLAYERSRANKING",CB$13,$S32,"SALDO","VOLF")</f>
        <v>#N/A</v>
      </c>
      <c r="CC32" s="27" t="e">
        <f>RTD("srv.rtd","","PLAYERSRANKING",CC$13,$S32,"SALDO","VOLF")</f>
        <v>#N/A</v>
      </c>
      <c r="CD32" s="27" t="e">
        <f>RTD("srv.rtd","","PLAYERSRANKING",CD$13,$S32,"SALDO","VOLF")</f>
        <v>#N/A</v>
      </c>
      <c r="CE32" s="27" t="e">
        <f>RTD("srv.rtd","","PLAYERSRANKING",CE$13,$S32,"SALDO","VOLF")</f>
        <v>#N/A</v>
      </c>
      <c r="CF32" s="27" t="e">
        <f>RTD("srv.rtd","","PLAYERSRANKING",CF$13,$S32,"SALDO","VOLF")</f>
        <v>#N/A</v>
      </c>
      <c r="CG32" s="27" t="e">
        <f>RTD("srv.rtd","","PLAYERSRANKING",CG$13,$S32,"SALDO","VOLF")</f>
        <v>#N/A</v>
      </c>
      <c r="CH32" s="27" t="e">
        <f>RTD("srv.rtd","","PLAYERSRANKING",CH$13,$S32,"SALDO","VOLF")</f>
        <v>#N/A</v>
      </c>
      <c r="CI32" s="27" t="e">
        <f>RTD("srv.rtd","","PLAYERSRANKING",CI$13,$S32,"SALDO","VOLF")</f>
        <v>#N/A</v>
      </c>
      <c r="CJ32" s="27" t="e">
        <f>RTD("srv.rtd","","PLAYERSRANKING",CJ$13,$S32,"SALDO","VOLF")</f>
        <v>#N/A</v>
      </c>
      <c r="CK32" s="27" t="e">
        <f>RTD("srv.rtd","","PLAYERSRANKING",CK$13,$S32,"SALDO","VOLF")</f>
        <v>#N/A</v>
      </c>
      <c r="CL32" s="27" t="e">
        <f>RTD("srv.rtd","","PLAYERSRANKING",CL$13,$S32,"SALDO","VOLF")</f>
        <v>#N/A</v>
      </c>
      <c r="CM32" s="27" t="e">
        <f>RTD("srv.rtd","","PLAYERSRANKING",CM$13,$S32,"SALDO","VOLF")</f>
        <v>#N/A</v>
      </c>
      <c r="CN32" s="27" t="e">
        <f>RTD("srv.rtd","","PLAYERSRANKING",CN$13,$S32,"SALDO","VOLF")</f>
        <v>#N/A</v>
      </c>
      <c r="CO32" s="27" t="e">
        <f>RTD("srv.rtd","","PLAYERSRANKING",CO$13,$S32,"SALDO","VOLF")</f>
        <v>#N/A</v>
      </c>
      <c r="CP32" s="27" t="e">
        <f>RTD("srv.rtd","","PLAYERSRANKING",CP$13,$S32,"SALDO","VOLF")</f>
        <v>#N/A</v>
      </c>
      <c r="CQ32" s="27" t="e">
        <f>RTD("srv.rtd","","PLAYERSRANKING",CQ$13,$S32,"SALDO","VOLF")</f>
        <v>#N/A</v>
      </c>
      <c r="CR32" s="27" t="e">
        <f>RTD("srv.rtd","","PLAYERSRANKING",CR$13,$S32,"SALDO","VOLF")</f>
        <v>#N/A</v>
      </c>
      <c r="CS32" s="27" t="e">
        <f>RTD("srv.rtd","","PLAYERSRANKING",CS$13,$S32,"SALDO","VOLF")</f>
        <v>#N/A</v>
      </c>
      <c r="CT32" s="27" t="e">
        <f>RTD("srv.rtd","","PLAYERSRANKING",CT$13,$S32,"SALDO","VOLF")</f>
        <v>#N/A</v>
      </c>
      <c r="CU32" s="27" t="e">
        <f>RTD("srv.rtd","","PLAYERSRANKING",CU$13,$S32,"SALDO","VOLF")</f>
        <v>#N/A</v>
      </c>
      <c r="CV32" s="27" t="e">
        <f>RTD("srv.rtd","","PLAYERSRANKING",CV$13,$S32,"SALDO","VOLF")</f>
        <v>#N/A</v>
      </c>
      <c r="CW32" s="27" t="e">
        <f>RTD("srv.rtd","","PLAYERSRANKING",CW$13,$S32,"SALDO","VOLF")</f>
        <v>#N/A</v>
      </c>
      <c r="CX32" s="27" t="e">
        <f>RTD("srv.rtd","","PLAYERSRANKING",CX$13,$S32,"SALDO","VOLF")</f>
        <v>#N/A</v>
      </c>
      <c r="CY32" s="27" t="e">
        <f>RTD("srv.rtd","","PLAYERSRANKING",CY$13,$S32,"SALDO","VOLF")</f>
        <v>#N/A</v>
      </c>
      <c r="CZ32" s="27" t="e">
        <f>RTD("srv.rtd","","PLAYERSRANKING",CZ$13,$S32,"SALDO","VOLF")</f>
        <v>#N/A</v>
      </c>
      <c r="DA32" s="27" t="e">
        <f>RTD("srv.rtd","","PLAYERSRANKING",DA$13,$S32,"SALDO","VOLF")</f>
        <v>#N/A</v>
      </c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</row>
    <row r="33" spans="1:124" x14ac:dyDescent="0.25">
      <c r="A33" s="2"/>
      <c r="B33" s="6" t="s">
        <v>45</v>
      </c>
      <c r="C33" s="19">
        <f>VLOOKUP(B33,RTD!$A$1:$H$196,2,0)</f>
        <v>12.219999999999999</v>
      </c>
      <c r="D33" s="19">
        <f>VLOOKUP(B33,RTD!$A$1:$H$196,3,0)</f>
        <v>12.21</v>
      </c>
      <c r="E33" s="19">
        <f>VLOOKUP(B33,RTD!$A$1:$H$196,4,0)</f>
        <v>12.26</v>
      </c>
      <c r="F33" s="19">
        <f>VLOOKUP(B33,RTD!$A$1:$H$196,5,0)</f>
        <v>12.21</v>
      </c>
      <c r="G33" s="19">
        <f>VLOOKUP(B33,RTD!$A$1:$H$196,6,0)</f>
        <v>12.23</v>
      </c>
      <c r="H33" s="19">
        <f t="shared" si="6"/>
        <v>12.22</v>
      </c>
      <c r="I33" s="14">
        <f t="shared" si="7"/>
        <v>-3.2626427406198255E-3</v>
      </c>
      <c r="J33" s="98">
        <f>VLOOKUP(B33,'Market Data'!$A$4:$F$100,6,0)*C33</f>
        <v>643.75412346317364</v>
      </c>
      <c r="K33" s="19">
        <f>VLOOKUP(B33,RTD!$A$2:$H$100,8,0)</f>
        <v>0.8</v>
      </c>
      <c r="L33" s="14">
        <f t="shared" si="8"/>
        <v>2.4621420964365155E-3</v>
      </c>
      <c r="M33" s="19">
        <f>VLOOKUP(B33,RTD!$A$1:$H$196,7,0)</f>
        <v>0</v>
      </c>
      <c r="N33" s="98">
        <f>IF(M33=0,J33,IF(M33=0,C33,M33)*VLOOKUP(B33,'Market Data'!$A$4:$F$100,6,0))</f>
        <v>643.75412346317364</v>
      </c>
      <c r="O33" s="7" t="s">
        <v>45</v>
      </c>
      <c r="P33" s="14"/>
      <c r="Q33" s="13"/>
      <c r="S33" s="133">
        <v>23</v>
      </c>
      <c r="T33" s="133" t="s">
        <v>198</v>
      </c>
      <c r="U33" s="27" t="e">
        <f>RTD("srv.rtd","","PLAYERSRANKING",$U$13,S33,"SALDO","VOLF")</f>
        <v>#N/A</v>
      </c>
      <c r="V33" s="27" t="e">
        <f>RTD("srv.rtd","","PLAYERSRANKING",V$13,S33,"SALDO","VOLF")*0.2</f>
        <v>#N/A</v>
      </c>
      <c r="W33" s="27" t="e">
        <f>RTD("srv.rtd","","PLAYERSRANKING",W$13,S33,"SALDO","VOLF")*50</f>
        <v>#N/A</v>
      </c>
      <c r="X33" s="27" t="e">
        <f>RTD("srv.rtd","","PLAYERSRANKING",X$13,S33,"SALDO","VOLF")*10</f>
        <v>#N/A</v>
      </c>
      <c r="Y33" s="27" t="e">
        <f>RTD("srv.rtd","","PLAYERSRANKING",Y$13,$S33,"SALDO","VOLF")</f>
        <v>#N/A</v>
      </c>
      <c r="Z33" s="27" t="e">
        <f>RTD("srv.rtd","","PLAYERSRANKING",Z$13,$S33,"SALDO","VOLF")</f>
        <v>#N/A</v>
      </c>
      <c r="AA33" s="27" t="e">
        <f>RTD("srv.rtd","","PLAYERSRANKING",AA$13,$S33,"SALDO","VOLF")</f>
        <v>#N/A</v>
      </c>
      <c r="AB33" s="27" t="e">
        <f>RTD("srv.rtd","","PLAYERSRANKING",AB$13,$S33,"SALDO","VOLF")</f>
        <v>#N/A</v>
      </c>
      <c r="AC33" s="27" t="e">
        <f>RTD("srv.rtd","","PLAYERSRANKING",AC$13,$S33,"SALDO","VOLF")</f>
        <v>#N/A</v>
      </c>
      <c r="AD33" s="27" t="e">
        <f>RTD("srv.rtd","","PLAYERSRANKING",AD$13,$S33,"SALDO","VOLF")</f>
        <v>#N/A</v>
      </c>
      <c r="AE33" s="27" t="e">
        <f>RTD("srv.rtd","","PLAYERSRANKING",AE$13,$S33,"SALDO","VOLF")</f>
        <v>#N/A</v>
      </c>
      <c r="AF33" s="27" t="e">
        <f>RTD("srv.rtd","","PLAYERSRANKING",AF$13,$S33,"SALDO","VOLF")</f>
        <v>#N/A</v>
      </c>
      <c r="AG33" s="27" t="e">
        <f>RTD("srv.rtd","","PLAYERSRANKING",AG$13,$S33,"SALDO","VOLF")</f>
        <v>#N/A</v>
      </c>
      <c r="AH33" s="27" t="e">
        <f>RTD("srv.rtd","","PLAYERSRANKING",AH$13,$S33,"SALDO","VOLF")</f>
        <v>#N/A</v>
      </c>
      <c r="AI33" s="27" t="e">
        <f>RTD("srv.rtd","","PLAYERSRANKING",AI$13,$S33,"SALDO","VOLF")</f>
        <v>#N/A</v>
      </c>
      <c r="AJ33" s="27" t="e">
        <f>RTD("srv.rtd","","PLAYERSRANKING",AJ$13,$S33,"SALDO","VOLF")</f>
        <v>#N/A</v>
      </c>
      <c r="AK33" s="27" t="e">
        <f>RTD("srv.rtd","","PLAYERSRANKING",AK$13,$S33,"SALDO","VOLF")</f>
        <v>#N/A</v>
      </c>
      <c r="AL33" s="27" t="e">
        <f>RTD("srv.rtd","","PLAYERSRANKING",AL$13,$S33,"SALDO","VOLF")</f>
        <v>#N/A</v>
      </c>
      <c r="AM33" s="27" t="e">
        <f>RTD("srv.rtd","","PLAYERSRANKING",AM$13,$S33,"SALDO","VOLF")</f>
        <v>#N/A</v>
      </c>
      <c r="AN33" s="27" t="e">
        <f>RTD("srv.rtd","","PLAYERSRANKING",AN$13,$S33,"SALDO","VOLF")</f>
        <v>#N/A</v>
      </c>
      <c r="AO33" s="27" t="e">
        <f>RTD("srv.rtd","","PLAYERSRANKING",AO$13,$S33,"SALDO","VOLF")</f>
        <v>#N/A</v>
      </c>
      <c r="AP33" s="27" t="e">
        <f>RTD("srv.rtd","","PLAYERSRANKING",AP$13,$S33,"SALDO","VOLF")</f>
        <v>#N/A</v>
      </c>
      <c r="AQ33" s="27" t="e">
        <f>RTD("srv.rtd","","PLAYERSRANKING",AQ$13,$S33,"SALDO","VOLF")</f>
        <v>#N/A</v>
      </c>
      <c r="AR33" s="27" t="e">
        <f>RTD("srv.rtd","","PLAYERSRANKING",AR$13,$S33,"SALDO","VOLF")</f>
        <v>#N/A</v>
      </c>
      <c r="AS33" s="27" t="e">
        <f>RTD("srv.rtd","","PLAYERSRANKING",AS$13,$S33,"SALDO","VOLF")</f>
        <v>#N/A</v>
      </c>
      <c r="AT33" s="27" t="e">
        <f>RTD("srv.rtd","","PLAYERSRANKING",AT$13,$S33,"SALDO","VOLF")</f>
        <v>#N/A</v>
      </c>
      <c r="AU33" s="27" t="e">
        <f>RTD("srv.rtd","","PLAYERSRANKING",AU$13,$S33,"SALDO","VOLF")</f>
        <v>#N/A</v>
      </c>
      <c r="AV33" s="27" t="e">
        <f>RTD("srv.rtd","","PLAYERSRANKING",AV$13,$S33,"SALDO","VOLF")</f>
        <v>#N/A</v>
      </c>
      <c r="AW33" s="27" t="e">
        <f>RTD("srv.rtd","","PLAYERSRANKING",AW$13,$S33,"SALDO","VOLF")</f>
        <v>#N/A</v>
      </c>
      <c r="AX33" s="27" t="e">
        <f>RTD("srv.rtd","","PLAYERSRANKING",AX$13,$S33,"SALDO","VOLF")</f>
        <v>#N/A</v>
      </c>
      <c r="AY33" s="27" t="e">
        <f>RTD("srv.rtd","","PLAYERSRANKING",AY$13,$S33,"SALDO","VOLF")</f>
        <v>#N/A</v>
      </c>
      <c r="AZ33" s="27" t="e">
        <f>RTD("srv.rtd","","PLAYERSRANKING",AZ$13,$S33,"SALDO","VOLF")</f>
        <v>#N/A</v>
      </c>
      <c r="BA33" s="27" t="e">
        <f>RTD("srv.rtd","","PLAYERSRANKING",BA$13,$S33,"SALDO","VOLF")</f>
        <v>#N/A</v>
      </c>
      <c r="BB33" s="27" t="e">
        <f>RTD("srv.rtd","","PLAYERSRANKING",BB$13,$S33,"SALDO","VOLF")</f>
        <v>#N/A</v>
      </c>
      <c r="BC33" s="27" t="e">
        <f>RTD("srv.rtd","","PLAYERSRANKING",BC$13,$S33,"SALDO","VOLF")</f>
        <v>#N/A</v>
      </c>
      <c r="BD33" s="27" t="e">
        <f>RTD("srv.rtd","","PLAYERSRANKING",BD$13,$S33,"SALDO","VOLF")</f>
        <v>#N/A</v>
      </c>
      <c r="BE33" s="27" t="e">
        <f>RTD("srv.rtd","","PLAYERSRANKING",BE$13,$S33,"SALDO","VOLF")</f>
        <v>#N/A</v>
      </c>
      <c r="BF33" s="27" t="e">
        <f>RTD("srv.rtd","","PLAYERSRANKING",BF$13,$S33,"SALDO","VOLF")</f>
        <v>#N/A</v>
      </c>
      <c r="BG33" s="27" t="e">
        <f>RTD("srv.rtd","","PLAYERSRANKING",BG$13,$S33,"SALDO","VOLF")</f>
        <v>#N/A</v>
      </c>
      <c r="BH33" s="27" t="e">
        <f>RTD("srv.rtd","","PLAYERSRANKING",BH$13,$S33,"SALDO","VOLF")</f>
        <v>#N/A</v>
      </c>
      <c r="BI33" s="27" t="e">
        <f>RTD("srv.rtd","","PLAYERSRANKING",BI$13,$S33,"SALDO","VOLF")</f>
        <v>#N/A</v>
      </c>
      <c r="BJ33" s="27" t="e">
        <f>RTD("srv.rtd","","PLAYERSRANKING",BJ$13,$S33,"SALDO","VOLF")</f>
        <v>#N/A</v>
      </c>
      <c r="BK33" s="27" t="e">
        <f>RTD("srv.rtd","","PLAYERSRANKING",BK$13,$S33,"SALDO","VOLF")</f>
        <v>#N/A</v>
      </c>
      <c r="BL33" s="27" t="e">
        <f>RTD("srv.rtd","","PLAYERSRANKING",BL$13,$S33,"SALDO","VOLF")</f>
        <v>#N/A</v>
      </c>
      <c r="BM33" s="27" t="e">
        <f>RTD("srv.rtd","","PLAYERSRANKING",BM$13,$S33,"SALDO","VOLF")</f>
        <v>#N/A</v>
      </c>
      <c r="BN33" s="27" t="e">
        <f>RTD("srv.rtd","","PLAYERSRANKING",BN$13,$S33,"SALDO","VOLF")</f>
        <v>#N/A</v>
      </c>
      <c r="BO33" s="27" t="e">
        <f>RTD("srv.rtd","","PLAYERSRANKING",BO$13,$S33,"SALDO","VOLF")</f>
        <v>#N/A</v>
      </c>
      <c r="BP33" s="27" t="e">
        <f>RTD("srv.rtd","","PLAYERSRANKING",BP$13,$S33,"SALDO","VOLF")</f>
        <v>#N/A</v>
      </c>
      <c r="BQ33" s="27" t="e">
        <f>RTD("srv.rtd","","PLAYERSRANKING",BQ$13,$S33,"SALDO","VOLF")</f>
        <v>#N/A</v>
      </c>
      <c r="BR33" s="27" t="e">
        <f>RTD("srv.rtd","","PLAYERSRANKING",BR$13,$S33,"SALDO","VOLF")</f>
        <v>#N/A</v>
      </c>
      <c r="BS33" s="27" t="e">
        <f>RTD("srv.rtd","","PLAYERSRANKING",BS$13,$S33,"SALDO","VOLF")</f>
        <v>#N/A</v>
      </c>
      <c r="BT33" s="27" t="e">
        <f>RTD("srv.rtd","","PLAYERSRANKING",BT$13,$S33,"SALDO","VOLF")</f>
        <v>#N/A</v>
      </c>
      <c r="BU33" s="27" t="e">
        <f>RTD("srv.rtd","","PLAYERSRANKING",BU$13,$S33,"SALDO","VOLF")</f>
        <v>#N/A</v>
      </c>
      <c r="BV33" s="27" t="e">
        <f>RTD("srv.rtd","","PLAYERSRANKING",BV$13,$S33,"SALDO","VOLF")</f>
        <v>#N/A</v>
      </c>
      <c r="BW33" s="27" t="e">
        <f>RTD("srv.rtd","","PLAYERSRANKING",BW$13,$S33,"SALDO","VOLF")</f>
        <v>#N/A</v>
      </c>
      <c r="BX33" s="27" t="e">
        <f>RTD("srv.rtd","","PLAYERSRANKING",BX$13,$S33,"SALDO","VOLF")</f>
        <v>#N/A</v>
      </c>
      <c r="BY33" s="27" t="e">
        <f>RTD("srv.rtd","","PLAYERSRANKING",BY$13,$S33,"SALDO","VOLF")</f>
        <v>#N/A</v>
      </c>
      <c r="BZ33" s="27" t="e">
        <f>RTD("srv.rtd","","PLAYERSRANKING",BZ$13,$S33,"SALDO","VOLF")</f>
        <v>#N/A</v>
      </c>
      <c r="CA33" s="27" t="e">
        <f>RTD("srv.rtd","","PLAYERSRANKING",CA$13,$S33,"SALDO","VOLF")</f>
        <v>#N/A</v>
      </c>
      <c r="CB33" s="27" t="e">
        <f>RTD("srv.rtd","","PLAYERSRANKING",CB$13,$S33,"SALDO","VOLF")</f>
        <v>#N/A</v>
      </c>
      <c r="CC33" s="27" t="e">
        <f>RTD("srv.rtd","","PLAYERSRANKING",CC$13,$S33,"SALDO","VOLF")</f>
        <v>#N/A</v>
      </c>
      <c r="CD33" s="27" t="e">
        <f>RTD("srv.rtd","","PLAYERSRANKING",CD$13,$S33,"SALDO","VOLF")</f>
        <v>#N/A</v>
      </c>
      <c r="CE33" s="27" t="e">
        <f>RTD("srv.rtd","","PLAYERSRANKING",CE$13,$S33,"SALDO","VOLF")</f>
        <v>#N/A</v>
      </c>
      <c r="CF33" s="27" t="e">
        <f>RTD("srv.rtd","","PLAYERSRANKING",CF$13,$S33,"SALDO","VOLF")</f>
        <v>#N/A</v>
      </c>
      <c r="CG33" s="27" t="e">
        <f>RTD("srv.rtd","","PLAYERSRANKING",CG$13,$S33,"SALDO","VOLF")</f>
        <v>#N/A</v>
      </c>
      <c r="CH33" s="27" t="e">
        <f>RTD("srv.rtd","","PLAYERSRANKING",CH$13,$S33,"SALDO","VOLF")</f>
        <v>#N/A</v>
      </c>
      <c r="CI33" s="27" t="e">
        <f>RTD("srv.rtd","","PLAYERSRANKING",CI$13,$S33,"SALDO","VOLF")</f>
        <v>#N/A</v>
      </c>
      <c r="CJ33" s="27" t="e">
        <f>RTD("srv.rtd","","PLAYERSRANKING",CJ$13,$S33,"SALDO","VOLF")</f>
        <v>#N/A</v>
      </c>
      <c r="CK33" s="27" t="e">
        <f>RTD("srv.rtd","","PLAYERSRANKING",CK$13,$S33,"SALDO","VOLF")</f>
        <v>#N/A</v>
      </c>
      <c r="CL33" s="27" t="e">
        <f>RTD("srv.rtd","","PLAYERSRANKING",CL$13,$S33,"SALDO","VOLF")</f>
        <v>#N/A</v>
      </c>
      <c r="CM33" s="27" t="e">
        <f>RTD("srv.rtd","","PLAYERSRANKING",CM$13,$S33,"SALDO","VOLF")</f>
        <v>#N/A</v>
      </c>
      <c r="CN33" s="27" t="e">
        <f>RTD("srv.rtd","","PLAYERSRANKING",CN$13,$S33,"SALDO","VOLF")</f>
        <v>#N/A</v>
      </c>
      <c r="CO33" s="27" t="e">
        <f>RTD("srv.rtd","","PLAYERSRANKING",CO$13,$S33,"SALDO","VOLF")</f>
        <v>#N/A</v>
      </c>
      <c r="CP33" s="27" t="e">
        <f>RTD("srv.rtd","","PLAYERSRANKING",CP$13,$S33,"SALDO","VOLF")</f>
        <v>#N/A</v>
      </c>
      <c r="CQ33" s="27" t="e">
        <f>RTD("srv.rtd","","PLAYERSRANKING",CQ$13,$S33,"SALDO","VOLF")</f>
        <v>#N/A</v>
      </c>
      <c r="CR33" s="27" t="e">
        <f>RTD("srv.rtd","","PLAYERSRANKING",CR$13,$S33,"SALDO","VOLF")</f>
        <v>#N/A</v>
      </c>
      <c r="CS33" s="27" t="e">
        <f>RTD("srv.rtd","","PLAYERSRANKING",CS$13,$S33,"SALDO","VOLF")</f>
        <v>#N/A</v>
      </c>
      <c r="CT33" s="27" t="e">
        <f>RTD("srv.rtd","","PLAYERSRANKING",CT$13,$S33,"SALDO","VOLF")</f>
        <v>#N/A</v>
      </c>
      <c r="CU33" s="27" t="e">
        <f>RTD("srv.rtd","","PLAYERSRANKING",CU$13,$S33,"SALDO","VOLF")</f>
        <v>#N/A</v>
      </c>
      <c r="CV33" s="27" t="e">
        <f>RTD("srv.rtd","","PLAYERSRANKING",CV$13,$S33,"SALDO","VOLF")</f>
        <v>#N/A</v>
      </c>
      <c r="CW33" s="27" t="e">
        <f>RTD("srv.rtd","","PLAYERSRANKING",CW$13,$S33,"SALDO","VOLF")</f>
        <v>#N/A</v>
      </c>
      <c r="CX33" s="27" t="e">
        <f>RTD("srv.rtd","","PLAYERSRANKING",CX$13,$S33,"SALDO","VOLF")</f>
        <v>#N/A</v>
      </c>
      <c r="CY33" s="27" t="e">
        <f>RTD("srv.rtd","","PLAYERSRANKING",CY$13,$S33,"SALDO","VOLF")</f>
        <v>#N/A</v>
      </c>
      <c r="CZ33" s="27" t="e">
        <f>RTD("srv.rtd","","PLAYERSRANKING",CZ$13,$S33,"SALDO","VOLF")</f>
        <v>#N/A</v>
      </c>
      <c r="DA33" s="27" t="e">
        <f>RTD("srv.rtd","","PLAYERSRANKING",DA$13,$S33,"SALDO","VOLF")</f>
        <v>#N/A</v>
      </c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</row>
    <row r="34" spans="1:124" x14ac:dyDescent="0.25">
      <c r="A34" s="2"/>
      <c r="B34" s="6" t="s">
        <v>47</v>
      </c>
      <c r="C34" s="19">
        <f>VLOOKUP(B34,RTD!$A$1:$H$196,2,0)</f>
        <v>2.0500000000000003</v>
      </c>
      <c r="D34" s="19">
        <f>VLOOKUP(B34,RTD!$A$1:$H$196,3,0)</f>
        <v>2.06</v>
      </c>
      <c r="E34" s="19">
        <f>VLOOKUP(B34,RTD!$A$1:$H$196,4,0)</f>
        <v>2.0700000000000003</v>
      </c>
      <c r="F34" s="19">
        <f>VLOOKUP(B34,RTD!$A$1:$H$196,5,0)</f>
        <v>2.0499999999999998</v>
      </c>
      <c r="G34" s="19">
        <f>VLOOKUP(B34,RTD!$A$1:$H$196,6,0)</f>
        <v>2.06</v>
      </c>
      <c r="H34" s="19">
        <f t="shared" si="6"/>
        <v>2.0549999999999997</v>
      </c>
      <c r="I34" s="14">
        <f t="shared" si="7"/>
        <v>-7.2463768115944571E-3</v>
      </c>
      <c r="J34" s="98">
        <f>VLOOKUP(B34,'Market Data'!$A$4:$F$100,6,0)*C34</f>
        <v>205.80489668950128</v>
      </c>
      <c r="K34" s="19">
        <f>VLOOKUP(B34,RTD!$A$2:$H$100,8,0)</f>
        <v>1.38</v>
      </c>
      <c r="L34" s="14">
        <f t="shared" si="8"/>
        <v>2.628877032327729E-3</v>
      </c>
      <c r="M34" s="19">
        <f>VLOOKUP(B34,RTD!$A$1:$H$196,7,0)</f>
        <v>0</v>
      </c>
      <c r="N34" s="98">
        <f>IF(M34=0,J34,IF(M34=0,C34,M34)*VLOOKUP(B34,'Market Data'!$A$4:$F$100,6,0))</f>
        <v>205.80489668950128</v>
      </c>
      <c r="O34" s="7" t="s">
        <v>47</v>
      </c>
      <c r="P34" s="14"/>
      <c r="Q34" s="13"/>
      <c r="S34" s="133">
        <v>93</v>
      </c>
      <c r="T34" s="135" t="s">
        <v>199</v>
      </c>
      <c r="U34" s="27" t="e">
        <f>RTD("srv.rtd","","PLAYERSRANKING",$U$13,S34,"SALDO","VOLF")</f>
        <v>#N/A</v>
      </c>
      <c r="V34" s="27" t="e">
        <f>RTD("srv.rtd","","PLAYERSRANKING",V$13,S34,"SALDO","VOLF")*0.2</f>
        <v>#N/A</v>
      </c>
      <c r="W34" s="27" t="e">
        <f>RTD("srv.rtd","","PLAYERSRANKING",W$13,S34,"SALDO","VOLF")*50</f>
        <v>#N/A</v>
      </c>
      <c r="X34" s="27" t="e">
        <f>RTD("srv.rtd","","PLAYERSRANKING",X$13,S34,"SALDO","VOLF")*10</f>
        <v>#N/A</v>
      </c>
      <c r="Y34" s="27" t="e">
        <f>RTD("srv.rtd","","PLAYERSRANKING",Y$13,$S34,"SALDO","VOLF")</f>
        <v>#N/A</v>
      </c>
      <c r="Z34" s="27" t="e">
        <f>RTD("srv.rtd","","PLAYERSRANKING",Z$13,$S34,"SALDO","VOLF")</f>
        <v>#N/A</v>
      </c>
      <c r="AA34" s="27" t="e">
        <f>RTD("srv.rtd","","PLAYERSRANKING",AA$13,$S34,"SALDO","VOLF")</f>
        <v>#N/A</v>
      </c>
      <c r="AB34" s="27" t="e">
        <f>RTD("srv.rtd","","PLAYERSRANKING",AB$13,$S34,"SALDO","VOLF")</f>
        <v>#N/A</v>
      </c>
      <c r="AC34" s="27" t="e">
        <f>RTD("srv.rtd","","PLAYERSRANKING",AC$13,$S34,"SALDO","VOLF")</f>
        <v>#N/A</v>
      </c>
      <c r="AD34" s="27" t="e">
        <f>RTD("srv.rtd","","PLAYERSRANKING",AD$13,$S34,"SALDO","VOLF")</f>
        <v>#N/A</v>
      </c>
      <c r="AE34" s="27" t="e">
        <f>RTD("srv.rtd","","PLAYERSRANKING",AE$13,$S34,"SALDO","VOLF")</f>
        <v>#N/A</v>
      </c>
      <c r="AF34" s="27" t="e">
        <f>RTD("srv.rtd","","PLAYERSRANKING",AF$13,$S34,"SALDO","VOLF")</f>
        <v>#N/A</v>
      </c>
      <c r="AG34" s="27" t="e">
        <f>RTD("srv.rtd","","PLAYERSRANKING",AG$13,$S34,"SALDO","VOLF")</f>
        <v>#N/A</v>
      </c>
      <c r="AH34" s="27" t="e">
        <f>RTD("srv.rtd","","PLAYERSRANKING",AH$13,$S34,"SALDO","VOLF")</f>
        <v>#N/A</v>
      </c>
      <c r="AI34" s="27" t="e">
        <f>RTD("srv.rtd","","PLAYERSRANKING",AI$13,$S34,"SALDO","VOLF")</f>
        <v>#N/A</v>
      </c>
      <c r="AJ34" s="27" t="e">
        <f>RTD("srv.rtd","","PLAYERSRANKING",AJ$13,$S34,"SALDO","VOLF")</f>
        <v>#N/A</v>
      </c>
      <c r="AK34" s="27" t="e">
        <f>RTD("srv.rtd","","PLAYERSRANKING",AK$13,$S34,"SALDO","VOLF")</f>
        <v>#N/A</v>
      </c>
      <c r="AL34" s="27" t="e">
        <f>RTD("srv.rtd","","PLAYERSRANKING",AL$13,$S34,"SALDO","VOLF")</f>
        <v>#N/A</v>
      </c>
      <c r="AM34" s="27" t="e">
        <f>RTD("srv.rtd","","PLAYERSRANKING",AM$13,$S34,"SALDO","VOLF")</f>
        <v>#N/A</v>
      </c>
      <c r="AN34" s="27" t="e">
        <f>RTD("srv.rtd","","PLAYERSRANKING",AN$13,$S34,"SALDO","VOLF")</f>
        <v>#N/A</v>
      </c>
      <c r="AO34" s="27" t="e">
        <f>RTD("srv.rtd","","PLAYERSRANKING",AO$13,$S34,"SALDO","VOLF")</f>
        <v>#N/A</v>
      </c>
      <c r="AP34" s="27" t="e">
        <f>RTD("srv.rtd","","PLAYERSRANKING",AP$13,$S34,"SALDO","VOLF")</f>
        <v>#N/A</v>
      </c>
      <c r="AQ34" s="27" t="e">
        <f>RTD("srv.rtd","","PLAYERSRANKING",AQ$13,$S34,"SALDO","VOLF")</f>
        <v>#N/A</v>
      </c>
      <c r="AR34" s="27" t="e">
        <f>RTD("srv.rtd","","PLAYERSRANKING",AR$13,$S34,"SALDO","VOLF")</f>
        <v>#N/A</v>
      </c>
      <c r="AS34" s="27" t="e">
        <f>RTD("srv.rtd","","PLAYERSRANKING",AS$13,$S34,"SALDO","VOLF")</f>
        <v>#N/A</v>
      </c>
      <c r="AT34" s="27" t="e">
        <f>RTD("srv.rtd","","PLAYERSRANKING",AT$13,$S34,"SALDO","VOLF")</f>
        <v>#N/A</v>
      </c>
      <c r="AU34" s="27" t="e">
        <f>RTD("srv.rtd","","PLAYERSRANKING",AU$13,$S34,"SALDO","VOLF")</f>
        <v>#N/A</v>
      </c>
      <c r="AV34" s="27" t="e">
        <f>RTD("srv.rtd","","PLAYERSRANKING",AV$13,$S34,"SALDO","VOLF")</f>
        <v>#N/A</v>
      </c>
      <c r="AW34" s="27" t="e">
        <f>RTD("srv.rtd","","PLAYERSRANKING",AW$13,$S34,"SALDO","VOLF")</f>
        <v>#N/A</v>
      </c>
      <c r="AX34" s="27" t="e">
        <f>RTD("srv.rtd","","PLAYERSRANKING",AX$13,$S34,"SALDO","VOLF")</f>
        <v>#N/A</v>
      </c>
      <c r="AY34" s="27" t="e">
        <f>RTD("srv.rtd","","PLAYERSRANKING",AY$13,$S34,"SALDO","VOLF")</f>
        <v>#N/A</v>
      </c>
      <c r="AZ34" s="27" t="e">
        <f>RTD("srv.rtd","","PLAYERSRANKING",AZ$13,$S34,"SALDO","VOLF")</f>
        <v>#N/A</v>
      </c>
      <c r="BA34" s="27" t="e">
        <f>RTD("srv.rtd","","PLAYERSRANKING",BA$13,$S34,"SALDO","VOLF")</f>
        <v>#N/A</v>
      </c>
      <c r="BB34" s="27" t="e">
        <f>RTD("srv.rtd","","PLAYERSRANKING",BB$13,$S34,"SALDO","VOLF")</f>
        <v>#N/A</v>
      </c>
      <c r="BC34" s="27" t="e">
        <f>RTD("srv.rtd","","PLAYERSRANKING",BC$13,$S34,"SALDO","VOLF")</f>
        <v>#N/A</v>
      </c>
      <c r="BD34" s="27" t="e">
        <f>RTD("srv.rtd","","PLAYERSRANKING",BD$13,$S34,"SALDO","VOLF")</f>
        <v>#N/A</v>
      </c>
      <c r="BE34" s="27" t="e">
        <f>RTD("srv.rtd","","PLAYERSRANKING",BE$13,$S34,"SALDO","VOLF")</f>
        <v>#N/A</v>
      </c>
      <c r="BF34" s="27" t="e">
        <f>RTD("srv.rtd","","PLAYERSRANKING",BF$13,$S34,"SALDO","VOLF")</f>
        <v>#N/A</v>
      </c>
      <c r="BG34" s="27" t="e">
        <f>RTD("srv.rtd","","PLAYERSRANKING",BG$13,$S34,"SALDO","VOLF")</f>
        <v>#N/A</v>
      </c>
      <c r="BH34" s="27" t="e">
        <f>RTD("srv.rtd","","PLAYERSRANKING",BH$13,$S34,"SALDO","VOLF")</f>
        <v>#N/A</v>
      </c>
      <c r="BI34" s="27" t="e">
        <f>RTD("srv.rtd","","PLAYERSRANKING",BI$13,$S34,"SALDO","VOLF")</f>
        <v>#N/A</v>
      </c>
      <c r="BJ34" s="27" t="e">
        <f>RTD("srv.rtd","","PLAYERSRANKING",BJ$13,$S34,"SALDO","VOLF")</f>
        <v>#N/A</v>
      </c>
      <c r="BK34" s="27" t="e">
        <f>RTD("srv.rtd","","PLAYERSRANKING",BK$13,$S34,"SALDO","VOLF")</f>
        <v>#N/A</v>
      </c>
      <c r="BL34" s="27" t="e">
        <f>RTD("srv.rtd","","PLAYERSRANKING",BL$13,$S34,"SALDO","VOLF")</f>
        <v>#N/A</v>
      </c>
      <c r="BM34" s="27" t="e">
        <f>RTD("srv.rtd","","PLAYERSRANKING",BM$13,$S34,"SALDO","VOLF")</f>
        <v>#N/A</v>
      </c>
      <c r="BN34" s="27" t="e">
        <f>RTD("srv.rtd","","PLAYERSRANKING",BN$13,$S34,"SALDO","VOLF")</f>
        <v>#N/A</v>
      </c>
      <c r="BO34" s="27" t="e">
        <f>RTD("srv.rtd","","PLAYERSRANKING",BO$13,$S34,"SALDO","VOLF")</f>
        <v>#N/A</v>
      </c>
      <c r="BP34" s="27" t="e">
        <f>RTD("srv.rtd","","PLAYERSRANKING",BP$13,$S34,"SALDO","VOLF")</f>
        <v>#N/A</v>
      </c>
      <c r="BQ34" s="27" t="e">
        <f>RTD("srv.rtd","","PLAYERSRANKING",BQ$13,$S34,"SALDO","VOLF")</f>
        <v>#N/A</v>
      </c>
      <c r="BR34" s="27" t="e">
        <f>RTD("srv.rtd","","PLAYERSRANKING",BR$13,$S34,"SALDO","VOLF")</f>
        <v>#N/A</v>
      </c>
      <c r="BS34" s="27" t="e">
        <f>RTD("srv.rtd","","PLAYERSRANKING",BS$13,$S34,"SALDO","VOLF")</f>
        <v>#N/A</v>
      </c>
      <c r="BT34" s="27" t="e">
        <f>RTD("srv.rtd","","PLAYERSRANKING",BT$13,$S34,"SALDO","VOLF")</f>
        <v>#N/A</v>
      </c>
      <c r="BU34" s="27" t="e">
        <f>RTD("srv.rtd","","PLAYERSRANKING",BU$13,$S34,"SALDO","VOLF")</f>
        <v>#N/A</v>
      </c>
      <c r="BV34" s="27" t="e">
        <f>RTD("srv.rtd","","PLAYERSRANKING",BV$13,$S34,"SALDO","VOLF")</f>
        <v>#N/A</v>
      </c>
      <c r="BW34" s="27" t="e">
        <f>RTD("srv.rtd","","PLAYERSRANKING",BW$13,$S34,"SALDO","VOLF")</f>
        <v>#N/A</v>
      </c>
      <c r="BX34" s="27" t="e">
        <f>RTD("srv.rtd","","PLAYERSRANKING",BX$13,$S34,"SALDO","VOLF")</f>
        <v>#N/A</v>
      </c>
      <c r="BY34" s="27" t="e">
        <f>RTD("srv.rtd","","PLAYERSRANKING",BY$13,$S34,"SALDO","VOLF")</f>
        <v>#N/A</v>
      </c>
      <c r="BZ34" s="27" t="e">
        <f>RTD("srv.rtd","","PLAYERSRANKING",BZ$13,$S34,"SALDO","VOLF")</f>
        <v>#N/A</v>
      </c>
      <c r="CA34" s="27" t="e">
        <f>RTD("srv.rtd","","PLAYERSRANKING",CA$13,$S34,"SALDO","VOLF")</f>
        <v>#N/A</v>
      </c>
      <c r="CB34" s="27" t="e">
        <f>RTD("srv.rtd","","PLAYERSRANKING",CB$13,$S34,"SALDO","VOLF")</f>
        <v>#N/A</v>
      </c>
      <c r="CC34" s="27" t="e">
        <f>RTD("srv.rtd","","PLAYERSRANKING",CC$13,$S34,"SALDO","VOLF")</f>
        <v>#N/A</v>
      </c>
      <c r="CD34" s="27" t="e">
        <f>RTD("srv.rtd","","PLAYERSRANKING",CD$13,$S34,"SALDO","VOLF")</f>
        <v>#N/A</v>
      </c>
      <c r="CE34" s="27" t="e">
        <f>RTD("srv.rtd","","PLAYERSRANKING",CE$13,$S34,"SALDO","VOLF")</f>
        <v>#N/A</v>
      </c>
      <c r="CF34" s="27" t="e">
        <f>RTD("srv.rtd","","PLAYERSRANKING",CF$13,$S34,"SALDO","VOLF")</f>
        <v>#N/A</v>
      </c>
      <c r="CG34" s="27" t="e">
        <f>RTD("srv.rtd","","PLAYERSRANKING",CG$13,$S34,"SALDO","VOLF")</f>
        <v>#N/A</v>
      </c>
      <c r="CH34" s="27" t="e">
        <f>RTD("srv.rtd","","PLAYERSRANKING",CH$13,$S34,"SALDO","VOLF")</f>
        <v>#N/A</v>
      </c>
      <c r="CI34" s="27" t="e">
        <f>RTD("srv.rtd","","PLAYERSRANKING",CI$13,$S34,"SALDO","VOLF")</f>
        <v>#N/A</v>
      </c>
      <c r="CJ34" s="27" t="e">
        <f>RTD("srv.rtd","","PLAYERSRANKING",CJ$13,$S34,"SALDO","VOLF")</f>
        <v>#N/A</v>
      </c>
      <c r="CK34" s="27" t="e">
        <f>RTD("srv.rtd","","PLAYERSRANKING",CK$13,$S34,"SALDO","VOLF")</f>
        <v>#N/A</v>
      </c>
      <c r="CL34" s="27" t="e">
        <f>RTD("srv.rtd","","PLAYERSRANKING",CL$13,$S34,"SALDO","VOLF")</f>
        <v>#N/A</v>
      </c>
      <c r="CM34" s="27" t="e">
        <f>RTD("srv.rtd","","PLAYERSRANKING",CM$13,$S34,"SALDO","VOLF")</f>
        <v>#N/A</v>
      </c>
      <c r="CN34" s="27" t="e">
        <f>RTD("srv.rtd","","PLAYERSRANKING",CN$13,$S34,"SALDO","VOLF")</f>
        <v>#N/A</v>
      </c>
      <c r="CO34" s="27" t="e">
        <f>RTD("srv.rtd","","PLAYERSRANKING",CO$13,$S34,"SALDO","VOLF")</f>
        <v>#N/A</v>
      </c>
      <c r="CP34" s="27" t="e">
        <f>RTD("srv.rtd","","PLAYERSRANKING",CP$13,$S34,"SALDO","VOLF")</f>
        <v>#N/A</v>
      </c>
      <c r="CQ34" s="27" t="e">
        <f>RTD("srv.rtd","","PLAYERSRANKING",CQ$13,$S34,"SALDO","VOLF")</f>
        <v>#N/A</v>
      </c>
      <c r="CR34" s="27" t="e">
        <f>RTD("srv.rtd","","PLAYERSRANKING",CR$13,$S34,"SALDO","VOLF")</f>
        <v>#N/A</v>
      </c>
      <c r="CS34" s="27" t="e">
        <f>RTD("srv.rtd","","PLAYERSRANKING",CS$13,$S34,"SALDO","VOLF")</f>
        <v>#N/A</v>
      </c>
      <c r="CT34" s="27" t="e">
        <f>RTD("srv.rtd","","PLAYERSRANKING",CT$13,$S34,"SALDO","VOLF")</f>
        <v>#N/A</v>
      </c>
      <c r="CU34" s="27" t="e">
        <f>RTD("srv.rtd","","PLAYERSRANKING",CU$13,$S34,"SALDO","VOLF")</f>
        <v>#N/A</v>
      </c>
      <c r="CV34" s="27" t="e">
        <f>RTD("srv.rtd","","PLAYERSRANKING",CV$13,$S34,"SALDO","VOLF")</f>
        <v>#N/A</v>
      </c>
      <c r="CW34" s="27" t="e">
        <f>RTD("srv.rtd","","PLAYERSRANKING",CW$13,$S34,"SALDO","VOLF")</f>
        <v>#N/A</v>
      </c>
      <c r="CX34" s="27" t="e">
        <f>RTD("srv.rtd","","PLAYERSRANKING",CX$13,$S34,"SALDO","VOLF")</f>
        <v>#N/A</v>
      </c>
      <c r="CY34" s="27" t="e">
        <f>RTD("srv.rtd","","PLAYERSRANKING",CY$13,$S34,"SALDO","VOLF")</f>
        <v>#N/A</v>
      </c>
      <c r="CZ34" s="27" t="e">
        <f>RTD("srv.rtd","","PLAYERSRANKING",CZ$13,$S34,"SALDO","VOLF")</f>
        <v>#N/A</v>
      </c>
      <c r="DA34" s="27" t="e">
        <f>RTD("srv.rtd","","PLAYERSRANKING",DA$13,$S34,"SALDO","VOLF")</f>
        <v>#N/A</v>
      </c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</row>
    <row r="35" spans="1:124" x14ac:dyDescent="0.25">
      <c r="A35" s="2"/>
      <c r="B35" s="6" t="s">
        <v>49</v>
      </c>
      <c r="C35" s="19">
        <f>VLOOKUP(B35,RTD!$A$1:$H$196,2,0)</f>
        <v>25.229999999999968</v>
      </c>
      <c r="D35" s="19">
        <f>VLOOKUP(B35,RTD!$A$1:$H$196,3,0)</f>
        <v>25.35</v>
      </c>
      <c r="E35" s="19">
        <f>VLOOKUP(B35,RTD!$A$1:$H$196,4,0)</f>
        <v>25.34</v>
      </c>
      <c r="F35" s="19">
        <f>VLOOKUP(B35,RTD!$A$1:$H$196,5,0)</f>
        <v>25.26</v>
      </c>
      <c r="G35" s="19">
        <f>VLOOKUP(B35,RTD!$A$1:$H$196,6,0)</f>
        <v>25.3</v>
      </c>
      <c r="H35" s="19">
        <f t="shared" si="6"/>
        <v>25.28</v>
      </c>
      <c r="I35" s="14">
        <f t="shared" si="7"/>
        <v>-2.3677979479084232E-3</v>
      </c>
      <c r="J35" s="98">
        <f>VLOOKUP(B35,'Market Data'!$A$4:$F$100,6,0)*C35</f>
        <v>257.28565406843035</v>
      </c>
      <c r="K35" s="19">
        <f>VLOOKUP(B35,RTD!$A$2:$H$100,8,0)</f>
        <v>0.66</v>
      </c>
      <c r="L35" s="14">
        <f t="shared" si="8"/>
        <v>2.3551495426630577E-3</v>
      </c>
      <c r="M35" s="19">
        <f>VLOOKUP(B35,RTD!$A$1:$H$196,7,0)</f>
        <v>0</v>
      </c>
      <c r="N35" s="98">
        <f>IF(M35=0,J35,IF(M35=0,C35,M35)*VLOOKUP(B35,'Market Data'!$A$4:$F$100,6,0))</f>
        <v>257.28565406843035</v>
      </c>
      <c r="O35" s="7" t="s">
        <v>49</v>
      </c>
      <c r="P35" s="14"/>
      <c r="Q35" s="13"/>
      <c r="S35" s="133"/>
      <c r="T35" s="135"/>
      <c r="U35" s="27" t="e">
        <f>RTD("srv.rtd","","PLAYERSRANKING",$U$13,S35,"SALDO","VOLF")</f>
        <v>#N/A</v>
      </c>
      <c r="V35" s="27" t="e">
        <f>RTD("srv.rtd","","PLAYERSRANKING",V$13,S35,"SALDO","VOLF")*0.2</f>
        <v>#N/A</v>
      </c>
      <c r="W35" s="27" t="e">
        <f>RTD("srv.rtd","","PLAYERSRANKING",W$13,S35,"SALDO","VOLF")*50</f>
        <v>#N/A</v>
      </c>
      <c r="X35" s="27" t="e">
        <f>RTD("srv.rtd","","PLAYERSRANKING",X$13,S35,"SALDO","VOLF")*10</f>
        <v>#N/A</v>
      </c>
      <c r="Y35" s="27" t="e">
        <f>RTD("srv.rtd","","PLAYERSRANKING",Y$13,$S35,"SALDO","VOLF")</f>
        <v>#N/A</v>
      </c>
      <c r="Z35" s="27" t="e">
        <f>RTD("srv.rtd","","PLAYERSRANKING",Z$13,$S35,"SALDO","VOLF")</f>
        <v>#N/A</v>
      </c>
      <c r="AA35" s="27" t="e">
        <f>RTD("srv.rtd","","PLAYERSRANKING",AA$13,$S35,"SALDO","VOLF")</f>
        <v>#N/A</v>
      </c>
      <c r="AB35" s="27" t="e">
        <f>RTD("srv.rtd","","PLAYERSRANKING",AB$13,$S35,"SALDO","VOLF")</f>
        <v>#N/A</v>
      </c>
      <c r="AC35" s="27" t="e">
        <f>RTD("srv.rtd","","PLAYERSRANKING",AC$13,$S35,"SALDO","VOLF")</f>
        <v>#N/A</v>
      </c>
      <c r="AD35" s="27" t="e">
        <f>RTD("srv.rtd","","PLAYERSRANKING",AD$13,$S35,"SALDO","VOLF")</f>
        <v>#N/A</v>
      </c>
      <c r="AE35" s="27" t="e">
        <f>RTD("srv.rtd","","PLAYERSRANKING",AE$13,$S35,"SALDO","VOLF")</f>
        <v>#N/A</v>
      </c>
      <c r="AF35" s="27" t="e">
        <f>RTD("srv.rtd","","PLAYERSRANKING",AF$13,$S35,"SALDO","VOLF")</f>
        <v>#N/A</v>
      </c>
      <c r="AG35" s="27" t="e">
        <f>RTD("srv.rtd","","PLAYERSRANKING",AG$13,$S35,"SALDO","VOLF")</f>
        <v>#N/A</v>
      </c>
      <c r="AH35" s="27" t="e">
        <f>RTD("srv.rtd","","PLAYERSRANKING",AH$13,$S35,"SALDO","VOLF")</f>
        <v>#N/A</v>
      </c>
      <c r="AI35" s="27" t="e">
        <f>RTD("srv.rtd","","PLAYERSRANKING",AI$13,$S35,"SALDO","VOLF")</f>
        <v>#N/A</v>
      </c>
      <c r="AJ35" s="27" t="e">
        <f>RTD("srv.rtd","","PLAYERSRANKING",AJ$13,$S35,"SALDO","VOLF")</f>
        <v>#N/A</v>
      </c>
      <c r="AK35" s="27" t="e">
        <f>RTD("srv.rtd","","PLAYERSRANKING",AK$13,$S35,"SALDO","VOLF")</f>
        <v>#N/A</v>
      </c>
      <c r="AL35" s="27" t="e">
        <f>RTD("srv.rtd","","PLAYERSRANKING",AL$13,$S35,"SALDO","VOLF")</f>
        <v>#N/A</v>
      </c>
      <c r="AM35" s="27" t="e">
        <f>RTD("srv.rtd","","PLAYERSRANKING",AM$13,$S35,"SALDO","VOLF")</f>
        <v>#N/A</v>
      </c>
      <c r="AN35" s="27" t="e">
        <f>RTD("srv.rtd","","PLAYERSRANKING",AN$13,$S35,"SALDO","VOLF")</f>
        <v>#N/A</v>
      </c>
      <c r="AO35" s="27" t="e">
        <f>RTD("srv.rtd","","PLAYERSRANKING",AO$13,$S35,"SALDO","VOLF")</f>
        <v>#N/A</v>
      </c>
      <c r="AP35" s="27" t="e">
        <f>RTD("srv.rtd","","PLAYERSRANKING",AP$13,$S35,"SALDO","VOLF")</f>
        <v>#N/A</v>
      </c>
      <c r="AQ35" s="27" t="e">
        <f>RTD("srv.rtd","","PLAYERSRANKING",AQ$13,$S35,"SALDO","VOLF")</f>
        <v>#N/A</v>
      </c>
      <c r="AR35" s="27" t="e">
        <f>RTD("srv.rtd","","PLAYERSRANKING",AR$13,$S35,"SALDO","VOLF")</f>
        <v>#N/A</v>
      </c>
      <c r="AS35" s="27" t="e">
        <f>RTD("srv.rtd","","PLAYERSRANKING",AS$13,$S35,"SALDO","VOLF")</f>
        <v>#N/A</v>
      </c>
      <c r="AT35" s="27" t="e">
        <f>RTD("srv.rtd","","PLAYERSRANKING",AT$13,$S35,"SALDO","VOLF")</f>
        <v>#N/A</v>
      </c>
      <c r="AU35" s="27" t="e">
        <f>RTD("srv.rtd","","PLAYERSRANKING",AU$13,$S35,"SALDO","VOLF")</f>
        <v>#N/A</v>
      </c>
      <c r="AV35" s="27" t="e">
        <f>RTD("srv.rtd","","PLAYERSRANKING",AV$13,$S35,"SALDO","VOLF")</f>
        <v>#N/A</v>
      </c>
      <c r="AW35" s="27" t="e">
        <f>RTD("srv.rtd","","PLAYERSRANKING",AW$13,$S35,"SALDO","VOLF")</f>
        <v>#N/A</v>
      </c>
      <c r="AX35" s="27" t="e">
        <f>RTD("srv.rtd","","PLAYERSRANKING",AX$13,$S35,"SALDO","VOLF")</f>
        <v>#N/A</v>
      </c>
      <c r="AY35" s="27" t="e">
        <f>RTD("srv.rtd","","PLAYERSRANKING",AY$13,$S35,"SALDO","VOLF")</f>
        <v>#N/A</v>
      </c>
      <c r="AZ35" s="27" t="e">
        <f>RTD("srv.rtd","","PLAYERSRANKING",AZ$13,$S35,"SALDO","VOLF")</f>
        <v>#N/A</v>
      </c>
      <c r="BA35" s="27" t="e">
        <f>RTD("srv.rtd","","PLAYERSRANKING",BA$13,$S35,"SALDO","VOLF")</f>
        <v>#N/A</v>
      </c>
      <c r="BB35" s="27" t="e">
        <f>RTD("srv.rtd","","PLAYERSRANKING",BB$13,$S35,"SALDO","VOLF")</f>
        <v>#N/A</v>
      </c>
      <c r="BC35" s="27" t="e">
        <f>RTD("srv.rtd","","PLAYERSRANKING",BC$13,$S35,"SALDO","VOLF")</f>
        <v>#N/A</v>
      </c>
      <c r="BD35" s="27" t="e">
        <f>RTD("srv.rtd","","PLAYERSRANKING",BD$13,$S35,"SALDO","VOLF")</f>
        <v>#N/A</v>
      </c>
      <c r="BE35" s="27" t="e">
        <f>RTD("srv.rtd","","PLAYERSRANKING",BE$13,$S35,"SALDO","VOLF")</f>
        <v>#N/A</v>
      </c>
      <c r="BF35" s="27" t="e">
        <f>RTD("srv.rtd","","PLAYERSRANKING",BF$13,$S35,"SALDO","VOLF")</f>
        <v>#N/A</v>
      </c>
      <c r="BG35" s="27" t="e">
        <f>RTD("srv.rtd","","PLAYERSRANKING",BG$13,$S35,"SALDO","VOLF")</f>
        <v>#N/A</v>
      </c>
      <c r="BH35" s="27" t="e">
        <f>RTD("srv.rtd","","PLAYERSRANKING",BH$13,$S35,"SALDO","VOLF")</f>
        <v>#N/A</v>
      </c>
      <c r="BI35" s="27" t="e">
        <f>RTD("srv.rtd","","PLAYERSRANKING",BI$13,$S35,"SALDO","VOLF")</f>
        <v>#N/A</v>
      </c>
      <c r="BJ35" s="27" t="e">
        <f>RTD("srv.rtd","","PLAYERSRANKING",BJ$13,$S35,"SALDO","VOLF")</f>
        <v>#N/A</v>
      </c>
      <c r="BK35" s="27" t="e">
        <f>RTD("srv.rtd","","PLAYERSRANKING",BK$13,$S35,"SALDO","VOLF")</f>
        <v>#N/A</v>
      </c>
      <c r="BL35" s="27" t="e">
        <f>RTD("srv.rtd","","PLAYERSRANKING",BL$13,$S35,"SALDO","VOLF")</f>
        <v>#N/A</v>
      </c>
      <c r="BM35" s="27" t="e">
        <f>RTD("srv.rtd","","PLAYERSRANKING",BM$13,$S35,"SALDO","VOLF")</f>
        <v>#N/A</v>
      </c>
      <c r="BN35" s="27" t="e">
        <f>RTD("srv.rtd","","PLAYERSRANKING",BN$13,$S35,"SALDO","VOLF")</f>
        <v>#N/A</v>
      </c>
      <c r="BO35" s="27" t="e">
        <f>RTD("srv.rtd","","PLAYERSRANKING",BO$13,$S35,"SALDO","VOLF")</f>
        <v>#N/A</v>
      </c>
      <c r="BP35" s="27" t="e">
        <f>RTD("srv.rtd","","PLAYERSRANKING",BP$13,$S35,"SALDO","VOLF")</f>
        <v>#N/A</v>
      </c>
      <c r="BQ35" s="27" t="e">
        <f>RTD("srv.rtd","","PLAYERSRANKING",BQ$13,$S35,"SALDO","VOLF")</f>
        <v>#N/A</v>
      </c>
      <c r="BR35" s="27" t="e">
        <f>RTD("srv.rtd","","PLAYERSRANKING",BR$13,$S35,"SALDO","VOLF")</f>
        <v>#N/A</v>
      </c>
      <c r="BS35" s="27" t="e">
        <f>RTD("srv.rtd","","PLAYERSRANKING",BS$13,$S35,"SALDO","VOLF")</f>
        <v>#N/A</v>
      </c>
      <c r="BT35" s="27" t="e">
        <f>RTD("srv.rtd","","PLAYERSRANKING",BT$13,$S35,"SALDO","VOLF")</f>
        <v>#N/A</v>
      </c>
      <c r="BU35" s="27" t="e">
        <f>RTD("srv.rtd","","PLAYERSRANKING",BU$13,$S35,"SALDO","VOLF")</f>
        <v>#N/A</v>
      </c>
      <c r="BV35" s="27" t="e">
        <f>RTD("srv.rtd","","PLAYERSRANKING",BV$13,$S35,"SALDO","VOLF")</f>
        <v>#N/A</v>
      </c>
      <c r="BW35" s="27" t="e">
        <f>RTD("srv.rtd","","PLAYERSRANKING",BW$13,$S35,"SALDO","VOLF")</f>
        <v>#N/A</v>
      </c>
      <c r="BX35" s="27" t="e">
        <f>RTD("srv.rtd","","PLAYERSRANKING",BX$13,$S35,"SALDO","VOLF")</f>
        <v>#N/A</v>
      </c>
      <c r="BY35" s="27" t="e">
        <f>RTD("srv.rtd","","PLAYERSRANKING",BY$13,$S35,"SALDO","VOLF")</f>
        <v>#N/A</v>
      </c>
      <c r="BZ35" s="27" t="e">
        <f>RTD("srv.rtd","","PLAYERSRANKING",BZ$13,$S35,"SALDO","VOLF")</f>
        <v>#N/A</v>
      </c>
      <c r="CA35" s="27" t="e">
        <f>RTD("srv.rtd","","PLAYERSRANKING",CA$13,$S35,"SALDO","VOLF")</f>
        <v>#N/A</v>
      </c>
      <c r="CB35" s="27" t="e">
        <f>RTD("srv.rtd","","PLAYERSRANKING",CB$13,$S35,"SALDO","VOLF")</f>
        <v>#N/A</v>
      </c>
      <c r="CC35" s="27" t="e">
        <f>RTD("srv.rtd","","PLAYERSRANKING",CC$13,$S35,"SALDO","VOLF")</f>
        <v>#N/A</v>
      </c>
      <c r="CD35" s="27" t="e">
        <f>RTD("srv.rtd","","PLAYERSRANKING",CD$13,$S35,"SALDO","VOLF")</f>
        <v>#N/A</v>
      </c>
      <c r="CE35" s="27" t="e">
        <f>RTD("srv.rtd","","PLAYERSRANKING",CE$13,$S35,"SALDO","VOLF")</f>
        <v>#N/A</v>
      </c>
      <c r="CF35" s="27" t="e">
        <f>RTD("srv.rtd","","PLAYERSRANKING",CF$13,$S35,"SALDO","VOLF")</f>
        <v>#N/A</v>
      </c>
      <c r="CG35" s="27" t="e">
        <f>RTD("srv.rtd","","PLAYERSRANKING",CG$13,$S35,"SALDO","VOLF")</f>
        <v>#N/A</v>
      </c>
      <c r="CH35" s="27" t="e">
        <f>RTD("srv.rtd","","PLAYERSRANKING",CH$13,$S35,"SALDO","VOLF")</f>
        <v>#N/A</v>
      </c>
      <c r="CI35" s="27" t="e">
        <f>RTD("srv.rtd","","PLAYERSRANKING",CI$13,$S35,"SALDO","VOLF")</f>
        <v>#N/A</v>
      </c>
      <c r="CJ35" s="27" t="e">
        <f>RTD("srv.rtd","","PLAYERSRANKING",CJ$13,$S35,"SALDO","VOLF")</f>
        <v>#N/A</v>
      </c>
      <c r="CK35" s="27" t="e">
        <f>RTD("srv.rtd","","PLAYERSRANKING",CK$13,$S35,"SALDO","VOLF")</f>
        <v>#N/A</v>
      </c>
      <c r="CL35" s="27" t="e">
        <f>RTD("srv.rtd","","PLAYERSRANKING",CL$13,$S35,"SALDO","VOLF")</f>
        <v>#N/A</v>
      </c>
      <c r="CM35" s="27" t="e">
        <f>RTD("srv.rtd","","PLAYERSRANKING",CM$13,$S35,"SALDO","VOLF")</f>
        <v>#N/A</v>
      </c>
      <c r="CN35" s="27" t="e">
        <f>RTD("srv.rtd","","PLAYERSRANKING",CN$13,$S35,"SALDO","VOLF")</f>
        <v>#N/A</v>
      </c>
      <c r="CO35" s="27" t="e">
        <f>RTD("srv.rtd","","PLAYERSRANKING",CO$13,$S35,"SALDO","VOLF")</f>
        <v>#N/A</v>
      </c>
      <c r="CP35" s="27" t="e">
        <f>RTD("srv.rtd","","PLAYERSRANKING",CP$13,$S35,"SALDO","VOLF")</f>
        <v>#N/A</v>
      </c>
      <c r="CQ35" s="27" t="e">
        <f>RTD("srv.rtd","","PLAYERSRANKING",CQ$13,$S35,"SALDO","VOLF")</f>
        <v>#N/A</v>
      </c>
      <c r="CR35" s="27" t="e">
        <f>RTD("srv.rtd","","PLAYERSRANKING",CR$13,$S35,"SALDO","VOLF")</f>
        <v>#N/A</v>
      </c>
      <c r="CS35" s="27" t="e">
        <f>RTD("srv.rtd","","PLAYERSRANKING",CS$13,$S35,"SALDO","VOLF")</f>
        <v>#N/A</v>
      </c>
      <c r="CT35" s="27" t="e">
        <f>RTD("srv.rtd","","PLAYERSRANKING",CT$13,$S35,"SALDO","VOLF")</f>
        <v>#N/A</v>
      </c>
      <c r="CU35" s="27" t="e">
        <f>RTD("srv.rtd","","PLAYERSRANKING",CU$13,$S35,"SALDO","VOLF")</f>
        <v>#N/A</v>
      </c>
      <c r="CV35" s="27" t="e">
        <f>RTD("srv.rtd","","PLAYERSRANKING",CV$13,$S35,"SALDO","VOLF")</f>
        <v>#N/A</v>
      </c>
      <c r="CW35" s="27" t="e">
        <f>RTD("srv.rtd","","PLAYERSRANKING",CW$13,$S35,"SALDO","VOLF")</f>
        <v>#N/A</v>
      </c>
      <c r="CX35" s="27" t="e">
        <f>RTD("srv.rtd","","PLAYERSRANKING",CX$13,$S35,"SALDO","VOLF")</f>
        <v>#N/A</v>
      </c>
      <c r="CY35" s="27" t="e">
        <f>RTD("srv.rtd","","PLAYERSRANKING",CY$13,$S35,"SALDO","VOLF")</f>
        <v>#N/A</v>
      </c>
      <c r="CZ35" s="27" t="e">
        <f>RTD("srv.rtd","","PLAYERSRANKING",CZ$13,$S35,"SALDO","VOLF")</f>
        <v>#N/A</v>
      </c>
      <c r="DA35" s="27" t="e">
        <f>RTD("srv.rtd","","PLAYERSRANKING",DA$13,$S35,"SALDO","VOLF")</f>
        <v>#N/A</v>
      </c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</row>
    <row r="36" spans="1:124" x14ac:dyDescent="0.25">
      <c r="A36" s="2"/>
      <c r="B36" s="6" t="s">
        <v>265</v>
      </c>
      <c r="C36" s="19">
        <f>VLOOKUP(B36,RTD!$A$1:$H$196,2,0)</f>
        <v>6.0600000000000005</v>
      </c>
      <c r="D36" s="19">
        <f>VLOOKUP(B36,RTD!$A$1:$H$196,3,0)</f>
        <v>6.1000000000000005</v>
      </c>
      <c r="E36" s="19">
        <f>VLOOKUP(B36,RTD!$A$1:$H$196,4,0)</f>
        <v>6.1000000000000005</v>
      </c>
      <c r="F36" s="19">
        <f>VLOOKUP(B36,RTD!$A$1:$H$196,5,0)</f>
        <v>6.05</v>
      </c>
      <c r="G36" s="19">
        <f>VLOOKUP(B36,RTD!$A$1:$H$196,6,0)</f>
        <v>6.0600000000000005</v>
      </c>
      <c r="H36" s="19">
        <f t="shared" si="6"/>
        <v>6.0549999999999997</v>
      </c>
      <c r="I36" s="14">
        <f t="shared" si="7"/>
        <v>-7.3770491803279992E-3</v>
      </c>
      <c r="J36" s="98">
        <f>VLOOKUP(B36,'Market Data'!$A$4:$F$100,6,0)*C36</f>
        <v>42.236900825882685</v>
      </c>
      <c r="K36" s="19">
        <f>VLOOKUP(B36,RTD!$A$2:$H$100,8,0)</f>
        <v>0.76</v>
      </c>
      <c r="L36" s="14">
        <f t="shared" si="8"/>
        <v>-1.9385035851244761E-3</v>
      </c>
      <c r="M36" s="19">
        <f>VLOOKUP(B36,RTD!$A$1:$H$196,7,0)</f>
        <v>0</v>
      </c>
      <c r="N36" s="98">
        <f>IF(M36=0,J36,IF(M36=0,C36,M36)*VLOOKUP(B36,'Market Data'!$A$4:$F$100,6,0))</f>
        <v>42.236900825882685</v>
      </c>
      <c r="O36" s="7" t="s">
        <v>265</v>
      </c>
      <c r="P36" s="14"/>
      <c r="Q36" s="13"/>
      <c r="S36" s="133">
        <v>92</v>
      </c>
      <c r="T36" s="135" t="s">
        <v>200</v>
      </c>
      <c r="U36" s="27" t="e">
        <f>RTD("srv.rtd","","PLAYERSRANKING",$U$13,S36,"SALDO","VOLF")</f>
        <v>#N/A</v>
      </c>
      <c r="V36" s="27" t="e">
        <f>RTD("srv.rtd","","PLAYERSRANKING",V$13,S36,"SALDO","VOLF")*0.2</f>
        <v>#N/A</v>
      </c>
      <c r="W36" s="27" t="e">
        <f>RTD("srv.rtd","","PLAYERSRANKING",W$13,S36,"SALDO","VOLF")*50</f>
        <v>#N/A</v>
      </c>
      <c r="X36" s="27" t="e">
        <f>RTD("srv.rtd","","PLAYERSRANKING",X$13,S36,"SALDO","VOLF")*10</f>
        <v>#N/A</v>
      </c>
      <c r="Y36" s="27" t="e">
        <f>RTD("srv.rtd","","PLAYERSRANKING",Y$13,$S36,"SALDO","VOLF")</f>
        <v>#N/A</v>
      </c>
      <c r="Z36" s="27" t="e">
        <f>RTD("srv.rtd","","PLAYERSRANKING",Z$13,$S36,"SALDO","VOLF")</f>
        <v>#N/A</v>
      </c>
      <c r="AA36" s="27" t="e">
        <f>RTD("srv.rtd","","PLAYERSRANKING",AA$13,$S36,"SALDO","VOLF")</f>
        <v>#N/A</v>
      </c>
      <c r="AB36" s="27" t="e">
        <f>RTD("srv.rtd","","PLAYERSRANKING",AB$13,$S36,"SALDO","VOLF")</f>
        <v>#N/A</v>
      </c>
      <c r="AC36" s="27" t="e">
        <f>RTD("srv.rtd","","PLAYERSRANKING",AC$13,$S36,"SALDO","VOLF")</f>
        <v>#N/A</v>
      </c>
      <c r="AD36" s="27" t="e">
        <f>RTD("srv.rtd","","PLAYERSRANKING",AD$13,$S36,"SALDO","VOLF")</f>
        <v>#N/A</v>
      </c>
      <c r="AE36" s="27" t="e">
        <f>RTD("srv.rtd","","PLAYERSRANKING",AE$13,$S36,"SALDO","VOLF")</f>
        <v>#N/A</v>
      </c>
      <c r="AF36" s="27" t="e">
        <f>RTD("srv.rtd","","PLAYERSRANKING",AF$13,$S36,"SALDO","VOLF")</f>
        <v>#N/A</v>
      </c>
      <c r="AG36" s="27" t="e">
        <f>RTD("srv.rtd","","PLAYERSRANKING",AG$13,$S36,"SALDO","VOLF")</f>
        <v>#N/A</v>
      </c>
      <c r="AH36" s="27" t="e">
        <f>RTD("srv.rtd","","PLAYERSRANKING",AH$13,$S36,"SALDO","VOLF")</f>
        <v>#N/A</v>
      </c>
      <c r="AI36" s="27" t="e">
        <f>RTD("srv.rtd","","PLAYERSRANKING",AI$13,$S36,"SALDO","VOLF")</f>
        <v>#N/A</v>
      </c>
      <c r="AJ36" s="27" t="e">
        <f>RTD("srv.rtd","","PLAYERSRANKING",AJ$13,$S36,"SALDO","VOLF")</f>
        <v>#N/A</v>
      </c>
      <c r="AK36" s="27" t="e">
        <f>RTD("srv.rtd","","PLAYERSRANKING",AK$13,$S36,"SALDO","VOLF")</f>
        <v>#N/A</v>
      </c>
      <c r="AL36" s="27" t="e">
        <f>RTD("srv.rtd","","PLAYERSRANKING",AL$13,$S36,"SALDO","VOLF")</f>
        <v>#N/A</v>
      </c>
      <c r="AM36" s="27" t="e">
        <f>RTD("srv.rtd","","PLAYERSRANKING",AM$13,$S36,"SALDO","VOLF")</f>
        <v>#N/A</v>
      </c>
      <c r="AN36" s="27" t="e">
        <f>RTD("srv.rtd","","PLAYERSRANKING",AN$13,$S36,"SALDO","VOLF")</f>
        <v>#N/A</v>
      </c>
      <c r="AO36" s="27" t="e">
        <f>RTD("srv.rtd","","PLAYERSRANKING",AO$13,$S36,"SALDO","VOLF")</f>
        <v>#N/A</v>
      </c>
      <c r="AP36" s="27" t="e">
        <f>RTD("srv.rtd","","PLAYERSRANKING",AP$13,$S36,"SALDO","VOLF")</f>
        <v>#N/A</v>
      </c>
      <c r="AQ36" s="27" t="e">
        <f>RTD("srv.rtd","","PLAYERSRANKING",AQ$13,$S36,"SALDO","VOLF")</f>
        <v>#N/A</v>
      </c>
      <c r="AR36" s="27" t="e">
        <f>RTD("srv.rtd","","PLAYERSRANKING",AR$13,$S36,"SALDO","VOLF")</f>
        <v>#N/A</v>
      </c>
      <c r="AS36" s="27" t="e">
        <f>RTD("srv.rtd","","PLAYERSRANKING",AS$13,$S36,"SALDO","VOLF")</f>
        <v>#N/A</v>
      </c>
      <c r="AT36" s="27" t="e">
        <f>RTD("srv.rtd","","PLAYERSRANKING",AT$13,$S36,"SALDO","VOLF")</f>
        <v>#N/A</v>
      </c>
      <c r="AU36" s="27" t="e">
        <f>RTD("srv.rtd","","PLAYERSRANKING",AU$13,$S36,"SALDO","VOLF")</f>
        <v>#N/A</v>
      </c>
      <c r="AV36" s="27" t="e">
        <f>RTD("srv.rtd","","PLAYERSRANKING",AV$13,$S36,"SALDO","VOLF")</f>
        <v>#N/A</v>
      </c>
      <c r="AW36" s="27" t="e">
        <f>RTD("srv.rtd","","PLAYERSRANKING",AW$13,$S36,"SALDO","VOLF")</f>
        <v>#N/A</v>
      </c>
      <c r="AX36" s="27" t="e">
        <f>RTD("srv.rtd","","PLAYERSRANKING",AX$13,$S36,"SALDO","VOLF")</f>
        <v>#N/A</v>
      </c>
      <c r="AY36" s="27" t="e">
        <f>RTD("srv.rtd","","PLAYERSRANKING",AY$13,$S36,"SALDO","VOLF")</f>
        <v>#N/A</v>
      </c>
      <c r="AZ36" s="27" t="e">
        <f>RTD("srv.rtd","","PLAYERSRANKING",AZ$13,$S36,"SALDO","VOLF")</f>
        <v>#N/A</v>
      </c>
      <c r="BA36" s="27" t="e">
        <f>RTD("srv.rtd","","PLAYERSRANKING",BA$13,$S36,"SALDO","VOLF")</f>
        <v>#N/A</v>
      </c>
      <c r="BB36" s="27" t="e">
        <f>RTD("srv.rtd","","PLAYERSRANKING",BB$13,$S36,"SALDO","VOLF")</f>
        <v>#N/A</v>
      </c>
      <c r="BC36" s="27" t="e">
        <f>RTD("srv.rtd","","PLAYERSRANKING",BC$13,$S36,"SALDO","VOLF")</f>
        <v>#N/A</v>
      </c>
      <c r="BD36" s="27" t="e">
        <f>RTD("srv.rtd","","PLAYERSRANKING",BD$13,$S36,"SALDO","VOLF")</f>
        <v>#N/A</v>
      </c>
      <c r="BE36" s="27" t="e">
        <f>RTD("srv.rtd","","PLAYERSRANKING",BE$13,$S36,"SALDO","VOLF")</f>
        <v>#N/A</v>
      </c>
      <c r="BF36" s="27" t="e">
        <f>RTD("srv.rtd","","PLAYERSRANKING",BF$13,$S36,"SALDO","VOLF")</f>
        <v>#N/A</v>
      </c>
      <c r="BG36" s="27" t="e">
        <f>RTD("srv.rtd","","PLAYERSRANKING",BG$13,$S36,"SALDO","VOLF")</f>
        <v>#N/A</v>
      </c>
      <c r="BH36" s="27" t="e">
        <f>RTD("srv.rtd","","PLAYERSRANKING",BH$13,$S36,"SALDO","VOLF")</f>
        <v>#N/A</v>
      </c>
      <c r="BI36" s="27" t="e">
        <f>RTD("srv.rtd","","PLAYERSRANKING",BI$13,$S36,"SALDO","VOLF")</f>
        <v>#N/A</v>
      </c>
      <c r="BJ36" s="27" t="e">
        <f>RTD("srv.rtd","","PLAYERSRANKING",BJ$13,$S36,"SALDO","VOLF")</f>
        <v>#N/A</v>
      </c>
      <c r="BK36" s="27" t="e">
        <f>RTD("srv.rtd","","PLAYERSRANKING",BK$13,$S36,"SALDO","VOLF")</f>
        <v>#N/A</v>
      </c>
      <c r="BL36" s="27" t="e">
        <f>RTD("srv.rtd","","PLAYERSRANKING",BL$13,$S36,"SALDO","VOLF")</f>
        <v>#N/A</v>
      </c>
      <c r="BM36" s="27" t="e">
        <f>RTD("srv.rtd","","PLAYERSRANKING",BM$13,$S36,"SALDO","VOLF")</f>
        <v>#N/A</v>
      </c>
      <c r="BN36" s="27" t="e">
        <f>RTD("srv.rtd","","PLAYERSRANKING",BN$13,$S36,"SALDO","VOLF")</f>
        <v>#N/A</v>
      </c>
      <c r="BO36" s="27" t="e">
        <f>RTD("srv.rtd","","PLAYERSRANKING",BO$13,$S36,"SALDO","VOLF")</f>
        <v>#N/A</v>
      </c>
      <c r="BP36" s="27" t="e">
        <f>RTD("srv.rtd","","PLAYERSRANKING",BP$13,$S36,"SALDO","VOLF")</f>
        <v>#N/A</v>
      </c>
      <c r="BQ36" s="27" t="e">
        <f>RTD("srv.rtd","","PLAYERSRANKING",BQ$13,$S36,"SALDO","VOLF")</f>
        <v>#N/A</v>
      </c>
      <c r="BR36" s="27" t="e">
        <f>RTD("srv.rtd","","PLAYERSRANKING",BR$13,$S36,"SALDO","VOLF")</f>
        <v>#N/A</v>
      </c>
      <c r="BS36" s="27" t="e">
        <f>RTD("srv.rtd","","PLAYERSRANKING",BS$13,$S36,"SALDO","VOLF")</f>
        <v>#N/A</v>
      </c>
      <c r="BT36" s="27" t="e">
        <f>RTD("srv.rtd","","PLAYERSRANKING",BT$13,$S36,"SALDO","VOLF")</f>
        <v>#N/A</v>
      </c>
      <c r="BU36" s="27" t="e">
        <f>RTD("srv.rtd","","PLAYERSRANKING",BU$13,$S36,"SALDO","VOLF")</f>
        <v>#N/A</v>
      </c>
      <c r="BV36" s="27" t="e">
        <f>RTD("srv.rtd","","PLAYERSRANKING",BV$13,$S36,"SALDO","VOLF")</f>
        <v>#N/A</v>
      </c>
      <c r="BW36" s="27" t="e">
        <f>RTD("srv.rtd","","PLAYERSRANKING",BW$13,$S36,"SALDO","VOLF")</f>
        <v>#N/A</v>
      </c>
      <c r="BX36" s="27" t="e">
        <f>RTD("srv.rtd","","PLAYERSRANKING",BX$13,$S36,"SALDO","VOLF")</f>
        <v>#N/A</v>
      </c>
      <c r="BY36" s="27" t="e">
        <f>RTD("srv.rtd","","PLAYERSRANKING",BY$13,$S36,"SALDO","VOLF")</f>
        <v>#N/A</v>
      </c>
      <c r="BZ36" s="27" t="e">
        <f>RTD("srv.rtd","","PLAYERSRANKING",BZ$13,$S36,"SALDO","VOLF")</f>
        <v>#N/A</v>
      </c>
      <c r="CA36" s="27" t="e">
        <f>RTD("srv.rtd","","PLAYERSRANKING",CA$13,$S36,"SALDO","VOLF")</f>
        <v>#N/A</v>
      </c>
      <c r="CB36" s="27" t="e">
        <f>RTD("srv.rtd","","PLAYERSRANKING",CB$13,$S36,"SALDO","VOLF")</f>
        <v>#N/A</v>
      </c>
      <c r="CC36" s="27" t="e">
        <f>RTD("srv.rtd","","PLAYERSRANKING",CC$13,$S36,"SALDO","VOLF")</f>
        <v>#N/A</v>
      </c>
      <c r="CD36" s="27" t="e">
        <f>RTD("srv.rtd","","PLAYERSRANKING",CD$13,$S36,"SALDO","VOLF")</f>
        <v>#N/A</v>
      </c>
      <c r="CE36" s="27" t="e">
        <f>RTD("srv.rtd","","PLAYERSRANKING",CE$13,$S36,"SALDO","VOLF")</f>
        <v>#N/A</v>
      </c>
      <c r="CF36" s="27" t="e">
        <f>RTD("srv.rtd","","PLAYERSRANKING",CF$13,$S36,"SALDO","VOLF")</f>
        <v>#N/A</v>
      </c>
      <c r="CG36" s="27" t="e">
        <f>RTD("srv.rtd","","PLAYERSRANKING",CG$13,$S36,"SALDO","VOLF")</f>
        <v>#N/A</v>
      </c>
      <c r="CH36" s="27" t="e">
        <f>RTD("srv.rtd","","PLAYERSRANKING",CH$13,$S36,"SALDO","VOLF")</f>
        <v>#N/A</v>
      </c>
      <c r="CI36" s="27" t="e">
        <f>RTD("srv.rtd","","PLAYERSRANKING",CI$13,$S36,"SALDO","VOLF")</f>
        <v>#N/A</v>
      </c>
      <c r="CJ36" s="27" t="e">
        <f>RTD("srv.rtd","","PLAYERSRANKING",CJ$13,$S36,"SALDO","VOLF")</f>
        <v>#N/A</v>
      </c>
      <c r="CK36" s="27" t="e">
        <f>RTD("srv.rtd","","PLAYERSRANKING",CK$13,$S36,"SALDO","VOLF")</f>
        <v>#N/A</v>
      </c>
      <c r="CL36" s="27" t="e">
        <f>RTD("srv.rtd","","PLAYERSRANKING",CL$13,$S36,"SALDO","VOLF")</f>
        <v>#N/A</v>
      </c>
      <c r="CM36" s="27" t="e">
        <f>RTD("srv.rtd","","PLAYERSRANKING",CM$13,$S36,"SALDO","VOLF")</f>
        <v>#N/A</v>
      </c>
      <c r="CN36" s="27" t="e">
        <f>RTD("srv.rtd","","PLAYERSRANKING",CN$13,$S36,"SALDO","VOLF")</f>
        <v>#N/A</v>
      </c>
      <c r="CO36" s="27" t="e">
        <f>RTD("srv.rtd","","PLAYERSRANKING",CO$13,$S36,"SALDO","VOLF")</f>
        <v>#N/A</v>
      </c>
      <c r="CP36" s="27" t="e">
        <f>RTD("srv.rtd","","PLAYERSRANKING",CP$13,$S36,"SALDO","VOLF")</f>
        <v>#N/A</v>
      </c>
      <c r="CQ36" s="27" t="e">
        <f>RTD("srv.rtd","","PLAYERSRANKING",CQ$13,$S36,"SALDO","VOLF")</f>
        <v>#N/A</v>
      </c>
      <c r="CR36" s="27" t="e">
        <f>RTD("srv.rtd","","PLAYERSRANKING",CR$13,$S36,"SALDO","VOLF")</f>
        <v>#N/A</v>
      </c>
      <c r="CS36" s="27" t="e">
        <f>RTD("srv.rtd","","PLAYERSRANKING",CS$13,$S36,"SALDO","VOLF")</f>
        <v>#N/A</v>
      </c>
      <c r="CT36" s="27" t="e">
        <f>RTD("srv.rtd","","PLAYERSRANKING",CT$13,$S36,"SALDO","VOLF")</f>
        <v>#N/A</v>
      </c>
      <c r="CU36" s="27" t="e">
        <f>RTD("srv.rtd","","PLAYERSRANKING",CU$13,$S36,"SALDO","VOLF")</f>
        <v>#N/A</v>
      </c>
      <c r="CV36" s="27" t="e">
        <f>RTD("srv.rtd","","PLAYERSRANKING",CV$13,$S36,"SALDO","VOLF")</f>
        <v>#N/A</v>
      </c>
      <c r="CW36" s="27" t="e">
        <f>RTD("srv.rtd","","PLAYERSRANKING",CW$13,$S36,"SALDO","VOLF")</f>
        <v>#N/A</v>
      </c>
      <c r="CX36" s="27" t="e">
        <f>RTD("srv.rtd","","PLAYERSRANKING",CX$13,$S36,"SALDO","VOLF")</f>
        <v>#N/A</v>
      </c>
      <c r="CY36" s="27" t="e">
        <f>RTD("srv.rtd","","PLAYERSRANKING",CY$13,$S36,"SALDO","VOLF")</f>
        <v>#N/A</v>
      </c>
      <c r="CZ36" s="27" t="e">
        <f>RTD("srv.rtd","","PLAYERSRANKING",CZ$13,$S36,"SALDO","VOLF")</f>
        <v>#N/A</v>
      </c>
      <c r="DA36" s="27" t="e">
        <f>RTD("srv.rtd","","PLAYERSRANKING",DA$13,$S36,"SALDO","VOLF")</f>
        <v>#N/A</v>
      </c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</row>
    <row r="37" spans="1:124" x14ac:dyDescent="0.25">
      <c r="A37" s="2"/>
      <c r="B37" s="6" t="s">
        <v>51</v>
      </c>
      <c r="C37" s="19">
        <f>VLOOKUP(B37,RTD!$A$1:$H$196,2,0)</f>
        <v>13.800000000000002</v>
      </c>
      <c r="D37" s="19">
        <f>VLOOKUP(B37,RTD!$A$1:$H$196,3,0)</f>
        <v>13.889999999999999</v>
      </c>
      <c r="E37" s="19">
        <f>VLOOKUP(B37,RTD!$A$1:$H$196,4,0)</f>
        <v>13.96</v>
      </c>
      <c r="F37" s="19">
        <f>VLOOKUP(B37,RTD!$A$1:$H$196,5,0)</f>
        <v>13.790000000000001</v>
      </c>
      <c r="G37" s="19">
        <f>VLOOKUP(B37,RTD!$A$1:$H$196,6,0)</f>
        <v>13.81</v>
      </c>
      <c r="H37" s="19">
        <f t="shared" si="6"/>
        <v>13.8</v>
      </c>
      <c r="I37" s="14">
        <f t="shared" si="7"/>
        <v>-1.1461318051575908E-2</v>
      </c>
      <c r="J37" s="98">
        <f>VLOOKUP(B37,'Market Data'!$A$4:$F$100,6,0)*C37</f>
        <v>293.69655032945332</v>
      </c>
      <c r="K37" s="19">
        <f>VLOOKUP(B37,RTD!$A$2:$H$100,8,0)</f>
        <v>0.39</v>
      </c>
      <c r="L37" s="14">
        <f t="shared" si="8"/>
        <v>-8.6704854435109419E-3</v>
      </c>
      <c r="M37" s="19">
        <f>VLOOKUP(B37,RTD!$A$1:$H$196,7,0)</f>
        <v>0</v>
      </c>
      <c r="N37" s="98">
        <f>IF(M37=0,J37,IF(M37=0,C37,M37)*VLOOKUP(B37,'Market Data'!$A$4:$F$100,6,0))</f>
        <v>293.69655032945332</v>
      </c>
      <c r="O37" s="7" t="s">
        <v>51</v>
      </c>
      <c r="P37" s="14"/>
      <c r="Q37" s="13"/>
      <c r="S37" s="133">
        <v>59</v>
      </c>
      <c r="T37" s="135" t="s">
        <v>187</v>
      </c>
      <c r="U37" s="27" t="e">
        <f>RTD("srv.rtd","","PLAYERSRANKING",$U$13,S37,"SALDO","VOLF")</f>
        <v>#N/A</v>
      </c>
      <c r="V37" s="27" t="e">
        <f>RTD("srv.rtd","","PLAYERSRANKING",V$13,S37,"SALDO","VOLF")*0.2</f>
        <v>#N/A</v>
      </c>
      <c r="W37" s="27" t="e">
        <f>RTD("srv.rtd","","PLAYERSRANKING",W$13,S37,"SALDO","VOLF")*50</f>
        <v>#N/A</v>
      </c>
      <c r="X37" s="27" t="e">
        <f>RTD("srv.rtd","","PLAYERSRANKING",X$13,S37,"SALDO","VOLF")*10</f>
        <v>#N/A</v>
      </c>
      <c r="Y37" s="27" t="e">
        <f>RTD("srv.rtd","","PLAYERSRANKING",Y$13,$S37,"SALDO","VOLF")</f>
        <v>#N/A</v>
      </c>
      <c r="Z37" s="27" t="e">
        <f>RTD("srv.rtd","","PLAYERSRANKING",Z$13,$S37,"SALDO","VOLF")</f>
        <v>#N/A</v>
      </c>
      <c r="AA37" s="27" t="e">
        <f>RTD("srv.rtd","","PLAYERSRANKING",AA$13,$S37,"SALDO","VOLF")</f>
        <v>#N/A</v>
      </c>
      <c r="AB37" s="27" t="e">
        <f>RTD("srv.rtd","","PLAYERSRANKING",AB$13,$S37,"SALDO","VOLF")</f>
        <v>#N/A</v>
      </c>
      <c r="AC37" s="27" t="e">
        <f>RTD("srv.rtd","","PLAYERSRANKING",AC$13,$S37,"SALDO","VOLF")</f>
        <v>#N/A</v>
      </c>
      <c r="AD37" s="27" t="e">
        <f>RTD("srv.rtd","","PLAYERSRANKING",AD$13,$S37,"SALDO","VOLF")</f>
        <v>#N/A</v>
      </c>
      <c r="AE37" s="27" t="e">
        <f>RTD("srv.rtd","","PLAYERSRANKING",AE$13,$S37,"SALDO","VOLF")</f>
        <v>#N/A</v>
      </c>
      <c r="AF37" s="27" t="e">
        <f>RTD("srv.rtd","","PLAYERSRANKING",AF$13,$S37,"SALDO","VOLF")</f>
        <v>#N/A</v>
      </c>
      <c r="AG37" s="27" t="e">
        <f>RTD("srv.rtd","","PLAYERSRANKING",AG$13,$S37,"SALDO","VOLF")</f>
        <v>#N/A</v>
      </c>
      <c r="AH37" s="27" t="e">
        <f>RTD("srv.rtd","","PLAYERSRANKING",AH$13,$S37,"SALDO","VOLF")</f>
        <v>#N/A</v>
      </c>
      <c r="AI37" s="27" t="e">
        <f>RTD("srv.rtd","","PLAYERSRANKING",AI$13,$S37,"SALDO","VOLF")</f>
        <v>#N/A</v>
      </c>
      <c r="AJ37" s="27" t="e">
        <f>RTD("srv.rtd","","PLAYERSRANKING",AJ$13,$S37,"SALDO","VOLF")</f>
        <v>#N/A</v>
      </c>
      <c r="AK37" s="27" t="e">
        <f>RTD("srv.rtd","","PLAYERSRANKING",AK$13,$S37,"SALDO","VOLF")</f>
        <v>#N/A</v>
      </c>
      <c r="AL37" s="27" t="e">
        <f>RTD("srv.rtd","","PLAYERSRANKING",AL$13,$S37,"SALDO","VOLF")</f>
        <v>#N/A</v>
      </c>
      <c r="AM37" s="27" t="e">
        <f>RTD("srv.rtd","","PLAYERSRANKING",AM$13,$S37,"SALDO","VOLF")</f>
        <v>#N/A</v>
      </c>
      <c r="AN37" s="27" t="e">
        <f>RTD("srv.rtd","","PLAYERSRANKING",AN$13,$S37,"SALDO","VOLF")</f>
        <v>#N/A</v>
      </c>
      <c r="AO37" s="27" t="e">
        <f>RTD("srv.rtd","","PLAYERSRANKING",AO$13,$S37,"SALDO","VOLF")</f>
        <v>#N/A</v>
      </c>
      <c r="AP37" s="27" t="e">
        <f>RTD("srv.rtd","","PLAYERSRANKING",AP$13,$S37,"SALDO","VOLF")</f>
        <v>#N/A</v>
      </c>
      <c r="AQ37" s="27" t="e">
        <f>RTD("srv.rtd","","PLAYERSRANKING",AQ$13,$S37,"SALDO","VOLF")</f>
        <v>#N/A</v>
      </c>
      <c r="AR37" s="27" t="e">
        <f>RTD("srv.rtd","","PLAYERSRANKING",AR$13,$S37,"SALDO","VOLF")</f>
        <v>#N/A</v>
      </c>
      <c r="AS37" s="27" t="e">
        <f>RTD("srv.rtd","","PLAYERSRANKING",AS$13,$S37,"SALDO","VOLF")</f>
        <v>#N/A</v>
      </c>
      <c r="AT37" s="27" t="e">
        <f>RTD("srv.rtd","","PLAYERSRANKING",AT$13,$S37,"SALDO","VOLF")</f>
        <v>#N/A</v>
      </c>
      <c r="AU37" s="27" t="e">
        <f>RTD("srv.rtd","","PLAYERSRANKING",AU$13,$S37,"SALDO","VOLF")</f>
        <v>#N/A</v>
      </c>
      <c r="AV37" s="27" t="e">
        <f>RTD("srv.rtd","","PLAYERSRANKING",AV$13,$S37,"SALDO","VOLF")</f>
        <v>#N/A</v>
      </c>
      <c r="AW37" s="27" t="e">
        <f>RTD("srv.rtd","","PLAYERSRANKING",AW$13,$S37,"SALDO","VOLF")</f>
        <v>#N/A</v>
      </c>
      <c r="AX37" s="27" t="e">
        <f>RTD("srv.rtd","","PLAYERSRANKING",AX$13,$S37,"SALDO","VOLF")</f>
        <v>#N/A</v>
      </c>
      <c r="AY37" s="27" t="e">
        <f>RTD("srv.rtd","","PLAYERSRANKING",AY$13,$S37,"SALDO","VOLF")</f>
        <v>#N/A</v>
      </c>
      <c r="AZ37" s="27" t="e">
        <f>RTD("srv.rtd","","PLAYERSRANKING",AZ$13,$S37,"SALDO","VOLF")</f>
        <v>#N/A</v>
      </c>
      <c r="BA37" s="27" t="e">
        <f>RTD("srv.rtd","","PLAYERSRANKING",BA$13,$S37,"SALDO","VOLF")</f>
        <v>#N/A</v>
      </c>
      <c r="BB37" s="27" t="e">
        <f>RTD("srv.rtd","","PLAYERSRANKING",BB$13,$S37,"SALDO","VOLF")</f>
        <v>#N/A</v>
      </c>
      <c r="BC37" s="27" t="e">
        <f>RTD("srv.rtd","","PLAYERSRANKING",BC$13,$S37,"SALDO","VOLF")</f>
        <v>#N/A</v>
      </c>
      <c r="BD37" s="27" t="e">
        <f>RTD("srv.rtd","","PLAYERSRANKING",BD$13,$S37,"SALDO","VOLF")</f>
        <v>#N/A</v>
      </c>
      <c r="BE37" s="27" t="e">
        <f>RTD("srv.rtd","","PLAYERSRANKING",BE$13,$S37,"SALDO","VOLF")</f>
        <v>#N/A</v>
      </c>
      <c r="BF37" s="27" t="e">
        <f>RTD("srv.rtd","","PLAYERSRANKING",BF$13,$S37,"SALDO","VOLF")</f>
        <v>#N/A</v>
      </c>
      <c r="BG37" s="27" t="e">
        <f>RTD("srv.rtd","","PLAYERSRANKING",BG$13,$S37,"SALDO","VOLF")</f>
        <v>#N/A</v>
      </c>
      <c r="BH37" s="27" t="e">
        <f>RTD("srv.rtd","","PLAYERSRANKING",BH$13,$S37,"SALDO","VOLF")</f>
        <v>#N/A</v>
      </c>
      <c r="BI37" s="27" t="e">
        <f>RTD("srv.rtd","","PLAYERSRANKING",BI$13,$S37,"SALDO","VOLF")</f>
        <v>#N/A</v>
      </c>
      <c r="BJ37" s="27" t="e">
        <f>RTD("srv.rtd","","PLAYERSRANKING",BJ$13,$S37,"SALDO","VOLF")</f>
        <v>#N/A</v>
      </c>
      <c r="BK37" s="27" t="e">
        <f>RTD("srv.rtd","","PLAYERSRANKING",BK$13,$S37,"SALDO","VOLF")</f>
        <v>#N/A</v>
      </c>
      <c r="BL37" s="27" t="e">
        <f>RTD("srv.rtd","","PLAYERSRANKING",BL$13,$S37,"SALDO","VOLF")</f>
        <v>#N/A</v>
      </c>
      <c r="BM37" s="27" t="e">
        <f>RTD("srv.rtd","","PLAYERSRANKING",BM$13,$S37,"SALDO","VOLF")</f>
        <v>#N/A</v>
      </c>
      <c r="BN37" s="27" t="e">
        <f>RTD("srv.rtd","","PLAYERSRANKING",BN$13,$S37,"SALDO","VOLF")</f>
        <v>#N/A</v>
      </c>
      <c r="BO37" s="27" t="e">
        <f>RTD("srv.rtd","","PLAYERSRANKING",BO$13,$S37,"SALDO","VOLF")</f>
        <v>#N/A</v>
      </c>
      <c r="BP37" s="27" t="e">
        <f>RTD("srv.rtd","","PLAYERSRANKING",BP$13,$S37,"SALDO","VOLF")</f>
        <v>#N/A</v>
      </c>
      <c r="BQ37" s="27" t="e">
        <f>RTD("srv.rtd","","PLAYERSRANKING",BQ$13,$S37,"SALDO","VOLF")</f>
        <v>#N/A</v>
      </c>
      <c r="BR37" s="27" t="e">
        <f>RTD("srv.rtd","","PLAYERSRANKING",BR$13,$S37,"SALDO","VOLF")</f>
        <v>#N/A</v>
      </c>
      <c r="BS37" s="27" t="e">
        <f>RTD("srv.rtd","","PLAYERSRANKING",BS$13,$S37,"SALDO","VOLF")</f>
        <v>#N/A</v>
      </c>
      <c r="BT37" s="27" t="e">
        <f>RTD("srv.rtd","","PLAYERSRANKING",BT$13,$S37,"SALDO","VOLF")</f>
        <v>#N/A</v>
      </c>
      <c r="BU37" s="27" t="e">
        <f>RTD("srv.rtd","","PLAYERSRANKING",BU$13,$S37,"SALDO","VOLF")</f>
        <v>#N/A</v>
      </c>
      <c r="BV37" s="27" t="e">
        <f>RTD("srv.rtd","","PLAYERSRANKING",BV$13,$S37,"SALDO","VOLF")</f>
        <v>#N/A</v>
      </c>
      <c r="BW37" s="27" t="e">
        <f>RTD("srv.rtd","","PLAYERSRANKING",BW$13,$S37,"SALDO","VOLF")</f>
        <v>#N/A</v>
      </c>
      <c r="BX37" s="27" t="e">
        <f>RTD("srv.rtd","","PLAYERSRANKING",BX$13,$S37,"SALDO","VOLF")</f>
        <v>#N/A</v>
      </c>
      <c r="BY37" s="27" t="e">
        <f>RTD("srv.rtd","","PLAYERSRANKING",BY$13,$S37,"SALDO","VOLF")</f>
        <v>#N/A</v>
      </c>
      <c r="BZ37" s="27" t="e">
        <f>RTD("srv.rtd","","PLAYERSRANKING",BZ$13,$S37,"SALDO","VOLF")</f>
        <v>#N/A</v>
      </c>
      <c r="CA37" s="27" t="e">
        <f>RTD("srv.rtd","","PLAYERSRANKING",CA$13,$S37,"SALDO","VOLF")</f>
        <v>#N/A</v>
      </c>
      <c r="CB37" s="27" t="e">
        <f>RTD("srv.rtd","","PLAYERSRANKING",CB$13,$S37,"SALDO","VOLF")</f>
        <v>#N/A</v>
      </c>
      <c r="CC37" s="27" t="e">
        <f>RTD("srv.rtd","","PLAYERSRANKING",CC$13,$S37,"SALDO","VOLF")</f>
        <v>#N/A</v>
      </c>
      <c r="CD37" s="27" t="e">
        <f>RTD("srv.rtd","","PLAYERSRANKING",CD$13,$S37,"SALDO","VOLF")</f>
        <v>#N/A</v>
      </c>
      <c r="CE37" s="27" t="e">
        <f>RTD("srv.rtd","","PLAYERSRANKING",CE$13,$S37,"SALDO","VOLF")</f>
        <v>#N/A</v>
      </c>
      <c r="CF37" s="27" t="e">
        <f>RTD("srv.rtd","","PLAYERSRANKING",CF$13,$S37,"SALDO","VOLF")</f>
        <v>#N/A</v>
      </c>
      <c r="CG37" s="27" t="e">
        <f>RTD("srv.rtd","","PLAYERSRANKING",CG$13,$S37,"SALDO","VOLF")</f>
        <v>#N/A</v>
      </c>
      <c r="CH37" s="27" t="e">
        <f>RTD("srv.rtd","","PLAYERSRANKING",CH$13,$S37,"SALDO","VOLF")</f>
        <v>#N/A</v>
      </c>
      <c r="CI37" s="27" t="e">
        <f>RTD("srv.rtd","","PLAYERSRANKING",CI$13,$S37,"SALDO","VOLF")</f>
        <v>#N/A</v>
      </c>
      <c r="CJ37" s="27" t="e">
        <f>RTD("srv.rtd","","PLAYERSRANKING",CJ$13,$S37,"SALDO","VOLF")</f>
        <v>#N/A</v>
      </c>
      <c r="CK37" s="27" t="e">
        <f>RTD("srv.rtd","","PLAYERSRANKING",CK$13,$S37,"SALDO","VOLF")</f>
        <v>#N/A</v>
      </c>
      <c r="CL37" s="27" t="e">
        <f>RTD("srv.rtd","","PLAYERSRANKING",CL$13,$S37,"SALDO","VOLF")</f>
        <v>#N/A</v>
      </c>
      <c r="CM37" s="27" t="e">
        <f>RTD("srv.rtd","","PLAYERSRANKING",CM$13,$S37,"SALDO","VOLF")</f>
        <v>#N/A</v>
      </c>
      <c r="CN37" s="27" t="e">
        <f>RTD("srv.rtd","","PLAYERSRANKING",CN$13,$S37,"SALDO","VOLF")</f>
        <v>#N/A</v>
      </c>
      <c r="CO37" s="27" t="e">
        <f>RTD("srv.rtd","","PLAYERSRANKING",CO$13,$S37,"SALDO","VOLF")</f>
        <v>#N/A</v>
      </c>
      <c r="CP37" s="27" t="e">
        <f>RTD("srv.rtd","","PLAYERSRANKING",CP$13,$S37,"SALDO","VOLF")</f>
        <v>#N/A</v>
      </c>
      <c r="CQ37" s="27" t="e">
        <f>RTD("srv.rtd","","PLAYERSRANKING",CQ$13,$S37,"SALDO","VOLF")</f>
        <v>#N/A</v>
      </c>
      <c r="CR37" s="27" t="e">
        <f>RTD("srv.rtd","","PLAYERSRANKING",CR$13,$S37,"SALDO","VOLF")</f>
        <v>#N/A</v>
      </c>
      <c r="CS37" s="27" t="e">
        <f>RTD("srv.rtd","","PLAYERSRANKING",CS$13,$S37,"SALDO","VOLF")</f>
        <v>#N/A</v>
      </c>
      <c r="CT37" s="27" t="e">
        <f>RTD("srv.rtd","","PLAYERSRANKING",CT$13,$S37,"SALDO","VOLF")</f>
        <v>#N/A</v>
      </c>
      <c r="CU37" s="27" t="e">
        <f>RTD("srv.rtd","","PLAYERSRANKING",CU$13,$S37,"SALDO","VOLF")</f>
        <v>#N/A</v>
      </c>
      <c r="CV37" s="27" t="e">
        <f>RTD("srv.rtd","","PLAYERSRANKING",CV$13,$S37,"SALDO","VOLF")</f>
        <v>#N/A</v>
      </c>
      <c r="CW37" s="27" t="e">
        <f>RTD("srv.rtd","","PLAYERSRANKING",CW$13,$S37,"SALDO","VOLF")</f>
        <v>#N/A</v>
      </c>
      <c r="CX37" s="27" t="e">
        <f>RTD("srv.rtd","","PLAYERSRANKING",CX$13,$S37,"SALDO","VOLF")</f>
        <v>#N/A</v>
      </c>
      <c r="CY37" s="27" t="e">
        <f>RTD("srv.rtd","","PLAYERSRANKING",CY$13,$S37,"SALDO","VOLF")</f>
        <v>#N/A</v>
      </c>
      <c r="CZ37" s="27" t="e">
        <f>RTD("srv.rtd","","PLAYERSRANKING",CZ$13,$S37,"SALDO","VOLF")</f>
        <v>#N/A</v>
      </c>
      <c r="DA37" s="27" t="e">
        <f>RTD("srv.rtd","","PLAYERSRANKING",DA$13,$S37,"SALDO","VOLF")</f>
        <v>#N/A</v>
      </c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</row>
    <row r="38" spans="1:124" x14ac:dyDescent="0.25">
      <c r="A38" s="2"/>
      <c r="B38" s="6" t="s">
        <v>53</v>
      </c>
      <c r="C38" s="19">
        <f>VLOOKUP(B38,RTD!$A$1:$H$196,2,0)</f>
        <v>19.70999999999999</v>
      </c>
      <c r="D38" s="19">
        <f>VLOOKUP(B38,RTD!$A$1:$H$196,3,0)</f>
        <v>19.810000000000002</v>
      </c>
      <c r="E38" s="19">
        <f>VLOOKUP(B38,RTD!$A$1:$H$196,4,0)</f>
        <v>19.810000000000002</v>
      </c>
      <c r="F38" s="19">
        <f>VLOOKUP(B38,RTD!$A$1:$H$196,5,0)</f>
        <v>19.71</v>
      </c>
      <c r="G38" s="19">
        <f>VLOOKUP(B38,RTD!$A$1:$H$196,6,0)</f>
        <v>19.73</v>
      </c>
      <c r="H38" s="19">
        <f t="shared" si="6"/>
        <v>19.72</v>
      </c>
      <c r="I38" s="14">
        <f t="shared" si="7"/>
        <v>-4.5431600201919498E-3</v>
      </c>
      <c r="J38" s="98">
        <f>VLOOKUP(B38,'Market Data'!$A$4:$F$100,6,0)*C38</f>
        <v>138.46288982421893</v>
      </c>
      <c r="K38" s="19">
        <f>VLOOKUP(B38,RTD!$A$2:$H$100,8,0)</f>
        <v>1.07</v>
      </c>
      <c r="L38" s="14">
        <f t="shared" si="8"/>
        <v>3.1137396993709057E-3</v>
      </c>
      <c r="M38" s="19">
        <f>VLOOKUP(B38,RTD!$A$1:$H$196,7,0)</f>
        <v>0</v>
      </c>
      <c r="N38" s="98">
        <f>IF(M38=0,J38,IF(M38=0,C38,M38)*VLOOKUP(B38,'Market Data'!$A$4:$F$100,6,0))</f>
        <v>138.46288982421893</v>
      </c>
      <c r="O38" s="7" t="s">
        <v>53</v>
      </c>
      <c r="P38" s="14"/>
      <c r="Q38" s="13"/>
      <c r="S38" s="133">
        <v>27</v>
      </c>
      <c r="T38" s="135" t="s">
        <v>188</v>
      </c>
      <c r="U38" s="27" t="e">
        <f>RTD("srv.rtd","","PLAYERSRANKING",$U$13,S38,"SALDO","VOLF")</f>
        <v>#N/A</v>
      </c>
      <c r="V38" s="27" t="e">
        <f>RTD("srv.rtd","","PLAYERSRANKING",V$13,S38,"SALDO","VOLF")*0.2</f>
        <v>#N/A</v>
      </c>
      <c r="W38" s="27" t="e">
        <f>RTD("srv.rtd","","PLAYERSRANKING",W$13,S38,"SALDO","VOLF")*50</f>
        <v>#N/A</v>
      </c>
      <c r="X38" s="27" t="e">
        <f>RTD("srv.rtd","","PLAYERSRANKING",X$13,S38,"SALDO","VOLF")*10</f>
        <v>#N/A</v>
      </c>
      <c r="Y38" s="27" t="e">
        <f>RTD("srv.rtd","","PLAYERSRANKING",Y$13,$S38,"SALDO","VOLF")</f>
        <v>#N/A</v>
      </c>
      <c r="Z38" s="27" t="e">
        <f>RTD("srv.rtd","","PLAYERSRANKING",Z$13,$S38,"SALDO","VOLF")</f>
        <v>#N/A</v>
      </c>
      <c r="AA38" s="27" t="e">
        <f>RTD("srv.rtd","","PLAYERSRANKING",AA$13,$S38,"SALDO","VOLF")</f>
        <v>#N/A</v>
      </c>
      <c r="AB38" s="27" t="e">
        <f>RTD("srv.rtd","","PLAYERSRANKING",AB$13,$S38,"SALDO","VOLF")</f>
        <v>#N/A</v>
      </c>
      <c r="AC38" s="27" t="e">
        <f>RTD("srv.rtd","","PLAYERSRANKING",AC$13,$S38,"SALDO","VOLF")</f>
        <v>#N/A</v>
      </c>
      <c r="AD38" s="27" t="e">
        <f>RTD("srv.rtd","","PLAYERSRANKING",AD$13,$S38,"SALDO","VOLF")</f>
        <v>#N/A</v>
      </c>
      <c r="AE38" s="27" t="e">
        <f>RTD("srv.rtd","","PLAYERSRANKING",AE$13,$S38,"SALDO","VOLF")</f>
        <v>#N/A</v>
      </c>
      <c r="AF38" s="27" t="e">
        <f>RTD("srv.rtd","","PLAYERSRANKING",AF$13,$S38,"SALDO","VOLF")</f>
        <v>#N/A</v>
      </c>
      <c r="AG38" s="27" t="e">
        <f>RTD("srv.rtd","","PLAYERSRANKING",AG$13,$S38,"SALDO","VOLF")</f>
        <v>#N/A</v>
      </c>
      <c r="AH38" s="27" t="e">
        <f>RTD("srv.rtd","","PLAYERSRANKING",AH$13,$S38,"SALDO","VOLF")</f>
        <v>#N/A</v>
      </c>
      <c r="AI38" s="27" t="e">
        <f>RTD("srv.rtd","","PLAYERSRANKING",AI$13,$S38,"SALDO","VOLF")</f>
        <v>#N/A</v>
      </c>
      <c r="AJ38" s="27" t="e">
        <f>RTD("srv.rtd","","PLAYERSRANKING",AJ$13,$S38,"SALDO","VOLF")</f>
        <v>#N/A</v>
      </c>
      <c r="AK38" s="27" t="e">
        <f>RTD("srv.rtd","","PLAYERSRANKING",AK$13,$S38,"SALDO","VOLF")</f>
        <v>#N/A</v>
      </c>
      <c r="AL38" s="27" t="e">
        <f>RTD("srv.rtd","","PLAYERSRANKING",AL$13,$S38,"SALDO","VOLF")</f>
        <v>#N/A</v>
      </c>
      <c r="AM38" s="27" t="e">
        <f>RTD("srv.rtd","","PLAYERSRANKING",AM$13,$S38,"SALDO","VOLF")</f>
        <v>#N/A</v>
      </c>
      <c r="AN38" s="27" t="e">
        <f>RTD("srv.rtd","","PLAYERSRANKING",AN$13,$S38,"SALDO","VOLF")</f>
        <v>#N/A</v>
      </c>
      <c r="AO38" s="27" t="e">
        <f>RTD("srv.rtd","","PLAYERSRANKING",AO$13,$S38,"SALDO","VOLF")</f>
        <v>#N/A</v>
      </c>
      <c r="AP38" s="27" t="e">
        <f>RTD("srv.rtd","","PLAYERSRANKING",AP$13,$S38,"SALDO","VOLF")</f>
        <v>#N/A</v>
      </c>
      <c r="AQ38" s="27" t="e">
        <f>RTD("srv.rtd","","PLAYERSRANKING",AQ$13,$S38,"SALDO","VOLF")</f>
        <v>#N/A</v>
      </c>
      <c r="AR38" s="27" t="e">
        <f>RTD("srv.rtd","","PLAYERSRANKING",AR$13,$S38,"SALDO","VOLF")</f>
        <v>#N/A</v>
      </c>
      <c r="AS38" s="27" t="e">
        <f>RTD("srv.rtd","","PLAYERSRANKING",AS$13,$S38,"SALDO","VOLF")</f>
        <v>#N/A</v>
      </c>
      <c r="AT38" s="27" t="e">
        <f>RTD("srv.rtd","","PLAYERSRANKING",AT$13,$S38,"SALDO","VOLF")</f>
        <v>#N/A</v>
      </c>
      <c r="AU38" s="27" t="e">
        <f>RTD("srv.rtd","","PLAYERSRANKING",AU$13,$S38,"SALDO","VOLF")</f>
        <v>#N/A</v>
      </c>
      <c r="AV38" s="27" t="e">
        <f>RTD("srv.rtd","","PLAYERSRANKING",AV$13,$S38,"SALDO","VOLF")</f>
        <v>#N/A</v>
      </c>
      <c r="AW38" s="27" t="e">
        <f>RTD("srv.rtd","","PLAYERSRANKING",AW$13,$S38,"SALDO","VOLF")</f>
        <v>#N/A</v>
      </c>
      <c r="AX38" s="27" t="e">
        <f>RTD("srv.rtd","","PLAYERSRANKING",AX$13,$S38,"SALDO","VOLF")</f>
        <v>#N/A</v>
      </c>
      <c r="AY38" s="27" t="e">
        <f>RTD("srv.rtd","","PLAYERSRANKING",AY$13,$S38,"SALDO","VOLF")</f>
        <v>#N/A</v>
      </c>
      <c r="AZ38" s="27" t="e">
        <f>RTD("srv.rtd","","PLAYERSRANKING",AZ$13,$S38,"SALDO","VOLF")</f>
        <v>#N/A</v>
      </c>
      <c r="BA38" s="27" t="e">
        <f>RTD("srv.rtd","","PLAYERSRANKING",BA$13,$S38,"SALDO","VOLF")</f>
        <v>#N/A</v>
      </c>
      <c r="BB38" s="27" t="e">
        <f>RTD("srv.rtd","","PLAYERSRANKING",BB$13,$S38,"SALDO","VOLF")</f>
        <v>#N/A</v>
      </c>
      <c r="BC38" s="27" t="e">
        <f>RTD("srv.rtd","","PLAYERSRANKING",BC$13,$S38,"SALDO","VOLF")</f>
        <v>#N/A</v>
      </c>
      <c r="BD38" s="27" t="e">
        <f>RTD("srv.rtd","","PLAYERSRANKING",BD$13,$S38,"SALDO","VOLF")</f>
        <v>#N/A</v>
      </c>
      <c r="BE38" s="27" t="e">
        <f>RTD("srv.rtd","","PLAYERSRANKING",BE$13,$S38,"SALDO","VOLF")</f>
        <v>#N/A</v>
      </c>
      <c r="BF38" s="27" t="e">
        <f>RTD("srv.rtd","","PLAYERSRANKING",BF$13,$S38,"SALDO","VOLF")</f>
        <v>#N/A</v>
      </c>
      <c r="BG38" s="27" t="e">
        <f>RTD("srv.rtd","","PLAYERSRANKING",BG$13,$S38,"SALDO","VOLF")</f>
        <v>#N/A</v>
      </c>
      <c r="BH38" s="27" t="e">
        <f>RTD("srv.rtd","","PLAYERSRANKING",BH$13,$S38,"SALDO","VOLF")</f>
        <v>#N/A</v>
      </c>
      <c r="BI38" s="27" t="e">
        <f>RTD("srv.rtd","","PLAYERSRANKING",BI$13,$S38,"SALDO","VOLF")</f>
        <v>#N/A</v>
      </c>
      <c r="BJ38" s="27" t="e">
        <f>RTD("srv.rtd","","PLAYERSRANKING",BJ$13,$S38,"SALDO","VOLF")</f>
        <v>#N/A</v>
      </c>
      <c r="BK38" s="27" t="e">
        <f>RTD("srv.rtd","","PLAYERSRANKING",BK$13,$S38,"SALDO","VOLF")</f>
        <v>#N/A</v>
      </c>
      <c r="BL38" s="27" t="e">
        <f>RTD("srv.rtd","","PLAYERSRANKING",BL$13,$S38,"SALDO","VOLF")</f>
        <v>#N/A</v>
      </c>
      <c r="BM38" s="27" t="e">
        <f>RTD("srv.rtd","","PLAYERSRANKING",BM$13,$S38,"SALDO","VOLF")</f>
        <v>#N/A</v>
      </c>
      <c r="BN38" s="27" t="e">
        <f>RTD("srv.rtd","","PLAYERSRANKING",BN$13,$S38,"SALDO","VOLF")</f>
        <v>#N/A</v>
      </c>
      <c r="BO38" s="27" t="e">
        <f>RTD("srv.rtd","","PLAYERSRANKING",BO$13,$S38,"SALDO","VOLF")</f>
        <v>#N/A</v>
      </c>
      <c r="BP38" s="27" t="e">
        <f>RTD("srv.rtd","","PLAYERSRANKING",BP$13,$S38,"SALDO","VOLF")</f>
        <v>#N/A</v>
      </c>
      <c r="BQ38" s="27" t="e">
        <f>RTD("srv.rtd","","PLAYERSRANKING",BQ$13,$S38,"SALDO","VOLF")</f>
        <v>#N/A</v>
      </c>
      <c r="BR38" s="27" t="e">
        <f>RTD("srv.rtd","","PLAYERSRANKING",BR$13,$S38,"SALDO","VOLF")</f>
        <v>#N/A</v>
      </c>
      <c r="BS38" s="27" t="e">
        <f>RTD("srv.rtd","","PLAYERSRANKING",BS$13,$S38,"SALDO","VOLF")</f>
        <v>#N/A</v>
      </c>
      <c r="BT38" s="27" t="e">
        <f>RTD("srv.rtd","","PLAYERSRANKING",BT$13,$S38,"SALDO","VOLF")</f>
        <v>#N/A</v>
      </c>
      <c r="BU38" s="27" t="e">
        <f>RTD("srv.rtd","","PLAYERSRANKING",BU$13,$S38,"SALDO","VOLF")</f>
        <v>#N/A</v>
      </c>
      <c r="BV38" s="27" t="e">
        <f>RTD("srv.rtd","","PLAYERSRANKING",BV$13,$S38,"SALDO","VOLF")</f>
        <v>#N/A</v>
      </c>
      <c r="BW38" s="27" t="e">
        <f>RTD("srv.rtd","","PLAYERSRANKING",BW$13,$S38,"SALDO","VOLF")</f>
        <v>#N/A</v>
      </c>
      <c r="BX38" s="27" t="e">
        <f>RTD("srv.rtd","","PLAYERSRANKING",BX$13,$S38,"SALDO","VOLF")</f>
        <v>#N/A</v>
      </c>
      <c r="BY38" s="27" t="e">
        <f>RTD("srv.rtd","","PLAYERSRANKING",BY$13,$S38,"SALDO","VOLF")</f>
        <v>#N/A</v>
      </c>
      <c r="BZ38" s="27" t="e">
        <f>RTD("srv.rtd","","PLAYERSRANKING",BZ$13,$S38,"SALDO","VOLF")</f>
        <v>#N/A</v>
      </c>
      <c r="CA38" s="27" t="e">
        <f>RTD("srv.rtd","","PLAYERSRANKING",CA$13,$S38,"SALDO","VOLF")</f>
        <v>#N/A</v>
      </c>
      <c r="CB38" s="27" t="e">
        <f>RTD("srv.rtd","","PLAYERSRANKING",CB$13,$S38,"SALDO","VOLF")</f>
        <v>#N/A</v>
      </c>
      <c r="CC38" s="27" t="e">
        <f>RTD("srv.rtd","","PLAYERSRANKING",CC$13,$S38,"SALDO","VOLF")</f>
        <v>#N/A</v>
      </c>
      <c r="CD38" s="27" t="e">
        <f>RTD("srv.rtd","","PLAYERSRANKING",CD$13,$S38,"SALDO","VOLF")</f>
        <v>#N/A</v>
      </c>
      <c r="CE38" s="27" t="e">
        <f>RTD("srv.rtd","","PLAYERSRANKING",CE$13,$S38,"SALDO","VOLF")</f>
        <v>#N/A</v>
      </c>
      <c r="CF38" s="27" t="e">
        <f>RTD("srv.rtd","","PLAYERSRANKING",CF$13,$S38,"SALDO","VOLF")</f>
        <v>#N/A</v>
      </c>
      <c r="CG38" s="27" t="e">
        <f>RTD("srv.rtd","","PLAYERSRANKING",CG$13,$S38,"SALDO","VOLF")</f>
        <v>#N/A</v>
      </c>
      <c r="CH38" s="27" t="e">
        <f>RTD("srv.rtd","","PLAYERSRANKING",CH$13,$S38,"SALDO","VOLF")</f>
        <v>#N/A</v>
      </c>
      <c r="CI38" s="27" t="e">
        <f>RTD("srv.rtd","","PLAYERSRANKING",CI$13,$S38,"SALDO","VOLF")</f>
        <v>#N/A</v>
      </c>
      <c r="CJ38" s="27" t="e">
        <f>RTD("srv.rtd","","PLAYERSRANKING",CJ$13,$S38,"SALDO","VOLF")</f>
        <v>#N/A</v>
      </c>
      <c r="CK38" s="27" t="e">
        <f>RTD("srv.rtd","","PLAYERSRANKING",CK$13,$S38,"SALDO","VOLF")</f>
        <v>#N/A</v>
      </c>
      <c r="CL38" s="27" t="e">
        <f>RTD("srv.rtd","","PLAYERSRANKING",CL$13,$S38,"SALDO","VOLF")</f>
        <v>#N/A</v>
      </c>
      <c r="CM38" s="27" t="e">
        <f>RTD("srv.rtd","","PLAYERSRANKING",CM$13,$S38,"SALDO","VOLF")</f>
        <v>#N/A</v>
      </c>
      <c r="CN38" s="27" t="e">
        <f>RTD("srv.rtd","","PLAYERSRANKING",CN$13,$S38,"SALDO","VOLF")</f>
        <v>#N/A</v>
      </c>
      <c r="CO38" s="27" t="e">
        <f>RTD("srv.rtd","","PLAYERSRANKING",CO$13,$S38,"SALDO","VOLF")</f>
        <v>#N/A</v>
      </c>
      <c r="CP38" s="27" t="e">
        <f>RTD("srv.rtd","","PLAYERSRANKING",CP$13,$S38,"SALDO","VOLF")</f>
        <v>#N/A</v>
      </c>
      <c r="CQ38" s="27" t="e">
        <f>RTD("srv.rtd","","PLAYERSRANKING",CQ$13,$S38,"SALDO","VOLF")</f>
        <v>#N/A</v>
      </c>
      <c r="CR38" s="27" t="e">
        <f>RTD("srv.rtd","","PLAYERSRANKING",CR$13,$S38,"SALDO","VOLF")</f>
        <v>#N/A</v>
      </c>
      <c r="CS38" s="27" t="e">
        <f>RTD("srv.rtd","","PLAYERSRANKING",CS$13,$S38,"SALDO","VOLF")</f>
        <v>#N/A</v>
      </c>
      <c r="CT38" s="27" t="e">
        <f>RTD("srv.rtd","","PLAYERSRANKING",CT$13,$S38,"SALDO","VOLF")</f>
        <v>#N/A</v>
      </c>
      <c r="CU38" s="27" t="e">
        <f>RTD("srv.rtd","","PLAYERSRANKING",CU$13,$S38,"SALDO","VOLF")</f>
        <v>#N/A</v>
      </c>
      <c r="CV38" s="27" t="e">
        <f>RTD("srv.rtd","","PLAYERSRANKING",CV$13,$S38,"SALDO","VOLF")</f>
        <v>#N/A</v>
      </c>
      <c r="CW38" s="27" t="e">
        <f>RTD("srv.rtd","","PLAYERSRANKING",CW$13,$S38,"SALDO","VOLF")</f>
        <v>#N/A</v>
      </c>
      <c r="CX38" s="27" t="e">
        <f>RTD("srv.rtd","","PLAYERSRANKING",CX$13,$S38,"SALDO","VOLF")</f>
        <v>#N/A</v>
      </c>
      <c r="CY38" s="27" t="e">
        <f>RTD("srv.rtd","","PLAYERSRANKING",CY$13,$S38,"SALDO","VOLF")</f>
        <v>#N/A</v>
      </c>
      <c r="CZ38" s="27" t="e">
        <f>RTD("srv.rtd","","PLAYERSRANKING",CZ$13,$S38,"SALDO","VOLF")</f>
        <v>#N/A</v>
      </c>
      <c r="DA38" s="27" t="e">
        <f>RTD("srv.rtd","","PLAYERSRANKING",DA$13,$S38,"SALDO","VOLF")</f>
        <v>#N/A</v>
      </c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</row>
    <row r="39" spans="1:124" x14ac:dyDescent="0.25">
      <c r="A39" s="2"/>
      <c r="B39" s="6" t="s">
        <v>55</v>
      </c>
      <c r="C39" s="19">
        <f>VLOOKUP(B39,RTD!$A$1:$H$196,2,0)</f>
        <v>23.189999999999973</v>
      </c>
      <c r="D39" s="19">
        <f>VLOOKUP(B39,RTD!$A$1:$H$196,3,0)</f>
        <v>23.82</v>
      </c>
      <c r="E39" s="19">
        <f>VLOOKUP(B39,RTD!$A$1:$H$196,4,0)</f>
        <v>24.12</v>
      </c>
      <c r="F39" s="19">
        <f>VLOOKUP(B39,RTD!$A$1:$H$196,5,0)</f>
        <v>23.18</v>
      </c>
      <c r="G39" s="19">
        <f>VLOOKUP(B39,RTD!$A$1:$H$196,6,0)</f>
        <v>23.2</v>
      </c>
      <c r="H39" s="19">
        <f t="shared" si="6"/>
        <v>23.189999999999998</v>
      </c>
      <c r="I39" s="14">
        <f t="shared" si="7"/>
        <v>-3.8557213930348389E-2</v>
      </c>
      <c r="J39" s="98">
        <f>VLOOKUP(B39,'Market Data'!$A$4:$F$100,6,0)*C39</f>
        <v>809.29441491941964</v>
      </c>
      <c r="K39" s="19">
        <f>VLOOKUP(B39,RTD!$A$2:$H$100,8,0)</f>
        <v>0.87</v>
      </c>
      <c r="L39" s="14">
        <f t="shared" si="8"/>
        <v>-3.2331510420049621E-2</v>
      </c>
      <c r="M39" s="19">
        <f>VLOOKUP(B39,RTD!$A$1:$H$196,7,0)</f>
        <v>0</v>
      </c>
      <c r="N39" s="98">
        <f>IF(M39=0,J39,IF(M39=0,C39,M39)*VLOOKUP(B39,'Market Data'!$A$4:$F$100,6,0))</f>
        <v>809.29441491941964</v>
      </c>
      <c r="O39" s="7" t="s">
        <v>55</v>
      </c>
      <c r="P39" s="14"/>
      <c r="Q39" s="13"/>
      <c r="S39" s="133"/>
      <c r="T39" s="133"/>
      <c r="U39" s="27" t="e">
        <f>RTD("srv.rtd","","PLAYERSRANKING",$U$13,S39,"SALDO","VOLF")</f>
        <v>#N/A</v>
      </c>
      <c r="V39" s="27" t="e">
        <f>RTD("srv.rtd","","PLAYERSRANKING",V$13,S39,"SALDO","VOLF")*0.2</f>
        <v>#N/A</v>
      </c>
      <c r="W39" s="27" t="e">
        <f>RTD("srv.rtd","","PLAYERSRANKING",W$13,S39,"SALDO","VOLF")*50</f>
        <v>#N/A</v>
      </c>
      <c r="X39" s="27" t="e">
        <f>RTD("srv.rtd","","PLAYERSRANKING",X$13,S39,"SALDO","VOLF")*10</f>
        <v>#N/A</v>
      </c>
      <c r="Y39" s="27" t="e">
        <f>RTD("srv.rtd","","PLAYERSRANKING",Y$13,$S39,"SALDO","VOLF")</f>
        <v>#N/A</v>
      </c>
      <c r="Z39" s="27" t="e">
        <f>RTD("srv.rtd","","PLAYERSRANKING",Z$13,$S39,"SALDO","VOLF")</f>
        <v>#N/A</v>
      </c>
      <c r="AA39" s="27" t="e">
        <f>RTD("srv.rtd","","PLAYERSRANKING",AA$13,$S39,"SALDO","VOLF")</f>
        <v>#N/A</v>
      </c>
      <c r="AB39" s="27" t="e">
        <f>RTD("srv.rtd","","PLAYERSRANKING",AB$13,$S39,"SALDO","VOLF")</f>
        <v>#N/A</v>
      </c>
      <c r="AC39" s="27" t="e">
        <f>RTD("srv.rtd","","PLAYERSRANKING",AC$13,$S39,"SALDO","VOLF")</f>
        <v>#N/A</v>
      </c>
      <c r="AD39" s="27" t="e">
        <f>RTD("srv.rtd","","PLAYERSRANKING",AD$13,$S39,"SALDO","VOLF")</f>
        <v>#N/A</v>
      </c>
      <c r="AE39" s="27" t="e">
        <f>RTD("srv.rtd","","PLAYERSRANKING",AE$13,$S39,"SALDO","VOLF")</f>
        <v>#N/A</v>
      </c>
      <c r="AF39" s="27" t="e">
        <f>RTD("srv.rtd","","PLAYERSRANKING",AF$13,$S39,"SALDO","VOLF")</f>
        <v>#N/A</v>
      </c>
      <c r="AG39" s="27" t="e">
        <f>RTD("srv.rtd","","PLAYERSRANKING",AG$13,$S39,"SALDO","VOLF")</f>
        <v>#N/A</v>
      </c>
      <c r="AH39" s="27" t="e">
        <f>RTD("srv.rtd","","PLAYERSRANKING",AH$13,$S39,"SALDO","VOLF")</f>
        <v>#N/A</v>
      </c>
      <c r="AI39" s="27" t="e">
        <f>RTD("srv.rtd","","PLAYERSRANKING",AI$13,$S39,"SALDO","VOLF")</f>
        <v>#N/A</v>
      </c>
      <c r="AJ39" s="27" t="e">
        <f>RTD("srv.rtd","","PLAYERSRANKING",AJ$13,$S39,"SALDO","VOLF")</f>
        <v>#N/A</v>
      </c>
      <c r="AK39" s="27" t="e">
        <f>RTD("srv.rtd","","PLAYERSRANKING",AK$13,$S39,"SALDO","VOLF")</f>
        <v>#N/A</v>
      </c>
      <c r="AL39" s="27" t="e">
        <f>RTD("srv.rtd","","PLAYERSRANKING",AL$13,$S39,"SALDO","VOLF")</f>
        <v>#N/A</v>
      </c>
      <c r="AM39" s="27" t="e">
        <f>RTD("srv.rtd","","PLAYERSRANKING",AM$13,$S39,"SALDO","VOLF")</f>
        <v>#N/A</v>
      </c>
      <c r="AN39" s="27" t="e">
        <f>RTD("srv.rtd","","PLAYERSRANKING",AN$13,$S39,"SALDO","VOLF")</f>
        <v>#N/A</v>
      </c>
      <c r="AO39" s="27" t="e">
        <f>RTD("srv.rtd","","PLAYERSRANKING",AO$13,$S39,"SALDO","VOLF")</f>
        <v>#N/A</v>
      </c>
      <c r="AP39" s="27" t="e">
        <f>RTD("srv.rtd","","PLAYERSRANKING",AP$13,$S39,"SALDO","VOLF")</f>
        <v>#N/A</v>
      </c>
      <c r="AQ39" s="27" t="e">
        <f>RTD("srv.rtd","","PLAYERSRANKING",AQ$13,$S39,"SALDO","VOLF")</f>
        <v>#N/A</v>
      </c>
      <c r="AR39" s="27" t="e">
        <f>RTD("srv.rtd","","PLAYERSRANKING",AR$13,$S39,"SALDO","VOLF")</f>
        <v>#N/A</v>
      </c>
      <c r="AS39" s="27" t="e">
        <f>RTD("srv.rtd","","PLAYERSRANKING",AS$13,$S39,"SALDO","VOLF")</f>
        <v>#N/A</v>
      </c>
      <c r="AT39" s="27" t="e">
        <f>RTD("srv.rtd","","PLAYERSRANKING",AT$13,$S39,"SALDO","VOLF")</f>
        <v>#N/A</v>
      </c>
      <c r="AU39" s="27" t="e">
        <f>RTD("srv.rtd","","PLAYERSRANKING",AU$13,$S39,"SALDO","VOLF")</f>
        <v>#N/A</v>
      </c>
      <c r="AV39" s="27" t="e">
        <f>RTD("srv.rtd","","PLAYERSRANKING",AV$13,$S39,"SALDO","VOLF")</f>
        <v>#N/A</v>
      </c>
      <c r="AW39" s="27" t="e">
        <f>RTD("srv.rtd","","PLAYERSRANKING",AW$13,$S39,"SALDO","VOLF")</f>
        <v>#N/A</v>
      </c>
      <c r="AX39" s="27" t="e">
        <f>RTD("srv.rtd","","PLAYERSRANKING",AX$13,$S39,"SALDO","VOLF")</f>
        <v>#N/A</v>
      </c>
      <c r="AY39" s="27" t="e">
        <f>RTD("srv.rtd","","PLAYERSRANKING",AY$13,$S39,"SALDO","VOLF")</f>
        <v>#N/A</v>
      </c>
      <c r="AZ39" s="27" t="e">
        <f>RTD("srv.rtd","","PLAYERSRANKING",AZ$13,$S39,"SALDO","VOLF")</f>
        <v>#N/A</v>
      </c>
      <c r="BA39" s="27" t="e">
        <f>RTD("srv.rtd","","PLAYERSRANKING",BA$13,$S39,"SALDO","VOLF")</f>
        <v>#N/A</v>
      </c>
      <c r="BB39" s="27" t="e">
        <f>RTD("srv.rtd","","PLAYERSRANKING",BB$13,$S39,"SALDO","VOLF")</f>
        <v>#N/A</v>
      </c>
      <c r="BC39" s="27" t="e">
        <f>RTD("srv.rtd","","PLAYERSRANKING",BC$13,$S39,"SALDO","VOLF")</f>
        <v>#N/A</v>
      </c>
      <c r="BD39" s="27" t="e">
        <f>RTD("srv.rtd","","PLAYERSRANKING",BD$13,$S39,"SALDO","VOLF")</f>
        <v>#N/A</v>
      </c>
      <c r="BE39" s="27" t="e">
        <f>RTD("srv.rtd","","PLAYERSRANKING",BE$13,$S39,"SALDO","VOLF")</f>
        <v>#N/A</v>
      </c>
      <c r="BF39" s="27" t="e">
        <f>RTD("srv.rtd","","PLAYERSRANKING",BF$13,$S39,"SALDO","VOLF")</f>
        <v>#N/A</v>
      </c>
      <c r="BG39" s="27" t="e">
        <f>RTD("srv.rtd","","PLAYERSRANKING",BG$13,$S39,"SALDO","VOLF")</f>
        <v>#N/A</v>
      </c>
      <c r="BH39" s="27" t="e">
        <f>RTD("srv.rtd","","PLAYERSRANKING",BH$13,$S39,"SALDO","VOLF")</f>
        <v>#N/A</v>
      </c>
      <c r="BI39" s="27" t="e">
        <f>RTD("srv.rtd","","PLAYERSRANKING",BI$13,$S39,"SALDO","VOLF")</f>
        <v>#N/A</v>
      </c>
      <c r="BJ39" s="27" t="e">
        <f>RTD("srv.rtd","","PLAYERSRANKING",BJ$13,$S39,"SALDO","VOLF")</f>
        <v>#N/A</v>
      </c>
      <c r="BK39" s="27" t="e">
        <f>RTD("srv.rtd","","PLAYERSRANKING",BK$13,$S39,"SALDO","VOLF")</f>
        <v>#N/A</v>
      </c>
      <c r="BL39" s="27" t="e">
        <f>RTD("srv.rtd","","PLAYERSRANKING",BL$13,$S39,"SALDO","VOLF")</f>
        <v>#N/A</v>
      </c>
      <c r="BM39" s="27" t="e">
        <f>RTD("srv.rtd","","PLAYERSRANKING",BM$13,$S39,"SALDO","VOLF")</f>
        <v>#N/A</v>
      </c>
      <c r="BN39" s="27" t="e">
        <f>RTD("srv.rtd","","PLAYERSRANKING",BN$13,$S39,"SALDO","VOLF")</f>
        <v>#N/A</v>
      </c>
      <c r="BO39" s="27" t="e">
        <f>RTD("srv.rtd","","PLAYERSRANKING",BO$13,$S39,"SALDO","VOLF")</f>
        <v>#N/A</v>
      </c>
      <c r="BP39" s="27" t="e">
        <f>RTD("srv.rtd","","PLAYERSRANKING",BP$13,$S39,"SALDO","VOLF")</f>
        <v>#N/A</v>
      </c>
      <c r="BQ39" s="27" t="e">
        <f>RTD("srv.rtd","","PLAYERSRANKING",BQ$13,$S39,"SALDO","VOLF")</f>
        <v>#N/A</v>
      </c>
      <c r="BR39" s="27" t="e">
        <f>RTD("srv.rtd","","PLAYERSRANKING",BR$13,$S39,"SALDO","VOLF")</f>
        <v>#N/A</v>
      </c>
      <c r="BS39" s="27" t="e">
        <f>RTD("srv.rtd","","PLAYERSRANKING",BS$13,$S39,"SALDO","VOLF")</f>
        <v>#N/A</v>
      </c>
      <c r="BT39" s="27" t="e">
        <f>RTD("srv.rtd","","PLAYERSRANKING",BT$13,$S39,"SALDO","VOLF")</f>
        <v>#N/A</v>
      </c>
      <c r="BU39" s="27" t="e">
        <f>RTD("srv.rtd","","PLAYERSRANKING",BU$13,$S39,"SALDO","VOLF")</f>
        <v>#N/A</v>
      </c>
      <c r="BV39" s="27" t="e">
        <f>RTD("srv.rtd","","PLAYERSRANKING",BV$13,$S39,"SALDO","VOLF")</f>
        <v>#N/A</v>
      </c>
      <c r="BW39" s="27" t="e">
        <f>RTD("srv.rtd","","PLAYERSRANKING",BW$13,$S39,"SALDO","VOLF")</f>
        <v>#N/A</v>
      </c>
      <c r="BX39" s="27" t="e">
        <f>RTD("srv.rtd","","PLAYERSRANKING",BX$13,$S39,"SALDO","VOLF")</f>
        <v>#N/A</v>
      </c>
      <c r="BY39" s="27" t="e">
        <f>RTD("srv.rtd","","PLAYERSRANKING",BY$13,$S39,"SALDO","VOLF")</f>
        <v>#N/A</v>
      </c>
      <c r="BZ39" s="27" t="e">
        <f>RTD("srv.rtd","","PLAYERSRANKING",BZ$13,$S39,"SALDO","VOLF")</f>
        <v>#N/A</v>
      </c>
      <c r="CA39" s="27" t="e">
        <f>RTD("srv.rtd","","PLAYERSRANKING",CA$13,$S39,"SALDO","VOLF")</f>
        <v>#N/A</v>
      </c>
      <c r="CB39" s="27" t="e">
        <f>RTD("srv.rtd","","PLAYERSRANKING",CB$13,$S39,"SALDO","VOLF")</f>
        <v>#N/A</v>
      </c>
      <c r="CC39" s="27" t="e">
        <f>RTD("srv.rtd","","PLAYERSRANKING",CC$13,$S39,"SALDO","VOLF")</f>
        <v>#N/A</v>
      </c>
      <c r="CD39" s="27" t="e">
        <f>RTD("srv.rtd","","PLAYERSRANKING",CD$13,$S39,"SALDO","VOLF")</f>
        <v>#N/A</v>
      </c>
      <c r="CE39" s="27" t="e">
        <f>RTD("srv.rtd","","PLAYERSRANKING",CE$13,$S39,"SALDO","VOLF")</f>
        <v>#N/A</v>
      </c>
      <c r="CF39" s="27" t="e">
        <f>RTD("srv.rtd","","PLAYERSRANKING",CF$13,$S39,"SALDO","VOLF")</f>
        <v>#N/A</v>
      </c>
      <c r="CG39" s="27" t="e">
        <f>RTD("srv.rtd","","PLAYERSRANKING",CG$13,$S39,"SALDO","VOLF")</f>
        <v>#N/A</v>
      </c>
      <c r="CH39" s="27" t="e">
        <f>RTD("srv.rtd","","PLAYERSRANKING",CH$13,$S39,"SALDO","VOLF")</f>
        <v>#N/A</v>
      </c>
      <c r="CI39" s="27" t="e">
        <f>RTD("srv.rtd","","PLAYERSRANKING",CI$13,$S39,"SALDO","VOLF")</f>
        <v>#N/A</v>
      </c>
      <c r="CJ39" s="27" t="e">
        <f>RTD("srv.rtd","","PLAYERSRANKING",CJ$13,$S39,"SALDO","VOLF")</f>
        <v>#N/A</v>
      </c>
      <c r="CK39" s="27" t="e">
        <f>RTD("srv.rtd","","PLAYERSRANKING",CK$13,$S39,"SALDO","VOLF")</f>
        <v>#N/A</v>
      </c>
      <c r="CL39" s="27" t="e">
        <f>RTD("srv.rtd","","PLAYERSRANKING",CL$13,$S39,"SALDO","VOLF")</f>
        <v>#N/A</v>
      </c>
      <c r="CM39" s="27" t="e">
        <f>RTD("srv.rtd","","PLAYERSRANKING",CM$13,$S39,"SALDO","VOLF")</f>
        <v>#N/A</v>
      </c>
      <c r="CN39" s="27" t="e">
        <f>RTD("srv.rtd","","PLAYERSRANKING",CN$13,$S39,"SALDO","VOLF")</f>
        <v>#N/A</v>
      </c>
      <c r="CO39" s="27" t="e">
        <f>RTD("srv.rtd","","PLAYERSRANKING",CO$13,$S39,"SALDO","VOLF")</f>
        <v>#N/A</v>
      </c>
      <c r="CP39" s="27" t="e">
        <f>RTD("srv.rtd","","PLAYERSRANKING",CP$13,$S39,"SALDO","VOLF")</f>
        <v>#N/A</v>
      </c>
      <c r="CQ39" s="27" t="e">
        <f>RTD("srv.rtd","","PLAYERSRANKING",CQ$13,$S39,"SALDO","VOLF")</f>
        <v>#N/A</v>
      </c>
      <c r="CR39" s="27" t="e">
        <f>RTD("srv.rtd","","PLAYERSRANKING",CR$13,$S39,"SALDO","VOLF")</f>
        <v>#N/A</v>
      </c>
      <c r="CS39" s="27" t="e">
        <f>RTD("srv.rtd","","PLAYERSRANKING",CS$13,$S39,"SALDO","VOLF")</f>
        <v>#N/A</v>
      </c>
      <c r="CT39" s="27" t="e">
        <f>RTD("srv.rtd","","PLAYERSRANKING",CT$13,$S39,"SALDO","VOLF")</f>
        <v>#N/A</v>
      </c>
      <c r="CU39" s="27" t="e">
        <f>RTD("srv.rtd","","PLAYERSRANKING",CU$13,$S39,"SALDO","VOLF")</f>
        <v>#N/A</v>
      </c>
      <c r="CV39" s="27" t="e">
        <f>RTD("srv.rtd","","PLAYERSRANKING",CV$13,$S39,"SALDO","VOLF")</f>
        <v>#N/A</v>
      </c>
      <c r="CW39" s="27" t="e">
        <f>RTD("srv.rtd","","PLAYERSRANKING",CW$13,$S39,"SALDO","VOLF")</f>
        <v>#N/A</v>
      </c>
      <c r="CX39" s="27" t="e">
        <f>RTD("srv.rtd","","PLAYERSRANKING",CX$13,$S39,"SALDO","VOLF")</f>
        <v>#N/A</v>
      </c>
      <c r="CY39" s="27" t="e">
        <f>RTD("srv.rtd","","PLAYERSRANKING",CY$13,$S39,"SALDO","VOLF")</f>
        <v>#N/A</v>
      </c>
      <c r="CZ39" s="27" t="e">
        <f>RTD("srv.rtd","","PLAYERSRANKING",CZ$13,$S39,"SALDO","VOLF")</f>
        <v>#N/A</v>
      </c>
      <c r="DA39" s="27" t="e">
        <f>RTD("srv.rtd","","PLAYERSRANKING",DA$13,$S39,"SALDO","VOLF")</f>
        <v>#N/A</v>
      </c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</row>
    <row r="40" spans="1:124" x14ac:dyDescent="0.25">
      <c r="A40" s="2"/>
      <c r="B40" s="6" t="s">
        <v>57</v>
      </c>
      <c r="C40" s="19">
        <f>VLOOKUP(B40,RTD!$A$1:$H$196,2,0)</f>
        <v>11.349999999999998</v>
      </c>
      <c r="D40" s="19">
        <f>VLOOKUP(B40,RTD!$A$1:$H$196,3,0)</f>
        <v>11.299999999999999</v>
      </c>
      <c r="E40" s="19">
        <f>VLOOKUP(B40,RTD!$A$1:$H$196,4,0)</f>
        <v>11.530000000000001</v>
      </c>
      <c r="F40" s="19">
        <f>VLOOKUP(B40,RTD!$A$1:$H$196,5,0)</f>
        <v>11.34</v>
      </c>
      <c r="G40" s="19">
        <f>VLOOKUP(B40,RTD!$A$1:$H$196,6,0)</f>
        <v>11.370000000000001</v>
      </c>
      <c r="H40" s="19">
        <f t="shared" si="6"/>
        <v>11.355</v>
      </c>
      <c r="I40" s="14">
        <f t="shared" si="7"/>
        <v>-1.5177797051170949E-2</v>
      </c>
      <c r="J40" s="98">
        <f>VLOOKUP(B40,'Market Data'!$A$4:$F$100,6,0)*C40</f>
        <v>106.52024044842764</v>
      </c>
      <c r="K40" s="19">
        <f>VLOOKUP(B40,RTD!$A$2:$H$100,8,0)</f>
        <v>1.23</v>
      </c>
      <c r="L40" s="14">
        <f t="shared" si="8"/>
        <v>-6.3759403641968256E-3</v>
      </c>
      <c r="M40" s="19">
        <f>VLOOKUP(B40,RTD!$A$1:$H$196,7,0)</f>
        <v>0</v>
      </c>
      <c r="N40" s="98">
        <f>IF(M40=0,J40,IF(M40=0,C40,M40)*VLOOKUP(B40,'Market Data'!$A$4:$F$100,6,0))</f>
        <v>106.52024044842764</v>
      </c>
      <c r="O40" s="7" t="s">
        <v>57</v>
      </c>
      <c r="P40" s="14"/>
      <c r="Q40" s="13"/>
      <c r="S40" s="133">
        <v>127</v>
      </c>
      <c r="T40" s="133" t="s">
        <v>201</v>
      </c>
      <c r="U40" s="27" t="e">
        <f>RTD("srv.rtd","","PLAYERSRANKING",$U$13,S40,"SALDO","VOLF")</f>
        <v>#N/A</v>
      </c>
      <c r="V40" s="27" t="e">
        <f>RTD("srv.rtd","","PLAYERSRANKING",V$13,S40,"SALDO","VOLF")*0.2</f>
        <v>#N/A</v>
      </c>
      <c r="W40" s="27" t="e">
        <f>RTD("srv.rtd","","PLAYERSRANKING",W$13,S40,"SALDO","VOLF")*50</f>
        <v>#N/A</v>
      </c>
      <c r="X40" s="27" t="e">
        <f>RTD("srv.rtd","","PLAYERSRANKING",X$13,S40,"SALDO","VOLF")*10</f>
        <v>#N/A</v>
      </c>
      <c r="Y40" s="27" t="e">
        <f>RTD("srv.rtd","","PLAYERSRANKING",Y$13,$S40,"SALDO","VOLF")</f>
        <v>#N/A</v>
      </c>
      <c r="Z40" s="27" t="e">
        <f>RTD("srv.rtd","","PLAYERSRANKING",Z$13,$S40,"SALDO","VOLF")</f>
        <v>#N/A</v>
      </c>
      <c r="AA40" s="27" t="e">
        <f>RTD("srv.rtd","","PLAYERSRANKING",AA$13,$S40,"SALDO","VOLF")</f>
        <v>#N/A</v>
      </c>
      <c r="AB40" s="27" t="e">
        <f>RTD("srv.rtd","","PLAYERSRANKING",AB$13,$S40,"SALDO","VOLF")</f>
        <v>#N/A</v>
      </c>
      <c r="AC40" s="27" t="e">
        <f>RTD("srv.rtd","","PLAYERSRANKING",AC$13,$S40,"SALDO","VOLF")</f>
        <v>#N/A</v>
      </c>
      <c r="AD40" s="27" t="e">
        <f>RTD("srv.rtd","","PLAYERSRANKING",AD$13,$S40,"SALDO","VOLF")</f>
        <v>#N/A</v>
      </c>
      <c r="AE40" s="27" t="e">
        <f>RTD("srv.rtd","","PLAYERSRANKING",AE$13,$S40,"SALDO","VOLF")</f>
        <v>#N/A</v>
      </c>
      <c r="AF40" s="27" t="e">
        <f>RTD("srv.rtd","","PLAYERSRANKING",AF$13,$S40,"SALDO","VOLF")</f>
        <v>#N/A</v>
      </c>
      <c r="AG40" s="27" t="e">
        <f>RTD("srv.rtd","","PLAYERSRANKING",AG$13,$S40,"SALDO","VOLF")</f>
        <v>#N/A</v>
      </c>
      <c r="AH40" s="27" t="e">
        <f>RTD("srv.rtd","","PLAYERSRANKING",AH$13,$S40,"SALDO","VOLF")</f>
        <v>#N/A</v>
      </c>
      <c r="AI40" s="27" t="e">
        <f>RTD("srv.rtd","","PLAYERSRANKING",AI$13,$S40,"SALDO","VOLF")</f>
        <v>#N/A</v>
      </c>
      <c r="AJ40" s="27" t="e">
        <f>RTD("srv.rtd","","PLAYERSRANKING",AJ$13,$S40,"SALDO","VOLF")</f>
        <v>#N/A</v>
      </c>
      <c r="AK40" s="27" t="e">
        <f>RTD("srv.rtd","","PLAYERSRANKING",AK$13,$S40,"SALDO","VOLF")</f>
        <v>#N/A</v>
      </c>
      <c r="AL40" s="27" t="e">
        <f>RTD("srv.rtd","","PLAYERSRANKING",AL$13,$S40,"SALDO","VOLF")</f>
        <v>#N/A</v>
      </c>
      <c r="AM40" s="27" t="e">
        <f>RTD("srv.rtd","","PLAYERSRANKING",AM$13,$S40,"SALDO","VOLF")</f>
        <v>#N/A</v>
      </c>
      <c r="AN40" s="27" t="e">
        <f>RTD("srv.rtd","","PLAYERSRANKING",AN$13,$S40,"SALDO","VOLF")</f>
        <v>#N/A</v>
      </c>
      <c r="AO40" s="27" t="e">
        <f>RTD("srv.rtd","","PLAYERSRANKING",AO$13,$S40,"SALDO","VOLF")</f>
        <v>#N/A</v>
      </c>
      <c r="AP40" s="27" t="e">
        <f>RTD("srv.rtd","","PLAYERSRANKING",AP$13,$S40,"SALDO","VOLF")</f>
        <v>#N/A</v>
      </c>
      <c r="AQ40" s="27" t="e">
        <f>RTD("srv.rtd","","PLAYERSRANKING",AQ$13,$S40,"SALDO","VOLF")</f>
        <v>#N/A</v>
      </c>
      <c r="AR40" s="27" t="e">
        <f>RTD("srv.rtd","","PLAYERSRANKING",AR$13,$S40,"SALDO","VOLF")</f>
        <v>#N/A</v>
      </c>
      <c r="AS40" s="27" t="e">
        <f>RTD("srv.rtd","","PLAYERSRANKING",AS$13,$S40,"SALDO","VOLF")</f>
        <v>#N/A</v>
      </c>
      <c r="AT40" s="27" t="e">
        <f>RTD("srv.rtd","","PLAYERSRANKING",AT$13,$S40,"SALDO","VOLF")</f>
        <v>#N/A</v>
      </c>
      <c r="AU40" s="27" t="e">
        <f>RTD("srv.rtd","","PLAYERSRANKING",AU$13,$S40,"SALDO","VOLF")</f>
        <v>#N/A</v>
      </c>
      <c r="AV40" s="27" t="e">
        <f>RTD("srv.rtd","","PLAYERSRANKING",AV$13,$S40,"SALDO","VOLF")</f>
        <v>#N/A</v>
      </c>
      <c r="AW40" s="27" t="e">
        <f>RTD("srv.rtd","","PLAYERSRANKING",AW$13,$S40,"SALDO","VOLF")</f>
        <v>#N/A</v>
      </c>
      <c r="AX40" s="27" t="e">
        <f>RTD("srv.rtd","","PLAYERSRANKING",AX$13,$S40,"SALDO","VOLF")</f>
        <v>#N/A</v>
      </c>
      <c r="AY40" s="27" t="e">
        <f>RTD("srv.rtd","","PLAYERSRANKING",AY$13,$S40,"SALDO","VOLF")</f>
        <v>#N/A</v>
      </c>
      <c r="AZ40" s="27" t="e">
        <f>RTD("srv.rtd","","PLAYERSRANKING",AZ$13,$S40,"SALDO","VOLF")</f>
        <v>#N/A</v>
      </c>
      <c r="BA40" s="27" t="e">
        <f>RTD("srv.rtd","","PLAYERSRANKING",BA$13,$S40,"SALDO","VOLF")</f>
        <v>#N/A</v>
      </c>
      <c r="BB40" s="27" t="e">
        <f>RTD("srv.rtd","","PLAYERSRANKING",BB$13,$S40,"SALDO","VOLF")</f>
        <v>#N/A</v>
      </c>
      <c r="BC40" s="27" t="e">
        <f>RTD("srv.rtd","","PLAYERSRANKING",BC$13,$S40,"SALDO","VOLF")</f>
        <v>#N/A</v>
      </c>
      <c r="BD40" s="27" t="e">
        <f>RTD("srv.rtd","","PLAYERSRANKING",BD$13,$S40,"SALDO","VOLF")</f>
        <v>#N/A</v>
      </c>
      <c r="BE40" s="27" t="e">
        <f>RTD("srv.rtd","","PLAYERSRANKING",BE$13,$S40,"SALDO","VOLF")</f>
        <v>#N/A</v>
      </c>
      <c r="BF40" s="27" t="e">
        <f>RTD("srv.rtd","","PLAYERSRANKING",BF$13,$S40,"SALDO","VOLF")</f>
        <v>#N/A</v>
      </c>
      <c r="BG40" s="27" t="e">
        <f>RTD("srv.rtd","","PLAYERSRANKING",BG$13,$S40,"SALDO","VOLF")</f>
        <v>#N/A</v>
      </c>
      <c r="BH40" s="27" t="e">
        <f>RTD("srv.rtd","","PLAYERSRANKING",BH$13,$S40,"SALDO","VOLF")</f>
        <v>#N/A</v>
      </c>
      <c r="BI40" s="27" t="e">
        <f>RTD("srv.rtd","","PLAYERSRANKING",BI$13,$S40,"SALDO","VOLF")</f>
        <v>#N/A</v>
      </c>
      <c r="BJ40" s="27" t="e">
        <f>RTD("srv.rtd","","PLAYERSRANKING",BJ$13,$S40,"SALDO","VOLF")</f>
        <v>#N/A</v>
      </c>
      <c r="BK40" s="27" t="e">
        <f>RTD("srv.rtd","","PLAYERSRANKING",BK$13,$S40,"SALDO","VOLF")</f>
        <v>#N/A</v>
      </c>
      <c r="BL40" s="27" t="e">
        <f>RTD("srv.rtd","","PLAYERSRANKING",BL$13,$S40,"SALDO","VOLF")</f>
        <v>#N/A</v>
      </c>
      <c r="BM40" s="27" t="e">
        <f>RTD("srv.rtd","","PLAYERSRANKING",BM$13,$S40,"SALDO","VOLF")</f>
        <v>#N/A</v>
      </c>
      <c r="BN40" s="27" t="e">
        <f>RTD("srv.rtd","","PLAYERSRANKING",BN$13,$S40,"SALDO","VOLF")</f>
        <v>#N/A</v>
      </c>
      <c r="BO40" s="27" t="e">
        <f>RTD("srv.rtd","","PLAYERSRANKING",BO$13,$S40,"SALDO","VOLF")</f>
        <v>#N/A</v>
      </c>
      <c r="BP40" s="27" t="e">
        <f>RTD("srv.rtd","","PLAYERSRANKING",BP$13,$S40,"SALDO","VOLF")</f>
        <v>#N/A</v>
      </c>
      <c r="BQ40" s="27" t="e">
        <f>RTD("srv.rtd","","PLAYERSRANKING",BQ$13,$S40,"SALDO","VOLF")</f>
        <v>#N/A</v>
      </c>
      <c r="BR40" s="27" t="e">
        <f>RTD("srv.rtd","","PLAYERSRANKING",BR$13,$S40,"SALDO","VOLF")</f>
        <v>#N/A</v>
      </c>
      <c r="BS40" s="27" t="e">
        <f>RTD("srv.rtd","","PLAYERSRANKING",BS$13,$S40,"SALDO","VOLF")</f>
        <v>#N/A</v>
      </c>
      <c r="BT40" s="27" t="e">
        <f>RTD("srv.rtd","","PLAYERSRANKING",BT$13,$S40,"SALDO","VOLF")</f>
        <v>#N/A</v>
      </c>
      <c r="BU40" s="27" t="e">
        <f>RTD("srv.rtd","","PLAYERSRANKING",BU$13,$S40,"SALDO","VOLF")</f>
        <v>#N/A</v>
      </c>
      <c r="BV40" s="27" t="e">
        <f>RTD("srv.rtd","","PLAYERSRANKING",BV$13,$S40,"SALDO","VOLF")</f>
        <v>#N/A</v>
      </c>
      <c r="BW40" s="27" t="e">
        <f>RTD("srv.rtd","","PLAYERSRANKING",BW$13,$S40,"SALDO","VOLF")</f>
        <v>#N/A</v>
      </c>
      <c r="BX40" s="27" t="e">
        <f>RTD("srv.rtd","","PLAYERSRANKING",BX$13,$S40,"SALDO","VOLF")</f>
        <v>#N/A</v>
      </c>
      <c r="BY40" s="27" t="e">
        <f>RTD("srv.rtd","","PLAYERSRANKING",BY$13,$S40,"SALDO","VOLF")</f>
        <v>#N/A</v>
      </c>
      <c r="BZ40" s="27" t="e">
        <f>RTD("srv.rtd","","PLAYERSRANKING",BZ$13,$S40,"SALDO","VOLF")</f>
        <v>#N/A</v>
      </c>
      <c r="CA40" s="27" t="e">
        <f>RTD("srv.rtd","","PLAYERSRANKING",CA$13,$S40,"SALDO","VOLF")</f>
        <v>#N/A</v>
      </c>
      <c r="CB40" s="27" t="e">
        <f>RTD("srv.rtd","","PLAYERSRANKING",CB$13,$S40,"SALDO","VOLF")</f>
        <v>#N/A</v>
      </c>
      <c r="CC40" s="27" t="e">
        <f>RTD("srv.rtd","","PLAYERSRANKING",CC$13,$S40,"SALDO","VOLF")</f>
        <v>#N/A</v>
      </c>
      <c r="CD40" s="27" t="e">
        <f>RTD("srv.rtd","","PLAYERSRANKING",CD$13,$S40,"SALDO","VOLF")</f>
        <v>#N/A</v>
      </c>
      <c r="CE40" s="27" t="e">
        <f>RTD("srv.rtd","","PLAYERSRANKING",CE$13,$S40,"SALDO","VOLF")</f>
        <v>#N/A</v>
      </c>
      <c r="CF40" s="27" t="e">
        <f>RTD("srv.rtd","","PLAYERSRANKING",CF$13,$S40,"SALDO","VOLF")</f>
        <v>#N/A</v>
      </c>
      <c r="CG40" s="27" t="e">
        <f>RTD("srv.rtd","","PLAYERSRANKING",CG$13,$S40,"SALDO","VOLF")</f>
        <v>#N/A</v>
      </c>
      <c r="CH40" s="27" t="e">
        <f>RTD("srv.rtd","","PLAYERSRANKING",CH$13,$S40,"SALDO","VOLF")</f>
        <v>#N/A</v>
      </c>
      <c r="CI40" s="27" t="e">
        <f>RTD("srv.rtd","","PLAYERSRANKING",CI$13,$S40,"SALDO","VOLF")</f>
        <v>#N/A</v>
      </c>
      <c r="CJ40" s="27" t="e">
        <f>RTD("srv.rtd","","PLAYERSRANKING",CJ$13,$S40,"SALDO","VOLF")</f>
        <v>#N/A</v>
      </c>
      <c r="CK40" s="27" t="e">
        <f>RTD("srv.rtd","","PLAYERSRANKING",CK$13,$S40,"SALDO","VOLF")</f>
        <v>#N/A</v>
      </c>
      <c r="CL40" s="27" t="e">
        <f>RTD("srv.rtd","","PLAYERSRANKING",CL$13,$S40,"SALDO","VOLF")</f>
        <v>#N/A</v>
      </c>
      <c r="CM40" s="27" t="e">
        <f>RTD("srv.rtd","","PLAYERSRANKING",CM$13,$S40,"SALDO","VOLF")</f>
        <v>#N/A</v>
      </c>
      <c r="CN40" s="27" t="e">
        <f>RTD("srv.rtd","","PLAYERSRANKING",CN$13,$S40,"SALDO","VOLF")</f>
        <v>#N/A</v>
      </c>
      <c r="CO40" s="27" t="e">
        <f>RTD("srv.rtd","","PLAYERSRANKING",CO$13,$S40,"SALDO","VOLF")</f>
        <v>#N/A</v>
      </c>
      <c r="CP40" s="27" t="e">
        <f>RTD("srv.rtd","","PLAYERSRANKING",CP$13,$S40,"SALDO","VOLF")</f>
        <v>#N/A</v>
      </c>
      <c r="CQ40" s="27" t="e">
        <f>RTD("srv.rtd","","PLAYERSRANKING",CQ$13,$S40,"SALDO","VOLF")</f>
        <v>#N/A</v>
      </c>
      <c r="CR40" s="27" t="e">
        <f>RTD("srv.rtd","","PLAYERSRANKING",CR$13,$S40,"SALDO","VOLF")</f>
        <v>#N/A</v>
      </c>
      <c r="CS40" s="27" t="e">
        <f>RTD("srv.rtd","","PLAYERSRANKING",CS$13,$S40,"SALDO","VOLF")</f>
        <v>#N/A</v>
      </c>
      <c r="CT40" s="27" t="e">
        <f>RTD("srv.rtd","","PLAYERSRANKING",CT$13,$S40,"SALDO","VOLF")</f>
        <v>#N/A</v>
      </c>
      <c r="CU40" s="27" t="e">
        <f>RTD("srv.rtd","","PLAYERSRANKING",CU$13,$S40,"SALDO","VOLF")</f>
        <v>#N/A</v>
      </c>
      <c r="CV40" s="27" t="e">
        <f>RTD("srv.rtd","","PLAYERSRANKING",CV$13,$S40,"SALDO","VOLF")</f>
        <v>#N/A</v>
      </c>
      <c r="CW40" s="27" t="e">
        <f>RTD("srv.rtd","","PLAYERSRANKING",CW$13,$S40,"SALDO","VOLF")</f>
        <v>#N/A</v>
      </c>
      <c r="CX40" s="27" t="e">
        <f>RTD("srv.rtd","","PLAYERSRANKING",CX$13,$S40,"SALDO","VOLF")</f>
        <v>#N/A</v>
      </c>
      <c r="CY40" s="27" t="e">
        <f>RTD("srv.rtd","","PLAYERSRANKING",CY$13,$S40,"SALDO","VOLF")</f>
        <v>#N/A</v>
      </c>
      <c r="CZ40" s="27" t="e">
        <f>RTD("srv.rtd","","PLAYERSRANKING",CZ$13,$S40,"SALDO","VOLF")</f>
        <v>#N/A</v>
      </c>
      <c r="DA40" s="27" t="e">
        <f>RTD("srv.rtd","","PLAYERSRANKING",DA$13,$S40,"SALDO","VOLF")</f>
        <v>#N/A</v>
      </c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</row>
    <row r="41" spans="1:124" x14ac:dyDescent="0.25">
      <c r="A41" s="2"/>
      <c r="B41" s="6" t="s">
        <v>59</v>
      </c>
      <c r="C41" s="19">
        <f>VLOOKUP(B41,RTD!$A$1:$H$196,2,0)</f>
        <v>13.669999999999998</v>
      </c>
      <c r="D41" s="19">
        <f>VLOOKUP(B41,RTD!$A$1:$H$196,3,0)</f>
        <v>13.72</v>
      </c>
      <c r="E41" s="19">
        <f>VLOOKUP(B41,RTD!$A$1:$H$196,4,0)</f>
        <v>13.96</v>
      </c>
      <c r="F41" s="19">
        <f>VLOOKUP(B41,RTD!$A$1:$H$196,5,0)</f>
        <v>13.65</v>
      </c>
      <c r="G41" s="19">
        <f>VLOOKUP(B41,RTD!$A$1:$H$196,6,0)</f>
        <v>13.67</v>
      </c>
      <c r="H41" s="19">
        <f t="shared" si="6"/>
        <v>13.66</v>
      </c>
      <c r="I41" s="14">
        <f t="shared" si="7"/>
        <v>-2.1489971346704939E-2</v>
      </c>
      <c r="J41" s="98">
        <f>VLOOKUP(B41,'Market Data'!$A$4:$F$100,6,0)*C41</f>
        <v>208.79207623726532</v>
      </c>
      <c r="K41" s="19">
        <f>VLOOKUP(B41,RTD!$A$2:$H$100,8,0)</f>
        <v>1.1599999999999999</v>
      </c>
      <c r="L41" s="14">
        <f t="shared" si="8"/>
        <v>-1.3189033332973246E-2</v>
      </c>
      <c r="M41" s="19">
        <f>VLOOKUP(B41,RTD!$A$1:$H$196,7,0)</f>
        <v>0</v>
      </c>
      <c r="N41" s="98">
        <f>IF(M41=0,J41,IF(M41=0,C41,M41)*VLOOKUP(B41,'Market Data'!$A$4:$F$100,6,0))</f>
        <v>208.79207623726532</v>
      </c>
      <c r="O41" s="7" t="s">
        <v>59</v>
      </c>
      <c r="P41" s="14"/>
      <c r="Q41" s="13"/>
      <c r="S41" s="136">
        <v>8</v>
      </c>
      <c r="T41" s="137" t="s">
        <v>189</v>
      </c>
      <c r="U41" s="27" t="e">
        <f>RTD("srv.rtd","","PLAYERSRANKING",$U$13,S41,"SALDO","VOLF")</f>
        <v>#N/A</v>
      </c>
      <c r="V41" s="27" t="e">
        <f>RTD("srv.rtd","","PLAYERSRANKING",V$13,S41,"SALDO","VOLF")*0.2</f>
        <v>#N/A</v>
      </c>
      <c r="W41" s="27" t="e">
        <f>RTD("srv.rtd","","PLAYERSRANKING",W$13,S41,"SALDO","VOLF")*50</f>
        <v>#N/A</v>
      </c>
      <c r="X41" s="27" t="e">
        <f>RTD("srv.rtd","","PLAYERSRANKING",X$13,S41,"SALDO","VOLF")*10</f>
        <v>#N/A</v>
      </c>
      <c r="Y41" s="27" t="e">
        <f>RTD("srv.rtd","","PLAYERSRANKING",Y$13,$S41,"SALDO","VOLF")</f>
        <v>#N/A</v>
      </c>
      <c r="Z41" s="27" t="e">
        <f>RTD("srv.rtd","","PLAYERSRANKING",Z$13,$S41,"SALDO","VOLF")</f>
        <v>#N/A</v>
      </c>
      <c r="AA41" s="27" t="e">
        <f>RTD("srv.rtd","","PLAYERSRANKING",AA$13,$S41,"SALDO","VOLF")</f>
        <v>#N/A</v>
      </c>
      <c r="AB41" s="27" t="e">
        <f>RTD("srv.rtd","","PLAYERSRANKING",AB$13,$S41,"SALDO","VOLF")</f>
        <v>#N/A</v>
      </c>
      <c r="AC41" s="27" t="e">
        <f>RTD("srv.rtd","","PLAYERSRANKING",AC$13,$S41,"SALDO","VOLF")</f>
        <v>#N/A</v>
      </c>
      <c r="AD41" s="27" t="e">
        <f>RTD("srv.rtd","","PLAYERSRANKING",AD$13,$S41,"SALDO","VOLF")</f>
        <v>#N/A</v>
      </c>
      <c r="AE41" s="27" t="e">
        <f>RTD("srv.rtd","","PLAYERSRANKING",AE$13,$S41,"SALDO","VOLF")</f>
        <v>#N/A</v>
      </c>
      <c r="AF41" s="27" t="e">
        <f>RTD("srv.rtd","","PLAYERSRANKING",AF$13,$S41,"SALDO","VOLF")</f>
        <v>#N/A</v>
      </c>
      <c r="AG41" s="27" t="e">
        <f>RTD("srv.rtd","","PLAYERSRANKING",AG$13,$S41,"SALDO","VOLF")</f>
        <v>#N/A</v>
      </c>
      <c r="AH41" s="27" t="e">
        <f>RTD("srv.rtd","","PLAYERSRANKING",AH$13,$S41,"SALDO","VOLF")</f>
        <v>#N/A</v>
      </c>
      <c r="AI41" s="27" t="e">
        <f>RTD("srv.rtd","","PLAYERSRANKING",AI$13,$S41,"SALDO","VOLF")</f>
        <v>#N/A</v>
      </c>
      <c r="AJ41" s="27" t="e">
        <f>RTD("srv.rtd","","PLAYERSRANKING",AJ$13,$S41,"SALDO","VOLF")</f>
        <v>#N/A</v>
      </c>
      <c r="AK41" s="27" t="e">
        <f>RTD("srv.rtd","","PLAYERSRANKING",AK$13,$S41,"SALDO","VOLF")</f>
        <v>#N/A</v>
      </c>
      <c r="AL41" s="27" t="e">
        <f>RTD("srv.rtd","","PLAYERSRANKING",AL$13,$S41,"SALDO","VOLF")</f>
        <v>#N/A</v>
      </c>
      <c r="AM41" s="27" t="e">
        <f>RTD("srv.rtd","","PLAYERSRANKING",AM$13,$S41,"SALDO","VOLF")</f>
        <v>#N/A</v>
      </c>
      <c r="AN41" s="27" t="e">
        <f>RTD("srv.rtd","","PLAYERSRANKING",AN$13,$S41,"SALDO","VOLF")</f>
        <v>#N/A</v>
      </c>
      <c r="AO41" s="27" t="e">
        <f>RTD("srv.rtd","","PLAYERSRANKING",AO$13,$S41,"SALDO","VOLF")</f>
        <v>#N/A</v>
      </c>
      <c r="AP41" s="27" t="e">
        <f>RTD("srv.rtd","","PLAYERSRANKING",AP$13,$S41,"SALDO","VOLF")</f>
        <v>#N/A</v>
      </c>
      <c r="AQ41" s="27" t="e">
        <f>RTD("srv.rtd","","PLAYERSRANKING",AQ$13,$S41,"SALDO","VOLF")</f>
        <v>#N/A</v>
      </c>
      <c r="AR41" s="27" t="e">
        <f>RTD("srv.rtd","","PLAYERSRANKING",AR$13,$S41,"SALDO","VOLF")</f>
        <v>#N/A</v>
      </c>
      <c r="AS41" s="27" t="e">
        <f>RTD("srv.rtd","","PLAYERSRANKING",AS$13,$S41,"SALDO","VOLF")</f>
        <v>#N/A</v>
      </c>
      <c r="AT41" s="27" t="e">
        <f>RTD("srv.rtd","","PLAYERSRANKING",AT$13,$S41,"SALDO","VOLF")</f>
        <v>#N/A</v>
      </c>
      <c r="AU41" s="27" t="e">
        <f>RTD("srv.rtd","","PLAYERSRANKING",AU$13,$S41,"SALDO","VOLF")</f>
        <v>#N/A</v>
      </c>
      <c r="AV41" s="27" t="e">
        <f>RTD("srv.rtd","","PLAYERSRANKING",AV$13,$S41,"SALDO","VOLF")</f>
        <v>#N/A</v>
      </c>
      <c r="AW41" s="27" t="e">
        <f>RTD("srv.rtd","","PLAYERSRANKING",AW$13,$S41,"SALDO","VOLF")</f>
        <v>#N/A</v>
      </c>
      <c r="AX41" s="27" t="e">
        <f>RTD("srv.rtd","","PLAYERSRANKING",AX$13,$S41,"SALDO","VOLF")</f>
        <v>#N/A</v>
      </c>
      <c r="AY41" s="27" t="e">
        <f>RTD("srv.rtd","","PLAYERSRANKING",AY$13,$S41,"SALDO","VOLF")</f>
        <v>#N/A</v>
      </c>
      <c r="AZ41" s="27" t="e">
        <f>RTD("srv.rtd","","PLAYERSRANKING",AZ$13,$S41,"SALDO","VOLF")</f>
        <v>#N/A</v>
      </c>
      <c r="BA41" s="27" t="e">
        <f>RTD("srv.rtd","","PLAYERSRANKING",BA$13,$S41,"SALDO","VOLF")</f>
        <v>#N/A</v>
      </c>
      <c r="BB41" s="27" t="e">
        <f>RTD("srv.rtd","","PLAYERSRANKING",BB$13,$S41,"SALDO","VOLF")</f>
        <v>#N/A</v>
      </c>
      <c r="BC41" s="27" t="e">
        <f>RTD("srv.rtd","","PLAYERSRANKING",BC$13,$S41,"SALDO","VOLF")</f>
        <v>#N/A</v>
      </c>
      <c r="BD41" s="27" t="e">
        <f>RTD("srv.rtd","","PLAYERSRANKING",BD$13,$S41,"SALDO","VOLF")</f>
        <v>#N/A</v>
      </c>
      <c r="BE41" s="27" t="e">
        <f>RTD("srv.rtd","","PLAYERSRANKING",BE$13,$S41,"SALDO","VOLF")</f>
        <v>#N/A</v>
      </c>
      <c r="BF41" s="27" t="e">
        <f>RTD("srv.rtd","","PLAYERSRANKING",BF$13,$S41,"SALDO","VOLF")</f>
        <v>#N/A</v>
      </c>
      <c r="BG41" s="27" t="e">
        <f>RTD("srv.rtd","","PLAYERSRANKING",BG$13,$S41,"SALDO","VOLF")</f>
        <v>#N/A</v>
      </c>
      <c r="BH41" s="27" t="e">
        <f>RTD("srv.rtd","","PLAYERSRANKING",BH$13,$S41,"SALDO","VOLF")</f>
        <v>#N/A</v>
      </c>
      <c r="BI41" s="27" t="e">
        <f>RTD("srv.rtd","","PLAYERSRANKING",BI$13,$S41,"SALDO","VOLF")</f>
        <v>#N/A</v>
      </c>
      <c r="BJ41" s="27" t="e">
        <f>RTD("srv.rtd","","PLAYERSRANKING",BJ$13,$S41,"SALDO","VOLF")</f>
        <v>#N/A</v>
      </c>
      <c r="BK41" s="27" t="e">
        <f>RTD("srv.rtd","","PLAYERSRANKING",BK$13,$S41,"SALDO","VOLF")</f>
        <v>#N/A</v>
      </c>
      <c r="BL41" s="27" t="e">
        <f>RTD("srv.rtd","","PLAYERSRANKING",BL$13,$S41,"SALDO","VOLF")</f>
        <v>#N/A</v>
      </c>
      <c r="BM41" s="27" t="e">
        <f>RTD("srv.rtd","","PLAYERSRANKING",BM$13,$S41,"SALDO","VOLF")</f>
        <v>#N/A</v>
      </c>
      <c r="BN41" s="27" t="e">
        <f>RTD("srv.rtd","","PLAYERSRANKING",BN$13,$S41,"SALDO","VOLF")</f>
        <v>#N/A</v>
      </c>
      <c r="BO41" s="27" t="e">
        <f>RTD("srv.rtd","","PLAYERSRANKING",BO$13,$S41,"SALDO","VOLF")</f>
        <v>#N/A</v>
      </c>
      <c r="BP41" s="27" t="e">
        <f>RTD("srv.rtd","","PLAYERSRANKING",BP$13,$S41,"SALDO","VOLF")</f>
        <v>#N/A</v>
      </c>
      <c r="BQ41" s="27" t="e">
        <f>RTD("srv.rtd","","PLAYERSRANKING",BQ$13,$S41,"SALDO","VOLF")</f>
        <v>#N/A</v>
      </c>
      <c r="BR41" s="27" t="e">
        <f>RTD("srv.rtd","","PLAYERSRANKING",BR$13,$S41,"SALDO","VOLF")</f>
        <v>#N/A</v>
      </c>
      <c r="BS41" s="27" t="e">
        <f>RTD("srv.rtd","","PLAYERSRANKING",BS$13,$S41,"SALDO","VOLF")</f>
        <v>#N/A</v>
      </c>
      <c r="BT41" s="27" t="e">
        <f>RTD("srv.rtd","","PLAYERSRANKING",BT$13,$S41,"SALDO","VOLF")</f>
        <v>#N/A</v>
      </c>
      <c r="BU41" s="27" t="e">
        <f>RTD("srv.rtd","","PLAYERSRANKING",BU$13,$S41,"SALDO","VOLF")</f>
        <v>#N/A</v>
      </c>
      <c r="BV41" s="27" t="e">
        <f>RTD("srv.rtd","","PLAYERSRANKING",BV$13,$S41,"SALDO","VOLF")</f>
        <v>#N/A</v>
      </c>
      <c r="BW41" s="27" t="e">
        <f>RTD("srv.rtd","","PLAYERSRANKING",BW$13,$S41,"SALDO","VOLF")</f>
        <v>#N/A</v>
      </c>
      <c r="BX41" s="27" t="e">
        <f>RTD("srv.rtd","","PLAYERSRANKING",BX$13,$S41,"SALDO","VOLF")</f>
        <v>#N/A</v>
      </c>
      <c r="BY41" s="27" t="e">
        <f>RTD("srv.rtd","","PLAYERSRANKING",BY$13,$S41,"SALDO","VOLF")</f>
        <v>#N/A</v>
      </c>
      <c r="BZ41" s="27" t="e">
        <f>RTD("srv.rtd","","PLAYERSRANKING",BZ$13,$S41,"SALDO","VOLF")</f>
        <v>#N/A</v>
      </c>
      <c r="CA41" s="27" t="e">
        <f>RTD("srv.rtd","","PLAYERSRANKING",CA$13,$S41,"SALDO","VOLF")</f>
        <v>#N/A</v>
      </c>
      <c r="CB41" s="27" t="e">
        <f>RTD("srv.rtd","","PLAYERSRANKING",CB$13,$S41,"SALDO","VOLF")</f>
        <v>#N/A</v>
      </c>
      <c r="CC41" s="27" t="e">
        <f>RTD("srv.rtd","","PLAYERSRANKING",CC$13,$S41,"SALDO","VOLF")</f>
        <v>#N/A</v>
      </c>
      <c r="CD41" s="27" t="e">
        <f>RTD("srv.rtd","","PLAYERSRANKING",CD$13,$S41,"SALDO","VOLF")</f>
        <v>#N/A</v>
      </c>
      <c r="CE41" s="27" t="e">
        <f>RTD("srv.rtd","","PLAYERSRANKING",CE$13,$S41,"SALDO","VOLF")</f>
        <v>#N/A</v>
      </c>
      <c r="CF41" s="27" t="e">
        <f>RTD("srv.rtd","","PLAYERSRANKING",CF$13,$S41,"SALDO","VOLF")</f>
        <v>#N/A</v>
      </c>
      <c r="CG41" s="27" t="e">
        <f>RTD("srv.rtd","","PLAYERSRANKING",CG$13,$S41,"SALDO","VOLF")</f>
        <v>#N/A</v>
      </c>
      <c r="CH41" s="27" t="e">
        <f>RTD("srv.rtd","","PLAYERSRANKING",CH$13,$S41,"SALDO","VOLF")</f>
        <v>#N/A</v>
      </c>
      <c r="CI41" s="27" t="e">
        <f>RTD("srv.rtd","","PLAYERSRANKING",CI$13,$S41,"SALDO","VOLF")</f>
        <v>#N/A</v>
      </c>
      <c r="CJ41" s="27" t="e">
        <f>RTD("srv.rtd","","PLAYERSRANKING",CJ$13,$S41,"SALDO","VOLF")</f>
        <v>#N/A</v>
      </c>
      <c r="CK41" s="27" t="e">
        <f>RTD("srv.rtd","","PLAYERSRANKING",CK$13,$S41,"SALDO","VOLF")</f>
        <v>#N/A</v>
      </c>
      <c r="CL41" s="27" t="e">
        <f>RTD("srv.rtd","","PLAYERSRANKING",CL$13,$S41,"SALDO","VOLF")</f>
        <v>#N/A</v>
      </c>
      <c r="CM41" s="27" t="e">
        <f>RTD("srv.rtd","","PLAYERSRANKING",CM$13,$S41,"SALDO","VOLF")</f>
        <v>#N/A</v>
      </c>
      <c r="CN41" s="27" t="e">
        <f>RTD("srv.rtd","","PLAYERSRANKING",CN$13,$S41,"SALDO","VOLF")</f>
        <v>#N/A</v>
      </c>
      <c r="CO41" s="27" t="e">
        <f>RTD("srv.rtd","","PLAYERSRANKING",CO$13,$S41,"SALDO","VOLF")</f>
        <v>#N/A</v>
      </c>
      <c r="CP41" s="27" t="e">
        <f>RTD("srv.rtd","","PLAYERSRANKING",CP$13,$S41,"SALDO","VOLF")</f>
        <v>#N/A</v>
      </c>
      <c r="CQ41" s="27" t="e">
        <f>RTD("srv.rtd","","PLAYERSRANKING",CQ$13,$S41,"SALDO","VOLF")</f>
        <v>#N/A</v>
      </c>
      <c r="CR41" s="27" t="e">
        <f>RTD("srv.rtd","","PLAYERSRANKING",CR$13,$S41,"SALDO","VOLF")</f>
        <v>#N/A</v>
      </c>
      <c r="CS41" s="27" t="e">
        <f>RTD("srv.rtd","","PLAYERSRANKING",CS$13,$S41,"SALDO","VOLF")</f>
        <v>#N/A</v>
      </c>
      <c r="CT41" s="27" t="e">
        <f>RTD("srv.rtd","","PLAYERSRANKING",CT$13,$S41,"SALDO","VOLF")</f>
        <v>#N/A</v>
      </c>
      <c r="CU41" s="27" t="e">
        <f>RTD("srv.rtd","","PLAYERSRANKING",CU$13,$S41,"SALDO","VOLF")</f>
        <v>#N/A</v>
      </c>
      <c r="CV41" s="27" t="e">
        <f>RTD("srv.rtd","","PLAYERSRANKING",CV$13,$S41,"SALDO","VOLF")</f>
        <v>#N/A</v>
      </c>
      <c r="CW41" s="27" t="e">
        <f>RTD("srv.rtd","","PLAYERSRANKING",CW$13,$S41,"SALDO","VOLF")</f>
        <v>#N/A</v>
      </c>
      <c r="CX41" s="27" t="e">
        <f>RTD("srv.rtd","","PLAYERSRANKING",CX$13,$S41,"SALDO","VOLF")</f>
        <v>#N/A</v>
      </c>
      <c r="CY41" s="27" t="e">
        <f>RTD("srv.rtd","","PLAYERSRANKING",CY$13,$S41,"SALDO","VOLF")</f>
        <v>#N/A</v>
      </c>
      <c r="CZ41" s="27" t="e">
        <f>RTD("srv.rtd","","PLAYERSRANKING",CZ$13,$S41,"SALDO","VOLF")</f>
        <v>#N/A</v>
      </c>
      <c r="DA41" s="27" t="e">
        <f>RTD("srv.rtd","","PLAYERSRANKING",DA$13,$S41,"SALDO","VOLF")</f>
        <v>#N/A</v>
      </c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</row>
    <row r="42" spans="1:124" x14ac:dyDescent="0.25">
      <c r="A42" s="2"/>
      <c r="B42" s="6" t="s">
        <v>61</v>
      </c>
      <c r="C42" s="19">
        <f>VLOOKUP(B42,RTD!$A$1:$H$196,2,0)</f>
        <v>6.9699999999999989</v>
      </c>
      <c r="D42" s="19">
        <f>VLOOKUP(B42,RTD!$A$1:$H$196,3,0)</f>
        <v>6.97</v>
      </c>
      <c r="E42" s="19">
        <f>VLOOKUP(B42,RTD!$A$1:$H$196,4,0)</f>
        <v>7</v>
      </c>
      <c r="F42" s="19">
        <f>VLOOKUP(B42,RTD!$A$1:$H$196,5,0)</f>
        <v>6.96</v>
      </c>
      <c r="G42" s="19">
        <f>VLOOKUP(B42,RTD!$A$1:$H$196,6,0)</f>
        <v>6.97</v>
      </c>
      <c r="H42" s="19">
        <f t="shared" si="6"/>
        <v>6.9649999999999999</v>
      </c>
      <c r="I42" s="14">
        <f t="shared" si="7"/>
        <v>-5.0000000000000044E-3</v>
      </c>
      <c r="J42" s="98">
        <f>VLOOKUP(B42,'Market Data'!$A$4:$F$100,6,0)*C42</f>
        <v>64.789915297840921</v>
      </c>
      <c r="K42" s="19">
        <f>VLOOKUP(B42,RTD!$A$2:$H$100,8,0)</f>
        <v>1.28</v>
      </c>
      <c r="L42" s="14">
        <f t="shared" si="8"/>
        <v>4.1596557392901395E-3</v>
      </c>
      <c r="M42" s="19">
        <f>VLOOKUP(B42,RTD!$A$1:$H$196,7,0)</f>
        <v>0</v>
      </c>
      <c r="N42" s="98">
        <f>IF(M42=0,J42,IF(M42=0,C42,M42)*VLOOKUP(B42,'Market Data'!$A$4:$F$100,6,0))</f>
        <v>64.789915297840921</v>
      </c>
      <c r="O42" s="7" t="s">
        <v>61</v>
      </c>
      <c r="P42" s="14"/>
      <c r="Q42" s="13"/>
      <c r="S42" s="21">
        <v>308</v>
      </c>
      <c r="T42" s="15" t="s">
        <v>180</v>
      </c>
      <c r="U42" s="27" t="e">
        <f>RTD("srv.rtd","","PLAYERSRANKING",$U$13,S42,"SALDO","VOLF")</f>
        <v>#N/A</v>
      </c>
      <c r="V42" s="27" t="e">
        <f>RTD("srv.rtd","","PLAYERSRANKING",V$13,S42,"SALDO","VOLF")*0.2</f>
        <v>#N/A</v>
      </c>
      <c r="W42" s="27" t="e">
        <f>RTD("srv.rtd","","PLAYERSRANKING",W$13,S42,"SALDO","VOLF")*50</f>
        <v>#N/A</v>
      </c>
      <c r="X42" s="27" t="e">
        <f>RTD("srv.rtd","","PLAYERSRANKING",X$13,S42,"SALDO","VOLF")*10</f>
        <v>#N/A</v>
      </c>
      <c r="Y42" s="27" t="e">
        <f>RTD("srv.rtd","","PLAYERSRANKING",Y$13,$S42,"SALDO","VOLF")</f>
        <v>#N/A</v>
      </c>
      <c r="Z42" s="27" t="e">
        <f>RTD("srv.rtd","","PLAYERSRANKING",Z$13,$S42,"SALDO","VOLF")</f>
        <v>#N/A</v>
      </c>
      <c r="AA42" s="27" t="e">
        <f>RTD("srv.rtd","","PLAYERSRANKING",AA$13,$S42,"SALDO","VOLF")</f>
        <v>#N/A</v>
      </c>
      <c r="AB42" s="27" t="e">
        <f>RTD("srv.rtd","","PLAYERSRANKING",AB$13,$S42,"SALDO","VOLF")</f>
        <v>#N/A</v>
      </c>
      <c r="AC42" s="27" t="e">
        <f>RTD("srv.rtd","","PLAYERSRANKING",AC$13,$S42,"SALDO","VOLF")</f>
        <v>#N/A</v>
      </c>
      <c r="AD42" s="27" t="e">
        <f>RTD("srv.rtd","","PLAYERSRANKING",AD$13,$S42,"SALDO","VOLF")</f>
        <v>#N/A</v>
      </c>
      <c r="AE42" s="27" t="e">
        <f>RTD("srv.rtd","","PLAYERSRANKING",AE$13,$S42,"SALDO","VOLF")</f>
        <v>#N/A</v>
      </c>
      <c r="AF42" s="27" t="e">
        <f>RTD("srv.rtd","","PLAYERSRANKING",AF$13,$S42,"SALDO","VOLF")</f>
        <v>#N/A</v>
      </c>
      <c r="AG42" s="27" t="e">
        <f>RTD("srv.rtd","","PLAYERSRANKING",AG$13,$S42,"SALDO","VOLF")</f>
        <v>#N/A</v>
      </c>
      <c r="AH42" s="27" t="e">
        <f>RTD("srv.rtd","","PLAYERSRANKING",AH$13,$S42,"SALDO","VOLF")</f>
        <v>#N/A</v>
      </c>
      <c r="AI42" s="27" t="e">
        <f>RTD("srv.rtd","","PLAYERSRANKING",AI$13,$S42,"SALDO","VOLF")</f>
        <v>#N/A</v>
      </c>
      <c r="AJ42" s="27" t="e">
        <f>RTD("srv.rtd","","PLAYERSRANKING",AJ$13,$S42,"SALDO","VOLF")</f>
        <v>#N/A</v>
      </c>
      <c r="AK42" s="27" t="e">
        <f>RTD("srv.rtd","","PLAYERSRANKING",AK$13,$S42,"SALDO","VOLF")</f>
        <v>#N/A</v>
      </c>
      <c r="AL42" s="27" t="e">
        <f>RTD("srv.rtd","","PLAYERSRANKING",AL$13,$S42,"SALDO","VOLF")</f>
        <v>#N/A</v>
      </c>
      <c r="AM42" s="27" t="e">
        <f>RTD("srv.rtd","","PLAYERSRANKING",AM$13,$S42,"SALDO","VOLF")</f>
        <v>#N/A</v>
      </c>
      <c r="AN42" s="27" t="e">
        <f>RTD("srv.rtd","","PLAYERSRANKING",AN$13,$S42,"SALDO","VOLF")</f>
        <v>#N/A</v>
      </c>
      <c r="AO42" s="27" t="e">
        <f>RTD("srv.rtd","","PLAYERSRANKING",AO$13,$S42,"SALDO","VOLF")</f>
        <v>#N/A</v>
      </c>
      <c r="AP42" s="27" t="e">
        <f>RTD("srv.rtd","","PLAYERSRANKING",AP$13,$S42,"SALDO","VOLF")</f>
        <v>#N/A</v>
      </c>
      <c r="AQ42" s="27" t="e">
        <f>RTD("srv.rtd","","PLAYERSRANKING",AQ$13,$S42,"SALDO","VOLF")</f>
        <v>#N/A</v>
      </c>
      <c r="AR42" s="27" t="e">
        <f>RTD("srv.rtd","","PLAYERSRANKING",AR$13,$S42,"SALDO","VOLF")</f>
        <v>#N/A</v>
      </c>
      <c r="AS42" s="27" t="e">
        <f>RTD("srv.rtd","","PLAYERSRANKING",AS$13,$S42,"SALDO","VOLF")</f>
        <v>#N/A</v>
      </c>
      <c r="AT42" s="27" t="e">
        <f>RTD("srv.rtd","","PLAYERSRANKING",AT$13,$S42,"SALDO","VOLF")</f>
        <v>#N/A</v>
      </c>
      <c r="AU42" s="27" t="e">
        <f>RTD("srv.rtd","","PLAYERSRANKING",AU$13,$S42,"SALDO","VOLF")</f>
        <v>#N/A</v>
      </c>
      <c r="AV42" s="27" t="e">
        <f>RTD("srv.rtd","","PLAYERSRANKING",AV$13,$S42,"SALDO","VOLF")</f>
        <v>#N/A</v>
      </c>
      <c r="AW42" s="27" t="e">
        <f>RTD("srv.rtd","","PLAYERSRANKING",AW$13,$S42,"SALDO","VOLF")</f>
        <v>#N/A</v>
      </c>
      <c r="AX42" s="27" t="e">
        <f>RTD("srv.rtd","","PLAYERSRANKING",AX$13,$S42,"SALDO","VOLF")</f>
        <v>#N/A</v>
      </c>
      <c r="AY42" s="27" t="e">
        <f>RTD("srv.rtd","","PLAYERSRANKING",AY$13,$S42,"SALDO","VOLF")</f>
        <v>#N/A</v>
      </c>
      <c r="AZ42" s="27" t="e">
        <f>RTD("srv.rtd","","PLAYERSRANKING",AZ$13,$S42,"SALDO","VOLF")</f>
        <v>#N/A</v>
      </c>
      <c r="BA42" s="27" t="e">
        <f>RTD("srv.rtd","","PLAYERSRANKING",BA$13,$S42,"SALDO","VOLF")</f>
        <v>#N/A</v>
      </c>
      <c r="BB42" s="27" t="e">
        <f>RTD("srv.rtd","","PLAYERSRANKING",BB$13,$S42,"SALDO","VOLF")</f>
        <v>#N/A</v>
      </c>
      <c r="BC42" s="27" t="e">
        <f>RTD("srv.rtd","","PLAYERSRANKING",BC$13,$S42,"SALDO","VOLF")</f>
        <v>#N/A</v>
      </c>
      <c r="BD42" s="27" t="e">
        <f>RTD("srv.rtd","","PLAYERSRANKING",BD$13,$S42,"SALDO","VOLF")</f>
        <v>#N/A</v>
      </c>
      <c r="BE42" s="27" t="e">
        <f>RTD("srv.rtd","","PLAYERSRANKING",BE$13,$S42,"SALDO","VOLF")</f>
        <v>#N/A</v>
      </c>
      <c r="BF42" s="27" t="e">
        <f>RTD("srv.rtd","","PLAYERSRANKING",BF$13,$S42,"SALDO","VOLF")</f>
        <v>#N/A</v>
      </c>
      <c r="BG42" s="27" t="e">
        <f>RTD("srv.rtd","","PLAYERSRANKING",BG$13,$S42,"SALDO","VOLF")</f>
        <v>#N/A</v>
      </c>
      <c r="BH42" s="27" t="e">
        <f>RTD("srv.rtd","","PLAYERSRANKING",BH$13,$S42,"SALDO","VOLF")</f>
        <v>#N/A</v>
      </c>
      <c r="BI42" s="27" t="e">
        <f>RTD("srv.rtd","","PLAYERSRANKING",BI$13,$S42,"SALDO","VOLF")</f>
        <v>#N/A</v>
      </c>
      <c r="BJ42" s="27" t="e">
        <f>RTD("srv.rtd","","PLAYERSRANKING",BJ$13,$S42,"SALDO","VOLF")</f>
        <v>#N/A</v>
      </c>
      <c r="BK42" s="27" t="e">
        <f>RTD("srv.rtd","","PLAYERSRANKING",BK$13,$S42,"SALDO","VOLF")</f>
        <v>#N/A</v>
      </c>
      <c r="BL42" s="27" t="e">
        <f>RTD("srv.rtd","","PLAYERSRANKING",BL$13,$S42,"SALDO","VOLF")</f>
        <v>#N/A</v>
      </c>
      <c r="BM42" s="27" t="e">
        <f>RTD("srv.rtd","","PLAYERSRANKING",BM$13,$S42,"SALDO","VOLF")</f>
        <v>#N/A</v>
      </c>
      <c r="BN42" s="27" t="e">
        <f>RTD("srv.rtd","","PLAYERSRANKING",BN$13,$S42,"SALDO","VOLF")</f>
        <v>#N/A</v>
      </c>
      <c r="BO42" s="27" t="e">
        <f>RTD("srv.rtd","","PLAYERSRANKING",BO$13,$S42,"SALDO","VOLF")</f>
        <v>#N/A</v>
      </c>
      <c r="BP42" s="27" t="e">
        <f>RTD("srv.rtd","","PLAYERSRANKING",BP$13,$S42,"SALDO","VOLF")</f>
        <v>#N/A</v>
      </c>
      <c r="BQ42" s="27" t="e">
        <f>RTD("srv.rtd","","PLAYERSRANKING",BQ$13,$S42,"SALDO","VOLF")</f>
        <v>#N/A</v>
      </c>
      <c r="BR42" s="27" t="e">
        <f>RTD("srv.rtd","","PLAYERSRANKING",BR$13,$S42,"SALDO","VOLF")</f>
        <v>#N/A</v>
      </c>
      <c r="BS42" s="27" t="e">
        <f>RTD("srv.rtd","","PLAYERSRANKING",BS$13,$S42,"SALDO","VOLF")</f>
        <v>#N/A</v>
      </c>
      <c r="BT42" s="27" t="e">
        <f>RTD("srv.rtd","","PLAYERSRANKING",BT$13,$S42,"SALDO","VOLF")</f>
        <v>#N/A</v>
      </c>
      <c r="BU42" s="27" t="e">
        <f>RTD("srv.rtd","","PLAYERSRANKING",BU$13,$S42,"SALDO","VOLF")</f>
        <v>#N/A</v>
      </c>
      <c r="BV42" s="27" t="e">
        <f>RTD("srv.rtd","","PLAYERSRANKING",BV$13,$S42,"SALDO","VOLF")</f>
        <v>#N/A</v>
      </c>
      <c r="BW42" s="27" t="e">
        <f>RTD("srv.rtd","","PLAYERSRANKING",BW$13,$S42,"SALDO","VOLF")</f>
        <v>#N/A</v>
      </c>
      <c r="BX42" s="27" t="e">
        <f>RTD("srv.rtd","","PLAYERSRANKING",BX$13,$S42,"SALDO","VOLF")</f>
        <v>#N/A</v>
      </c>
      <c r="BY42" s="27" t="e">
        <f>RTD("srv.rtd","","PLAYERSRANKING",BY$13,$S42,"SALDO","VOLF")</f>
        <v>#N/A</v>
      </c>
      <c r="BZ42" s="27" t="e">
        <f>RTD("srv.rtd","","PLAYERSRANKING",BZ$13,$S42,"SALDO","VOLF")</f>
        <v>#N/A</v>
      </c>
      <c r="CA42" s="27" t="e">
        <f>RTD("srv.rtd","","PLAYERSRANKING",CA$13,$S42,"SALDO","VOLF")</f>
        <v>#N/A</v>
      </c>
      <c r="CB42" s="27" t="e">
        <f>RTD("srv.rtd","","PLAYERSRANKING",CB$13,$S42,"SALDO","VOLF")</f>
        <v>#N/A</v>
      </c>
      <c r="CC42" s="27" t="e">
        <f>RTD("srv.rtd","","PLAYERSRANKING",CC$13,$S42,"SALDO","VOLF")</f>
        <v>#N/A</v>
      </c>
      <c r="CD42" s="27" t="e">
        <f>RTD("srv.rtd","","PLAYERSRANKING",CD$13,$S42,"SALDO","VOLF")</f>
        <v>#N/A</v>
      </c>
      <c r="CE42" s="27" t="e">
        <f>RTD("srv.rtd","","PLAYERSRANKING",CE$13,$S42,"SALDO","VOLF")</f>
        <v>#N/A</v>
      </c>
      <c r="CF42" s="27" t="e">
        <f>RTD("srv.rtd","","PLAYERSRANKING",CF$13,$S42,"SALDO","VOLF")</f>
        <v>#N/A</v>
      </c>
      <c r="CG42" s="27" t="e">
        <f>RTD("srv.rtd","","PLAYERSRANKING",CG$13,$S42,"SALDO","VOLF")</f>
        <v>#N/A</v>
      </c>
      <c r="CH42" s="27" t="e">
        <f>RTD("srv.rtd","","PLAYERSRANKING",CH$13,$S42,"SALDO","VOLF")</f>
        <v>#N/A</v>
      </c>
      <c r="CI42" s="27" t="e">
        <f>RTD("srv.rtd","","PLAYERSRANKING",CI$13,$S42,"SALDO","VOLF")</f>
        <v>#N/A</v>
      </c>
      <c r="CJ42" s="27" t="e">
        <f>RTD("srv.rtd","","PLAYERSRANKING",CJ$13,$S42,"SALDO","VOLF")</f>
        <v>#N/A</v>
      </c>
      <c r="CK42" s="27" t="e">
        <f>RTD("srv.rtd","","PLAYERSRANKING",CK$13,$S42,"SALDO","VOLF")</f>
        <v>#N/A</v>
      </c>
      <c r="CL42" s="27" t="e">
        <f>RTD("srv.rtd","","PLAYERSRANKING",CL$13,$S42,"SALDO","VOLF")</f>
        <v>#N/A</v>
      </c>
      <c r="CM42" s="27" t="e">
        <f>RTD("srv.rtd","","PLAYERSRANKING",CM$13,$S42,"SALDO","VOLF")</f>
        <v>#N/A</v>
      </c>
      <c r="CN42" s="27" t="e">
        <f>RTD("srv.rtd","","PLAYERSRANKING",CN$13,$S42,"SALDO","VOLF")</f>
        <v>#N/A</v>
      </c>
      <c r="CO42" s="27" t="e">
        <f>RTD("srv.rtd","","PLAYERSRANKING",CO$13,$S42,"SALDO","VOLF")</f>
        <v>#N/A</v>
      </c>
      <c r="CP42" s="27" t="e">
        <f>RTD("srv.rtd","","PLAYERSRANKING",CP$13,$S42,"SALDO","VOLF")</f>
        <v>#N/A</v>
      </c>
      <c r="CQ42" s="27" t="e">
        <f>RTD("srv.rtd","","PLAYERSRANKING",CQ$13,$S42,"SALDO","VOLF")</f>
        <v>#N/A</v>
      </c>
      <c r="CR42" s="27" t="e">
        <f>RTD("srv.rtd","","PLAYERSRANKING",CR$13,$S42,"SALDO","VOLF")</f>
        <v>#N/A</v>
      </c>
      <c r="CS42" s="27" t="e">
        <f>RTD("srv.rtd","","PLAYERSRANKING",CS$13,$S42,"SALDO","VOLF")</f>
        <v>#N/A</v>
      </c>
      <c r="CT42" s="27" t="e">
        <f>RTD("srv.rtd","","PLAYERSRANKING",CT$13,$S42,"SALDO","VOLF")</f>
        <v>#N/A</v>
      </c>
      <c r="CU42" s="27" t="e">
        <f>RTD("srv.rtd","","PLAYERSRANKING",CU$13,$S42,"SALDO","VOLF")</f>
        <v>#N/A</v>
      </c>
      <c r="CV42" s="27" t="e">
        <f>RTD("srv.rtd","","PLAYERSRANKING",CV$13,$S42,"SALDO","VOLF")</f>
        <v>#N/A</v>
      </c>
      <c r="CW42" s="27" t="e">
        <f>RTD("srv.rtd","","PLAYERSRANKING",CW$13,$S42,"SALDO","VOLF")</f>
        <v>#N/A</v>
      </c>
      <c r="CX42" s="27" t="e">
        <f>RTD("srv.rtd","","PLAYERSRANKING",CX$13,$S42,"SALDO","VOLF")</f>
        <v>#N/A</v>
      </c>
      <c r="CY42" s="27" t="e">
        <f>RTD("srv.rtd","","PLAYERSRANKING",CY$13,$S42,"SALDO","VOLF")</f>
        <v>#N/A</v>
      </c>
      <c r="CZ42" s="27" t="e">
        <f>RTD("srv.rtd","","PLAYERSRANKING",CZ$13,$S42,"SALDO","VOLF")</f>
        <v>#N/A</v>
      </c>
      <c r="DA42" s="27" t="e">
        <f>RTD("srv.rtd","","PLAYERSRANKING",DA$13,$S42,"SALDO","VOLF")</f>
        <v>#N/A</v>
      </c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</row>
    <row r="43" spans="1:124" x14ac:dyDescent="0.25">
      <c r="A43" s="2"/>
      <c r="B43" s="6" t="s">
        <v>63</v>
      </c>
      <c r="C43" s="19">
        <f>VLOOKUP(B43,RTD!$A$1:$H$196,2,0)</f>
        <v>37.240000000000009</v>
      </c>
      <c r="D43" s="19">
        <f>VLOOKUP(B43,RTD!$A$1:$H$196,3,0)</f>
        <v>37.35</v>
      </c>
      <c r="E43" s="19">
        <f>VLOOKUP(B43,RTD!$A$1:$H$196,4,0)</f>
        <v>37.35</v>
      </c>
      <c r="F43" s="19">
        <f>VLOOKUP(B43,RTD!$A$1:$H$196,5,0)</f>
        <v>37.24</v>
      </c>
      <c r="G43" s="19">
        <f>VLOOKUP(B43,RTD!$A$1:$H$196,6,0)</f>
        <v>37.28</v>
      </c>
      <c r="H43" s="19">
        <f t="shared" si="6"/>
        <v>37.260000000000005</v>
      </c>
      <c r="I43" s="14">
        <f t="shared" si="7"/>
        <v>-2.4096385542167198E-3</v>
      </c>
      <c r="J43" s="98">
        <f>VLOOKUP(B43,'Market Data'!$A$4:$F$100,6,0)*C43</f>
        <v>515.4624291563631</v>
      </c>
      <c r="K43" s="19">
        <f>VLOOKUP(B43,RTD!$A$2:$H$100,8,0)</f>
        <v>0.57999999999999996</v>
      </c>
      <c r="L43" s="14">
        <f t="shared" si="8"/>
        <v>1.740830452649127E-3</v>
      </c>
      <c r="M43" s="19">
        <f>VLOOKUP(B43,RTD!$A$1:$H$196,7,0)</f>
        <v>0</v>
      </c>
      <c r="N43" s="98">
        <f>IF(M43=0,J43,IF(M43=0,C43,M43)*VLOOKUP(B43,'Market Data'!$A$4:$F$100,6,0))</f>
        <v>515.4624291563631</v>
      </c>
      <c r="O43" s="7" t="s">
        <v>63</v>
      </c>
      <c r="P43" s="14"/>
      <c r="Q43" s="13"/>
      <c r="S43" s="22">
        <v>1982</v>
      </c>
      <c r="T43" s="23" t="s">
        <v>185</v>
      </c>
      <c r="U43" s="27" t="e">
        <f>RTD("srv.rtd","","PLAYERSRANKING",$U$13,S43,"SALDO","VOLF")</f>
        <v>#N/A</v>
      </c>
      <c r="V43" s="27" t="e">
        <f>RTD("srv.rtd","","PLAYERSRANKING",V$13,S43,"SALDO","VOLF")*0.2</f>
        <v>#N/A</v>
      </c>
      <c r="W43" s="27" t="e">
        <f>RTD("srv.rtd","","PLAYERSRANKING",W$13,S43,"SALDO","VOLF")*50</f>
        <v>#N/A</v>
      </c>
      <c r="X43" s="27" t="e">
        <f>RTD("srv.rtd","","PLAYERSRANKING",X$13,S43,"SALDO","VOLF")*10</f>
        <v>#N/A</v>
      </c>
      <c r="Y43" s="27" t="e">
        <f>RTD("srv.rtd","","PLAYERSRANKING",Y$13,$S43,"SALDO","VOLF")</f>
        <v>#N/A</v>
      </c>
      <c r="Z43" s="27" t="e">
        <f>RTD("srv.rtd","","PLAYERSRANKING",Z$13,$S43,"SALDO","VOLF")</f>
        <v>#N/A</v>
      </c>
      <c r="AA43" s="27" t="e">
        <f>RTD("srv.rtd","","PLAYERSRANKING",AA$13,$S43,"SALDO","VOLF")</f>
        <v>#N/A</v>
      </c>
      <c r="AB43" s="27" t="e">
        <f>RTD("srv.rtd","","PLAYERSRANKING",AB$13,$S43,"SALDO","VOLF")</f>
        <v>#N/A</v>
      </c>
      <c r="AC43" s="27" t="e">
        <f>RTD("srv.rtd","","PLAYERSRANKING",AC$13,$S43,"SALDO","VOLF")</f>
        <v>#N/A</v>
      </c>
      <c r="AD43" s="27" t="e">
        <f>RTD("srv.rtd","","PLAYERSRANKING",AD$13,$S43,"SALDO","VOLF")</f>
        <v>#N/A</v>
      </c>
      <c r="AE43" s="27" t="e">
        <f>RTD("srv.rtd","","PLAYERSRANKING",AE$13,$S43,"SALDO","VOLF")</f>
        <v>#N/A</v>
      </c>
      <c r="AF43" s="27" t="e">
        <f>RTD("srv.rtd","","PLAYERSRANKING",AF$13,$S43,"SALDO","VOLF")</f>
        <v>#N/A</v>
      </c>
      <c r="AG43" s="27" t="e">
        <f>RTD("srv.rtd","","PLAYERSRANKING",AG$13,$S43,"SALDO","VOLF")</f>
        <v>#N/A</v>
      </c>
      <c r="AH43" s="27" t="e">
        <f>RTD("srv.rtd","","PLAYERSRANKING",AH$13,$S43,"SALDO","VOLF")</f>
        <v>#N/A</v>
      </c>
      <c r="AI43" s="27" t="e">
        <f>RTD("srv.rtd","","PLAYERSRANKING",AI$13,$S43,"SALDO","VOLF")</f>
        <v>#N/A</v>
      </c>
      <c r="AJ43" s="27" t="e">
        <f>RTD("srv.rtd","","PLAYERSRANKING",AJ$13,$S43,"SALDO","VOLF")</f>
        <v>#N/A</v>
      </c>
      <c r="AK43" s="27" t="e">
        <f>RTD("srv.rtd","","PLAYERSRANKING",AK$13,$S43,"SALDO","VOLF")</f>
        <v>#N/A</v>
      </c>
      <c r="AL43" s="27" t="e">
        <f>RTD("srv.rtd","","PLAYERSRANKING",AL$13,$S43,"SALDO","VOLF")</f>
        <v>#N/A</v>
      </c>
      <c r="AM43" s="27" t="e">
        <f>RTD("srv.rtd","","PLAYERSRANKING",AM$13,$S43,"SALDO","VOLF")</f>
        <v>#N/A</v>
      </c>
      <c r="AN43" s="27" t="e">
        <f>RTD("srv.rtd","","PLAYERSRANKING",AN$13,$S43,"SALDO","VOLF")</f>
        <v>#N/A</v>
      </c>
      <c r="AO43" s="27" t="e">
        <f>RTD("srv.rtd","","PLAYERSRANKING",AO$13,$S43,"SALDO","VOLF")</f>
        <v>#N/A</v>
      </c>
      <c r="AP43" s="27" t="e">
        <f>RTD("srv.rtd","","PLAYERSRANKING",AP$13,$S43,"SALDO","VOLF")</f>
        <v>#N/A</v>
      </c>
      <c r="AQ43" s="27" t="e">
        <f>RTD("srv.rtd","","PLAYERSRANKING",AQ$13,$S43,"SALDO","VOLF")</f>
        <v>#N/A</v>
      </c>
      <c r="AR43" s="27" t="e">
        <f>RTD("srv.rtd","","PLAYERSRANKING",AR$13,$S43,"SALDO","VOLF")</f>
        <v>#N/A</v>
      </c>
      <c r="AS43" s="27" t="e">
        <f>RTD("srv.rtd","","PLAYERSRANKING",AS$13,$S43,"SALDO","VOLF")</f>
        <v>#N/A</v>
      </c>
      <c r="AT43" s="27" t="e">
        <f>RTD("srv.rtd","","PLAYERSRANKING",AT$13,$S43,"SALDO","VOLF")</f>
        <v>#N/A</v>
      </c>
      <c r="AU43" s="27" t="e">
        <f>RTD("srv.rtd","","PLAYERSRANKING",AU$13,$S43,"SALDO","VOLF")</f>
        <v>#N/A</v>
      </c>
      <c r="AV43" s="27" t="e">
        <f>RTD("srv.rtd","","PLAYERSRANKING",AV$13,$S43,"SALDO","VOLF")</f>
        <v>#N/A</v>
      </c>
      <c r="AW43" s="27" t="e">
        <f>RTD("srv.rtd","","PLAYERSRANKING",AW$13,$S43,"SALDO","VOLF")</f>
        <v>#N/A</v>
      </c>
      <c r="AX43" s="27" t="e">
        <f>RTD("srv.rtd","","PLAYERSRANKING",AX$13,$S43,"SALDO","VOLF")</f>
        <v>#N/A</v>
      </c>
      <c r="AY43" s="27" t="e">
        <f>RTD("srv.rtd","","PLAYERSRANKING",AY$13,$S43,"SALDO","VOLF")</f>
        <v>#N/A</v>
      </c>
      <c r="AZ43" s="27" t="e">
        <f>RTD("srv.rtd","","PLAYERSRANKING",AZ$13,$S43,"SALDO","VOLF")</f>
        <v>#N/A</v>
      </c>
      <c r="BA43" s="27" t="e">
        <f>RTD("srv.rtd","","PLAYERSRANKING",BA$13,$S43,"SALDO","VOLF")</f>
        <v>#N/A</v>
      </c>
      <c r="BB43" s="27" t="e">
        <f>RTD("srv.rtd","","PLAYERSRANKING",BB$13,$S43,"SALDO","VOLF")</f>
        <v>#N/A</v>
      </c>
      <c r="BC43" s="27" t="e">
        <f>RTD("srv.rtd","","PLAYERSRANKING",BC$13,$S43,"SALDO","VOLF")</f>
        <v>#N/A</v>
      </c>
      <c r="BD43" s="27" t="e">
        <f>RTD("srv.rtd","","PLAYERSRANKING",BD$13,$S43,"SALDO","VOLF")</f>
        <v>#N/A</v>
      </c>
      <c r="BE43" s="27" t="e">
        <f>RTD("srv.rtd","","PLAYERSRANKING",BE$13,$S43,"SALDO","VOLF")</f>
        <v>#N/A</v>
      </c>
      <c r="BF43" s="27" t="e">
        <f>RTD("srv.rtd","","PLAYERSRANKING",BF$13,$S43,"SALDO","VOLF")</f>
        <v>#N/A</v>
      </c>
      <c r="BG43" s="27" t="e">
        <f>RTD("srv.rtd","","PLAYERSRANKING",BG$13,$S43,"SALDO","VOLF")</f>
        <v>#N/A</v>
      </c>
      <c r="BH43" s="27" t="e">
        <f>RTD("srv.rtd","","PLAYERSRANKING",BH$13,$S43,"SALDO","VOLF")</f>
        <v>#N/A</v>
      </c>
      <c r="BI43" s="27" t="e">
        <f>RTD("srv.rtd","","PLAYERSRANKING",BI$13,$S43,"SALDO","VOLF")</f>
        <v>#N/A</v>
      </c>
      <c r="BJ43" s="27" t="e">
        <f>RTD("srv.rtd","","PLAYERSRANKING",BJ$13,$S43,"SALDO","VOLF")</f>
        <v>#N/A</v>
      </c>
      <c r="BK43" s="27" t="e">
        <f>RTD("srv.rtd","","PLAYERSRANKING",BK$13,$S43,"SALDO","VOLF")</f>
        <v>#N/A</v>
      </c>
      <c r="BL43" s="27" t="e">
        <f>RTD("srv.rtd","","PLAYERSRANKING",BL$13,$S43,"SALDO","VOLF")</f>
        <v>#N/A</v>
      </c>
      <c r="BM43" s="27" t="e">
        <f>RTD("srv.rtd","","PLAYERSRANKING",BM$13,$S43,"SALDO","VOLF")</f>
        <v>#N/A</v>
      </c>
      <c r="BN43" s="27" t="e">
        <f>RTD("srv.rtd","","PLAYERSRANKING",BN$13,$S43,"SALDO","VOLF")</f>
        <v>#N/A</v>
      </c>
      <c r="BO43" s="27" t="e">
        <f>RTD("srv.rtd","","PLAYERSRANKING",BO$13,$S43,"SALDO","VOLF")</f>
        <v>#N/A</v>
      </c>
      <c r="BP43" s="27" t="e">
        <f>RTD("srv.rtd","","PLAYERSRANKING",BP$13,$S43,"SALDO","VOLF")</f>
        <v>#N/A</v>
      </c>
      <c r="BQ43" s="27" t="e">
        <f>RTD("srv.rtd","","PLAYERSRANKING",BQ$13,$S43,"SALDO","VOLF")</f>
        <v>#N/A</v>
      </c>
      <c r="BR43" s="27" t="e">
        <f>RTD("srv.rtd","","PLAYERSRANKING",BR$13,$S43,"SALDO","VOLF")</f>
        <v>#N/A</v>
      </c>
      <c r="BS43" s="27" t="e">
        <f>RTD("srv.rtd","","PLAYERSRANKING",BS$13,$S43,"SALDO","VOLF")</f>
        <v>#N/A</v>
      </c>
      <c r="BT43" s="27" t="e">
        <f>RTD("srv.rtd","","PLAYERSRANKING",BT$13,$S43,"SALDO","VOLF")</f>
        <v>#N/A</v>
      </c>
      <c r="BU43" s="27" t="e">
        <f>RTD("srv.rtd","","PLAYERSRANKING",BU$13,$S43,"SALDO","VOLF")</f>
        <v>#N/A</v>
      </c>
      <c r="BV43" s="27" t="e">
        <f>RTD("srv.rtd","","PLAYERSRANKING",BV$13,$S43,"SALDO","VOLF")</f>
        <v>#N/A</v>
      </c>
      <c r="BW43" s="27" t="e">
        <f>RTD("srv.rtd","","PLAYERSRANKING",BW$13,$S43,"SALDO","VOLF")</f>
        <v>#N/A</v>
      </c>
      <c r="BX43" s="27" t="e">
        <f>RTD("srv.rtd","","PLAYERSRANKING",BX$13,$S43,"SALDO","VOLF")</f>
        <v>#N/A</v>
      </c>
      <c r="BY43" s="27" t="e">
        <f>RTD("srv.rtd","","PLAYERSRANKING",BY$13,$S43,"SALDO","VOLF")</f>
        <v>#N/A</v>
      </c>
      <c r="BZ43" s="27" t="e">
        <f>RTD("srv.rtd","","PLAYERSRANKING",BZ$13,$S43,"SALDO","VOLF")</f>
        <v>#N/A</v>
      </c>
      <c r="CA43" s="27" t="e">
        <f>RTD("srv.rtd","","PLAYERSRANKING",CA$13,$S43,"SALDO","VOLF")</f>
        <v>#N/A</v>
      </c>
      <c r="CB43" s="27" t="e">
        <f>RTD("srv.rtd","","PLAYERSRANKING",CB$13,$S43,"SALDO","VOLF")</f>
        <v>#N/A</v>
      </c>
      <c r="CC43" s="27" t="e">
        <f>RTD("srv.rtd","","PLAYERSRANKING",CC$13,$S43,"SALDO","VOLF")</f>
        <v>#N/A</v>
      </c>
      <c r="CD43" s="27" t="e">
        <f>RTD("srv.rtd","","PLAYERSRANKING",CD$13,$S43,"SALDO","VOLF")</f>
        <v>#N/A</v>
      </c>
      <c r="CE43" s="27" t="e">
        <f>RTD("srv.rtd","","PLAYERSRANKING",CE$13,$S43,"SALDO","VOLF")</f>
        <v>#N/A</v>
      </c>
      <c r="CF43" s="27" t="e">
        <f>RTD("srv.rtd","","PLAYERSRANKING",CF$13,$S43,"SALDO","VOLF")</f>
        <v>#N/A</v>
      </c>
      <c r="CG43" s="27" t="e">
        <f>RTD("srv.rtd","","PLAYERSRANKING",CG$13,$S43,"SALDO","VOLF")</f>
        <v>#N/A</v>
      </c>
      <c r="CH43" s="27" t="e">
        <f>RTD("srv.rtd","","PLAYERSRANKING",CH$13,$S43,"SALDO","VOLF")</f>
        <v>#N/A</v>
      </c>
      <c r="CI43" s="27" t="e">
        <f>RTD("srv.rtd","","PLAYERSRANKING",CI$13,$S43,"SALDO","VOLF")</f>
        <v>#N/A</v>
      </c>
      <c r="CJ43" s="27" t="e">
        <f>RTD("srv.rtd","","PLAYERSRANKING",CJ$13,$S43,"SALDO","VOLF")</f>
        <v>#N/A</v>
      </c>
      <c r="CK43" s="27" t="e">
        <f>RTD("srv.rtd","","PLAYERSRANKING",CK$13,$S43,"SALDO","VOLF")</f>
        <v>#N/A</v>
      </c>
      <c r="CL43" s="27" t="e">
        <f>RTD("srv.rtd","","PLAYERSRANKING",CL$13,$S43,"SALDO","VOLF")</f>
        <v>#N/A</v>
      </c>
      <c r="CM43" s="27" t="e">
        <f>RTD("srv.rtd","","PLAYERSRANKING",CM$13,$S43,"SALDO","VOLF")</f>
        <v>#N/A</v>
      </c>
      <c r="CN43" s="27" t="e">
        <f>RTD("srv.rtd","","PLAYERSRANKING",CN$13,$S43,"SALDO","VOLF")</f>
        <v>#N/A</v>
      </c>
      <c r="CO43" s="27" t="e">
        <f>RTD("srv.rtd","","PLAYERSRANKING",CO$13,$S43,"SALDO","VOLF")</f>
        <v>#N/A</v>
      </c>
      <c r="CP43" s="27" t="e">
        <f>RTD("srv.rtd","","PLAYERSRANKING",CP$13,$S43,"SALDO","VOLF")</f>
        <v>#N/A</v>
      </c>
      <c r="CQ43" s="27" t="e">
        <f>RTD("srv.rtd","","PLAYERSRANKING",CQ$13,$S43,"SALDO","VOLF")</f>
        <v>#N/A</v>
      </c>
      <c r="CR43" s="27" t="e">
        <f>RTD("srv.rtd","","PLAYERSRANKING",CR$13,$S43,"SALDO","VOLF")</f>
        <v>#N/A</v>
      </c>
      <c r="CS43" s="27" t="e">
        <f>RTD("srv.rtd","","PLAYERSRANKING",CS$13,$S43,"SALDO","VOLF")</f>
        <v>#N/A</v>
      </c>
      <c r="CT43" s="27" t="e">
        <f>RTD("srv.rtd","","PLAYERSRANKING",CT$13,$S43,"SALDO","VOLF")</f>
        <v>#N/A</v>
      </c>
      <c r="CU43" s="27" t="e">
        <f>RTD("srv.rtd","","PLAYERSRANKING",CU$13,$S43,"SALDO","VOLF")</f>
        <v>#N/A</v>
      </c>
      <c r="CV43" s="27" t="e">
        <f>RTD("srv.rtd","","PLAYERSRANKING",CV$13,$S43,"SALDO","VOLF")</f>
        <v>#N/A</v>
      </c>
      <c r="CW43" s="27" t="e">
        <f>RTD("srv.rtd","","PLAYERSRANKING",CW$13,$S43,"SALDO","VOLF")</f>
        <v>#N/A</v>
      </c>
      <c r="CX43" s="27" t="e">
        <f>RTD("srv.rtd","","PLAYERSRANKING",CX$13,$S43,"SALDO","VOLF")</f>
        <v>#N/A</v>
      </c>
      <c r="CY43" s="27" t="e">
        <f>RTD("srv.rtd","","PLAYERSRANKING",CY$13,$S43,"SALDO","VOLF")</f>
        <v>#N/A</v>
      </c>
      <c r="CZ43" s="27" t="e">
        <f>RTD("srv.rtd","","PLAYERSRANKING",CZ$13,$S43,"SALDO","VOLF")</f>
        <v>#N/A</v>
      </c>
      <c r="DA43" s="27" t="e">
        <f>RTD("srv.rtd","","PLAYERSRANKING",DA$13,$S43,"SALDO","VOLF")</f>
        <v>#N/A</v>
      </c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</row>
    <row r="44" spans="1:124" x14ac:dyDescent="0.25">
      <c r="A44" s="2"/>
      <c r="B44" s="6" t="s">
        <v>65</v>
      </c>
      <c r="C44" s="19">
        <f>VLOOKUP(B44,RTD!$A$1:$H$196,2,0)</f>
        <v>30.540000000000031</v>
      </c>
      <c r="D44" s="19">
        <f>VLOOKUP(B44,RTD!$A$1:$H$196,3,0)</f>
        <v>30.3</v>
      </c>
      <c r="E44" s="19">
        <f>VLOOKUP(B44,RTD!$A$1:$H$196,4,0)</f>
        <v>30.360000000000003</v>
      </c>
      <c r="F44" s="19">
        <f>VLOOKUP(B44,RTD!$A$1:$H$196,5,0)</f>
        <v>30.53</v>
      </c>
      <c r="G44" s="19">
        <f>VLOOKUP(B44,RTD!$A$1:$H$196,6,0)</f>
        <v>30.54</v>
      </c>
      <c r="H44" s="19">
        <f t="shared" si="6"/>
        <v>30.535</v>
      </c>
      <c r="I44" s="14">
        <f t="shared" si="7"/>
        <v>5.7641633728588992E-3</v>
      </c>
      <c r="J44" s="98">
        <f>VLOOKUP(B44,'Market Data'!$A$4:$F$100,6,0)*C44</f>
        <v>593.98498952286036</v>
      </c>
      <c r="K44" s="19">
        <f>VLOOKUP(B44,RTD!$A$2:$H$100,8,0)</f>
        <v>0.81</v>
      </c>
      <c r="L44" s="14">
        <f t="shared" si="8"/>
        <v>1.1560508020378444E-2</v>
      </c>
      <c r="M44" s="19">
        <f>VLOOKUP(B44,RTD!$A$1:$H$196,7,0)</f>
        <v>0</v>
      </c>
      <c r="N44" s="98">
        <f>IF(M44=0,J44,IF(M44=0,C44,M44)*VLOOKUP(B44,'Market Data'!$A$4:$F$100,6,0))</f>
        <v>593.98498952286036</v>
      </c>
      <c r="O44" s="7" t="s">
        <v>65</v>
      </c>
      <c r="P44" s="14"/>
      <c r="Q44" s="13"/>
      <c r="S44" s="24">
        <v>386</v>
      </c>
      <c r="T44" s="25" t="s">
        <v>186</v>
      </c>
      <c r="U44" s="27" t="e">
        <f>RTD("srv.rtd","","PLAYERSRANKING",$U$13,S44,"SALDO","VOLF")</f>
        <v>#N/A</v>
      </c>
      <c r="V44" s="27" t="e">
        <f>RTD("srv.rtd","","PLAYERSRANKING",V$13,S44,"SALDO","VOLF")*0.2</f>
        <v>#N/A</v>
      </c>
      <c r="W44" s="27" t="e">
        <f>RTD("srv.rtd","","PLAYERSRANKING",W$13,S44,"SALDO","VOLF")*50</f>
        <v>#N/A</v>
      </c>
      <c r="X44" s="27" t="e">
        <f>RTD("srv.rtd","","PLAYERSRANKING",X$13,S44,"SALDO","VOLF")*10</f>
        <v>#N/A</v>
      </c>
      <c r="Y44" s="27" t="e">
        <f>RTD("srv.rtd","","PLAYERSRANKING",Y$13,$S44,"SALDO","VOLF")</f>
        <v>#N/A</v>
      </c>
      <c r="Z44" s="27" t="e">
        <f>RTD("srv.rtd","","PLAYERSRANKING",Z$13,$S44,"SALDO","VOLF")</f>
        <v>#N/A</v>
      </c>
      <c r="AA44" s="27" t="e">
        <f>RTD("srv.rtd","","PLAYERSRANKING",AA$13,$S44,"SALDO","VOLF")</f>
        <v>#N/A</v>
      </c>
      <c r="AB44" s="27" t="e">
        <f>RTD("srv.rtd","","PLAYERSRANKING",AB$13,$S44,"SALDO","VOLF")</f>
        <v>#N/A</v>
      </c>
      <c r="AC44" s="27" t="e">
        <f>RTD("srv.rtd","","PLAYERSRANKING",AC$13,$S44,"SALDO","VOLF")</f>
        <v>#N/A</v>
      </c>
      <c r="AD44" s="27" t="e">
        <f>RTD("srv.rtd","","PLAYERSRANKING",AD$13,$S44,"SALDO","VOLF")</f>
        <v>#N/A</v>
      </c>
      <c r="AE44" s="27" t="e">
        <f>RTD("srv.rtd","","PLAYERSRANKING",AE$13,$S44,"SALDO","VOLF")</f>
        <v>#N/A</v>
      </c>
      <c r="AF44" s="27" t="e">
        <f>RTD("srv.rtd","","PLAYERSRANKING",AF$13,$S44,"SALDO","VOLF")</f>
        <v>#N/A</v>
      </c>
      <c r="AG44" s="27" t="e">
        <f>RTD("srv.rtd","","PLAYERSRANKING",AG$13,$S44,"SALDO","VOLF")</f>
        <v>#N/A</v>
      </c>
      <c r="AH44" s="27" t="e">
        <f>RTD("srv.rtd","","PLAYERSRANKING",AH$13,$S44,"SALDO","VOLF")</f>
        <v>#N/A</v>
      </c>
      <c r="AI44" s="27" t="e">
        <f>RTD("srv.rtd","","PLAYERSRANKING",AI$13,$S44,"SALDO","VOLF")</f>
        <v>#N/A</v>
      </c>
      <c r="AJ44" s="27" t="e">
        <f>RTD("srv.rtd","","PLAYERSRANKING",AJ$13,$S44,"SALDO","VOLF")</f>
        <v>#N/A</v>
      </c>
      <c r="AK44" s="27" t="e">
        <f>RTD("srv.rtd","","PLAYERSRANKING",AK$13,$S44,"SALDO","VOLF")</f>
        <v>#N/A</v>
      </c>
      <c r="AL44" s="27" t="e">
        <f>RTD("srv.rtd","","PLAYERSRANKING",AL$13,$S44,"SALDO","VOLF")</f>
        <v>#N/A</v>
      </c>
      <c r="AM44" s="27" t="e">
        <f>RTD("srv.rtd","","PLAYERSRANKING",AM$13,$S44,"SALDO","VOLF")</f>
        <v>#N/A</v>
      </c>
      <c r="AN44" s="27" t="e">
        <f>RTD("srv.rtd","","PLAYERSRANKING",AN$13,$S44,"SALDO","VOLF")</f>
        <v>#N/A</v>
      </c>
      <c r="AO44" s="27" t="e">
        <f>RTD("srv.rtd","","PLAYERSRANKING",AO$13,$S44,"SALDO","VOLF")</f>
        <v>#N/A</v>
      </c>
      <c r="AP44" s="27" t="e">
        <f>RTD("srv.rtd","","PLAYERSRANKING",AP$13,$S44,"SALDO","VOLF")</f>
        <v>#N/A</v>
      </c>
      <c r="AQ44" s="27" t="e">
        <f>RTD("srv.rtd","","PLAYERSRANKING",AQ$13,$S44,"SALDO","VOLF")</f>
        <v>#N/A</v>
      </c>
      <c r="AR44" s="27" t="e">
        <f>RTD("srv.rtd","","PLAYERSRANKING",AR$13,$S44,"SALDO","VOLF")</f>
        <v>#N/A</v>
      </c>
      <c r="AS44" s="27" t="e">
        <f>RTD("srv.rtd","","PLAYERSRANKING",AS$13,$S44,"SALDO","VOLF")</f>
        <v>#N/A</v>
      </c>
      <c r="AT44" s="27" t="e">
        <f>RTD("srv.rtd","","PLAYERSRANKING",AT$13,$S44,"SALDO","VOLF")</f>
        <v>#N/A</v>
      </c>
      <c r="AU44" s="27" t="e">
        <f>RTD("srv.rtd","","PLAYERSRANKING",AU$13,$S44,"SALDO","VOLF")</f>
        <v>#N/A</v>
      </c>
      <c r="AV44" s="27" t="e">
        <f>RTD("srv.rtd","","PLAYERSRANKING",AV$13,$S44,"SALDO","VOLF")</f>
        <v>#N/A</v>
      </c>
      <c r="AW44" s="27" t="e">
        <f>RTD("srv.rtd","","PLAYERSRANKING",AW$13,$S44,"SALDO","VOLF")</f>
        <v>#N/A</v>
      </c>
      <c r="AX44" s="27" t="e">
        <f>RTD("srv.rtd","","PLAYERSRANKING",AX$13,$S44,"SALDO","VOLF")</f>
        <v>#N/A</v>
      </c>
      <c r="AY44" s="27" t="e">
        <f>RTD("srv.rtd","","PLAYERSRANKING",AY$13,$S44,"SALDO","VOLF")</f>
        <v>#N/A</v>
      </c>
      <c r="AZ44" s="27" t="e">
        <f>RTD("srv.rtd","","PLAYERSRANKING",AZ$13,$S44,"SALDO","VOLF")</f>
        <v>#N/A</v>
      </c>
      <c r="BA44" s="27" t="e">
        <f>RTD("srv.rtd","","PLAYERSRANKING",BA$13,$S44,"SALDO","VOLF")</f>
        <v>#N/A</v>
      </c>
      <c r="BB44" s="27" t="e">
        <f>RTD("srv.rtd","","PLAYERSRANKING",BB$13,$S44,"SALDO","VOLF")</f>
        <v>#N/A</v>
      </c>
      <c r="BC44" s="27" t="e">
        <f>RTD("srv.rtd","","PLAYERSRANKING",BC$13,$S44,"SALDO","VOLF")</f>
        <v>#N/A</v>
      </c>
      <c r="BD44" s="27" t="e">
        <f>RTD("srv.rtd","","PLAYERSRANKING",BD$13,$S44,"SALDO","VOLF")</f>
        <v>#N/A</v>
      </c>
      <c r="BE44" s="27" t="e">
        <f>RTD("srv.rtd","","PLAYERSRANKING",BE$13,$S44,"SALDO","VOLF")</f>
        <v>#N/A</v>
      </c>
      <c r="BF44" s="27" t="e">
        <f>RTD("srv.rtd","","PLAYERSRANKING",BF$13,$S44,"SALDO","VOLF")</f>
        <v>#N/A</v>
      </c>
      <c r="BG44" s="27" t="e">
        <f>RTD("srv.rtd","","PLAYERSRANKING",BG$13,$S44,"SALDO","VOLF")</f>
        <v>#N/A</v>
      </c>
      <c r="BH44" s="27" t="e">
        <f>RTD("srv.rtd","","PLAYERSRANKING",BH$13,$S44,"SALDO","VOLF")</f>
        <v>#N/A</v>
      </c>
      <c r="BI44" s="27" t="e">
        <f>RTD("srv.rtd","","PLAYERSRANKING",BI$13,$S44,"SALDO","VOLF")</f>
        <v>#N/A</v>
      </c>
      <c r="BJ44" s="27" t="e">
        <f>RTD("srv.rtd","","PLAYERSRANKING",BJ$13,$S44,"SALDO","VOLF")</f>
        <v>#N/A</v>
      </c>
      <c r="BK44" s="27" t="e">
        <f>RTD("srv.rtd","","PLAYERSRANKING",BK$13,$S44,"SALDO","VOLF")</f>
        <v>#N/A</v>
      </c>
      <c r="BL44" s="27" t="e">
        <f>RTD("srv.rtd","","PLAYERSRANKING",BL$13,$S44,"SALDO","VOLF")</f>
        <v>#N/A</v>
      </c>
      <c r="BM44" s="27" t="e">
        <f>RTD("srv.rtd","","PLAYERSRANKING",BM$13,$S44,"SALDO","VOLF")</f>
        <v>#N/A</v>
      </c>
      <c r="BN44" s="27" t="e">
        <f>RTD("srv.rtd","","PLAYERSRANKING",BN$13,$S44,"SALDO","VOLF")</f>
        <v>#N/A</v>
      </c>
      <c r="BO44" s="27" t="e">
        <f>RTD("srv.rtd","","PLAYERSRANKING",BO$13,$S44,"SALDO","VOLF")</f>
        <v>#N/A</v>
      </c>
      <c r="BP44" s="27" t="e">
        <f>RTD("srv.rtd","","PLAYERSRANKING",BP$13,$S44,"SALDO","VOLF")</f>
        <v>#N/A</v>
      </c>
      <c r="BQ44" s="27" t="e">
        <f>RTD("srv.rtd","","PLAYERSRANKING",BQ$13,$S44,"SALDO","VOLF")</f>
        <v>#N/A</v>
      </c>
      <c r="BR44" s="27" t="e">
        <f>RTD("srv.rtd","","PLAYERSRANKING",BR$13,$S44,"SALDO","VOLF")</f>
        <v>#N/A</v>
      </c>
      <c r="BS44" s="27" t="e">
        <f>RTD("srv.rtd","","PLAYERSRANKING",BS$13,$S44,"SALDO","VOLF")</f>
        <v>#N/A</v>
      </c>
      <c r="BT44" s="27" t="e">
        <f>RTD("srv.rtd","","PLAYERSRANKING",BT$13,$S44,"SALDO","VOLF")</f>
        <v>#N/A</v>
      </c>
      <c r="BU44" s="27" t="e">
        <f>RTD("srv.rtd","","PLAYERSRANKING",BU$13,$S44,"SALDO","VOLF")</f>
        <v>#N/A</v>
      </c>
      <c r="BV44" s="27" t="e">
        <f>RTD("srv.rtd","","PLAYERSRANKING",BV$13,$S44,"SALDO","VOLF")</f>
        <v>#N/A</v>
      </c>
      <c r="BW44" s="27" t="e">
        <f>RTD("srv.rtd","","PLAYERSRANKING",BW$13,$S44,"SALDO","VOLF")</f>
        <v>#N/A</v>
      </c>
      <c r="BX44" s="27" t="e">
        <f>RTD("srv.rtd","","PLAYERSRANKING",BX$13,$S44,"SALDO","VOLF")</f>
        <v>#N/A</v>
      </c>
      <c r="BY44" s="27" t="e">
        <f>RTD("srv.rtd","","PLAYERSRANKING",BY$13,$S44,"SALDO","VOLF")</f>
        <v>#N/A</v>
      </c>
      <c r="BZ44" s="27" t="e">
        <f>RTD("srv.rtd","","PLAYERSRANKING",BZ$13,$S44,"SALDO","VOLF")</f>
        <v>#N/A</v>
      </c>
      <c r="CA44" s="27" t="e">
        <f>RTD("srv.rtd","","PLAYERSRANKING",CA$13,$S44,"SALDO","VOLF")</f>
        <v>#N/A</v>
      </c>
      <c r="CB44" s="27" t="e">
        <f>RTD("srv.rtd","","PLAYERSRANKING",CB$13,$S44,"SALDO","VOLF")</f>
        <v>#N/A</v>
      </c>
      <c r="CC44" s="27" t="e">
        <f>RTD("srv.rtd","","PLAYERSRANKING",CC$13,$S44,"SALDO","VOLF")</f>
        <v>#N/A</v>
      </c>
      <c r="CD44" s="27" t="e">
        <f>RTD("srv.rtd","","PLAYERSRANKING",CD$13,$S44,"SALDO","VOLF")</f>
        <v>#N/A</v>
      </c>
      <c r="CE44" s="27" t="e">
        <f>RTD("srv.rtd","","PLAYERSRANKING",CE$13,$S44,"SALDO","VOLF")</f>
        <v>#N/A</v>
      </c>
      <c r="CF44" s="27" t="e">
        <f>RTD("srv.rtd","","PLAYERSRANKING",CF$13,$S44,"SALDO","VOLF")</f>
        <v>#N/A</v>
      </c>
      <c r="CG44" s="27" t="e">
        <f>RTD("srv.rtd","","PLAYERSRANKING",CG$13,$S44,"SALDO","VOLF")</f>
        <v>#N/A</v>
      </c>
      <c r="CH44" s="27" t="e">
        <f>RTD("srv.rtd","","PLAYERSRANKING",CH$13,$S44,"SALDO","VOLF")</f>
        <v>#N/A</v>
      </c>
      <c r="CI44" s="27" t="e">
        <f>RTD("srv.rtd","","PLAYERSRANKING",CI$13,$S44,"SALDO","VOLF")</f>
        <v>#N/A</v>
      </c>
      <c r="CJ44" s="27" t="e">
        <f>RTD("srv.rtd","","PLAYERSRANKING",CJ$13,$S44,"SALDO","VOLF")</f>
        <v>#N/A</v>
      </c>
      <c r="CK44" s="27" t="e">
        <f>RTD("srv.rtd","","PLAYERSRANKING",CK$13,$S44,"SALDO","VOLF")</f>
        <v>#N/A</v>
      </c>
      <c r="CL44" s="27" t="e">
        <f>RTD("srv.rtd","","PLAYERSRANKING",CL$13,$S44,"SALDO","VOLF")</f>
        <v>#N/A</v>
      </c>
      <c r="CM44" s="27" t="e">
        <f>RTD("srv.rtd","","PLAYERSRANKING",CM$13,$S44,"SALDO","VOLF")</f>
        <v>#N/A</v>
      </c>
      <c r="CN44" s="27" t="e">
        <f>RTD("srv.rtd","","PLAYERSRANKING",CN$13,$S44,"SALDO","VOLF")</f>
        <v>#N/A</v>
      </c>
      <c r="CO44" s="27" t="e">
        <f>RTD("srv.rtd","","PLAYERSRANKING",CO$13,$S44,"SALDO","VOLF")</f>
        <v>#N/A</v>
      </c>
      <c r="CP44" s="27" t="e">
        <f>RTD("srv.rtd","","PLAYERSRANKING",CP$13,$S44,"SALDO","VOLF")</f>
        <v>#N/A</v>
      </c>
      <c r="CQ44" s="27" t="e">
        <f>RTD("srv.rtd","","PLAYERSRANKING",CQ$13,$S44,"SALDO","VOLF")</f>
        <v>#N/A</v>
      </c>
      <c r="CR44" s="27" t="e">
        <f>RTD("srv.rtd","","PLAYERSRANKING",CR$13,$S44,"SALDO","VOLF")</f>
        <v>#N/A</v>
      </c>
      <c r="CS44" s="27" t="e">
        <f>RTD("srv.rtd","","PLAYERSRANKING",CS$13,$S44,"SALDO","VOLF")</f>
        <v>#N/A</v>
      </c>
      <c r="CT44" s="27" t="e">
        <f>RTD("srv.rtd","","PLAYERSRANKING",CT$13,$S44,"SALDO","VOLF")</f>
        <v>#N/A</v>
      </c>
      <c r="CU44" s="27" t="e">
        <f>RTD("srv.rtd","","PLAYERSRANKING",CU$13,$S44,"SALDO","VOLF")</f>
        <v>#N/A</v>
      </c>
      <c r="CV44" s="27" t="e">
        <f>RTD("srv.rtd","","PLAYERSRANKING",CV$13,$S44,"SALDO","VOLF")</f>
        <v>#N/A</v>
      </c>
      <c r="CW44" s="27" t="e">
        <f>RTD("srv.rtd","","PLAYERSRANKING",CW$13,$S44,"SALDO","VOLF")</f>
        <v>#N/A</v>
      </c>
      <c r="CX44" s="27" t="e">
        <f>RTD("srv.rtd","","PLAYERSRANKING",CX$13,$S44,"SALDO","VOLF")</f>
        <v>#N/A</v>
      </c>
      <c r="CY44" s="27" t="e">
        <f>RTD("srv.rtd","","PLAYERSRANKING",CY$13,$S44,"SALDO","VOLF")</f>
        <v>#N/A</v>
      </c>
      <c r="CZ44" s="27" t="e">
        <f>RTD("srv.rtd","","PLAYERSRANKING",CZ$13,$S44,"SALDO","VOLF")</f>
        <v>#N/A</v>
      </c>
      <c r="DA44" s="27" t="e">
        <f>RTD("srv.rtd","","PLAYERSRANKING",DA$13,$S44,"SALDO","VOLF")</f>
        <v>#N/A</v>
      </c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</row>
    <row r="45" spans="1:124" x14ac:dyDescent="0.25">
      <c r="A45" s="2"/>
      <c r="B45" s="6" t="s">
        <v>67</v>
      </c>
      <c r="C45" s="19">
        <f>VLOOKUP(B45,RTD!$A$1:$H$196,2,0)</f>
        <v>30.159999999999997</v>
      </c>
      <c r="D45" s="19">
        <f>VLOOKUP(B45,RTD!$A$1:$H$196,3,0)</f>
        <v>30.12</v>
      </c>
      <c r="E45" s="19">
        <f>VLOOKUP(B45,RTD!$A$1:$H$196,4,0)</f>
        <v>30.16</v>
      </c>
      <c r="F45" s="19">
        <f>VLOOKUP(B45,RTD!$A$1:$H$196,5,0)</f>
        <v>30.16</v>
      </c>
      <c r="G45" s="19">
        <f>VLOOKUP(B45,RTD!$A$1:$H$196,6,0)</f>
        <v>30.2</v>
      </c>
      <c r="H45" s="19">
        <f t="shared" si="6"/>
        <v>30.18</v>
      </c>
      <c r="I45" s="14">
        <f t="shared" si="7"/>
        <v>6.6312997347472979E-4</v>
      </c>
      <c r="J45" s="98">
        <f>VLOOKUP(B45,'Market Data'!$A$4:$F$100,6,0)*C45</f>
        <v>398.10516318659973</v>
      </c>
      <c r="K45" s="19">
        <f>VLOOKUP(B45,RTD!$A$2:$H$100,8,0)</f>
        <v>0.88</v>
      </c>
      <c r="L45" s="14">
        <f t="shared" si="8"/>
        <v>6.9603932942367041E-3</v>
      </c>
      <c r="M45" s="19">
        <f>VLOOKUP(B45,RTD!$A$1:$H$196,7,0)</f>
        <v>0</v>
      </c>
      <c r="N45" s="98">
        <f>IF(M45=0,J45,IF(M45=0,C45,M45)*VLOOKUP(B45,'Market Data'!$A$4:$F$100,6,0))</f>
        <v>398.10516318659973</v>
      </c>
      <c r="O45" s="7" t="s">
        <v>67</v>
      </c>
      <c r="P45" s="14"/>
      <c r="Q45" s="13"/>
      <c r="S45" s="21">
        <v>3</v>
      </c>
      <c r="T45" s="15" t="s">
        <v>177</v>
      </c>
      <c r="U45" s="27" t="e">
        <f>RTD("srv.rtd","","PLAYERSRANKING",$U$13,S45,"SALDO","VOLF")</f>
        <v>#N/A</v>
      </c>
      <c r="V45" s="27" t="e">
        <f>RTD("srv.rtd","","PLAYERSRANKING",V$13,S45,"SALDO","VOLF")*0.2</f>
        <v>#N/A</v>
      </c>
      <c r="W45" s="27" t="e">
        <f>RTD("srv.rtd","","PLAYERSRANKING",W$13,S45,"SALDO","VOLF")*50</f>
        <v>#N/A</v>
      </c>
      <c r="X45" s="27" t="e">
        <f>RTD("srv.rtd","","PLAYERSRANKING",X$13,S45,"SALDO","VOLF")*10</f>
        <v>#N/A</v>
      </c>
      <c r="Y45" s="27" t="e">
        <f>RTD("srv.rtd","","PLAYERSRANKING",Y$13,$S45,"SALDO","VOLF")</f>
        <v>#N/A</v>
      </c>
      <c r="Z45" s="27" t="e">
        <f>RTD("srv.rtd","","PLAYERSRANKING",Z$13,$S45,"SALDO","VOLF")</f>
        <v>#N/A</v>
      </c>
      <c r="AA45" s="27" t="e">
        <f>RTD("srv.rtd","","PLAYERSRANKING",AA$13,$S45,"SALDO","VOLF")</f>
        <v>#N/A</v>
      </c>
      <c r="AB45" s="27" t="e">
        <f>RTD("srv.rtd","","PLAYERSRANKING",AB$13,$S45,"SALDO","VOLF")</f>
        <v>#N/A</v>
      </c>
      <c r="AC45" s="27" t="e">
        <f>RTD("srv.rtd","","PLAYERSRANKING",AC$13,$S45,"SALDO","VOLF")</f>
        <v>#N/A</v>
      </c>
      <c r="AD45" s="27" t="e">
        <f>RTD("srv.rtd","","PLAYERSRANKING",AD$13,$S45,"SALDO","VOLF")</f>
        <v>#N/A</v>
      </c>
      <c r="AE45" s="27" t="e">
        <f>RTD("srv.rtd","","PLAYERSRANKING",AE$13,$S45,"SALDO","VOLF")</f>
        <v>#N/A</v>
      </c>
      <c r="AF45" s="27" t="e">
        <f>RTD("srv.rtd","","PLAYERSRANKING",AF$13,$S45,"SALDO","VOLF")</f>
        <v>#N/A</v>
      </c>
      <c r="AG45" s="27" t="e">
        <f>RTD("srv.rtd","","PLAYERSRANKING",AG$13,$S45,"SALDO","VOLF")</f>
        <v>#N/A</v>
      </c>
      <c r="AH45" s="27" t="e">
        <f>RTD("srv.rtd","","PLAYERSRANKING",AH$13,$S45,"SALDO","VOLF")</f>
        <v>#N/A</v>
      </c>
      <c r="AI45" s="27" t="e">
        <f>RTD("srv.rtd","","PLAYERSRANKING",AI$13,$S45,"SALDO","VOLF")</f>
        <v>#N/A</v>
      </c>
      <c r="AJ45" s="27" t="e">
        <f>RTD("srv.rtd","","PLAYERSRANKING",AJ$13,$S45,"SALDO","VOLF")</f>
        <v>#N/A</v>
      </c>
      <c r="AK45" s="27" t="e">
        <f>RTD("srv.rtd","","PLAYERSRANKING",AK$13,$S45,"SALDO","VOLF")</f>
        <v>#N/A</v>
      </c>
      <c r="AL45" s="27" t="e">
        <f>RTD("srv.rtd","","PLAYERSRANKING",AL$13,$S45,"SALDO","VOLF")</f>
        <v>#N/A</v>
      </c>
      <c r="AM45" s="27" t="e">
        <f>RTD("srv.rtd","","PLAYERSRANKING",AM$13,$S45,"SALDO","VOLF")</f>
        <v>#N/A</v>
      </c>
      <c r="AN45" s="27" t="e">
        <f>RTD("srv.rtd","","PLAYERSRANKING",AN$13,$S45,"SALDO","VOLF")</f>
        <v>#N/A</v>
      </c>
      <c r="AO45" s="27" t="e">
        <f>RTD("srv.rtd","","PLAYERSRANKING",AO$13,$S45,"SALDO","VOLF")</f>
        <v>#N/A</v>
      </c>
      <c r="AP45" s="27" t="e">
        <f>RTD("srv.rtd","","PLAYERSRANKING",AP$13,$S45,"SALDO","VOLF")</f>
        <v>#N/A</v>
      </c>
      <c r="AQ45" s="27" t="e">
        <f>RTD("srv.rtd","","PLAYERSRANKING",AQ$13,$S45,"SALDO","VOLF")</f>
        <v>#N/A</v>
      </c>
      <c r="AR45" s="27" t="e">
        <f>RTD("srv.rtd","","PLAYERSRANKING",AR$13,$S45,"SALDO","VOLF")</f>
        <v>#N/A</v>
      </c>
      <c r="AS45" s="27" t="e">
        <f>RTD("srv.rtd","","PLAYERSRANKING",AS$13,$S45,"SALDO","VOLF")</f>
        <v>#N/A</v>
      </c>
      <c r="AT45" s="27" t="e">
        <f>RTD("srv.rtd","","PLAYERSRANKING",AT$13,$S45,"SALDO","VOLF")</f>
        <v>#N/A</v>
      </c>
      <c r="AU45" s="27" t="e">
        <f>RTD("srv.rtd","","PLAYERSRANKING",AU$13,$S45,"SALDO","VOLF")</f>
        <v>#N/A</v>
      </c>
      <c r="AV45" s="27" t="e">
        <f>RTD("srv.rtd","","PLAYERSRANKING",AV$13,$S45,"SALDO","VOLF")</f>
        <v>#N/A</v>
      </c>
      <c r="AW45" s="27" t="e">
        <f>RTD("srv.rtd","","PLAYERSRANKING",AW$13,$S45,"SALDO","VOLF")</f>
        <v>#N/A</v>
      </c>
      <c r="AX45" s="27" t="e">
        <f>RTD("srv.rtd","","PLAYERSRANKING",AX$13,$S45,"SALDO","VOLF")</f>
        <v>#N/A</v>
      </c>
      <c r="AY45" s="27" t="e">
        <f>RTD("srv.rtd","","PLAYERSRANKING",AY$13,$S45,"SALDO","VOLF")</f>
        <v>#N/A</v>
      </c>
      <c r="AZ45" s="27" t="e">
        <f>RTD("srv.rtd","","PLAYERSRANKING",AZ$13,$S45,"SALDO","VOLF")</f>
        <v>#N/A</v>
      </c>
      <c r="BA45" s="27" t="e">
        <f>RTD("srv.rtd","","PLAYERSRANKING",BA$13,$S45,"SALDO","VOLF")</f>
        <v>#N/A</v>
      </c>
      <c r="BB45" s="27" t="e">
        <f>RTD("srv.rtd","","PLAYERSRANKING",BB$13,$S45,"SALDO","VOLF")</f>
        <v>#N/A</v>
      </c>
      <c r="BC45" s="27" t="e">
        <f>RTD("srv.rtd","","PLAYERSRANKING",BC$13,$S45,"SALDO","VOLF")</f>
        <v>#N/A</v>
      </c>
      <c r="BD45" s="27" t="e">
        <f>RTD("srv.rtd","","PLAYERSRANKING",BD$13,$S45,"SALDO","VOLF")</f>
        <v>#N/A</v>
      </c>
      <c r="BE45" s="27" t="e">
        <f>RTD("srv.rtd","","PLAYERSRANKING",BE$13,$S45,"SALDO","VOLF")</f>
        <v>#N/A</v>
      </c>
      <c r="BF45" s="27" t="e">
        <f>RTD("srv.rtd","","PLAYERSRANKING",BF$13,$S45,"SALDO","VOLF")</f>
        <v>#N/A</v>
      </c>
      <c r="BG45" s="27" t="e">
        <f>RTD("srv.rtd","","PLAYERSRANKING",BG$13,$S45,"SALDO","VOLF")</f>
        <v>#N/A</v>
      </c>
      <c r="BH45" s="27" t="e">
        <f>RTD("srv.rtd","","PLAYERSRANKING",BH$13,$S45,"SALDO","VOLF")</f>
        <v>#N/A</v>
      </c>
      <c r="BI45" s="27" t="e">
        <f>RTD("srv.rtd","","PLAYERSRANKING",BI$13,$S45,"SALDO","VOLF")</f>
        <v>#N/A</v>
      </c>
      <c r="BJ45" s="27" t="e">
        <f>RTD("srv.rtd","","PLAYERSRANKING",BJ$13,$S45,"SALDO","VOLF")</f>
        <v>#N/A</v>
      </c>
      <c r="BK45" s="27" t="e">
        <f>RTD("srv.rtd","","PLAYERSRANKING",BK$13,$S45,"SALDO","VOLF")</f>
        <v>#N/A</v>
      </c>
      <c r="BL45" s="27" t="e">
        <f>RTD("srv.rtd","","PLAYERSRANKING",BL$13,$S45,"SALDO","VOLF")</f>
        <v>#N/A</v>
      </c>
      <c r="BM45" s="27" t="e">
        <f>RTD("srv.rtd","","PLAYERSRANKING",BM$13,$S45,"SALDO","VOLF")</f>
        <v>#N/A</v>
      </c>
      <c r="BN45" s="27" t="e">
        <f>RTD("srv.rtd","","PLAYERSRANKING",BN$13,$S45,"SALDO","VOLF")</f>
        <v>#N/A</v>
      </c>
      <c r="BO45" s="27" t="e">
        <f>RTD("srv.rtd","","PLAYERSRANKING",BO$13,$S45,"SALDO","VOLF")</f>
        <v>#N/A</v>
      </c>
      <c r="BP45" s="27" t="e">
        <f>RTD("srv.rtd","","PLAYERSRANKING",BP$13,$S45,"SALDO","VOLF")</f>
        <v>#N/A</v>
      </c>
      <c r="BQ45" s="27" t="e">
        <f>RTD("srv.rtd","","PLAYERSRANKING",BQ$13,$S45,"SALDO","VOLF")</f>
        <v>#N/A</v>
      </c>
      <c r="BR45" s="27" t="e">
        <f>RTD("srv.rtd","","PLAYERSRANKING",BR$13,$S45,"SALDO","VOLF")</f>
        <v>#N/A</v>
      </c>
      <c r="BS45" s="27" t="e">
        <f>RTD("srv.rtd","","PLAYERSRANKING",BS$13,$S45,"SALDO","VOLF")</f>
        <v>#N/A</v>
      </c>
      <c r="BT45" s="27" t="e">
        <f>RTD("srv.rtd","","PLAYERSRANKING",BT$13,$S45,"SALDO","VOLF")</f>
        <v>#N/A</v>
      </c>
      <c r="BU45" s="27" t="e">
        <f>RTD("srv.rtd","","PLAYERSRANKING",BU$13,$S45,"SALDO","VOLF")</f>
        <v>#N/A</v>
      </c>
      <c r="BV45" s="27" t="e">
        <f>RTD("srv.rtd","","PLAYERSRANKING",BV$13,$S45,"SALDO","VOLF")</f>
        <v>#N/A</v>
      </c>
      <c r="BW45" s="27" t="e">
        <f>RTD("srv.rtd","","PLAYERSRANKING",BW$13,$S45,"SALDO","VOLF")</f>
        <v>#N/A</v>
      </c>
      <c r="BX45" s="27" t="e">
        <f>RTD("srv.rtd","","PLAYERSRANKING",BX$13,$S45,"SALDO","VOLF")</f>
        <v>#N/A</v>
      </c>
      <c r="BY45" s="27" t="e">
        <f>RTD("srv.rtd","","PLAYERSRANKING",BY$13,$S45,"SALDO","VOLF")</f>
        <v>#N/A</v>
      </c>
      <c r="BZ45" s="27" t="e">
        <f>RTD("srv.rtd","","PLAYERSRANKING",BZ$13,$S45,"SALDO","VOLF")</f>
        <v>#N/A</v>
      </c>
      <c r="CA45" s="27" t="e">
        <f>RTD("srv.rtd","","PLAYERSRANKING",CA$13,$S45,"SALDO","VOLF")</f>
        <v>#N/A</v>
      </c>
      <c r="CB45" s="27" t="e">
        <f>RTD("srv.rtd","","PLAYERSRANKING",CB$13,$S45,"SALDO","VOLF")</f>
        <v>#N/A</v>
      </c>
      <c r="CC45" s="27" t="e">
        <f>RTD("srv.rtd","","PLAYERSRANKING",CC$13,$S45,"SALDO","VOLF")</f>
        <v>#N/A</v>
      </c>
      <c r="CD45" s="27" t="e">
        <f>RTD("srv.rtd","","PLAYERSRANKING",CD$13,$S45,"SALDO","VOLF")</f>
        <v>#N/A</v>
      </c>
      <c r="CE45" s="27" t="e">
        <f>RTD("srv.rtd","","PLAYERSRANKING",CE$13,$S45,"SALDO","VOLF")</f>
        <v>#N/A</v>
      </c>
      <c r="CF45" s="27" t="e">
        <f>RTD("srv.rtd","","PLAYERSRANKING",CF$13,$S45,"SALDO","VOLF")</f>
        <v>#N/A</v>
      </c>
      <c r="CG45" s="27" t="e">
        <f>RTD("srv.rtd","","PLAYERSRANKING",CG$13,$S45,"SALDO","VOLF")</f>
        <v>#N/A</v>
      </c>
      <c r="CH45" s="27" t="e">
        <f>RTD("srv.rtd","","PLAYERSRANKING",CH$13,$S45,"SALDO","VOLF")</f>
        <v>#N/A</v>
      </c>
      <c r="CI45" s="27" t="e">
        <f>RTD("srv.rtd","","PLAYERSRANKING",CI$13,$S45,"SALDO","VOLF")</f>
        <v>#N/A</v>
      </c>
      <c r="CJ45" s="27" t="e">
        <f>RTD("srv.rtd","","PLAYERSRANKING",CJ$13,$S45,"SALDO","VOLF")</f>
        <v>#N/A</v>
      </c>
      <c r="CK45" s="27" t="e">
        <f>RTD("srv.rtd","","PLAYERSRANKING",CK$13,$S45,"SALDO","VOLF")</f>
        <v>#N/A</v>
      </c>
      <c r="CL45" s="27" t="e">
        <f>RTD("srv.rtd","","PLAYERSRANKING",CL$13,$S45,"SALDO","VOLF")</f>
        <v>#N/A</v>
      </c>
      <c r="CM45" s="27" t="e">
        <f>RTD("srv.rtd","","PLAYERSRANKING",CM$13,$S45,"SALDO","VOLF")</f>
        <v>#N/A</v>
      </c>
      <c r="CN45" s="27" t="e">
        <f>RTD("srv.rtd","","PLAYERSRANKING",CN$13,$S45,"SALDO","VOLF")</f>
        <v>#N/A</v>
      </c>
      <c r="CO45" s="27" t="e">
        <f>RTD("srv.rtd","","PLAYERSRANKING",CO$13,$S45,"SALDO","VOLF")</f>
        <v>#N/A</v>
      </c>
      <c r="CP45" s="27" t="e">
        <f>RTD("srv.rtd","","PLAYERSRANKING",CP$13,$S45,"SALDO","VOLF")</f>
        <v>#N/A</v>
      </c>
      <c r="CQ45" s="27" t="e">
        <f>RTD("srv.rtd","","PLAYERSRANKING",CQ$13,$S45,"SALDO","VOLF")</f>
        <v>#N/A</v>
      </c>
      <c r="CR45" s="27" t="e">
        <f>RTD("srv.rtd","","PLAYERSRANKING",CR$13,$S45,"SALDO","VOLF")</f>
        <v>#N/A</v>
      </c>
      <c r="CS45" s="27" t="e">
        <f>RTD("srv.rtd","","PLAYERSRANKING",CS$13,$S45,"SALDO","VOLF")</f>
        <v>#N/A</v>
      </c>
      <c r="CT45" s="27" t="e">
        <f>RTD("srv.rtd","","PLAYERSRANKING",CT$13,$S45,"SALDO","VOLF")</f>
        <v>#N/A</v>
      </c>
      <c r="CU45" s="27" t="e">
        <f>RTD("srv.rtd","","PLAYERSRANKING",CU$13,$S45,"SALDO","VOLF")</f>
        <v>#N/A</v>
      </c>
      <c r="CV45" s="27" t="e">
        <f>RTD("srv.rtd","","PLAYERSRANKING",CV$13,$S45,"SALDO","VOLF")</f>
        <v>#N/A</v>
      </c>
      <c r="CW45" s="27" t="e">
        <f>RTD("srv.rtd","","PLAYERSRANKING",CW$13,$S45,"SALDO","VOLF")</f>
        <v>#N/A</v>
      </c>
      <c r="CX45" s="27" t="e">
        <f>RTD("srv.rtd","","PLAYERSRANKING",CX$13,$S45,"SALDO","VOLF")</f>
        <v>#N/A</v>
      </c>
      <c r="CY45" s="27" t="e">
        <f>RTD("srv.rtd","","PLAYERSRANKING",CY$13,$S45,"SALDO","VOLF")</f>
        <v>#N/A</v>
      </c>
      <c r="CZ45" s="27" t="e">
        <f>RTD("srv.rtd","","PLAYERSRANKING",CZ$13,$S45,"SALDO","VOLF")</f>
        <v>#N/A</v>
      </c>
      <c r="DA45" s="27" t="e">
        <f>RTD("srv.rtd","","PLAYERSRANKING",DA$13,$S45,"SALDO","VOLF")</f>
        <v>#N/A</v>
      </c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</row>
    <row r="46" spans="1:124" x14ac:dyDescent="0.25">
      <c r="A46" s="2"/>
      <c r="B46" s="6" t="s">
        <v>68</v>
      </c>
      <c r="C46" s="19">
        <f>VLOOKUP(B46,RTD!$A$1:$H$196,2,0)</f>
        <v>24.200000000000017</v>
      </c>
      <c r="D46" s="19">
        <f>VLOOKUP(B46,RTD!$A$1:$H$196,3,0)</f>
        <v>23.92</v>
      </c>
      <c r="E46" s="19">
        <f>VLOOKUP(B46,RTD!$A$1:$H$196,4,0)</f>
        <v>24.07</v>
      </c>
      <c r="F46" s="19">
        <f>VLOOKUP(B46,RTD!$A$1:$H$196,5,0)</f>
        <v>24.17</v>
      </c>
      <c r="G46" s="19">
        <f>VLOOKUP(B46,RTD!$A$1:$H$196,6,0)</f>
        <v>24.19</v>
      </c>
      <c r="H46" s="19">
        <f t="shared" si="6"/>
        <v>24.18</v>
      </c>
      <c r="I46" s="14">
        <f t="shared" si="7"/>
        <v>4.5700041545491121E-3</v>
      </c>
      <c r="J46" s="98">
        <f>VLOOKUP(B46,'Market Data'!$A$4:$F$100,6,0)*C46</f>
        <v>967.78457318720405</v>
      </c>
      <c r="K46" s="19">
        <f>VLOOKUP(B46,RTD!$A$2:$H$100,8,0)</f>
        <v>1.57</v>
      </c>
      <c r="L46" s="14">
        <f t="shared" si="8"/>
        <v>1.580489439727218E-2</v>
      </c>
      <c r="M46" s="19">
        <f>VLOOKUP(B46,RTD!$A$1:$H$196,7,0)</f>
        <v>0</v>
      </c>
      <c r="N46" s="98">
        <f>IF(M46=0,J46,IF(M46=0,C46,M46)*VLOOKUP(B46,'Market Data'!$A$4:$F$100,6,0))</f>
        <v>967.78457318720405</v>
      </c>
      <c r="O46" s="7" t="s">
        <v>68</v>
      </c>
      <c r="P46" s="14"/>
      <c r="Q46" s="13"/>
      <c r="S46" s="26"/>
      <c r="T46" s="26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</row>
    <row r="47" spans="1:124" x14ac:dyDescent="0.25">
      <c r="A47" s="2"/>
      <c r="B47" s="6" t="s">
        <v>70</v>
      </c>
      <c r="C47" s="19">
        <f>VLOOKUP(B47,RTD!$A$1:$H$196,2,0)</f>
        <v>19.639999999999997</v>
      </c>
      <c r="D47" s="19">
        <f>VLOOKUP(B47,RTD!$A$1:$H$196,3,0)</f>
        <v>19.59</v>
      </c>
      <c r="E47" s="19">
        <f>VLOOKUP(B47,RTD!$A$1:$H$196,4,0)</f>
        <v>19.73</v>
      </c>
      <c r="F47" s="19">
        <f>VLOOKUP(B47,RTD!$A$1:$H$196,5,0)</f>
        <v>19.64</v>
      </c>
      <c r="G47" s="19">
        <f>VLOOKUP(B47,RTD!$A$1:$H$196,6,0)</f>
        <v>19.66</v>
      </c>
      <c r="H47" s="19">
        <f t="shared" si="6"/>
        <v>19.649999999999999</v>
      </c>
      <c r="I47" s="14">
        <f t="shared" si="7"/>
        <v>-4.0547389761784736E-3</v>
      </c>
      <c r="J47" s="98">
        <f>VLOOKUP(B47,'Market Data'!$A$4:$F$100,6,0)*C47</f>
        <v>267.1670261944941</v>
      </c>
      <c r="K47" s="19">
        <f>VLOOKUP(B47,RTD!$A$2:$H$100,8,0)</f>
        <v>0.67</v>
      </c>
      <c r="L47" s="14">
        <f t="shared" si="8"/>
        <v>7.397683248562114E-4</v>
      </c>
      <c r="M47" s="19">
        <f>VLOOKUP(B47,RTD!$A$1:$H$196,7,0)</f>
        <v>0</v>
      </c>
      <c r="N47" s="98">
        <f>IF(M47=0,J47,IF(M47=0,C47,M47)*VLOOKUP(B47,'Market Data'!$A$4:$F$100,6,0))</f>
        <v>267.1670261944941</v>
      </c>
      <c r="O47" s="7" t="s">
        <v>70</v>
      </c>
      <c r="P47" s="14"/>
      <c r="Q47" s="13"/>
      <c r="S47" s="26"/>
      <c r="T47" s="26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</row>
    <row r="48" spans="1:124" x14ac:dyDescent="0.25">
      <c r="A48" s="2"/>
      <c r="B48" s="6" t="s">
        <v>264</v>
      </c>
      <c r="C48" s="19">
        <f>VLOOKUP(B48,RTD!$A$1:$H$196,2,0)</f>
        <v>11.81</v>
      </c>
      <c r="D48" s="19">
        <f>VLOOKUP(B48,RTD!$A$1:$H$196,3,0)</f>
        <v>11.82</v>
      </c>
      <c r="E48" s="19">
        <f>VLOOKUP(B48,RTD!$A$1:$H$196,4,0)</f>
        <v>11.93</v>
      </c>
      <c r="F48" s="19">
        <f>VLOOKUP(B48,RTD!$A$1:$H$196,5,0)</f>
        <v>11.81</v>
      </c>
      <c r="G48" s="19">
        <f>VLOOKUP(B48,RTD!$A$1:$H$196,6,0)</f>
        <v>11.82</v>
      </c>
      <c r="H48" s="19">
        <f t="shared" ref="H48:H79" si="9">(F48+G48)/2</f>
        <v>11.815000000000001</v>
      </c>
      <c r="I48" s="14">
        <f t="shared" ref="I48:I79" si="10">(H48/E48)-1</f>
        <v>-9.6395641240568652E-3</v>
      </c>
      <c r="J48" s="98">
        <f>VLOOKUP(B48,'Market Data'!$A$4:$F$100,6,0)*C48</f>
        <v>184.67545174745479</v>
      </c>
      <c r="K48" s="19">
        <f>VLOOKUP(B48,RTD!$A$2:$H$100,8,0)</f>
        <v>0.51</v>
      </c>
      <c r="L48" s="14">
        <f t="shared" si="8"/>
        <v>-5.9900137904334485E-3</v>
      </c>
      <c r="M48" s="19">
        <f>VLOOKUP(B48,RTD!$A$1:$H$196,7,0)</f>
        <v>0</v>
      </c>
      <c r="N48" s="98">
        <f>IF(M48=0,J48,IF(M48=0,C48,M48)*VLOOKUP(B48,'Market Data'!$A$4:$F$100,6,0))</f>
        <v>184.67545174745479</v>
      </c>
      <c r="O48" s="7" t="s">
        <v>264</v>
      </c>
      <c r="P48" s="14"/>
      <c r="Q48" s="13"/>
      <c r="S48" s="26"/>
      <c r="T48" s="26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</row>
    <row r="49" spans="1:124" x14ac:dyDescent="0.25">
      <c r="A49" s="2"/>
      <c r="B49" s="6" t="s">
        <v>72</v>
      </c>
      <c r="C49" s="19">
        <f>VLOOKUP(B49,RTD!$A$1:$H$196,2,0)</f>
        <v>39.000000000000014</v>
      </c>
      <c r="D49" s="19">
        <f>VLOOKUP(B49,RTD!$A$1:$H$196,3,0)</f>
        <v>39.200000000000003</v>
      </c>
      <c r="E49" s="19">
        <f>VLOOKUP(B49,RTD!$A$1:$H$196,4,0)</f>
        <v>39.330000000000005</v>
      </c>
      <c r="F49" s="19">
        <f>VLOOKUP(B49,RTD!$A$1:$H$196,5,0)</f>
        <v>38.96</v>
      </c>
      <c r="G49" s="19">
        <f>VLOOKUP(B49,RTD!$A$1:$H$196,6,0)</f>
        <v>39</v>
      </c>
      <c r="H49" s="19">
        <f t="shared" si="9"/>
        <v>38.980000000000004</v>
      </c>
      <c r="I49" s="14">
        <f t="shared" si="10"/>
        <v>-8.8990592423087156E-3</v>
      </c>
      <c r="J49" s="98">
        <f>VLOOKUP(B49,'Market Data'!$A$4:$F$100,6,0)*C49</f>
        <v>531.11047776668374</v>
      </c>
      <c r="K49" s="19">
        <f>VLOOKUP(B49,RTD!$A$2:$H$100,8,0)</f>
        <v>0.7</v>
      </c>
      <c r="L49" s="14">
        <f t="shared" si="8"/>
        <v>-3.8898725098844185E-3</v>
      </c>
      <c r="M49" s="19">
        <f>VLOOKUP(B49,RTD!$A$1:$H$196,7,0)</f>
        <v>0</v>
      </c>
      <c r="N49" s="98">
        <f>IF(M49=0,J49,IF(M49=0,C49,M49)*VLOOKUP(B49,'Market Data'!$A$4:$F$100,6,0))</f>
        <v>531.11047776668374</v>
      </c>
      <c r="O49" s="7" t="s">
        <v>72</v>
      </c>
      <c r="P49" s="14"/>
      <c r="Q49" s="13"/>
      <c r="S49" s="26"/>
      <c r="T49" s="26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</row>
    <row r="50" spans="1:124" x14ac:dyDescent="0.25">
      <c r="A50" s="2"/>
      <c r="B50" s="6" t="s">
        <v>74</v>
      </c>
      <c r="C50" s="19">
        <f>VLOOKUP(B50,RTD!$A$1:$H$196,2,0)</f>
        <v>21.380000000000042</v>
      </c>
      <c r="D50" s="19">
        <f>VLOOKUP(B50,RTD!$A$1:$H$196,3,0)</f>
        <v>21.23</v>
      </c>
      <c r="E50" s="19">
        <f>VLOOKUP(B50,RTD!$A$1:$H$196,4,0)</f>
        <v>21.35</v>
      </c>
      <c r="F50" s="19">
        <f>VLOOKUP(B50,RTD!$A$1:$H$196,5,0)</f>
        <v>21.35</v>
      </c>
      <c r="G50" s="19">
        <f>VLOOKUP(B50,RTD!$A$1:$H$196,6,0)</f>
        <v>21.38</v>
      </c>
      <c r="H50" s="19">
        <f t="shared" si="9"/>
        <v>21.365000000000002</v>
      </c>
      <c r="I50" s="14">
        <f t="shared" si="10"/>
        <v>7.0257611241220097E-4</v>
      </c>
      <c r="J50" s="98">
        <f>VLOOKUP(B50,'Market Data'!$A$4:$F$100,6,0)*C50</f>
        <v>1173.4190987933177</v>
      </c>
      <c r="K50" s="19">
        <f>VLOOKUP(B50,RTD!$A$2:$H$100,8,0)</f>
        <v>0.82</v>
      </c>
      <c r="L50" s="14">
        <f t="shared" si="8"/>
        <v>6.5704805703949492E-3</v>
      </c>
      <c r="M50" s="19">
        <f>VLOOKUP(B50,RTD!$A$1:$H$196,7,0)</f>
        <v>0</v>
      </c>
      <c r="N50" s="98">
        <f>IF(M50=0,J50,IF(M50=0,C50,M50)*VLOOKUP(B50,'Market Data'!$A$4:$F$100,6,0))</f>
        <v>1173.4190987933177</v>
      </c>
      <c r="O50" s="7" t="s">
        <v>74</v>
      </c>
      <c r="P50" s="14"/>
      <c r="Q50" s="13"/>
      <c r="S50" s="26"/>
      <c r="T50" s="26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</row>
    <row r="51" spans="1:124" x14ac:dyDescent="0.25">
      <c r="A51" s="2"/>
      <c r="B51" s="6" t="s">
        <v>76</v>
      </c>
      <c r="C51" s="19">
        <f>VLOOKUP(B51,RTD!$A$1:$H$196,2,0)</f>
        <v>17.849999999999994</v>
      </c>
      <c r="D51" s="19">
        <f>VLOOKUP(B51,RTD!$A$1:$H$196,3,0)</f>
        <v>17.899999999999999</v>
      </c>
      <c r="E51" s="19">
        <f>VLOOKUP(B51,RTD!$A$1:$H$196,4,0)</f>
        <v>18.03</v>
      </c>
      <c r="F51" s="19">
        <f>VLOOKUP(B51,RTD!$A$1:$H$196,5,0)</f>
        <v>17.86</v>
      </c>
      <c r="G51" s="19">
        <f>VLOOKUP(B51,RTD!$A$1:$H$196,6,0)</f>
        <v>17.88</v>
      </c>
      <c r="H51" s="19">
        <f t="shared" si="9"/>
        <v>17.869999999999997</v>
      </c>
      <c r="I51" s="14">
        <f t="shared" si="10"/>
        <v>-8.8740987243485225E-3</v>
      </c>
      <c r="J51" s="98">
        <f>VLOOKUP(B51,'Market Data'!$A$4:$F$100,6,0)*C51</f>
        <v>92.855210971776572</v>
      </c>
      <c r="K51" s="19">
        <f>VLOOKUP(B51,RTD!$A$2:$H$100,8,0)</f>
        <v>0.95</v>
      </c>
      <c r="L51" s="14">
        <f t="shared" si="8"/>
        <v>-2.0759167303441191E-3</v>
      </c>
      <c r="M51" s="19">
        <f>VLOOKUP(B51,RTD!$A$1:$H$196,7,0)</f>
        <v>0</v>
      </c>
      <c r="N51" s="98">
        <f>IF(M51=0,J51,IF(M51=0,C51,M51)*VLOOKUP(B51,'Market Data'!$A$4:$F$100,6,0))</f>
        <v>92.855210971776572</v>
      </c>
      <c r="O51" s="7" t="s">
        <v>76</v>
      </c>
      <c r="P51" s="14"/>
      <c r="Q51" s="13"/>
      <c r="S51" s="26"/>
      <c r="T51" s="26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</row>
    <row r="52" spans="1:124" x14ac:dyDescent="0.25">
      <c r="A52" s="2"/>
      <c r="B52" s="6" t="s">
        <v>78</v>
      </c>
      <c r="C52" s="19">
        <f>VLOOKUP(B52,RTD!$A$1:$H$196,2,0)</f>
        <v>16.449999999999989</v>
      </c>
      <c r="D52" s="19">
        <f>VLOOKUP(B52,RTD!$A$1:$H$196,3,0)</f>
        <v>16.57</v>
      </c>
      <c r="E52" s="19">
        <f>VLOOKUP(B52,RTD!$A$1:$H$196,4,0)</f>
        <v>16.580000000000002</v>
      </c>
      <c r="F52" s="19">
        <f>VLOOKUP(B52,RTD!$A$1:$H$196,5,0)</f>
        <v>16.46</v>
      </c>
      <c r="G52" s="19">
        <f>VLOOKUP(B52,RTD!$A$1:$H$196,6,0)</f>
        <v>16.490000000000002</v>
      </c>
      <c r="H52" s="19">
        <f t="shared" si="9"/>
        <v>16.475000000000001</v>
      </c>
      <c r="I52" s="14">
        <f t="shared" si="10"/>
        <v>-6.3329312424608153E-3</v>
      </c>
      <c r="J52" s="98">
        <f>VLOOKUP(B52,'Market Data'!$A$4:$F$100,6,0)*C52</f>
        <v>271.49095605640878</v>
      </c>
      <c r="K52" s="19">
        <f>VLOOKUP(B52,RTD!$A$2:$H$100,8,0)</f>
        <v>0.7</v>
      </c>
      <c r="L52" s="14">
        <f t="shared" si="8"/>
        <v>-1.3237445100365182E-3</v>
      </c>
      <c r="M52" s="19">
        <f>VLOOKUP(B52,RTD!$A$1:$H$196,7,0)</f>
        <v>0</v>
      </c>
      <c r="N52" s="98">
        <f>IF(M52=0,J52,IF(M52=0,C52,M52)*VLOOKUP(B52,'Market Data'!$A$4:$F$100,6,0))</f>
        <v>271.49095605640878</v>
      </c>
      <c r="O52" s="7" t="s">
        <v>78</v>
      </c>
      <c r="P52" s="14"/>
      <c r="Q52" s="13"/>
      <c r="S52" s="26"/>
      <c r="T52" s="26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</row>
    <row r="53" spans="1:124" x14ac:dyDescent="0.25">
      <c r="A53" s="2"/>
      <c r="B53" s="6" t="s">
        <v>80</v>
      </c>
      <c r="C53" s="19">
        <f>VLOOKUP(B53,RTD!$A$1:$H$196,2,0)</f>
        <v>27.150000000000048</v>
      </c>
      <c r="D53" s="19">
        <f>VLOOKUP(B53,RTD!$A$1:$H$196,3,0)</f>
        <v>26.78</v>
      </c>
      <c r="E53" s="19">
        <f>VLOOKUP(B53,RTD!$A$1:$H$196,4,0)</f>
        <v>27.43</v>
      </c>
      <c r="F53" s="19">
        <f>VLOOKUP(B53,RTD!$A$1:$H$196,5,0)</f>
        <v>27.13</v>
      </c>
      <c r="G53" s="19">
        <f>VLOOKUP(B53,RTD!$A$1:$H$196,6,0)</f>
        <v>27.150000000000002</v>
      </c>
      <c r="H53" s="19">
        <f t="shared" si="9"/>
        <v>27.14</v>
      </c>
      <c r="I53" s="14">
        <f t="shared" si="10"/>
        <v>-1.0572366022602919E-2</v>
      </c>
      <c r="J53" s="98">
        <f>VLOOKUP(B53,'Market Data'!$A$4:$F$100,6,0)*C53</f>
        <v>1468.8864861636494</v>
      </c>
      <c r="K53" s="19">
        <f>VLOOKUP(B53,RTD!$A$2:$H$100,8,0)</f>
        <v>0.63</v>
      </c>
      <c r="L53" s="14">
        <f t="shared" si="8"/>
        <v>-6.0640979634210513E-3</v>
      </c>
      <c r="M53" s="19">
        <f>VLOOKUP(B53,RTD!$A$1:$H$196,7,0)</f>
        <v>0</v>
      </c>
      <c r="N53" s="98">
        <f>IF(M53=0,J53,IF(M53=0,C53,M53)*VLOOKUP(B53,'Market Data'!$A$4:$F$100,6,0))</f>
        <v>1468.8864861636494</v>
      </c>
      <c r="O53" s="7" t="s">
        <v>80</v>
      </c>
      <c r="P53" s="14"/>
      <c r="Q53" s="13"/>
      <c r="S53" s="26"/>
      <c r="T53" s="26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</row>
    <row r="54" spans="1:124" x14ac:dyDescent="0.25">
      <c r="A54" s="2"/>
      <c r="B54" s="6" t="s">
        <v>82</v>
      </c>
      <c r="C54" s="19">
        <f>VLOOKUP(B54,RTD!$A$1:$H$196,2,0)</f>
        <v>57.229999999999968</v>
      </c>
      <c r="D54" s="19">
        <f>VLOOKUP(B54,RTD!$A$1:$H$196,3,0)</f>
        <v>57.910000000000004</v>
      </c>
      <c r="E54" s="19">
        <f>VLOOKUP(B54,RTD!$A$1:$H$196,4,0)</f>
        <v>58.160000000000004</v>
      </c>
      <c r="F54" s="19">
        <f>VLOOKUP(B54,RTD!$A$1:$H$196,5,0)</f>
        <v>57.22</v>
      </c>
      <c r="G54" s="19">
        <f>VLOOKUP(B54,RTD!$A$1:$H$196,6,0)</f>
        <v>57.31</v>
      </c>
      <c r="H54" s="19">
        <f t="shared" si="9"/>
        <v>57.265000000000001</v>
      </c>
      <c r="I54" s="14">
        <f t="shared" si="10"/>
        <v>-1.5388583218707064E-2</v>
      </c>
      <c r="J54" s="98">
        <f>VLOOKUP(B54,'Market Data'!$A$4:$F$100,6,0)*C54</f>
        <v>1828.6588624428564</v>
      </c>
      <c r="K54" s="19">
        <f>VLOOKUP(B54,RTD!$A$2:$H$100,8,0)</f>
        <v>0.57999999999999996</v>
      </c>
      <c r="L54" s="14">
        <f t="shared" si="8"/>
        <v>-1.1238114211841217E-2</v>
      </c>
      <c r="M54" s="19">
        <f>VLOOKUP(B54,RTD!$A$1:$H$196,7,0)</f>
        <v>0</v>
      </c>
      <c r="N54" s="98">
        <f>IF(M54=0,J54,IF(M54=0,C54,M54)*VLOOKUP(B54,'Market Data'!$A$4:$F$100,6,0))</f>
        <v>1828.6588624428564</v>
      </c>
      <c r="O54" s="7" t="s">
        <v>82</v>
      </c>
      <c r="P54" s="14"/>
      <c r="Q54" s="13"/>
      <c r="S54" s="26"/>
      <c r="T54" s="26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</row>
    <row r="55" spans="1:124" x14ac:dyDescent="0.25">
      <c r="A55" s="2"/>
      <c r="B55" s="6" t="s">
        <v>84</v>
      </c>
      <c r="C55" s="19">
        <f>VLOOKUP(B55,RTD!$A$1:$H$196,2,0)</f>
        <v>11.37</v>
      </c>
      <c r="D55" s="19">
        <f>VLOOKUP(B55,RTD!$A$1:$H$196,3,0)</f>
        <v>11.34</v>
      </c>
      <c r="E55" s="19">
        <f>VLOOKUP(B55,RTD!$A$1:$H$196,4,0)</f>
        <v>11.43</v>
      </c>
      <c r="F55" s="19">
        <f>VLOOKUP(B55,RTD!$A$1:$H$196,5,0)</f>
        <v>11.36</v>
      </c>
      <c r="G55" s="19">
        <f>VLOOKUP(B55,RTD!$A$1:$H$196,6,0)</f>
        <v>11.370000000000001</v>
      </c>
      <c r="H55" s="19">
        <f t="shared" si="9"/>
        <v>11.365</v>
      </c>
      <c r="I55" s="14">
        <f t="shared" si="10"/>
        <v>-5.6867891513560087E-3</v>
      </c>
      <c r="J55" s="98">
        <f>VLOOKUP(B55,'Market Data'!$A$4:$F$100,6,0)*C55</f>
        <v>428.48259765086004</v>
      </c>
      <c r="K55" s="19">
        <f>VLOOKUP(B55,RTD!$A$2:$H$100,8,0)</f>
        <v>0.67</v>
      </c>
      <c r="L55" s="14">
        <f t="shared" si="8"/>
        <v>-8.9228185032132375E-4</v>
      </c>
      <c r="M55" s="19">
        <f>VLOOKUP(B55,RTD!$A$1:$H$196,7,0)</f>
        <v>0</v>
      </c>
      <c r="N55" s="98">
        <f>IF(M55=0,J55,IF(M55=0,C55,M55)*VLOOKUP(B55,'Market Data'!$A$4:$F$100,6,0))</f>
        <v>428.48259765086004</v>
      </c>
      <c r="O55" s="7" t="s">
        <v>84</v>
      </c>
      <c r="P55" s="14"/>
      <c r="Q55" s="13"/>
      <c r="S55" s="26"/>
      <c r="T55" s="26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</row>
    <row r="56" spans="1:124" x14ac:dyDescent="0.25">
      <c r="A56" s="2"/>
      <c r="B56" s="6" t="s">
        <v>86</v>
      </c>
      <c r="C56" s="19">
        <f>VLOOKUP(B56,RTD!$A$1:$H$196,2,0)</f>
        <v>15.430000000000007</v>
      </c>
      <c r="D56" s="19">
        <f>VLOOKUP(B56,RTD!$A$1:$H$196,3,0)</f>
        <v>15.75</v>
      </c>
      <c r="E56" s="19">
        <f>VLOOKUP(B56,RTD!$A$1:$H$196,4,0)</f>
        <v>15.770000000000001</v>
      </c>
      <c r="F56" s="19">
        <f>VLOOKUP(B56,RTD!$A$1:$H$196,5,0)</f>
        <v>15.42</v>
      </c>
      <c r="G56" s="19">
        <f>VLOOKUP(B56,RTD!$A$1:$H$196,6,0)</f>
        <v>15.450000000000001</v>
      </c>
      <c r="H56" s="19">
        <f t="shared" si="9"/>
        <v>15.435</v>
      </c>
      <c r="I56" s="14">
        <f t="shared" si="10"/>
        <v>-2.1242866201648725E-2</v>
      </c>
      <c r="J56" s="98">
        <f>VLOOKUP(B56,'Market Data'!$A$4:$F$100,6,0)*C56</f>
        <v>115.44689911002141</v>
      </c>
      <c r="K56" s="19">
        <f>VLOOKUP(B56,RTD!$A$2:$H$100,8,0)</f>
        <v>1.79</v>
      </c>
      <c r="L56" s="14">
        <f t="shared" si="8"/>
        <v>-8.4336601287351622E-3</v>
      </c>
      <c r="M56" s="19">
        <f>VLOOKUP(B56,RTD!$A$1:$H$196,7,0)</f>
        <v>0</v>
      </c>
      <c r="N56" s="98">
        <f>IF(M56=0,J56,IF(M56=0,C56,M56)*VLOOKUP(B56,'Market Data'!$A$4:$F$100,6,0))</f>
        <v>115.44689911002141</v>
      </c>
      <c r="O56" s="7" t="s">
        <v>86</v>
      </c>
      <c r="P56" s="14"/>
      <c r="Q56" s="13"/>
      <c r="S56" s="26"/>
      <c r="T56" s="26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</row>
    <row r="57" spans="1:124" x14ac:dyDescent="0.25">
      <c r="A57" s="2"/>
      <c r="B57" s="6" t="s">
        <v>88</v>
      </c>
      <c r="C57" s="19">
        <f>VLOOKUP(B57,RTD!$A$1:$H$196,2,0)</f>
        <v>9.7800000000000029</v>
      </c>
      <c r="D57" s="19">
        <f>VLOOKUP(B57,RTD!$A$1:$H$196,3,0)</f>
        <v>9.8899999999999988</v>
      </c>
      <c r="E57" s="19">
        <f>VLOOKUP(B57,RTD!$A$1:$H$196,4,0)</f>
        <v>9.92</v>
      </c>
      <c r="F57" s="19">
        <f>VLOOKUP(B57,RTD!$A$1:$H$196,5,0)</f>
        <v>9.7799999999999994</v>
      </c>
      <c r="G57" s="19">
        <f>VLOOKUP(B57,RTD!$A$1:$H$196,6,0)</f>
        <v>9.8000000000000007</v>
      </c>
      <c r="H57" s="19">
        <f t="shared" si="9"/>
        <v>9.7899999999999991</v>
      </c>
      <c r="I57" s="14">
        <f>(H57/E57)-1</f>
        <v>-1.3104838709677491E-2</v>
      </c>
      <c r="J57" s="98">
        <f>VLOOKUP(B57,'Market Data'!$A$4:$F$100,6,0)*C57</f>
        <v>576.59693146362838</v>
      </c>
      <c r="K57" s="19">
        <f>VLOOKUP(B57,RTD!$A$2:$H$100,8,0)</f>
        <v>0.61</v>
      </c>
      <c r="L57" s="14">
        <f t="shared" si="8"/>
        <v>-8.739690271422032E-3</v>
      </c>
      <c r="M57" s="19">
        <f>VLOOKUP(B57,RTD!$A$1:$H$196,7,0)</f>
        <v>0</v>
      </c>
      <c r="N57" s="98">
        <f>IF(M57=0,J57,IF(M57=0,C57,M57)*VLOOKUP(B57,'Market Data'!$A$4:$F$100,6,0))</f>
        <v>576.59693146362838</v>
      </c>
      <c r="O57" s="7" t="s">
        <v>88</v>
      </c>
      <c r="P57" s="14"/>
      <c r="Q57" s="13"/>
      <c r="S57" s="26"/>
      <c r="T57" s="26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</row>
    <row r="58" spans="1:124" x14ac:dyDescent="0.25">
      <c r="A58" s="2"/>
      <c r="B58" s="6" t="s">
        <v>90</v>
      </c>
      <c r="C58" s="19">
        <f>VLOOKUP(B58,RTD!$A$1:$H$196,2,0)</f>
        <v>0</v>
      </c>
      <c r="D58" s="19">
        <f>VLOOKUP(B58,RTD!$A$1:$H$196,3,0)</f>
        <v>0</v>
      </c>
      <c r="E58" s="19">
        <f>VLOOKUP(B58,RTD!$A$1:$H$196,4,0)</f>
        <v>0</v>
      </c>
      <c r="F58" s="19">
        <f>VLOOKUP(B58,RTD!$A$1:$H$196,5,0)</f>
        <v>0</v>
      </c>
      <c r="G58" s="19">
        <f>VLOOKUP(B58,RTD!$A$1:$H$196,6,0)</f>
        <v>0</v>
      </c>
      <c r="H58" s="19">
        <f t="shared" si="9"/>
        <v>0</v>
      </c>
      <c r="I58" s="14" t="e">
        <f>(H58/E58)-1</f>
        <v>#DIV/0!</v>
      </c>
      <c r="J58" s="98">
        <f>VLOOKUP(B58,'Market Data'!$A$4:$F$100,6,0)*C58</f>
        <v>0</v>
      </c>
      <c r="K58" s="19">
        <f>VLOOKUP(B58,RTD!$A$2:$H$100,8,0)</f>
        <v>1.28</v>
      </c>
      <c r="L58" s="14" t="e">
        <f t="shared" si="8"/>
        <v>#DIV/0!</v>
      </c>
      <c r="M58" s="19">
        <f>VLOOKUP(B58,RTD!$A$1:$H$196,7,0)</f>
        <v>0</v>
      </c>
      <c r="N58" s="98">
        <f>IF(M58=0,J58,IF(M58=0,C58,M58)*VLOOKUP(B58,'Market Data'!$A$4:$F$100,6,0))</f>
        <v>0</v>
      </c>
      <c r="O58" s="7" t="s">
        <v>90</v>
      </c>
      <c r="P58" s="14"/>
      <c r="Q58" s="13"/>
    </row>
    <row r="59" spans="1:124" x14ac:dyDescent="0.25">
      <c r="A59" s="2"/>
      <c r="B59" s="6" t="s">
        <v>92</v>
      </c>
      <c r="C59" s="19">
        <f>VLOOKUP(B59,RTD!$A$1:$H$196,2,0)</f>
        <v>27.019999999999978</v>
      </c>
      <c r="D59" s="19">
        <f>VLOOKUP(B59,RTD!$A$1:$H$196,3,0)</f>
        <v>27.279999999999998</v>
      </c>
      <c r="E59" s="19">
        <f>VLOOKUP(B59,RTD!$A$1:$H$196,4,0)</f>
        <v>27.290000000000003</v>
      </c>
      <c r="F59" s="19">
        <f>VLOOKUP(B59,RTD!$A$1:$H$196,5,0)</f>
        <v>27</v>
      </c>
      <c r="G59" s="19">
        <f>VLOOKUP(B59,RTD!$A$1:$H$196,6,0)</f>
        <v>27.03</v>
      </c>
      <c r="H59" s="19">
        <f t="shared" si="9"/>
        <v>27.015000000000001</v>
      </c>
      <c r="I59" s="14">
        <f t="shared" si="10"/>
        <v>-1.0076951264199385E-2</v>
      </c>
      <c r="J59" s="98">
        <f>VLOOKUP(B59,'Market Data'!$A$4:$F$100,6,0)*C59</f>
        <v>602.04227656768171</v>
      </c>
      <c r="K59" s="19">
        <f>VLOOKUP(B59,RTD!$A$2:$H$100,8,0)</f>
        <v>0.89</v>
      </c>
      <c r="L59" s="14">
        <f t="shared" si="8"/>
        <v>-3.7081281329742069E-3</v>
      </c>
      <c r="M59" s="19">
        <f>VLOOKUP(B59,RTD!$A$1:$H$196,7,0)</f>
        <v>0</v>
      </c>
      <c r="N59" s="98">
        <f>IF(M59=0,J59,IF(M59=0,C59,M59)*VLOOKUP(B59,'Market Data'!$A$4:$F$100,6,0))</f>
        <v>602.04227656768171</v>
      </c>
      <c r="O59" s="7" t="s">
        <v>92</v>
      </c>
      <c r="P59" s="14"/>
      <c r="Q59" s="13"/>
    </row>
    <row r="60" spans="1:124" x14ac:dyDescent="0.25">
      <c r="A60" s="2"/>
      <c r="B60" s="6" t="s">
        <v>94</v>
      </c>
      <c r="C60" s="19">
        <f>VLOOKUP(B60,RTD!$A$1:$H$196,2,0)</f>
        <v>33</v>
      </c>
      <c r="D60" s="19">
        <f>VLOOKUP(B60,RTD!$A$1:$H$196,3,0)</f>
        <v>33.08</v>
      </c>
      <c r="E60" s="19">
        <f>VLOOKUP(B60,RTD!$A$1:$H$196,4,0)</f>
        <v>33.07</v>
      </c>
      <c r="F60" s="19">
        <f>VLOOKUP(B60,RTD!$A$1:$H$196,5,0)</f>
        <v>0</v>
      </c>
      <c r="G60" s="19">
        <f>VLOOKUP(B60,RTD!$A$1:$H$196,6,0)</f>
        <v>0</v>
      </c>
      <c r="H60" s="19">
        <f t="shared" si="9"/>
        <v>0</v>
      </c>
      <c r="I60" s="14">
        <f t="shared" si="10"/>
        <v>-1</v>
      </c>
      <c r="J60" s="98">
        <f>VLOOKUP(B60,'Market Data'!$A$4:$F$100,6,0)*C60</f>
        <v>153.81075809708111</v>
      </c>
      <c r="K60" s="19">
        <f>VLOOKUP(B60,RTD!$A$2:$H$100,8,0)</f>
        <v>1.24</v>
      </c>
      <c r="L60" s="14">
        <f t="shared" si="8"/>
        <v>-0.99112658350256266</v>
      </c>
      <c r="M60" s="19">
        <f>VLOOKUP(B60,RTD!$A$1:$H$196,7,0)</f>
        <v>0</v>
      </c>
      <c r="N60" s="98">
        <f>IF(M60=0,J60,IF(M60=0,C60,M60)*VLOOKUP(B60,'Market Data'!$A$4:$F$100,6,0))</f>
        <v>153.81075809708111</v>
      </c>
      <c r="O60" s="7" t="s">
        <v>94</v>
      </c>
      <c r="P60" s="14"/>
      <c r="Q60" s="13"/>
    </row>
    <row r="61" spans="1:124" x14ac:dyDescent="0.25">
      <c r="A61" s="2"/>
      <c r="B61" s="6" t="s">
        <v>96</v>
      </c>
      <c r="C61" s="19">
        <f>VLOOKUP(B61,RTD!$A$1:$H$196,2,0)</f>
        <v>3.6200000000000006</v>
      </c>
      <c r="D61" s="19">
        <f>VLOOKUP(B61,RTD!$A$1:$H$196,3,0)</f>
        <v>3.65</v>
      </c>
      <c r="E61" s="19">
        <f>VLOOKUP(B61,RTD!$A$1:$H$196,4,0)</f>
        <v>3.6500000000000004</v>
      </c>
      <c r="F61" s="19">
        <f>VLOOKUP(B61,RTD!$A$1:$H$196,5,0)</f>
        <v>3.62</v>
      </c>
      <c r="G61" s="19">
        <f>VLOOKUP(B61,RTD!$A$1:$H$196,6,0)</f>
        <v>3.63</v>
      </c>
      <c r="H61" s="19">
        <f t="shared" si="9"/>
        <v>3.625</v>
      </c>
      <c r="I61" s="14">
        <f t="shared" si="10"/>
        <v>-6.8493150684932891E-3</v>
      </c>
      <c r="J61" s="98">
        <f>VLOOKUP(B61,'Market Data'!$A$4:$F$100,6,0)*C61</f>
        <v>246.8690804138742</v>
      </c>
      <c r="K61" s="19">
        <f>VLOOKUP(B61,RTD!$A$2:$H$100,8,0)</f>
        <v>1.49</v>
      </c>
      <c r="L61" s="14">
        <f t="shared" si="8"/>
        <v>3.813096690524145E-3</v>
      </c>
      <c r="M61" s="19">
        <f>VLOOKUP(B61,RTD!$A$1:$H$196,7,0)</f>
        <v>0</v>
      </c>
      <c r="N61" s="98">
        <f>IF(M61=0,J61,IF(M61=0,C61,M61)*VLOOKUP(B61,'Market Data'!$A$4:$F$100,6,0))</f>
        <v>246.8690804138742</v>
      </c>
      <c r="O61" s="7" t="s">
        <v>96</v>
      </c>
      <c r="P61" s="14"/>
      <c r="Q61" s="13"/>
    </row>
    <row r="62" spans="1:124" x14ac:dyDescent="0.25">
      <c r="A62" s="2"/>
      <c r="B62" s="6" t="s">
        <v>98</v>
      </c>
      <c r="C62" s="19">
        <f>VLOOKUP(B62,RTD!$A$1:$H$196,2,0)</f>
        <v>9.18</v>
      </c>
      <c r="D62" s="19">
        <f>VLOOKUP(B62,RTD!$A$1:$H$196,3,0)</f>
        <v>9.15</v>
      </c>
      <c r="E62" s="19">
        <f>VLOOKUP(B62,RTD!$A$1:$H$196,4,0)</f>
        <v>9.18</v>
      </c>
      <c r="F62" s="19">
        <f>VLOOKUP(B62,RTD!$A$1:$H$196,5,0)</f>
        <v>9.17</v>
      </c>
      <c r="G62" s="19">
        <f>VLOOKUP(B62,RTD!$A$1:$H$196,6,0)</f>
        <v>9.18</v>
      </c>
      <c r="H62" s="19">
        <f t="shared" si="9"/>
        <v>9.1750000000000007</v>
      </c>
      <c r="I62" s="14">
        <f t="shared" si="10"/>
        <v>-5.4466230936811577E-4</v>
      </c>
      <c r="J62" s="98">
        <f>VLOOKUP(B62,'Market Data'!$A$4:$F$100,6,0)*C62</f>
        <v>2251.9216663790162</v>
      </c>
      <c r="K62" s="19">
        <f>VLOOKUP(B62,RTD!$A$2:$H$100,8,0)</f>
        <v>1.23</v>
      </c>
      <c r="L62" s="14">
        <f t="shared" si="8"/>
        <v>8.2571943776060079E-3</v>
      </c>
      <c r="M62" s="19">
        <f>VLOOKUP(B62,RTD!$A$1:$H$196,7,0)</f>
        <v>0</v>
      </c>
      <c r="N62" s="98">
        <f>IF(M62=0,J62,IF(M62=0,C62,M62)*VLOOKUP(B62,'Market Data'!$A$4:$F$100,6,0))</f>
        <v>2251.9216663790162</v>
      </c>
      <c r="O62" s="7" t="s">
        <v>98</v>
      </c>
      <c r="P62" s="14"/>
      <c r="Q62" s="13"/>
    </row>
    <row r="63" spans="1:124" x14ac:dyDescent="0.25">
      <c r="A63" s="2"/>
      <c r="B63" s="6" t="s">
        <v>100</v>
      </c>
      <c r="C63" s="19">
        <f>VLOOKUP(B63,RTD!$A$1:$H$196,2,0)</f>
        <v>22.67</v>
      </c>
      <c r="D63" s="19">
        <f>VLOOKUP(B63,RTD!$A$1:$H$196,3,0)</f>
        <v>22.57</v>
      </c>
      <c r="E63" s="19">
        <f>VLOOKUP(B63,RTD!$A$1:$H$196,4,0)</f>
        <v>22.630000000000003</v>
      </c>
      <c r="F63" s="19">
        <f>VLOOKUP(B63,RTD!$A$1:$H$196,5,0)</f>
        <v>22.67</v>
      </c>
      <c r="G63" s="19">
        <f>VLOOKUP(B63,RTD!$A$1:$H$196,6,0)</f>
        <v>22.71</v>
      </c>
      <c r="H63" s="19">
        <f t="shared" si="9"/>
        <v>22.69</v>
      </c>
      <c r="I63" s="14">
        <f t="shared" si="10"/>
        <v>2.6513477684488862E-3</v>
      </c>
      <c r="J63" s="98">
        <f>VLOOKUP(B63,'Market Data'!$A$4:$F$100,6,0)*C63</f>
        <v>5859.0648389076368</v>
      </c>
      <c r="K63" s="19">
        <f>VLOOKUP(B63,RTD!$A$2:$H$100,8,0)</f>
        <v>1.4</v>
      </c>
      <c r="L63" s="14">
        <f t="shared" si="8"/>
        <v>1.266972123329748E-2</v>
      </c>
      <c r="M63" s="19">
        <f>VLOOKUP(B63,RTD!$A$1:$H$196,7,0)</f>
        <v>0</v>
      </c>
      <c r="N63" s="98">
        <f>IF(M63=0,J63,IF(M63=0,C63,M63)*VLOOKUP(B63,'Market Data'!$A$4:$F$100,6,0))</f>
        <v>5859.0648389076368</v>
      </c>
      <c r="O63" s="7" t="s">
        <v>100</v>
      </c>
      <c r="P63" s="14"/>
      <c r="Q63" s="13"/>
    </row>
    <row r="64" spans="1:124" x14ac:dyDescent="0.25">
      <c r="A64" s="2"/>
      <c r="B64" s="6" t="s">
        <v>102</v>
      </c>
      <c r="C64" s="19">
        <f>VLOOKUP(B64,RTD!$A$1:$H$196,2,0)</f>
        <v>36.07</v>
      </c>
      <c r="D64" s="19">
        <f>VLOOKUP(B64,RTD!$A$1:$H$196,3,0)</f>
        <v>35.229999999999997</v>
      </c>
      <c r="E64" s="19">
        <f>VLOOKUP(B64,RTD!$A$1:$H$196,4,0)</f>
        <v>35.24</v>
      </c>
      <c r="F64" s="19">
        <f>VLOOKUP(B64,RTD!$A$1:$H$196,5,0)</f>
        <v>36.06</v>
      </c>
      <c r="G64" s="19">
        <f>VLOOKUP(B64,RTD!$A$1:$H$196,6,0)</f>
        <v>36.090000000000003</v>
      </c>
      <c r="H64" s="19">
        <f t="shared" si="9"/>
        <v>36.075000000000003</v>
      </c>
      <c r="I64" s="14">
        <f t="shared" si="10"/>
        <v>2.3694665153235039E-2</v>
      </c>
      <c r="J64" s="98">
        <f>VLOOKUP(B64,'Market Data'!$A$4:$F$100,6,0)*C64</f>
        <v>2939.8805697342559</v>
      </c>
      <c r="K64" s="19">
        <f>VLOOKUP(B64,RTD!$A$2:$H$100,8,0)</f>
        <v>0.49</v>
      </c>
      <c r="L64" s="14">
        <f t="shared" si="8"/>
        <v>2.7201095865932046E-2</v>
      </c>
      <c r="M64" s="19">
        <f>VLOOKUP(B64,RTD!$A$1:$H$196,7,0)</f>
        <v>0</v>
      </c>
      <c r="N64" s="98">
        <f>IF(M64=0,J64,IF(M64=0,C64,M64)*VLOOKUP(B64,'Market Data'!$A$4:$F$100,6,0))</f>
        <v>2939.8805697342559</v>
      </c>
      <c r="O64" s="7" t="s">
        <v>102</v>
      </c>
      <c r="P64" s="14"/>
      <c r="Q64" s="13"/>
    </row>
    <row r="65" spans="1:17" x14ac:dyDescent="0.25">
      <c r="A65" s="2"/>
      <c r="B65" s="6" t="s">
        <v>266</v>
      </c>
      <c r="C65" s="19">
        <f>VLOOKUP(B65,RTD!$A$1:$H$196,2,0)</f>
        <v>4.5400000000000009</v>
      </c>
      <c r="D65" s="19">
        <f>VLOOKUP(B65,RTD!$A$1:$H$196,3,0)</f>
        <v>4.58</v>
      </c>
      <c r="E65" s="19">
        <f>VLOOKUP(B65,RTD!$A$1:$H$196,4,0)</f>
        <v>4.6100000000000003</v>
      </c>
      <c r="F65" s="19">
        <f>VLOOKUP(B65,RTD!$A$1:$H$196,5,0)</f>
        <v>4.53</v>
      </c>
      <c r="G65" s="19">
        <f>VLOOKUP(B65,RTD!$A$1:$H$196,6,0)</f>
        <v>4.55</v>
      </c>
      <c r="H65" s="19">
        <f t="shared" si="9"/>
        <v>4.54</v>
      </c>
      <c r="I65" s="14">
        <f t="shared" si="10"/>
        <v>-1.5184381778741929E-2</v>
      </c>
      <c r="J65" s="98">
        <f>VLOOKUP(B65,'Market Data'!$A$4:$F$100,6,0)*C65</f>
        <v>71.266211946598801</v>
      </c>
      <c r="K65" s="19">
        <f>VLOOKUP(B65,RTD!$A$2:$H$100,8,0)</f>
        <v>1.1000000000000001</v>
      </c>
      <c r="L65" s="14">
        <f t="shared" si="8"/>
        <v>-7.3128026277894595E-3</v>
      </c>
      <c r="M65" s="19">
        <f>VLOOKUP(B65,RTD!$A$1:$H$196,7,0)</f>
        <v>0</v>
      </c>
      <c r="N65" s="98">
        <f>IF(M65=0,J65,IF(M65=0,C65,M65)*VLOOKUP(B65,'Market Data'!$A$4:$F$100,6,0))</f>
        <v>71.266211946598801</v>
      </c>
      <c r="O65" s="7" t="s">
        <v>266</v>
      </c>
      <c r="P65" s="14"/>
      <c r="Q65" s="13"/>
    </row>
    <row r="66" spans="1:17" x14ac:dyDescent="0.25">
      <c r="A66" s="2"/>
      <c r="B66" s="6" t="s">
        <v>104</v>
      </c>
      <c r="C66" s="19">
        <f>VLOOKUP(B66,RTD!$A$1:$H$196,2,0)</f>
        <v>24.879999999999985</v>
      </c>
      <c r="D66" s="19">
        <f>VLOOKUP(B66,RTD!$A$1:$H$196,3,0)</f>
        <v>25.21</v>
      </c>
      <c r="E66" s="19">
        <f>VLOOKUP(B66,RTD!$A$1:$H$196,4,0)</f>
        <v>25.220000000000002</v>
      </c>
      <c r="F66" s="19">
        <f>VLOOKUP(B66,RTD!$A$1:$H$196,5,0)</f>
        <v>24.86</v>
      </c>
      <c r="G66" s="19">
        <f>VLOOKUP(B66,RTD!$A$1:$H$196,6,0)</f>
        <v>24.88</v>
      </c>
      <c r="H66" s="19">
        <f t="shared" si="9"/>
        <v>24.869999999999997</v>
      </c>
      <c r="I66" s="14">
        <f t="shared" si="10"/>
        <v>-1.3877874702617143E-2</v>
      </c>
      <c r="J66" s="98">
        <f>VLOOKUP(B66,'Market Data'!$A$4:$F$100,6,0)*C66</f>
        <v>1066.092697821811</v>
      </c>
      <c r="K66" s="19">
        <f>VLOOKUP(B66,RTD!$A$2:$H$100,8,0)</f>
        <v>0.32</v>
      </c>
      <c r="L66" s="14">
        <f t="shared" si="8"/>
        <v>-1.1587960767794607E-2</v>
      </c>
      <c r="M66" s="19">
        <f>VLOOKUP(B66,RTD!$A$1:$H$196,7,0)</f>
        <v>0</v>
      </c>
      <c r="N66" s="98">
        <f>IF(M66=0,J66,IF(M66=0,C66,M66)*VLOOKUP(B66,'Market Data'!$A$4:$F$100,6,0))</f>
        <v>1066.092697821811</v>
      </c>
      <c r="O66" s="7" t="s">
        <v>104</v>
      </c>
      <c r="P66" s="14"/>
      <c r="Q66" s="13"/>
    </row>
    <row r="67" spans="1:17" x14ac:dyDescent="0.25">
      <c r="A67" s="2"/>
      <c r="B67" s="6" t="s">
        <v>107</v>
      </c>
      <c r="C67" s="19">
        <f>VLOOKUP(B67,RTD!$A$1:$H$196,2,0)</f>
        <v>5.080000000000001</v>
      </c>
      <c r="D67" s="19">
        <f>VLOOKUP(B67,RTD!$A$1:$H$196,3,0)</f>
        <v>5.17</v>
      </c>
      <c r="E67" s="19">
        <f>VLOOKUP(B67,RTD!$A$1:$H$196,4,0)</f>
        <v>5.21</v>
      </c>
      <c r="F67" s="19">
        <f>VLOOKUP(B67,RTD!$A$1:$H$196,5,0)</f>
        <v>5.08</v>
      </c>
      <c r="G67" s="19">
        <f>VLOOKUP(B67,RTD!$A$1:$H$196,6,0)</f>
        <v>5.1000000000000005</v>
      </c>
      <c r="H67" s="19">
        <f t="shared" si="9"/>
        <v>5.09</v>
      </c>
      <c r="I67" s="14">
        <f t="shared" si="10"/>
        <v>-2.303262955854124E-2</v>
      </c>
      <c r="J67" s="98">
        <f>VLOOKUP(B67,'Market Data'!$A$4:$F$100,6,0)*C67</f>
        <v>232.73423334672449</v>
      </c>
      <c r="K67" s="19">
        <f>VLOOKUP(B67,RTD!$A$2:$H$100,8,0)</f>
        <v>0.97</v>
      </c>
      <c r="L67" s="14">
        <f t="shared" si="8"/>
        <v>-1.6091327943610428E-2</v>
      </c>
      <c r="M67" s="19">
        <f>VLOOKUP(B67,RTD!$A$1:$H$196,7,0)</f>
        <v>0</v>
      </c>
      <c r="N67" s="98">
        <f>IF(M67=0,J67,IF(M67=0,C67,M67)*VLOOKUP(B67,'Market Data'!$A$4:$F$100,6,0))</f>
        <v>232.73423334672449</v>
      </c>
      <c r="O67" s="7" t="s">
        <v>107</v>
      </c>
      <c r="P67" s="14"/>
      <c r="Q67" s="13"/>
    </row>
    <row r="68" spans="1:17" x14ac:dyDescent="0.25">
      <c r="A68" s="2"/>
      <c r="B68" s="6" t="s">
        <v>267</v>
      </c>
      <c r="C68" s="19">
        <f>VLOOKUP(B68,RTD!$A$1:$H$196,2,0)</f>
        <v>21.519999999999978</v>
      </c>
      <c r="D68" s="19">
        <f>VLOOKUP(B68,RTD!$A$1:$H$196,3,0)</f>
        <v>21.8</v>
      </c>
      <c r="E68" s="19">
        <f>VLOOKUP(B68,RTD!$A$1:$H$196,4,0)</f>
        <v>22</v>
      </c>
      <c r="F68" s="19">
        <f>VLOOKUP(B68,RTD!$A$1:$H$196,5,0)</f>
        <v>21.48</v>
      </c>
      <c r="G68" s="19">
        <f>VLOOKUP(B68,RTD!$A$1:$H$196,6,0)</f>
        <v>21.53</v>
      </c>
      <c r="H68" s="19">
        <f t="shared" si="9"/>
        <v>21.505000000000003</v>
      </c>
      <c r="I68" s="14">
        <f t="shared" si="10"/>
        <v>-2.2499999999999853E-2</v>
      </c>
      <c r="J68" s="98">
        <f>VLOOKUP(B68,'Market Data'!$A$4:$F$100,6,0)*C68</f>
        <v>378.50416803020158</v>
      </c>
      <c r="K68" s="19">
        <f>VLOOKUP(B68,RTD!$A$2:$H$100,8,0)</f>
        <v>0.61</v>
      </c>
      <c r="L68" s="14">
        <f t="shared" si="8"/>
        <v>-1.8134851561744394E-2</v>
      </c>
      <c r="M68" s="19">
        <f>VLOOKUP(B68,RTD!$A$1:$H$196,7,0)</f>
        <v>0</v>
      </c>
      <c r="N68" s="98">
        <f>IF(M68=0,J68,IF(M68=0,C68,M68)*VLOOKUP(B68,'Market Data'!$A$4:$F$100,6,0))</f>
        <v>378.50416803020158</v>
      </c>
      <c r="O68" s="7" t="s">
        <v>267</v>
      </c>
      <c r="P68" s="14"/>
      <c r="Q68" s="13"/>
    </row>
    <row r="69" spans="1:17" x14ac:dyDescent="0.25">
      <c r="A69" s="2"/>
      <c r="B69" s="6" t="s">
        <v>108</v>
      </c>
      <c r="C69" s="19">
        <f>VLOOKUP(B69,RTD!$A$1:$H$196,2,0)</f>
        <v>22.750000000000011</v>
      </c>
      <c r="D69" s="19">
        <f>VLOOKUP(B69,RTD!$A$1:$H$196,3,0)</f>
        <v>22.74</v>
      </c>
      <c r="E69" s="19">
        <f>VLOOKUP(B69,RTD!$A$1:$H$196,4,0)</f>
        <v>22.990000000000002</v>
      </c>
      <c r="F69" s="19">
        <f>VLOOKUP(B69,RTD!$A$1:$H$196,5,0)</f>
        <v>22.75</v>
      </c>
      <c r="G69" s="19">
        <f>VLOOKUP(B69,RTD!$A$1:$H$196,6,0)</f>
        <v>22.76</v>
      </c>
      <c r="H69" s="19">
        <f t="shared" si="9"/>
        <v>22.755000000000003</v>
      </c>
      <c r="I69" s="14">
        <f t="shared" si="10"/>
        <v>-1.0221835580687233E-2</v>
      </c>
      <c r="J69" s="98">
        <f>VLOOKUP(B69,'Market Data'!$A$4:$F$100,6,0)*C69</f>
        <v>970.69609812248677</v>
      </c>
      <c r="K69" s="19">
        <f>VLOOKUP(B69,RTD!$A$2:$H$100,8,0)</f>
        <v>1.25</v>
      </c>
      <c r="L69" s="14">
        <f t="shared" si="8"/>
        <v>-1.2768592727867012E-3</v>
      </c>
      <c r="M69" s="19">
        <f>VLOOKUP(B69,RTD!$A$1:$H$196,7,0)</f>
        <v>0</v>
      </c>
      <c r="N69" s="98">
        <f>IF(M69=0,J69,IF(M69=0,C69,M69)*VLOOKUP(B69,'Market Data'!$A$4:$F$100,6,0))</f>
        <v>970.69609812248677</v>
      </c>
      <c r="O69" s="7" t="s">
        <v>108</v>
      </c>
      <c r="P69" s="14"/>
      <c r="Q69" s="13"/>
    </row>
    <row r="70" spans="1:17" x14ac:dyDescent="0.25">
      <c r="A70" s="2"/>
      <c r="B70" s="6" t="s">
        <v>110</v>
      </c>
      <c r="C70" s="19">
        <f>VLOOKUP(B70,RTD!$A$1:$H$196,2,0)</f>
        <v>5.95</v>
      </c>
      <c r="D70" s="19">
        <f>VLOOKUP(B70,RTD!$A$1:$H$196,3,0)</f>
        <v>6.14</v>
      </c>
      <c r="E70" s="19">
        <f>VLOOKUP(B70,RTD!$A$1:$H$196,4,0)</f>
        <v>6.2200000000000006</v>
      </c>
      <c r="F70" s="19">
        <f>VLOOKUP(B70,RTD!$A$1:$H$196,5,0)</f>
        <v>5.94</v>
      </c>
      <c r="G70" s="19">
        <f>VLOOKUP(B70,RTD!$A$1:$H$196,6,0)</f>
        <v>5.95</v>
      </c>
      <c r="H70" s="19">
        <f t="shared" si="9"/>
        <v>5.9450000000000003</v>
      </c>
      <c r="I70" s="14">
        <f t="shared" si="10"/>
        <v>-4.4212218649517743E-2</v>
      </c>
      <c r="J70" s="98">
        <f>VLOOKUP(B70,'Market Data'!$A$4:$F$100,6,0)*C70</f>
        <v>862.69917124039421</v>
      </c>
      <c r="K70" s="19">
        <f>VLOOKUP(B70,RTD!$A$2:$H$100,8,0)</f>
        <v>0.4</v>
      </c>
      <c r="L70" s="14">
        <f t="shared" si="8"/>
        <v>-4.1349826230989574E-2</v>
      </c>
      <c r="M70" s="19">
        <f>VLOOKUP(B70,RTD!$A$1:$H$196,7,0)</f>
        <v>0</v>
      </c>
      <c r="N70" s="98">
        <f>IF(M70=0,J70,IF(M70=0,C70,M70)*VLOOKUP(B70,'Market Data'!$A$4:$F$100,6,0))</f>
        <v>862.69917124039421</v>
      </c>
      <c r="O70" s="7" t="s">
        <v>110</v>
      </c>
      <c r="P70" s="14"/>
      <c r="Q70" s="13"/>
    </row>
    <row r="71" spans="1:17" x14ac:dyDescent="0.25">
      <c r="A71" s="2"/>
      <c r="B71" s="6" t="s">
        <v>112</v>
      </c>
      <c r="C71" s="19">
        <f>VLOOKUP(B71,RTD!$A$1:$H$196,2,0)</f>
        <v>21.610000000000042</v>
      </c>
      <c r="D71" s="19">
        <f>VLOOKUP(B71,RTD!$A$1:$H$196,3,0)</f>
        <v>21.259999999999998</v>
      </c>
      <c r="E71" s="19">
        <f>VLOOKUP(B71,RTD!$A$1:$H$196,4,0)</f>
        <v>21.17</v>
      </c>
      <c r="F71" s="19">
        <f>VLOOKUP(B71,RTD!$A$1:$H$196,5,0)</f>
        <v>21.59</v>
      </c>
      <c r="G71" s="19">
        <f>VLOOKUP(B71,RTD!$A$1:$H$196,6,0)</f>
        <v>21.6</v>
      </c>
      <c r="H71" s="19">
        <f t="shared" si="9"/>
        <v>21.594999999999999</v>
      </c>
      <c r="I71" s="14">
        <f t="shared" si="10"/>
        <v>2.0075578649031423E-2</v>
      </c>
      <c r="J71" s="98">
        <f>VLOOKUP(B71,'Market Data'!$A$4:$F$100,6,0)*C71</f>
        <v>433.03486601818094</v>
      </c>
      <c r="K71" s="19">
        <f>VLOOKUP(B71,RTD!$A$2:$H$100,8,0)</f>
        <v>0.37</v>
      </c>
      <c r="L71" s="14">
        <f t="shared" si="8"/>
        <v>2.2723291636169981E-2</v>
      </c>
      <c r="M71" s="19">
        <f>VLOOKUP(B71,RTD!$A$1:$H$196,7,0)</f>
        <v>0</v>
      </c>
      <c r="N71" s="98">
        <f>IF(M71=0,J71,IF(M71=0,C71,M71)*VLOOKUP(B71,'Market Data'!$A$4:$F$100,6,0))</f>
        <v>433.03486601818094</v>
      </c>
      <c r="O71" s="7" t="s">
        <v>112</v>
      </c>
      <c r="P71" s="14"/>
      <c r="Q71" s="13"/>
    </row>
    <row r="72" spans="1:17" x14ac:dyDescent="0.25">
      <c r="A72" s="2"/>
      <c r="B72" s="6" t="s">
        <v>114</v>
      </c>
      <c r="C72" s="19">
        <f>VLOOKUP(B72,RTD!$A$1:$H$196,2,0)</f>
        <v>10.480000000000002</v>
      </c>
      <c r="D72" s="19">
        <f>VLOOKUP(B72,RTD!$A$1:$H$196,3,0)</f>
        <v>10.549999999999999</v>
      </c>
      <c r="E72" s="19">
        <f>VLOOKUP(B72,RTD!$A$1:$H$196,4,0)</f>
        <v>10.58</v>
      </c>
      <c r="F72" s="19">
        <f>VLOOKUP(B72,RTD!$A$1:$H$196,5,0)</f>
        <v>10.5</v>
      </c>
      <c r="G72" s="19">
        <f>VLOOKUP(B72,RTD!$A$1:$H$196,6,0)</f>
        <v>10.52</v>
      </c>
      <c r="H72" s="19">
        <f t="shared" si="9"/>
        <v>10.51</v>
      </c>
      <c r="I72" s="14">
        <f t="shared" si="10"/>
        <v>-6.6162570888469441E-3</v>
      </c>
      <c r="J72" s="98">
        <f>VLOOKUP(B72,'Market Data'!$A$4:$F$100,6,0)*C72</f>
        <v>170.1131095538274</v>
      </c>
      <c r="K72" s="19">
        <f>VLOOKUP(B72,RTD!$A$2:$H$100,8,0)</f>
        <v>1.01</v>
      </c>
      <c r="L72" s="14">
        <f t="shared" si="8"/>
        <v>6.1128376793668539E-4</v>
      </c>
      <c r="M72" s="19">
        <f>VLOOKUP(B72,RTD!$A$1:$H$196,7,0)</f>
        <v>0</v>
      </c>
      <c r="N72" s="98">
        <f>IF(M72=0,J72,IF(M72=0,C72,M72)*VLOOKUP(B72,'Market Data'!$A$4:$F$100,6,0))</f>
        <v>170.1131095538274</v>
      </c>
      <c r="O72" s="7" t="s">
        <v>114</v>
      </c>
      <c r="P72" s="14"/>
      <c r="Q72" s="13"/>
    </row>
    <row r="73" spans="1:17" x14ac:dyDescent="0.25">
      <c r="A73" s="2"/>
      <c r="B73" s="6" t="s">
        <v>116</v>
      </c>
      <c r="C73" s="19">
        <f>VLOOKUP(B73,RTD!$A$1:$H$196,2,0)</f>
        <v>16.439999999999976</v>
      </c>
      <c r="D73" s="19">
        <f>VLOOKUP(B73,RTD!$A$1:$H$196,3,0)</f>
        <v>16.559999999999999</v>
      </c>
      <c r="E73" s="19">
        <f>VLOOKUP(B73,RTD!$A$1:$H$196,4,0)</f>
        <v>16.66</v>
      </c>
      <c r="F73" s="19">
        <f>VLOOKUP(B73,RTD!$A$1:$H$196,5,0)</f>
        <v>16.43</v>
      </c>
      <c r="G73" s="19">
        <f>VLOOKUP(B73,RTD!$A$1:$H$196,6,0)</f>
        <v>16.45</v>
      </c>
      <c r="H73" s="19">
        <f t="shared" si="9"/>
        <v>16.439999999999998</v>
      </c>
      <c r="I73" s="14">
        <f t="shared" si="10"/>
        <v>-1.3205282112845329E-2</v>
      </c>
      <c r="J73" s="98">
        <f>VLOOKUP(B73,'Market Data'!$A$4:$F$100,6,0)*C73</f>
        <v>247.2550516927023</v>
      </c>
      <c r="K73" s="19">
        <f>VLOOKUP(B73,RTD!$A$2:$H$100,8,0)</f>
        <v>1.33</v>
      </c>
      <c r="L73" s="14">
        <f t="shared" si="8"/>
        <v>-3.6878273212391632E-3</v>
      </c>
      <c r="M73" s="19">
        <f>VLOOKUP(B73,RTD!$A$1:$H$196,7,0)</f>
        <v>0</v>
      </c>
      <c r="N73" s="98">
        <f>IF(M73=0,J73,IF(M73=0,C73,M73)*VLOOKUP(B73,'Market Data'!$A$4:$F$100,6,0))</f>
        <v>247.2550516927023</v>
      </c>
      <c r="O73" s="7" t="s">
        <v>116</v>
      </c>
      <c r="P73" s="14"/>
      <c r="Q73" s="13"/>
    </row>
    <row r="74" spans="1:17" x14ac:dyDescent="0.25">
      <c r="A74" s="2"/>
      <c r="B74" s="6" t="s">
        <v>119</v>
      </c>
      <c r="C74" s="19">
        <f>VLOOKUP(B74,RTD!$A$1:$H$196,2,0)</f>
        <v>21.970000000000024</v>
      </c>
      <c r="D74" s="19">
        <f>VLOOKUP(B74,RTD!$A$1:$H$196,3,0)</f>
        <v>21.95</v>
      </c>
      <c r="E74" s="19">
        <f>VLOOKUP(B74,RTD!$A$1:$H$196,4,0)</f>
        <v>22.11</v>
      </c>
      <c r="F74" s="19">
        <f>VLOOKUP(B74,RTD!$A$1:$H$196,5,0)</f>
        <v>21.95</v>
      </c>
      <c r="G74" s="19">
        <f>VLOOKUP(B74,RTD!$A$1:$H$196,6,0)</f>
        <v>21.96</v>
      </c>
      <c r="H74" s="19">
        <f t="shared" si="9"/>
        <v>21.954999999999998</v>
      </c>
      <c r="I74" s="14">
        <f t="shared" si="10"/>
        <v>-7.0104025327906161E-3</v>
      </c>
      <c r="J74" s="98">
        <f>VLOOKUP(B74,'Market Data'!$A$4:$F$100,6,0)*C74</f>
        <v>1003.8538026458975</v>
      </c>
      <c r="K74" s="19">
        <f>VLOOKUP(B74,RTD!$A$2:$H$100,8,0)</f>
        <v>0.51</v>
      </c>
      <c r="L74" s="14">
        <f t="shared" si="8"/>
        <v>-3.3608521991671989E-3</v>
      </c>
      <c r="M74" s="19">
        <f>VLOOKUP(B74,RTD!$A$1:$H$196,7,0)</f>
        <v>0</v>
      </c>
      <c r="N74" s="98">
        <f>IF(M74=0,J74,IF(M74=0,C74,M74)*VLOOKUP(B74,'Market Data'!$A$4:$F$100,6,0))</f>
        <v>1003.8538026458975</v>
      </c>
      <c r="O74" s="7" t="s">
        <v>119</v>
      </c>
      <c r="P74" s="14"/>
      <c r="Q74" s="13"/>
    </row>
    <row r="75" spans="1:17" x14ac:dyDescent="0.25">
      <c r="A75" s="2"/>
      <c r="B75" s="6" t="s">
        <v>121</v>
      </c>
      <c r="C75" s="19">
        <f>VLOOKUP(B75,RTD!$A$1:$H$196,2,0)</f>
        <v>19.059999999999999</v>
      </c>
      <c r="D75" s="19">
        <f>VLOOKUP(B75,RTD!$A$1:$H$196,3,0)</f>
        <v>18.95</v>
      </c>
      <c r="E75" s="19">
        <f>VLOOKUP(B75,RTD!$A$1:$H$196,4,0)</f>
        <v>18.95</v>
      </c>
      <c r="F75" s="19">
        <f>VLOOKUP(B75,RTD!$A$1:$H$196,5,0)</f>
        <v>19.059999999999999</v>
      </c>
      <c r="G75" s="19">
        <f>VLOOKUP(B75,RTD!$A$1:$H$196,6,0)</f>
        <v>19.100000000000001</v>
      </c>
      <c r="H75" s="19">
        <f t="shared" si="9"/>
        <v>19.079999999999998</v>
      </c>
      <c r="I75" s="14">
        <f t="shared" si="10"/>
        <v>6.8601583113456766E-3</v>
      </c>
      <c r="J75" s="98">
        <f>VLOOKUP(B75,'Market Data'!$A$4:$F$100,6,0)*C75</f>
        <v>163.22219117678071</v>
      </c>
      <c r="K75" s="19">
        <f>VLOOKUP(B75,RTD!$A$2:$H$100,8,0)</f>
        <v>0.42</v>
      </c>
      <c r="L75" s="14">
        <f t="shared" si="8"/>
        <v>9.8656703508002552E-3</v>
      </c>
      <c r="M75" s="19">
        <f>VLOOKUP(B75,RTD!$A$1:$H$196,7,0)</f>
        <v>0</v>
      </c>
      <c r="N75" s="98">
        <f>IF(M75=0,J75,IF(M75=0,C75,M75)*VLOOKUP(B75,'Market Data'!$A$4:$F$100,6,0))</f>
        <v>163.22219117678071</v>
      </c>
      <c r="O75" s="7" t="s">
        <v>121</v>
      </c>
      <c r="P75" s="14"/>
      <c r="Q75" s="13"/>
    </row>
    <row r="76" spans="1:17" x14ac:dyDescent="0.25">
      <c r="A76" s="2"/>
      <c r="B76" s="6" t="s">
        <v>123</v>
      </c>
      <c r="C76" s="19">
        <f>VLOOKUP(B76,RTD!$A$1:$H$196,2,0)</f>
        <v>30.79</v>
      </c>
      <c r="D76" s="19">
        <f>VLOOKUP(B76,RTD!$A$1:$H$196,3,0)</f>
        <v>30.7</v>
      </c>
      <c r="E76" s="19">
        <f>VLOOKUP(B76,RTD!$A$1:$H$196,4,0)</f>
        <v>30.830000000000002</v>
      </c>
      <c r="F76" s="19">
        <f>VLOOKUP(B76,RTD!$A$1:$H$196,5,0)</f>
        <v>30.79</v>
      </c>
      <c r="G76" s="19">
        <f>VLOOKUP(B76,RTD!$A$1:$H$196,6,0)</f>
        <v>30.810000000000002</v>
      </c>
      <c r="H76" s="19">
        <f t="shared" si="9"/>
        <v>30.8</v>
      </c>
      <c r="I76" s="14">
        <f t="shared" si="10"/>
        <v>-9.7307817061309532E-4</v>
      </c>
      <c r="J76" s="98">
        <f>VLOOKUP(B76,'Market Data'!$A$4:$F$100,6,0)*C76</f>
        <v>5533.1700469747657</v>
      </c>
      <c r="K76" s="19">
        <f>VLOOKUP(B76,RTD!$A$2:$H$100,8,0)</f>
        <v>1.6</v>
      </c>
      <c r="L76" s="14">
        <f t="shared" si="8"/>
        <v>1.0476491503499587E-2</v>
      </c>
      <c r="M76" s="19">
        <f>VLOOKUP(B76,RTD!$A$1:$H$196,7,0)</f>
        <v>0</v>
      </c>
      <c r="N76" s="98">
        <f>IF(M76=0,J76,IF(M76=0,C76,M76)*VLOOKUP(B76,'Market Data'!$A$4:$F$100,6,0))</f>
        <v>5533.1700469747657</v>
      </c>
      <c r="O76" s="7" t="s">
        <v>123</v>
      </c>
      <c r="P76" s="14"/>
      <c r="Q76" s="13"/>
    </row>
    <row r="77" spans="1:17" x14ac:dyDescent="0.25">
      <c r="A77" s="2"/>
      <c r="B77" s="6" t="s">
        <v>125</v>
      </c>
      <c r="C77" s="19">
        <f>VLOOKUP(B77,RTD!$A$1:$H$196,2,0)</f>
        <v>28.1</v>
      </c>
      <c r="D77" s="19">
        <f>VLOOKUP(B77,RTD!$A$1:$H$196,3,0)</f>
        <v>27.99</v>
      </c>
      <c r="E77" s="19">
        <f>VLOOKUP(B77,RTD!$A$1:$H$196,4,0)</f>
        <v>28.18</v>
      </c>
      <c r="F77" s="19">
        <f>VLOOKUP(B77,RTD!$A$1:$H$196,5,0)</f>
        <v>28.1</v>
      </c>
      <c r="G77" s="19">
        <f>VLOOKUP(B77,RTD!$A$1:$H$196,6,0)</f>
        <v>28.12</v>
      </c>
      <c r="H77" s="19">
        <f t="shared" si="9"/>
        <v>28.11</v>
      </c>
      <c r="I77" s="14">
        <f t="shared" si="10"/>
        <v>-2.4840312278211485E-3</v>
      </c>
      <c r="J77" s="98">
        <f>VLOOKUP(B77,'Market Data'!$A$4:$F$100,6,0)*C77</f>
        <v>6970.8666715402805</v>
      </c>
      <c r="K77" s="19">
        <f>VLOOKUP(B77,RTD!$A$2:$H$100,8,0)</f>
        <v>1.59</v>
      </c>
      <c r="L77" s="14">
        <f t="shared" si="8"/>
        <v>8.8939786358283278E-3</v>
      </c>
      <c r="M77" s="19">
        <f>VLOOKUP(B77,RTD!$A$1:$H$196,7,0)</f>
        <v>0</v>
      </c>
      <c r="N77" s="98">
        <f>IF(M77=0,J77,IF(M77=0,C77,M77)*VLOOKUP(B77,'Market Data'!$A$4:$F$100,6,0))</f>
        <v>6970.8666715402805</v>
      </c>
      <c r="O77" s="7" t="s">
        <v>125</v>
      </c>
      <c r="P77" s="14"/>
      <c r="Q77" s="13"/>
    </row>
    <row r="78" spans="1:17" x14ac:dyDescent="0.25">
      <c r="A78" s="2"/>
      <c r="B78" s="6" t="s">
        <v>126</v>
      </c>
      <c r="C78" s="19">
        <f>VLOOKUP(B78,RTD!$A$1:$H$196,2,0)</f>
        <v>20.050000000000015</v>
      </c>
      <c r="D78" s="19">
        <f>VLOOKUP(B78,RTD!$A$1:$H$196,3,0)</f>
        <v>19.559999999999999</v>
      </c>
      <c r="E78" s="19">
        <f>VLOOKUP(B78,RTD!$A$1:$H$196,4,0)</f>
        <v>19.82</v>
      </c>
      <c r="F78" s="19">
        <f>VLOOKUP(B78,RTD!$A$1:$H$196,5,0)</f>
        <v>20.05</v>
      </c>
      <c r="G78" s="19">
        <f>VLOOKUP(B78,RTD!$A$1:$H$196,6,0)</f>
        <v>20.07</v>
      </c>
      <c r="H78" s="19">
        <f t="shared" si="9"/>
        <v>20.060000000000002</v>
      </c>
      <c r="I78" s="14">
        <f t="shared" si="10"/>
        <v>1.2108980827447047E-2</v>
      </c>
      <c r="J78" s="98">
        <f>VLOOKUP(B78,'Market Data'!$A$4:$F$100,6,0)*C78</f>
        <v>179.56972754987976</v>
      </c>
      <c r="K78" s="19">
        <f>VLOOKUP(B78,RTD!$A$2:$H$100,8,0)</f>
        <v>1.55</v>
      </c>
      <c r="L78" s="14">
        <f t="shared" si="8"/>
        <v>2.3200751449243707E-2</v>
      </c>
      <c r="M78" s="19">
        <f>VLOOKUP(B78,RTD!$A$1:$H$196,7,0)</f>
        <v>0</v>
      </c>
      <c r="N78" s="98">
        <f>IF(M78=0,J78,IF(M78=0,C78,M78)*VLOOKUP(B78,'Market Data'!$A$4:$F$100,6,0))</f>
        <v>179.56972754987976</v>
      </c>
      <c r="O78" s="7" t="s">
        <v>126</v>
      </c>
      <c r="P78" s="14"/>
      <c r="Q78" s="13"/>
    </row>
    <row r="79" spans="1:17" x14ac:dyDescent="0.25">
      <c r="A79" s="2"/>
      <c r="B79" s="6" t="s">
        <v>128</v>
      </c>
      <c r="C79" s="19">
        <f>VLOOKUP(B79,RTD!$A$1:$H$196,2,0)</f>
        <v>15.140000000000004</v>
      </c>
      <c r="D79" s="19">
        <f>VLOOKUP(B79,RTD!$A$1:$H$196,3,0)</f>
        <v>15.35</v>
      </c>
      <c r="E79" s="19">
        <f>VLOOKUP(B79,RTD!$A$1:$H$196,4,0)</f>
        <v>15.48</v>
      </c>
      <c r="F79" s="19">
        <f>VLOOKUP(B79,RTD!$A$1:$H$196,5,0)</f>
        <v>15.14</v>
      </c>
      <c r="G79" s="19">
        <f>VLOOKUP(B79,RTD!$A$1:$H$196,6,0)</f>
        <v>15.18</v>
      </c>
      <c r="H79" s="19">
        <f t="shared" si="9"/>
        <v>15.16</v>
      </c>
      <c r="I79" s="14">
        <f t="shared" si="10"/>
        <v>-2.067183462532296E-2</v>
      </c>
      <c r="J79" s="98">
        <f>VLOOKUP(B79,'Market Data'!$A$4:$F$100,6,0)*C79</f>
        <v>233.14745108667199</v>
      </c>
      <c r="K79" s="19">
        <f>VLOOKUP(B79,RTD!$A$2:$H$100,8,0)</f>
        <v>0.7</v>
      </c>
      <c r="L79" s="14">
        <f t="shared" si="8"/>
        <v>-1.5662647892898663E-2</v>
      </c>
      <c r="M79" s="19">
        <f>VLOOKUP(B79,RTD!$A$1:$H$196,7,0)</f>
        <v>0</v>
      </c>
      <c r="N79" s="98">
        <f>IF(M79=0,J79,IF(M79=0,C79,M79)*VLOOKUP(B79,'Market Data'!$A$4:$F$100,6,0))</f>
        <v>233.14745108667199</v>
      </c>
      <c r="O79" s="7" t="s">
        <v>128</v>
      </c>
      <c r="P79" s="14"/>
      <c r="Q79" s="13"/>
    </row>
    <row r="80" spans="1:17" x14ac:dyDescent="0.25">
      <c r="A80" s="2"/>
      <c r="B80" s="6" t="s">
        <v>130</v>
      </c>
      <c r="C80" s="19">
        <f>VLOOKUP(B80,RTD!$A$1:$H$196,2,0)</f>
        <v>21.330000000000002</v>
      </c>
      <c r="D80" s="19">
        <f>VLOOKUP(B80,RTD!$A$1:$H$196,3,0)</f>
        <v>21.35</v>
      </c>
      <c r="E80" s="19">
        <f>VLOOKUP(B80,RTD!$A$1:$H$196,4,0)</f>
        <v>21.48</v>
      </c>
      <c r="F80" s="19">
        <f>VLOOKUP(B80,RTD!$A$1:$H$196,5,0)</f>
        <v>21.32</v>
      </c>
      <c r="G80" s="19">
        <f>VLOOKUP(B80,RTD!$A$1:$H$196,6,0)</f>
        <v>21.35</v>
      </c>
      <c r="H80" s="19">
        <f t="shared" ref="H80:H92" si="11">(F80+G80)/2</f>
        <v>21.335000000000001</v>
      </c>
      <c r="I80" s="14">
        <f t="shared" ref="I80:I92" si="12">(H80/E80)-1</f>
        <v>-6.7504655493482169E-3</v>
      </c>
      <c r="J80" s="98">
        <f>VLOOKUP(B80,'Market Data'!$A$4:$F$100,6,0)*C80</f>
        <v>1242.9338314378626</v>
      </c>
      <c r="K80" s="19">
        <f>VLOOKUP(B80,RTD!$A$2:$H$100,8,0)</f>
        <v>0.7</v>
      </c>
      <c r="L80" s="14">
        <f t="shared" si="8"/>
        <v>-1.7412788169239198E-3</v>
      </c>
      <c r="M80" s="19">
        <f>VLOOKUP(B80,RTD!$A$1:$H$196,7,0)</f>
        <v>0</v>
      </c>
      <c r="N80" s="98">
        <f>IF(M80=0,J80,IF(M80=0,C80,M80)*VLOOKUP(B80,'Market Data'!$A$4:$F$100,6,0))</f>
        <v>1242.9338314378626</v>
      </c>
      <c r="O80" s="7" t="s">
        <v>130</v>
      </c>
      <c r="P80" s="14"/>
      <c r="Q80" s="13"/>
    </row>
    <row r="81" spans="1:17" x14ac:dyDescent="0.25">
      <c r="A81" s="2"/>
      <c r="B81" s="6" t="s">
        <v>132</v>
      </c>
      <c r="C81" s="19">
        <f>VLOOKUP(B81,RTD!$A$1:$H$196,2,0)</f>
        <v>15.590000000000005</v>
      </c>
      <c r="D81" s="19">
        <f>VLOOKUP(B81,RTD!$A$1:$H$196,3,0)</f>
        <v>15.819999999999999</v>
      </c>
      <c r="E81" s="19">
        <f>VLOOKUP(B81,RTD!$A$1:$H$196,4,0)</f>
        <v>15.860000000000001</v>
      </c>
      <c r="F81" s="19">
        <f>VLOOKUP(B81,RTD!$A$1:$H$196,5,0)</f>
        <v>15.59</v>
      </c>
      <c r="G81" s="19">
        <f>VLOOKUP(B81,RTD!$A$1:$H$196,6,0)</f>
        <v>15.6</v>
      </c>
      <c r="H81" s="19">
        <f t="shared" si="11"/>
        <v>15.594999999999999</v>
      </c>
      <c r="I81" s="14">
        <f t="shared" si="12"/>
        <v>-1.6708701134930837E-2</v>
      </c>
      <c r="J81" s="98">
        <f>VLOOKUP(B81,'Market Data'!$A$4:$F$100,6,0)*C81</f>
        <v>1031.6287232232653</v>
      </c>
      <c r="K81" s="19">
        <f>VLOOKUP(B81,RTD!$A$2:$H$100,8,0)</f>
        <v>0.99</v>
      </c>
      <c r="L81" s="14">
        <f t="shared" ref="L81:L92" si="13">((($I$9*K81)-I81)*-1)</f>
        <v>-9.6242798990736154E-3</v>
      </c>
      <c r="M81" s="19">
        <f>VLOOKUP(B81,RTD!$A$1:$H$196,7,0)</f>
        <v>0</v>
      </c>
      <c r="N81" s="98">
        <f>IF(M81=0,J81,IF(M81=0,C81,M81)*VLOOKUP(B81,'Market Data'!$A$4:$F$100,6,0))</f>
        <v>1031.6287232232653</v>
      </c>
      <c r="O81" s="7" t="s">
        <v>132</v>
      </c>
      <c r="P81" s="14"/>
      <c r="Q81" s="13"/>
    </row>
    <row r="82" spans="1:17" x14ac:dyDescent="0.25">
      <c r="A82" s="2"/>
      <c r="B82" s="6" t="s">
        <v>134</v>
      </c>
      <c r="C82" s="19">
        <f>VLOOKUP(B82,RTD!$A$1:$H$196,2,0)</f>
        <v>48.520000000000024</v>
      </c>
      <c r="D82" s="19">
        <f>VLOOKUP(B82,RTD!$A$1:$H$196,3,0)</f>
        <v>48.699999999999996</v>
      </c>
      <c r="E82" s="19">
        <f>VLOOKUP(B82,RTD!$A$1:$H$196,4,0)</f>
        <v>49.47</v>
      </c>
      <c r="F82" s="19">
        <f>VLOOKUP(B82,RTD!$A$1:$H$196,5,0)</f>
        <v>48.52</v>
      </c>
      <c r="G82" s="19">
        <f>VLOOKUP(B82,RTD!$A$1:$H$196,6,0)</f>
        <v>48.57</v>
      </c>
      <c r="H82" s="19">
        <f t="shared" si="11"/>
        <v>48.545000000000002</v>
      </c>
      <c r="I82" s="14">
        <f t="shared" si="12"/>
        <v>-1.8698200929856412E-2</v>
      </c>
      <c r="J82" s="98">
        <f>VLOOKUP(B82,'Market Data'!$A$4:$F$100,6,0)*C82</f>
        <v>1560.6101279600909</v>
      </c>
      <c r="K82" s="19">
        <f>VLOOKUP(B82,RTD!$A$2:$H$100,8,0)</f>
        <v>0.67</v>
      </c>
      <c r="L82" s="14">
        <f t="shared" si="13"/>
        <v>-1.3903693628821727E-2</v>
      </c>
      <c r="M82" s="19">
        <f>VLOOKUP(B82,RTD!$A$1:$H$196,7,0)</f>
        <v>0</v>
      </c>
      <c r="N82" s="98">
        <f>IF(M82=0,J82,IF(M82=0,C82,M82)*VLOOKUP(B82,'Market Data'!$A$4:$F$100,6,0))</f>
        <v>1560.6101279600909</v>
      </c>
      <c r="O82" s="7" t="s">
        <v>134</v>
      </c>
      <c r="P82" s="14"/>
      <c r="Q82" s="13"/>
    </row>
    <row r="83" spans="1:17" x14ac:dyDescent="0.25">
      <c r="A83" s="2"/>
      <c r="B83" s="6" t="s">
        <v>136</v>
      </c>
      <c r="C83" s="19">
        <f>VLOOKUP(B83,RTD!$A$1:$H$196,2,0)</f>
        <v>31.35</v>
      </c>
      <c r="D83" s="19">
        <f>VLOOKUP(B83,RTD!$A$1:$H$196,3,0)</f>
        <v>31.25</v>
      </c>
      <c r="E83" s="19">
        <f>VLOOKUP(B83,RTD!$A$1:$H$196,4,0)</f>
        <v>31.273300000000003</v>
      </c>
      <c r="F83" s="19">
        <f>VLOOKUP(B83,RTD!$A$1:$H$196,5,0)</f>
        <v>31.34</v>
      </c>
      <c r="G83" s="19">
        <f>VLOOKUP(B83,RTD!$A$1:$H$196,6,0)</f>
        <v>31.39</v>
      </c>
      <c r="H83" s="19">
        <f t="shared" si="11"/>
        <v>31.365000000000002</v>
      </c>
      <c r="I83" s="14">
        <f t="shared" si="12"/>
        <v>2.9322137414342642E-3</v>
      </c>
      <c r="J83" s="98">
        <f>VLOOKUP(B83,'Market Data'!$A$4:$F$100,6,0)*C83</f>
        <v>605.73381666491764</v>
      </c>
      <c r="K83" s="19">
        <f>VLOOKUP(B83,RTD!$A$2:$H$100,8,0)</f>
        <v>1.55</v>
      </c>
      <c r="L83" s="14">
        <f t="shared" si="13"/>
        <v>1.4023984363230924E-2</v>
      </c>
      <c r="M83" s="19">
        <f>VLOOKUP(B83,RTD!$A$1:$H$196,7,0)</f>
        <v>0</v>
      </c>
      <c r="N83" s="98">
        <f>IF(M83=0,J83,IF(M83=0,C83,M83)*VLOOKUP(B83,'Market Data'!$A$4:$F$100,6,0))</f>
        <v>605.73381666491764</v>
      </c>
      <c r="O83" s="7" t="s">
        <v>136</v>
      </c>
      <c r="P83" s="14"/>
      <c r="Q83" s="13"/>
    </row>
    <row r="84" spans="1:17" x14ac:dyDescent="0.25">
      <c r="A84" s="2"/>
      <c r="B84" s="6" t="s">
        <v>138</v>
      </c>
      <c r="C84" s="19">
        <f>VLOOKUP(B84,RTD!$A$1:$H$196,2,0)</f>
        <v>34.920000000000009</v>
      </c>
      <c r="D84" s="19">
        <f>VLOOKUP(B84,RTD!$A$1:$H$196,3,0)</f>
        <v>35.15</v>
      </c>
      <c r="E84" s="19">
        <f>VLOOKUP(B84,RTD!$A$1:$H$196,4,0)</f>
        <v>35.46</v>
      </c>
      <c r="F84" s="19">
        <f>VLOOKUP(B84,RTD!$A$1:$H$196,5,0)</f>
        <v>34.92</v>
      </c>
      <c r="G84" s="19">
        <f>VLOOKUP(B84,RTD!$A$1:$H$196,6,0)</f>
        <v>34.97</v>
      </c>
      <c r="H84" s="19">
        <f t="shared" si="11"/>
        <v>34.945</v>
      </c>
      <c r="I84" s="14">
        <f t="shared" si="12"/>
        <v>-1.4523406655386317E-2</v>
      </c>
      <c r="J84" s="98">
        <f>VLOOKUP(B84,'Market Data'!$A$4:$F$100,6,0)*C84</f>
        <v>644.99017162464781</v>
      </c>
      <c r="K84" s="19">
        <f>VLOOKUP(B84,RTD!$A$2:$H$100,8,0)</f>
        <v>0.89</v>
      </c>
      <c r="L84" s="14">
        <f t="shared" si="13"/>
        <v>-8.1545835241611381E-3</v>
      </c>
      <c r="M84" s="19">
        <f>VLOOKUP(B84,RTD!$A$1:$H$196,7,0)</f>
        <v>0</v>
      </c>
      <c r="N84" s="98">
        <f>IF(M84=0,J84,IF(M84=0,C84,M84)*VLOOKUP(B84,'Market Data'!$A$4:$F$100,6,0))</f>
        <v>644.99017162464781</v>
      </c>
      <c r="O84" s="7" t="s">
        <v>138</v>
      </c>
      <c r="P84" s="14"/>
      <c r="Q84" s="13"/>
    </row>
    <row r="85" spans="1:17" x14ac:dyDescent="0.25">
      <c r="A85" s="2"/>
      <c r="B85" s="6" t="s">
        <v>140</v>
      </c>
      <c r="C85" s="19">
        <f>VLOOKUP(B85,RTD!$A$1:$H$196,2,0)</f>
        <v>23.119999999999994</v>
      </c>
      <c r="D85" s="19">
        <f>VLOOKUP(B85,RTD!$A$1:$H$196,3,0)</f>
        <v>23.389999999999997</v>
      </c>
      <c r="E85" s="19">
        <f>VLOOKUP(B85,RTD!$A$1:$H$196,4,0)</f>
        <v>23.5</v>
      </c>
      <c r="F85" s="19">
        <f>VLOOKUP(B85,RTD!$A$1:$H$196,5,0)</f>
        <v>23.1</v>
      </c>
      <c r="G85" s="19">
        <f>VLOOKUP(B85,RTD!$A$1:$H$196,6,0)</f>
        <v>23.13</v>
      </c>
      <c r="H85" s="19">
        <f t="shared" si="11"/>
        <v>23.115000000000002</v>
      </c>
      <c r="I85" s="14">
        <f t="shared" si="12"/>
        <v>-1.6382978723404218E-2</v>
      </c>
      <c r="J85" s="98">
        <f>VLOOKUP(B85,'Market Data'!$A$4:$F$100,6,0)*C85</f>
        <v>351.14291246329981</v>
      </c>
      <c r="K85" s="19">
        <f>VLOOKUP(B85,RTD!$A$2:$H$100,8,0)</f>
        <v>0.7</v>
      </c>
      <c r="L85" s="14">
        <f t="shared" si="13"/>
        <v>-1.1373791990979921E-2</v>
      </c>
      <c r="M85" s="19">
        <f>VLOOKUP(B85,RTD!$A$1:$H$196,7,0)</f>
        <v>0</v>
      </c>
      <c r="N85" s="98">
        <f>IF(M85=0,J85,IF(M85=0,C85,M85)*VLOOKUP(B85,'Market Data'!$A$4:$F$100,6,0))</f>
        <v>351.14291246329981</v>
      </c>
      <c r="O85" s="7" t="s">
        <v>140</v>
      </c>
      <c r="P85" s="14"/>
      <c r="Q85" s="13"/>
    </row>
    <row r="86" spans="1:17" x14ac:dyDescent="0.25">
      <c r="A86" s="2"/>
      <c r="B86" s="6" t="s">
        <v>142</v>
      </c>
      <c r="C86" s="19">
        <f>VLOOKUP(B86,RTD!$A$1:$H$196,2,0)</f>
        <v>59.660000000000025</v>
      </c>
      <c r="D86" s="19">
        <f>VLOOKUP(B86,RTD!$A$1:$H$196,3,0)</f>
        <v>59.39</v>
      </c>
      <c r="E86" s="19">
        <f>VLOOKUP(B86,RTD!$A$1:$H$196,4,0)</f>
        <v>59.32</v>
      </c>
      <c r="F86" s="19">
        <f>VLOOKUP(B86,RTD!$A$1:$H$196,5,0)</f>
        <v>59.660000000000004</v>
      </c>
      <c r="G86" s="19">
        <f>VLOOKUP(B86,RTD!$A$1:$H$196,6,0)</f>
        <v>59.74</v>
      </c>
      <c r="H86" s="19">
        <f t="shared" si="11"/>
        <v>59.7</v>
      </c>
      <c r="I86" s="14">
        <f t="shared" si="12"/>
        <v>6.4059339177344743E-3</v>
      </c>
      <c r="J86" s="98">
        <f>VLOOKUP(B86,'Market Data'!$A$4:$F$100,6,0)*C86</f>
        <v>2349.4984056535245</v>
      </c>
      <c r="K86" s="19">
        <f>VLOOKUP(B86,RTD!$A$2:$H$100,8,0)</f>
        <v>0.31</v>
      </c>
      <c r="L86" s="14">
        <f t="shared" si="13"/>
        <v>8.6242880420938067E-3</v>
      </c>
      <c r="M86" s="19">
        <f>VLOOKUP(B86,RTD!$A$1:$H$196,7,0)</f>
        <v>0</v>
      </c>
      <c r="N86" s="98">
        <f>IF(M86=0,J86,IF(M86=0,C86,M86)*VLOOKUP(B86,'Market Data'!$A$4:$F$100,6,0))</f>
        <v>2349.4984056535245</v>
      </c>
      <c r="O86" s="7" t="s">
        <v>142</v>
      </c>
      <c r="P86" s="14"/>
      <c r="Q86" s="13"/>
    </row>
    <row r="87" spans="1:17" x14ac:dyDescent="0.25">
      <c r="A87" s="2"/>
      <c r="B87" s="6" t="s">
        <v>144</v>
      </c>
      <c r="C87" s="19">
        <f>VLOOKUP(B87,RTD!$A$1:$H$196,2,0)</f>
        <v>36.250000000000021</v>
      </c>
      <c r="D87" s="19">
        <f>VLOOKUP(B87,RTD!$A$1:$H$196,3,0)</f>
        <v>36.17</v>
      </c>
      <c r="E87" s="19">
        <f>VLOOKUP(B87,RTD!$A$1:$H$196,4,0)</f>
        <v>36.11</v>
      </c>
      <c r="F87" s="19">
        <f>VLOOKUP(B87,RTD!$A$1:$H$196,5,0)</f>
        <v>36.26</v>
      </c>
      <c r="G87" s="19">
        <f>VLOOKUP(B87,RTD!$A$1:$H$196,6,0)</f>
        <v>36.28</v>
      </c>
      <c r="H87" s="19">
        <f t="shared" si="11"/>
        <v>36.269999999999996</v>
      </c>
      <c r="I87" s="14">
        <f t="shared" si="12"/>
        <v>4.4309055663249719E-3</v>
      </c>
      <c r="J87" s="98">
        <f>VLOOKUP(B87,'Market Data'!$A$4:$F$100,6,0)*C87</f>
        <v>430.42373722165445</v>
      </c>
      <c r="K87" s="19">
        <f>VLOOKUP(B87,RTD!$A$2:$H$100,8,0)</f>
        <v>0.21</v>
      </c>
      <c r="L87" s="14">
        <f t="shared" si="13"/>
        <v>5.9336615860522612E-3</v>
      </c>
      <c r="M87" s="19">
        <f>VLOOKUP(B87,RTD!$A$1:$H$196,7,0)</f>
        <v>0</v>
      </c>
      <c r="N87" s="98">
        <f>IF(M87=0,J87,IF(M87=0,C87,M87)*VLOOKUP(B87,'Market Data'!$A$4:$F$100,6,0))</f>
        <v>430.42373722165445</v>
      </c>
      <c r="O87" s="7" t="s">
        <v>144</v>
      </c>
      <c r="P87" s="14"/>
      <c r="Q87" s="13"/>
    </row>
    <row r="88" spans="1:17" x14ac:dyDescent="0.25">
      <c r="A88" s="2"/>
      <c r="B88" s="6" t="s">
        <v>146</v>
      </c>
      <c r="C88" s="19">
        <f>VLOOKUP(B88,RTD!$A$1:$H$196,2,0)</f>
        <v>12.319999999999999</v>
      </c>
      <c r="D88" s="19">
        <f>VLOOKUP(B88,RTD!$A$1:$H$196,3,0)</f>
        <v>12.3</v>
      </c>
      <c r="E88" s="19">
        <f>VLOOKUP(B88,RTD!$A$1:$H$196,4,0)</f>
        <v>12.43</v>
      </c>
      <c r="F88" s="19">
        <f>VLOOKUP(B88,RTD!$A$1:$H$196,5,0)</f>
        <v>12.32</v>
      </c>
      <c r="G88" s="19">
        <f>VLOOKUP(B88,RTD!$A$1:$H$196,6,0)</f>
        <v>12.34</v>
      </c>
      <c r="H88" s="19">
        <f t="shared" si="11"/>
        <v>12.33</v>
      </c>
      <c r="I88" s="14">
        <f t="shared" si="12"/>
        <v>-8.045052292839916E-3</v>
      </c>
      <c r="J88" s="98">
        <f>VLOOKUP(B88,'Market Data'!$A$4:$F$100,6,0)*C88</f>
        <v>541.10841025795344</v>
      </c>
      <c r="K88" s="19">
        <f>VLOOKUP(B88,RTD!$A$2:$H$100,8,0)</f>
        <v>0.56999999999999995</v>
      </c>
      <c r="L88" s="14">
        <f t="shared" si="13"/>
        <v>-3.9661430964372741E-3</v>
      </c>
      <c r="M88" s="19">
        <f>VLOOKUP(B88,RTD!$A$1:$H$196,7,0)</f>
        <v>0</v>
      </c>
      <c r="N88" s="98">
        <f>IF(M88=0,J88,IF(M88=0,C88,M88)*VLOOKUP(B88,'Market Data'!$A$4:$F$100,6,0))</f>
        <v>541.10841025795344</v>
      </c>
      <c r="O88" s="7" t="s">
        <v>146</v>
      </c>
      <c r="P88" s="14"/>
      <c r="Q88" s="13"/>
    </row>
    <row r="89" spans="1:17" x14ac:dyDescent="0.25">
      <c r="A89" s="2"/>
      <c r="B89" s="6" t="s">
        <v>148</v>
      </c>
      <c r="C89" s="19">
        <f>VLOOKUP(B89,RTD!$A$1:$H$196,2,0)</f>
        <v>24.539999999999974</v>
      </c>
      <c r="D89" s="19">
        <f>VLOOKUP(B89,RTD!$A$1:$H$196,3,0)</f>
        <v>24.919999999999998</v>
      </c>
      <c r="E89" s="19">
        <f>VLOOKUP(B89,RTD!$A$1:$H$196,4,0)</f>
        <v>25.1</v>
      </c>
      <c r="F89" s="19">
        <f>VLOOKUP(B89,RTD!$A$1:$H$196,5,0)</f>
        <v>24.55</v>
      </c>
      <c r="G89" s="19">
        <f>VLOOKUP(B89,RTD!$A$1:$H$196,6,0)</f>
        <v>24.580000000000002</v>
      </c>
      <c r="H89" s="19">
        <f t="shared" si="11"/>
        <v>24.565000000000001</v>
      </c>
      <c r="I89" s="14">
        <f t="shared" si="12"/>
        <v>-2.1314741035856621E-2</v>
      </c>
      <c r="J89" s="98">
        <f>VLOOKUP(B89,'Market Data'!$A$4:$F$100,6,0)*C89</f>
        <v>640.21152475944712</v>
      </c>
      <c r="K89" s="19">
        <f>VLOOKUP(B89,RTD!$A$2:$H$100,8,0)</f>
        <v>0.54</v>
      </c>
      <c r="L89" s="14">
        <f t="shared" si="13"/>
        <v>-1.7450511270843592E-2</v>
      </c>
      <c r="M89" s="19">
        <f>VLOOKUP(B89,RTD!$A$1:$H$196,7,0)</f>
        <v>0</v>
      </c>
      <c r="N89" s="98">
        <f>IF(M89=0,J89,IF(M89=0,C89,M89)*VLOOKUP(B89,'Market Data'!$A$4:$F$100,6,0))</f>
        <v>640.21152475944712</v>
      </c>
      <c r="O89" s="7" t="s">
        <v>148</v>
      </c>
      <c r="P89" s="14"/>
      <c r="Q89" s="13"/>
    </row>
    <row r="90" spans="1:17" x14ac:dyDescent="0.25">
      <c r="A90" s="2"/>
      <c r="B90" s="6" t="s">
        <v>150</v>
      </c>
      <c r="C90" s="19">
        <f>VLOOKUP(B90,RTD!$A$1:$H$196,2,0)</f>
        <v>12.810000000000002</v>
      </c>
      <c r="D90" s="19">
        <f>VLOOKUP(B90,RTD!$A$1:$H$196,3,0)</f>
        <v>12.950000000000001</v>
      </c>
      <c r="E90" s="19">
        <f>VLOOKUP(B90,RTD!$A$1:$H$196,4,0)</f>
        <v>12.950000000000001</v>
      </c>
      <c r="F90" s="19">
        <f>VLOOKUP(B90,RTD!$A$1:$H$196,5,0)</f>
        <v>12.8</v>
      </c>
      <c r="G90" s="19">
        <f>VLOOKUP(B90,RTD!$A$1:$H$196,6,0)</f>
        <v>12.83</v>
      </c>
      <c r="H90" s="19">
        <f t="shared" si="11"/>
        <v>12.815000000000001</v>
      </c>
      <c r="I90" s="14">
        <f t="shared" si="12"/>
        <v>-1.0424710424710382E-2</v>
      </c>
      <c r="J90" s="98">
        <f>VLOOKUP(B90,'Market Data'!$A$4:$F$100,6,0)*C90</f>
        <v>756.48848781318816</v>
      </c>
      <c r="K90" s="19">
        <f>VLOOKUP(B90,RTD!$A$2:$H$100,8,0)</f>
        <v>1.32</v>
      </c>
      <c r="L90" s="14">
        <f t="shared" si="13"/>
        <v>-9.7881544356741984E-4</v>
      </c>
      <c r="M90" s="19">
        <f>VLOOKUP(B90,RTD!$A$1:$H$196,7,0)</f>
        <v>0</v>
      </c>
      <c r="N90" s="98">
        <f>IF(M90=0,J90,IF(M90=0,C90,M90)*VLOOKUP(B90,'Market Data'!$A$4:$F$100,6,0))</f>
        <v>756.48848781318816</v>
      </c>
      <c r="O90" s="7" t="s">
        <v>150</v>
      </c>
      <c r="P90" s="14"/>
      <c r="Q90" s="13"/>
    </row>
    <row r="91" spans="1:17" x14ac:dyDescent="0.25">
      <c r="A91" s="2"/>
      <c r="B91" s="6" t="s">
        <v>152</v>
      </c>
      <c r="C91" s="19">
        <f>VLOOKUP(B91,RTD!$A$1:$H$196,2,0)</f>
        <v>14.37</v>
      </c>
      <c r="D91" s="19">
        <f>VLOOKUP(B91,RTD!$A$1:$H$196,3,0)</f>
        <v>14.32</v>
      </c>
      <c r="E91" s="19">
        <f>VLOOKUP(B91,RTD!$A$1:$H$196,4,0)</f>
        <v>14.680000000000001</v>
      </c>
      <c r="F91" s="19">
        <f>VLOOKUP(B91,RTD!$A$1:$H$196,5,0)</f>
        <v>14.36</v>
      </c>
      <c r="G91" s="19">
        <f>VLOOKUP(B91,RTD!$A$1:$H$196,6,0)</f>
        <v>14.370000000000001</v>
      </c>
      <c r="H91" s="19">
        <f t="shared" si="11"/>
        <v>14.365</v>
      </c>
      <c r="I91" s="14">
        <f t="shared" si="12"/>
        <v>-2.1457765667575068E-2</v>
      </c>
      <c r="J91" s="98">
        <f>VLOOKUP(B91,'Market Data'!$A$4:$F$100,6,0)*C91</f>
        <v>401.0446539346068</v>
      </c>
      <c r="K91" s="19">
        <f>VLOOKUP(B91,RTD!$A$2:$H$100,8,0)</f>
        <v>0.84</v>
      </c>
      <c r="L91" s="14">
        <f t="shared" si="13"/>
        <v>-1.5446741588665911E-2</v>
      </c>
      <c r="M91" s="19">
        <f>VLOOKUP(B91,RTD!$A$1:$H$196,7,0)</f>
        <v>0</v>
      </c>
      <c r="N91" s="98">
        <f>IF(M91=0,J91,IF(M91=0,C91,M91)*VLOOKUP(B91,'Market Data'!$A$4:$F$100,6,0))</f>
        <v>401.0446539346068</v>
      </c>
      <c r="O91" s="7" t="s">
        <v>152</v>
      </c>
      <c r="P91" s="14"/>
      <c r="Q91" s="13"/>
    </row>
    <row r="92" spans="1:17" x14ac:dyDescent="0.25">
      <c r="A92" s="2"/>
      <c r="B92" s="6" t="s">
        <v>154</v>
      </c>
      <c r="C92" s="19">
        <f>VLOOKUP(B92,RTD!$A$1:$H$196,2,0)</f>
        <v>82.61</v>
      </c>
      <c r="D92" s="19">
        <f>VLOOKUP(B92,RTD!$A$1:$H$196,3,0)</f>
        <v>82.49</v>
      </c>
      <c r="E92" s="19">
        <f>VLOOKUP(B92,RTD!$A$1:$H$196,4,0)</f>
        <v>84</v>
      </c>
      <c r="F92" s="19">
        <f>VLOOKUP(B92,RTD!$A$1:$H$196,5,0)</f>
        <v>82.59</v>
      </c>
      <c r="G92" s="19">
        <f>VLOOKUP(B92,RTD!$A$1:$H$196,6,0)</f>
        <v>82.61</v>
      </c>
      <c r="H92" s="19">
        <f t="shared" si="11"/>
        <v>82.6</v>
      </c>
      <c r="I92" s="14">
        <f t="shared" si="12"/>
        <v>-1.6666666666666718E-2</v>
      </c>
      <c r="J92" s="98">
        <f>VLOOKUP(B92,'Market Data'!$A$4:$F$100,6,0)*C92</f>
        <v>12733.331436231279</v>
      </c>
      <c r="K92" s="19">
        <f>VLOOKUP(B92,RTD!$A$2:$H$100,8,0)</f>
        <v>0.7</v>
      </c>
      <c r="L92" s="14">
        <f t="shared" si="13"/>
        <v>-1.1657479934242421E-2</v>
      </c>
      <c r="M92" s="19">
        <f>VLOOKUP(B92,RTD!$A$1:$H$196,7,0)</f>
        <v>0</v>
      </c>
      <c r="N92" s="98">
        <f>IF(M92=0,J92,IF(M92=0,C92,M92)*VLOOKUP(B92,'Market Data'!$A$4:$F$100,6,0))</f>
        <v>12733.331436231279</v>
      </c>
      <c r="O92" s="7" t="s">
        <v>154</v>
      </c>
      <c r="P92" s="14"/>
      <c r="Q92" s="13"/>
    </row>
    <row r="93" spans="1:17" x14ac:dyDescent="0.25">
      <c r="A93" s="2"/>
      <c r="B93" s="6" t="s">
        <v>262</v>
      </c>
      <c r="C93" s="19">
        <f>VLOOKUP(B93,RTD!$A$1:$H$196,2,0)</f>
        <v>46.290000000000013</v>
      </c>
      <c r="D93" s="19">
        <f>VLOOKUP(B93,RTD!$A$1:$H$196,3,0)</f>
        <v>46.230000000000004</v>
      </c>
      <c r="E93" s="19">
        <f>VLOOKUP(B93,RTD!$A$1:$H$196,4,0)</f>
        <v>46.660000000000004</v>
      </c>
      <c r="F93" s="19">
        <f>VLOOKUP(B93,RTD!$A$1:$H$196,5,0)</f>
        <v>46.25</v>
      </c>
      <c r="G93" s="19">
        <f>VLOOKUP(B93,RTD!$A$1:$H$196,6,0)</f>
        <v>46.300000000000004</v>
      </c>
      <c r="H93" s="19">
        <f t="shared" ref="H93:H95" si="14">(F93+G93)/2</f>
        <v>46.275000000000006</v>
      </c>
      <c r="I93" s="14">
        <f t="shared" ref="I93:I95" si="15">(H93/E93)-1</f>
        <v>-8.2511787398199532E-3</v>
      </c>
      <c r="J93" s="98">
        <f>VLOOKUP(B93,'Market Data'!$A$4:$F$100,6,0)*C93</f>
        <v>1117.0850103216537</v>
      </c>
      <c r="K93" s="19">
        <f>VLOOKUP(B93,RTD!$A$2:$H$100,8,0)</f>
        <v>0.43</v>
      </c>
      <c r="L93" s="14">
        <f>((($I$9*K93)-I93)*-1)</f>
        <v>-5.1741068899021705E-3</v>
      </c>
      <c r="M93" s="19">
        <f>VLOOKUP(B93,RTD!$A$1:$H$196,7,0)</f>
        <v>0</v>
      </c>
      <c r="N93" s="98">
        <f>IF(M93=0,J93,IF(M93=0,C93,M93)*VLOOKUP(B93,'Market Data'!$A$4:$F$100,6,0))</f>
        <v>1117.0850103216537</v>
      </c>
      <c r="O93" s="7" t="s">
        <v>262</v>
      </c>
      <c r="P93" s="14"/>
    </row>
    <row r="94" spans="1:17" x14ac:dyDescent="0.25">
      <c r="A94" s="2"/>
      <c r="B94" s="6" t="s">
        <v>157</v>
      </c>
      <c r="C94" s="19">
        <f>VLOOKUP(B94,RTD!$A$1:$H$196,2,0)</f>
        <v>0</v>
      </c>
      <c r="D94" s="19">
        <f>VLOOKUP(B94,RTD!$A$1:$H$196,3,0)</f>
        <v>0</v>
      </c>
      <c r="E94" s="19">
        <f>VLOOKUP(B94,RTD!$A$1:$H$196,4,0)</f>
        <v>0</v>
      </c>
      <c r="F94" s="19">
        <f>VLOOKUP(B94,RTD!$A$1:$H$196,5,0)</f>
        <v>0</v>
      </c>
      <c r="G94" s="19">
        <f>VLOOKUP(B94,RTD!$A$1:$H$196,6,0)</f>
        <v>0</v>
      </c>
      <c r="H94" s="19">
        <f t="shared" si="14"/>
        <v>0</v>
      </c>
      <c r="I94" s="14" t="e">
        <f t="shared" si="15"/>
        <v>#DIV/0!</v>
      </c>
      <c r="J94" s="98">
        <f>VLOOKUP(B94,'Market Data'!$A$4:$F$100,6,0)*C94</f>
        <v>0</v>
      </c>
      <c r="K94" s="19">
        <f>VLOOKUP(B94,RTD!$A$2:$H$100,8,0)</f>
        <v>1.18</v>
      </c>
      <c r="L94" s="14" t="e">
        <f>((($I$9*K94)-I94)*-1)</f>
        <v>#DIV/0!</v>
      </c>
      <c r="M94" s="19">
        <f>VLOOKUP(B94,RTD!$A$1:$H$196,7,0)</f>
        <v>0</v>
      </c>
      <c r="N94" s="98">
        <f>IF(M94=0,J94,IF(M94=0,C94,M94)*VLOOKUP(B94,'Market Data'!$A$4:$F$100,6,0))</f>
        <v>0</v>
      </c>
      <c r="O94" s="7" t="s">
        <v>157</v>
      </c>
      <c r="P94" s="14"/>
    </row>
    <row r="95" spans="1:17" x14ac:dyDescent="0.25">
      <c r="B95" s="6" t="s">
        <v>159</v>
      </c>
      <c r="C95" s="19">
        <f>VLOOKUP(B95,RTD!$A$1:$H$196,2,0)</f>
        <v>29.16999999999998</v>
      </c>
      <c r="D95" s="19">
        <f>VLOOKUP(B95,RTD!$A$1:$H$196,3,0)</f>
        <v>29.31</v>
      </c>
      <c r="E95" s="19">
        <f>VLOOKUP(B95,RTD!$A$1:$H$196,4,0)</f>
        <v>29.41</v>
      </c>
      <c r="F95" s="19">
        <f>VLOOKUP(B95,RTD!$A$1:$H$196,5,0)</f>
        <v>29.150000000000002</v>
      </c>
      <c r="G95" s="19">
        <f>VLOOKUP(B95,RTD!$A$1:$H$196,6,0)</f>
        <v>29.17</v>
      </c>
      <c r="H95" s="19">
        <f t="shared" si="14"/>
        <v>29.160000000000004</v>
      </c>
      <c r="I95" s="14">
        <f t="shared" si="15"/>
        <v>-8.5005100306017045E-3</v>
      </c>
      <c r="J95" s="98">
        <f>VLOOKUP(B95,'Market Data'!$A$4:$F$100,6,0)*C95</f>
        <v>1174.471414889071</v>
      </c>
      <c r="K95" s="19">
        <f>VLOOKUP(B95,RTD!$A$2:$H$100,8,0)</f>
        <v>0.8</v>
      </c>
      <c r="L95" s="14">
        <f t="shared" ref="L93:L95" si="16">((($I$9*K95)-I95)*-1)</f>
        <v>-2.7757251935453635E-3</v>
      </c>
      <c r="M95" s="19">
        <f>VLOOKUP(B95,RTD!$A$1:$H$196,7,0)</f>
        <v>0</v>
      </c>
      <c r="N95" s="98">
        <f>IF(M95=0,J95,IF(M95=0,C95,M95)*VLOOKUP(B95,'Market Data'!$A$4:$F$100,6,0))</f>
        <v>1174.471414889071</v>
      </c>
      <c r="O95" s="7" t="s">
        <v>159</v>
      </c>
      <c r="P95" s="14"/>
    </row>
    <row r="96" spans="1:17" x14ac:dyDescent="0.25">
      <c r="B96" s="7"/>
      <c r="C96" s="7"/>
      <c r="D96" s="19"/>
      <c r="E96" s="19"/>
      <c r="F96" s="19"/>
      <c r="G96" s="19"/>
      <c r="H96" s="19"/>
      <c r="I96" s="14"/>
      <c r="J96" s="98"/>
      <c r="K96" s="19"/>
      <c r="L96" s="14"/>
      <c r="M96" s="14"/>
      <c r="N96" s="14"/>
      <c r="O96" s="14"/>
      <c r="P96" s="14"/>
    </row>
    <row r="97" spans="2:16" x14ac:dyDescent="0.25">
      <c r="B97" s="7"/>
      <c r="C97" s="7"/>
      <c r="D97" s="19"/>
      <c r="E97" s="19"/>
      <c r="F97" s="19"/>
      <c r="G97" s="19"/>
      <c r="H97" s="19"/>
      <c r="I97" s="14"/>
      <c r="J97" s="98"/>
      <c r="K97" s="19"/>
      <c r="L97" s="14"/>
      <c r="M97" s="14"/>
      <c r="N97" s="14"/>
      <c r="O97" s="14"/>
      <c r="P97" s="14"/>
    </row>
    <row r="98" spans="2:16" x14ac:dyDescent="0.25">
      <c r="B98" s="7"/>
      <c r="C98" s="7"/>
      <c r="D98" s="19"/>
      <c r="E98" s="19"/>
      <c r="F98" s="19"/>
      <c r="G98" s="19"/>
      <c r="H98" s="19"/>
      <c r="I98" s="14"/>
      <c r="J98" s="98"/>
      <c r="K98" s="19"/>
      <c r="L98" s="14"/>
      <c r="M98" s="14"/>
      <c r="N98" s="14"/>
      <c r="O98" s="14"/>
      <c r="P98" s="14"/>
    </row>
    <row r="99" spans="2:16" x14ac:dyDescent="0.25">
      <c r="B99" s="7"/>
      <c r="C99" s="7"/>
      <c r="D99" s="19"/>
      <c r="E99" s="19"/>
      <c r="F99" s="19"/>
      <c r="G99" s="19"/>
      <c r="H99" s="19"/>
      <c r="I99" s="14"/>
      <c r="J99" s="98"/>
      <c r="K99" s="19"/>
      <c r="L99" s="14"/>
      <c r="M99" s="14"/>
      <c r="N99" s="14"/>
      <c r="O99" s="14"/>
      <c r="P99" s="14"/>
    </row>
    <row r="100" spans="2:16" x14ac:dyDescent="0.25">
      <c r="B100" s="7"/>
      <c r="C100" s="7"/>
      <c r="D100" s="19"/>
      <c r="E100" s="19"/>
      <c r="F100" s="19"/>
      <c r="G100" s="19"/>
      <c r="H100" s="19"/>
      <c r="I100" s="14"/>
      <c r="J100" s="98"/>
      <c r="K100" s="19"/>
      <c r="L100" s="14"/>
      <c r="M100" s="14"/>
      <c r="N100" s="14"/>
      <c r="O100" s="14"/>
      <c r="P100" s="14"/>
    </row>
    <row r="101" spans="2:16" x14ac:dyDescent="0.25">
      <c r="B101" s="7"/>
      <c r="C101" s="7"/>
      <c r="D101" s="19"/>
      <c r="E101" s="19"/>
      <c r="F101" s="19"/>
      <c r="G101" s="19"/>
      <c r="H101" s="19"/>
      <c r="I101" s="14"/>
      <c r="J101" s="98"/>
      <c r="K101" s="19"/>
      <c r="L101" s="14"/>
      <c r="M101" s="14"/>
      <c r="N101" s="14"/>
      <c r="O101" s="14"/>
      <c r="P101" s="14"/>
    </row>
    <row r="102" spans="2:16" x14ac:dyDescent="0.25">
      <c r="B102" s="7"/>
      <c r="C102" s="7"/>
      <c r="D102" s="19"/>
      <c r="E102" s="19"/>
      <c r="F102" s="19"/>
      <c r="G102" s="19"/>
      <c r="H102" s="19"/>
      <c r="I102" s="14"/>
      <c r="J102" s="98"/>
      <c r="K102" s="19"/>
      <c r="L102" s="14"/>
      <c r="M102" s="14"/>
      <c r="N102" s="14"/>
      <c r="O102" s="14"/>
      <c r="P102" s="14"/>
    </row>
    <row r="103" spans="2:16" x14ac:dyDescent="0.25">
      <c r="B103" s="7"/>
      <c r="C103" s="7"/>
      <c r="D103" s="19"/>
      <c r="E103" s="19"/>
      <c r="F103" s="19"/>
      <c r="G103" s="19"/>
      <c r="H103" s="19"/>
      <c r="I103" s="14"/>
      <c r="J103" s="98"/>
      <c r="K103" s="19"/>
      <c r="L103" s="14"/>
      <c r="M103" s="14"/>
      <c r="N103" s="14"/>
      <c r="O103" s="14"/>
      <c r="P103" s="14"/>
    </row>
    <row r="104" spans="2:16" x14ac:dyDescent="0.25">
      <c r="B104" s="7"/>
      <c r="C104" s="7"/>
      <c r="D104" s="19"/>
      <c r="E104" s="19"/>
      <c r="F104" s="19"/>
      <c r="G104" s="19"/>
      <c r="H104" s="19"/>
      <c r="I104" s="14"/>
      <c r="J104" s="98"/>
      <c r="K104" s="19"/>
      <c r="L104" s="14"/>
      <c r="M104" s="14"/>
      <c r="N104" s="14"/>
      <c r="O104" s="14"/>
      <c r="P104" s="14"/>
    </row>
    <row r="105" spans="2:16" x14ac:dyDescent="0.25">
      <c r="B105" s="7"/>
      <c r="C105" s="7"/>
      <c r="D105" s="19"/>
      <c r="E105" s="19"/>
      <c r="F105" s="19"/>
      <c r="G105" s="19"/>
      <c r="H105" s="19"/>
      <c r="I105" s="14"/>
      <c r="J105" s="98"/>
      <c r="K105" s="19"/>
      <c r="L105" s="14"/>
      <c r="M105" s="14"/>
      <c r="N105" s="14"/>
      <c r="O105" s="14"/>
      <c r="P105" s="14"/>
    </row>
    <row r="106" spans="2:16" x14ac:dyDescent="0.25">
      <c r="B106" s="7"/>
      <c r="C106" s="7"/>
      <c r="D106" s="19"/>
      <c r="E106" s="19"/>
      <c r="F106" s="19"/>
      <c r="G106" s="19"/>
      <c r="H106" s="19"/>
      <c r="I106" s="14"/>
      <c r="J106" s="98"/>
      <c r="K106" s="19"/>
      <c r="L106" s="14"/>
      <c r="M106" s="14"/>
      <c r="N106" s="14"/>
      <c r="O106" s="14"/>
      <c r="P106" s="14"/>
    </row>
    <row r="107" spans="2:16" x14ac:dyDescent="0.25">
      <c r="B107" s="7"/>
      <c r="C107" s="7"/>
      <c r="D107" s="19"/>
      <c r="E107" s="19"/>
      <c r="F107" s="19"/>
      <c r="G107" s="19"/>
      <c r="H107" s="19"/>
      <c r="I107" s="14"/>
      <c r="J107" s="98"/>
      <c r="K107" s="19"/>
      <c r="L107" s="14"/>
      <c r="M107" s="14"/>
      <c r="N107" s="14"/>
      <c r="O107" s="14"/>
      <c r="P107" s="14"/>
    </row>
    <row r="108" spans="2:16" x14ac:dyDescent="0.25">
      <c r="B108" s="7"/>
      <c r="C108" s="7"/>
      <c r="D108" s="19"/>
      <c r="E108" s="19"/>
      <c r="F108" s="19"/>
      <c r="G108" s="19"/>
      <c r="H108" s="19"/>
      <c r="I108" s="14"/>
      <c r="J108" s="98"/>
      <c r="K108" s="19"/>
      <c r="L108" s="14"/>
      <c r="M108" s="14"/>
      <c r="N108" s="14"/>
      <c r="O108" s="14"/>
      <c r="P108" s="14"/>
    </row>
    <row r="109" spans="2:16" x14ac:dyDescent="0.25">
      <c r="B109" s="7"/>
      <c r="C109" s="7"/>
      <c r="D109" s="19"/>
      <c r="E109" s="19"/>
      <c r="F109" s="19"/>
      <c r="G109" s="19"/>
      <c r="H109" s="19"/>
      <c r="I109" s="14"/>
      <c r="J109" s="98"/>
      <c r="K109" s="19"/>
      <c r="L109" s="14"/>
      <c r="M109" s="14"/>
      <c r="N109" s="14"/>
      <c r="O109" s="14"/>
      <c r="P109" s="14"/>
    </row>
    <row r="110" spans="2:16" x14ac:dyDescent="0.25">
      <c r="B110" s="7"/>
      <c r="C110" s="7"/>
      <c r="D110" s="19"/>
      <c r="E110" s="19"/>
      <c r="F110" s="19"/>
      <c r="G110" s="19"/>
      <c r="H110" s="19"/>
      <c r="I110" s="14"/>
      <c r="J110" s="98"/>
      <c r="K110" s="19"/>
      <c r="L110" s="14"/>
      <c r="M110" s="14"/>
      <c r="N110" s="14"/>
      <c r="O110" s="14"/>
      <c r="P110" s="14"/>
    </row>
    <row r="111" spans="2:16" x14ac:dyDescent="0.25">
      <c r="B111" s="7"/>
      <c r="C111" s="7"/>
      <c r="D111" s="19"/>
      <c r="E111" s="19"/>
      <c r="F111" s="19"/>
      <c r="G111" s="19"/>
      <c r="H111" s="19"/>
      <c r="I111" s="14"/>
      <c r="J111" s="98"/>
      <c r="K111" s="19"/>
      <c r="L111" s="14"/>
      <c r="M111" s="14"/>
      <c r="N111" s="14"/>
      <c r="O111" s="14"/>
      <c r="P111" s="14"/>
    </row>
    <row r="112" spans="2:16" x14ac:dyDescent="0.25">
      <c r="B112" s="7"/>
      <c r="C112" s="7"/>
      <c r="D112" s="19"/>
      <c r="E112" s="19"/>
      <c r="F112" s="19"/>
      <c r="G112" s="19"/>
      <c r="H112" s="19"/>
      <c r="I112" s="14"/>
      <c r="J112" s="14"/>
      <c r="K112" s="19"/>
      <c r="L112" s="14"/>
      <c r="M112" s="14"/>
      <c r="N112" s="14"/>
      <c r="O112" s="14"/>
      <c r="P112" s="14"/>
    </row>
    <row r="113" spans="2:16" x14ac:dyDescent="0.25">
      <c r="B113" s="7"/>
      <c r="C113" s="7"/>
      <c r="D113" s="19"/>
      <c r="E113" s="19"/>
      <c r="F113" s="19"/>
      <c r="G113" s="19"/>
      <c r="H113" s="19"/>
      <c r="I113" s="14"/>
      <c r="J113" s="14"/>
      <c r="K113" s="19"/>
      <c r="L113" s="14"/>
      <c r="M113" s="14"/>
      <c r="N113" s="14"/>
      <c r="O113" s="14"/>
      <c r="P113" s="14"/>
    </row>
    <row r="114" spans="2:16" x14ac:dyDescent="0.25">
      <c r="B114" s="7"/>
      <c r="C114" s="7"/>
      <c r="D114" s="19"/>
      <c r="E114" s="19"/>
      <c r="F114" s="19"/>
      <c r="G114" s="19"/>
      <c r="H114" s="19"/>
      <c r="I114" s="14"/>
      <c r="J114" s="14"/>
      <c r="K114" s="19"/>
      <c r="L114" s="14"/>
      <c r="M114" s="14"/>
      <c r="N114" s="14"/>
      <c r="O114" s="14"/>
      <c r="P114" s="14"/>
    </row>
    <row r="115" spans="2:16" x14ac:dyDescent="0.25">
      <c r="L115" s="16"/>
      <c r="M115" s="16"/>
      <c r="N115" s="16"/>
      <c r="O115" s="16"/>
      <c r="P115" s="16"/>
    </row>
    <row r="116" spans="2:16" x14ac:dyDescent="0.25">
      <c r="L116" s="16"/>
      <c r="M116" s="16"/>
      <c r="N116" s="16"/>
      <c r="O116" s="16"/>
      <c r="P116" s="16"/>
    </row>
    <row r="117" spans="2:16" x14ac:dyDescent="0.25">
      <c r="L117" s="16"/>
      <c r="M117" s="16"/>
      <c r="N117" s="16"/>
      <c r="O117" s="16"/>
      <c r="P117" s="16"/>
    </row>
    <row r="118" spans="2:16" x14ac:dyDescent="0.25">
      <c r="L118" s="16"/>
      <c r="M118" s="16"/>
      <c r="N118" s="16"/>
      <c r="O118" s="16"/>
      <c r="P118" s="16"/>
    </row>
    <row r="119" spans="2:16" x14ac:dyDescent="0.25">
      <c r="L119" s="16"/>
      <c r="M119" s="16"/>
      <c r="N119" s="16"/>
      <c r="O119" s="16"/>
      <c r="P119" s="16"/>
    </row>
    <row r="120" spans="2:16" x14ac:dyDescent="0.25">
      <c r="L120" s="16"/>
      <c r="M120" s="16"/>
      <c r="N120" s="16"/>
      <c r="O120" s="16"/>
      <c r="P120" s="16"/>
    </row>
    <row r="121" spans="2:16" x14ac:dyDescent="0.25">
      <c r="L121" s="16"/>
      <c r="M121" s="16"/>
      <c r="N121" s="16"/>
      <c r="O121" s="16"/>
      <c r="P121" s="16"/>
    </row>
    <row r="122" spans="2:16" x14ac:dyDescent="0.25">
      <c r="L122" s="16"/>
      <c r="M122" s="16"/>
      <c r="N122" s="16"/>
      <c r="O122" s="16"/>
      <c r="P122" s="16"/>
    </row>
    <row r="123" spans="2:16" x14ac:dyDescent="0.25">
      <c r="L123" s="16"/>
      <c r="M123" s="16"/>
      <c r="N123" s="16"/>
      <c r="O123" s="16"/>
      <c r="P123" s="16"/>
    </row>
    <row r="124" spans="2:16" x14ac:dyDescent="0.25">
      <c r="L124" s="16"/>
      <c r="M124" s="16"/>
      <c r="N124" s="16"/>
      <c r="O124" s="16"/>
      <c r="P124" s="16"/>
    </row>
    <row r="125" spans="2:16" x14ac:dyDescent="0.25">
      <c r="L125" s="16"/>
      <c r="M125" s="16"/>
      <c r="N125" s="16"/>
      <c r="O125" s="16"/>
      <c r="P125" s="16"/>
    </row>
    <row r="126" spans="2:16" x14ac:dyDescent="0.25">
      <c r="L126" s="16"/>
      <c r="M126" s="16"/>
      <c r="N126" s="16"/>
      <c r="O126" s="16"/>
      <c r="P126" s="16"/>
    </row>
    <row r="127" spans="2:16" x14ac:dyDescent="0.25">
      <c r="L127" s="16"/>
      <c r="M127" s="16"/>
      <c r="N127" s="16"/>
      <c r="O127" s="16"/>
      <c r="P127" s="16"/>
    </row>
    <row r="128" spans="2:16" x14ac:dyDescent="0.25">
      <c r="L128" s="16"/>
      <c r="M128" s="16"/>
      <c r="N128" s="16"/>
      <c r="O128" s="16"/>
      <c r="P128" s="16"/>
    </row>
    <row r="129" spans="12:16" x14ac:dyDescent="0.25">
      <c r="L129" s="16"/>
      <c r="M129" s="16"/>
      <c r="N129" s="16"/>
      <c r="O129" s="16"/>
      <c r="P129" s="16"/>
    </row>
    <row r="130" spans="12:16" x14ac:dyDescent="0.25">
      <c r="L130" s="16"/>
      <c r="M130" s="16"/>
      <c r="N130" s="16"/>
      <c r="O130" s="16"/>
      <c r="P130" s="16"/>
    </row>
    <row r="131" spans="12:16" x14ac:dyDescent="0.25">
      <c r="L131" s="16"/>
      <c r="M131" s="16"/>
      <c r="N131" s="16"/>
      <c r="O131" s="16"/>
      <c r="P131" s="16"/>
    </row>
    <row r="132" spans="12:16" x14ac:dyDescent="0.25">
      <c r="L132" s="16"/>
      <c r="M132" s="16"/>
      <c r="N132" s="16"/>
      <c r="O132" s="16"/>
      <c r="P132" s="16"/>
    </row>
    <row r="133" spans="12:16" x14ac:dyDescent="0.25">
      <c r="L133" s="16"/>
      <c r="M133" s="16"/>
      <c r="N133" s="16"/>
      <c r="O133" s="16"/>
      <c r="P133" s="16"/>
    </row>
    <row r="134" spans="12:16" x14ac:dyDescent="0.25">
      <c r="L134" s="16"/>
      <c r="M134" s="16"/>
      <c r="N134" s="16"/>
      <c r="O134" s="16"/>
      <c r="P134" s="16"/>
    </row>
    <row r="135" spans="12:16" x14ac:dyDescent="0.25">
      <c r="L135" s="16"/>
      <c r="M135" s="16"/>
      <c r="N135" s="16"/>
      <c r="O135" s="16"/>
      <c r="P135" s="16"/>
    </row>
    <row r="136" spans="12:16" x14ac:dyDescent="0.25">
      <c r="L136" s="16"/>
      <c r="M136" s="16"/>
      <c r="N136" s="16"/>
      <c r="O136" s="16"/>
      <c r="P136" s="16"/>
    </row>
    <row r="137" spans="12:16" x14ac:dyDescent="0.25">
      <c r="L137" s="16"/>
      <c r="M137" s="16"/>
      <c r="N137" s="16"/>
      <c r="O137" s="16"/>
      <c r="P137" s="16"/>
    </row>
    <row r="138" spans="12:16" x14ac:dyDescent="0.25">
      <c r="L138" s="16"/>
      <c r="M138" s="16"/>
      <c r="N138" s="16"/>
      <c r="O138" s="16"/>
      <c r="P138" s="16"/>
    </row>
    <row r="139" spans="12:16" x14ac:dyDescent="0.25">
      <c r="L139" s="16"/>
      <c r="M139" s="16"/>
      <c r="N139" s="16"/>
      <c r="O139" s="16"/>
      <c r="P139" s="16"/>
    </row>
    <row r="140" spans="12:16" x14ac:dyDescent="0.25">
      <c r="L140" s="16"/>
      <c r="M140" s="16"/>
      <c r="N140" s="16"/>
      <c r="O140" s="16"/>
      <c r="P140" s="16"/>
    </row>
    <row r="141" spans="12:16" x14ac:dyDescent="0.25">
      <c r="L141" s="16"/>
      <c r="M141" s="16"/>
      <c r="N141" s="16"/>
      <c r="O141" s="16"/>
      <c r="P141" s="16"/>
    </row>
    <row r="142" spans="12:16" x14ac:dyDescent="0.25">
      <c r="L142" s="16"/>
      <c r="M142" s="16"/>
      <c r="N142" s="16"/>
      <c r="O142" s="16"/>
      <c r="P142" s="16"/>
    </row>
    <row r="143" spans="12:16" x14ac:dyDescent="0.25">
      <c r="L143" s="16"/>
      <c r="M143" s="16"/>
      <c r="N143" s="16"/>
      <c r="O143" s="16"/>
      <c r="P143" s="16"/>
    </row>
    <row r="144" spans="12:16" x14ac:dyDescent="0.25">
      <c r="L144" s="16"/>
      <c r="M144" s="16"/>
      <c r="N144" s="16"/>
      <c r="O144" s="16"/>
      <c r="P144" s="16"/>
    </row>
    <row r="145" spans="12:16" x14ac:dyDescent="0.25">
      <c r="L145" s="16"/>
      <c r="M145" s="16"/>
      <c r="N145" s="16"/>
      <c r="O145" s="16"/>
      <c r="P145" s="16"/>
    </row>
    <row r="146" spans="12:16" x14ac:dyDescent="0.25">
      <c r="L146" s="16"/>
      <c r="M146" s="16"/>
      <c r="N146" s="16"/>
      <c r="O146" s="16"/>
      <c r="P146" s="16"/>
    </row>
    <row r="147" spans="12:16" x14ac:dyDescent="0.25">
      <c r="L147" s="16"/>
      <c r="M147" s="16"/>
      <c r="N147" s="16"/>
      <c r="O147" s="16"/>
      <c r="P147" s="16"/>
    </row>
    <row r="148" spans="12:16" x14ac:dyDescent="0.25">
      <c r="L148" s="16"/>
      <c r="M148" s="16"/>
      <c r="N148" s="16"/>
      <c r="O148" s="16"/>
      <c r="P148" s="16"/>
    </row>
    <row r="149" spans="12:16" x14ac:dyDescent="0.25">
      <c r="L149" s="16"/>
      <c r="M149" s="16"/>
      <c r="N149" s="16"/>
      <c r="O149" s="16"/>
      <c r="P149" s="16"/>
    </row>
    <row r="150" spans="12:16" x14ac:dyDescent="0.25">
      <c r="L150" s="16"/>
      <c r="M150" s="16"/>
      <c r="N150" s="16"/>
      <c r="O150" s="16"/>
      <c r="P150" s="16"/>
    </row>
    <row r="151" spans="12:16" x14ac:dyDescent="0.25">
      <c r="L151" s="16"/>
      <c r="M151" s="16"/>
      <c r="N151" s="16"/>
      <c r="O151" s="16"/>
      <c r="P151" s="16"/>
    </row>
    <row r="152" spans="12:16" x14ac:dyDescent="0.25">
      <c r="L152" s="16"/>
      <c r="M152" s="16"/>
      <c r="N152" s="16"/>
      <c r="O152" s="16"/>
      <c r="P152" s="16"/>
    </row>
    <row r="153" spans="12:16" x14ac:dyDescent="0.25">
      <c r="L153" s="16"/>
      <c r="M153" s="16"/>
      <c r="N153" s="16"/>
      <c r="O153" s="16"/>
      <c r="P153" s="16"/>
    </row>
    <row r="154" spans="12:16" x14ac:dyDescent="0.25">
      <c r="L154" s="16"/>
      <c r="M154" s="16"/>
      <c r="N154" s="16"/>
      <c r="O154" s="16"/>
      <c r="P154" s="16"/>
    </row>
    <row r="155" spans="12:16" x14ac:dyDescent="0.25">
      <c r="L155" s="16"/>
      <c r="M155" s="16"/>
      <c r="N155" s="16"/>
      <c r="O155" s="16"/>
      <c r="P155" s="16"/>
    </row>
    <row r="156" spans="12:16" x14ac:dyDescent="0.25">
      <c r="L156" s="16"/>
      <c r="M156" s="16"/>
      <c r="N156" s="16"/>
      <c r="O156" s="16"/>
      <c r="P156" s="16"/>
    </row>
    <row r="157" spans="12:16" x14ac:dyDescent="0.25">
      <c r="L157" s="16"/>
      <c r="M157" s="16"/>
      <c r="N157" s="16"/>
      <c r="O157" s="16"/>
      <c r="P157" s="16"/>
    </row>
    <row r="158" spans="12:16" x14ac:dyDescent="0.25">
      <c r="L158" s="16"/>
      <c r="M158" s="16"/>
      <c r="N158" s="16"/>
      <c r="O158" s="16"/>
      <c r="P158" s="16"/>
    </row>
    <row r="159" spans="12:16" x14ac:dyDescent="0.25">
      <c r="L159" s="16"/>
      <c r="M159" s="16"/>
      <c r="N159" s="16"/>
      <c r="O159" s="16"/>
      <c r="P159" s="16"/>
    </row>
    <row r="160" spans="12:16" x14ac:dyDescent="0.25">
      <c r="L160" s="16"/>
      <c r="M160" s="16"/>
      <c r="N160" s="16"/>
      <c r="O160" s="16"/>
      <c r="P160" s="16"/>
    </row>
    <row r="161" spans="12:16" x14ac:dyDescent="0.25">
      <c r="L161" s="16"/>
      <c r="M161" s="16"/>
      <c r="N161" s="16"/>
      <c r="O161" s="16"/>
      <c r="P161" s="16"/>
    </row>
    <row r="162" spans="12:16" x14ac:dyDescent="0.25">
      <c r="L162" s="16"/>
      <c r="M162" s="16"/>
      <c r="N162" s="16"/>
      <c r="O162" s="16"/>
      <c r="P162" s="16"/>
    </row>
    <row r="163" spans="12:16" x14ac:dyDescent="0.25">
      <c r="L163" s="16"/>
      <c r="M163" s="16"/>
      <c r="N163" s="16"/>
      <c r="O163" s="16"/>
      <c r="P163" s="16"/>
    </row>
    <row r="164" spans="12:16" x14ac:dyDescent="0.25">
      <c r="L164" s="16"/>
      <c r="M164" s="16"/>
      <c r="N164" s="16"/>
      <c r="O164" s="16"/>
      <c r="P164" s="16"/>
    </row>
    <row r="165" spans="12:16" x14ac:dyDescent="0.25">
      <c r="L165" s="16"/>
      <c r="M165" s="16"/>
      <c r="N165" s="16"/>
      <c r="O165" s="16"/>
      <c r="P165" s="16"/>
    </row>
    <row r="166" spans="12:16" x14ac:dyDescent="0.25">
      <c r="L166" s="16"/>
      <c r="M166" s="16"/>
      <c r="N166" s="16"/>
      <c r="O166" s="16"/>
      <c r="P166" s="16"/>
    </row>
    <row r="167" spans="12:16" x14ac:dyDescent="0.25">
      <c r="L167" s="16"/>
      <c r="M167" s="16"/>
      <c r="N167" s="16"/>
      <c r="O167" s="16"/>
      <c r="P167" s="16"/>
    </row>
    <row r="168" spans="12:16" x14ac:dyDescent="0.25">
      <c r="L168" s="16"/>
      <c r="M168" s="16"/>
      <c r="N168" s="16"/>
      <c r="O168" s="16"/>
      <c r="P168" s="16"/>
    </row>
    <row r="169" spans="12:16" x14ac:dyDescent="0.25">
      <c r="L169" s="16"/>
      <c r="M169" s="16"/>
      <c r="N169" s="16"/>
      <c r="O169" s="16"/>
      <c r="P169" s="16"/>
    </row>
    <row r="170" spans="12:16" x14ac:dyDescent="0.25">
      <c r="L170" s="16"/>
      <c r="M170" s="16"/>
      <c r="N170" s="16"/>
      <c r="O170" s="16"/>
      <c r="P170" s="16"/>
    </row>
    <row r="171" spans="12:16" x14ac:dyDescent="0.25">
      <c r="L171" s="16"/>
      <c r="M171" s="16"/>
      <c r="N171" s="16"/>
      <c r="O171" s="16"/>
      <c r="P171" s="16"/>
    </row>
    <row r="172" spans="12:16" x14ac:dyDescent="0.25">
      <c r="L172" s="16"/>
      <c r="M172" s="16"/>
      <c r="N172" s="16"/>
      <c r="O172" s="16"/>
      <c r="P172" s="16"/>
    </row>
  </sheetData>
  <phoneticPr fontId="36" type="noConversion"/>
  <conditionalFormatting sqref="U6:DT7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9370E-06D0-4DE0-A177-C104A4555939}">
  <sheetPr codeName="Planilha2"/>
  <dimension ref="A1:F84"/>
  <sheetViews>
    <sheetView topLeftCell="A16" workbookViewId="0">
      <selection activeCell="C19" sqref="C19"/>
    </sheetView>
  </sheetViews>
  <sheetFormatPr defaultColWidth="8.7109375" defaultRowHeight="15" x14ac:dyDescent="0.25"/>
  <cols>
    <col min="1" max="1" width="29" style="7" bestFit="1" customWidth="1"/>
    <col min="2" max="2" width="18" style="7" bestFit="1" customWidth="1"/>
    <col min="3" max="3" width="13.140625" style="7" bestFit="1" customWidth="1"/>
    <col min="4" max="4" width="17.5703125" style="7" bestFit="1" customWidth="1"/>
    <col min="5" max="5" width="9.140625" style="7" bestFit="1" customWidth="1"/>
    <col min="6" max="6" width="9.28515625" style="7" bestFit="1" customWidth="1"/>
    <col min="7" max="16384" width="8.7109375" style="7"/>
  </cols>
  <sheetData>
    <row r="1" spans="1:6" ht="15.75" thickBot="1" x14ac:dyDescent="0.3">
      <c r="A1" s="92" t="s">
        <v>217</v>
      </c>
      <c r="B1" s="93" t="s">
        <v>0</v>
      </c>
      <c r="C1" s="93" t="s">
        <v>1</v>
      </c>
      <c r="D1" s="93" t="s">
        <v>2</v>
      </c>
      <c r="E1" s="94" t="s">
        <v>3</v>
      </c>
    </row>
    <row r="2" spans="1:6" ht="29.1" customHeight="1" x14ac:dyDescent="0.25">
      <c r="A2" s="142" t="s">
        <v>162</v>
      </c>
      <c r="B2" s="185"/>
      <c r="C2" s="185"/>
      <c r="D2" s="141">
        <v>74813385730</v>
      </c>
      <c r="E2" s="187">
        <v>100</v>
      </c>
    </row>
    <row r="3" spans="1:6" ht="18.75" thickBot="1" x14ac:dyDescent="0.4">
      <c r="A3" s="143" t="s">
        <v>163</v>
      </c>
      <c r="B3" s="186"/>
      <c r="C3" s="186"/>
      <c r="D3" s="155">
        <v>18407674.222715698</v>
      </c>
      <c r="E3" s="188"/>
      <c r="F3" s="146"/>
    </row>
    <row r="4" spans="1:6" ht="19.5" thickBot="1" x14ac:dyDescent="0.4">
      <c r="A4" s="158" t="s">
        <v>4</v>
      </c>
      <c r="B4" s="159" t="s">
        <v>5</v>
      </c>
      <c r="C4" s="159" t="s">
        <v>6</v>
      </c>
      <c r="D4" s="160">
        <v>4355174839</v>
      </c>
      <c r="E4" s="161">
        <v>2.9529999999999998</v>
      </c>
      <c r="F4" s="99">
        <f>(D4/$D$3)</f>
        <v>236.59560606660267</v>
      </c>
    </row>
    <row r="5" spans="1:6" ht="19.5" thickBot="1" x14ac:dyDescent="0.4">
      <c r="A5" s="162" t="s">
        <v>272</v>
      </c>
      <c r="B5" s="156" t="s">
        <v>273</v>
      </c>
      <c r="C5" s="156" t="s">
        <v>8</v>
      </c>
      <c r="D5" s="157">
        <v>157635935</v>
      </c>
      <c r="E5" s="163">
        <v>0.55400000000000005</v>
      </c>
      <c r="F5" s="99">
        <f t="shared" ref="F5:F68" si="0">(D5/$D$3)</f>
        <v>8.5635986976275298</v>
      </c>
    </row>
    <row r="6" spans="1:6" ht="19.5" thickBot="1" x14ac:dyDescent="0.4">
      <c r="A6" s="162" t="s">
        <v>9</v>
      </c>
      <c r="B6" s="156" t="s">
        <v>10</v>
      </c>
      <c r="C6" s="156" t="s">
        <v>11</v>
      </c>
      <c r="D6" s="157">
        <v>327283207</v>
      </c>
      <c r="E6" s="163">
        <v>0.64500000000000002</v>
      </c>
      <c r="F6" s="99">
        <f t="shared" si="0"/>
        <v>17.77971529918328</v>
      </c>
    </row>
    <row r="7" spans="1:6" ht="15" customHeight="1" thickBot="1" x14ac:dyDescent="0.4">
      <c r="A7" s="162" t="s">
        <v>12</v>
      </c>
      <c r="B7" s="156" t="s">
        <v>13</v>
      </c>
      <c r="C7" s="156" t="s">
        <v>8</v>
      </c>
      <c r="D7" s="157">
        <v>1930877944</v>
      </c>
      <c r="E7" s="163">
        <v>5.1669999999999998</v>
      </c>
      <c r="F7" s="99">
        <f t="shared" si="0"/>
        <v>104.89526925771159</v>
      </c>
    </row>
    <row r="8" spans="1:6" ht="38.25" thickBot="1" x14ac:dyDescent="0.4">
      <c r="A8" s="162" t="s">
        <v>14</v>
      </c>
      <c r="B8" s="156" t="s">
        <v>15</v>
      </c>
      <c r="C8" s="156" t="s">
        <v>274</v>
      </c>
      <c r="D8" s="157">
        <v>1283197221</v>
      </c>
      <c r="E8" s="163">
        <v>1.76</v>
      </c>
      <c r="F8" s="99">
        <f t="shared" si="0"/>
        <v>69.709904981721749</v>
      </c>
    </row>
    <row r="9" spans="1:6" ht="19.5" thickBot="1" x14ac:dyDescent="0.4">
      <c r="A9" s="162" t="s">
        <v>16</v>
      </c>
      <c r="B9" s="156" t="s">
        <v>17</v>
      </c>
      <c r="C9" s="156" t="s">
        <v>275</v>
      </c>
      <c r="D9" s="157">
        <v>1147260246</v>
      </c>
      <c r="E9" s="163">
        <v>1.125</v>
      </c>
      <c r="F9" s="99">
        <f t="shared" si="0"/>
        <v>62.325105937839865</v>
      </c>
    </row>
    <row r="10" spans="1:6" ht="19.5" thickBot="1" x14ac:dyDescent="0.4">
      <c r="A10" s="162" t="s">
        <v>19</v>
      </c>
      <c r="B10" s="156" t="s">
        <v>17</v>
      </c>
      <c r="C10" s="156" t="s">
        <v>276</v>
      </c>
      <c r="D10" s="157">
        <v>4261649634</v>
      </c>
      <c r="E10" s="163">
        <v>4.6630000000000003</v>
      </c>
      <c r="F10" s="99">
        <f t="shared" si="0"/>
        <v>231.51483356550165</v>
      </c>
    </row>
    <row r="11" spans="1:6" ht="15" customHeight="1" thickBot="1" x14ac:dyDescent="0.4">
      <c r="A11" s="162" t="s">
        <v>20</v>
      </c>
      <c r="B11" s="156" t="s">
        <v>21</v>
      </c>
      <c r="C11" s="156" t="s">
        <v>8</v>
      </c>
      <c r="D11" s="157">
        <v>671584841</v>
      </c>
      <c r="E11" s="163">
        <v>0.82</v>
      </c>
      <c r="F11" s="99">
        <f t="shared" si="0"/>
        <v>36.483959509194342</v>
      </c>
    </row>
    <row r="12" spans="1:6" ht="19.5" thickBot="1" x14ac:dyDescent="0.4">
      <c r="A12" s="162" t="s">
        <v>22</v>
      </c>
      <c r="B12" s="156" t="s">
        <v>23</v>
      </c>
      <c r="C12" s="156" t="s">
        <v>8</v>
      </c>
      <c r="D12" s="157">
        <v>239331676</v>
      </c>
      <c r="E12" s="163">
        <v>0.114</v>
      </c>
      <c r="F12" s="99">
        <f t="shared" si="0"/>
        <v>13.001733576132967</v>
      </c>
    </row>
    <row r="13" spans="1:6" ht="19.5" thickBot="1" x14ac:dyDescent="0.4">
      <c r="A13" s="162" t="s">
        <v>24</v>
      </c>
      <c r="B13" s="156" t="s">
        <v>25</v>
      </c>
      <c r="C13" s="156" t="s">
        <v>26</v>
      </c>
      <c r="D13" s="157">
        <v>263871572</v>
      </c>
      <c r="E13" s="163">
        <v>1.319</v>
      </c>
      <c r="F13" s="99">
        <f t="shared" si="0"/>
        <v>14.33486755618336</v>
      </c>
    </row>
    <row r="14" spans="1:6" ht="19.5" thickBot="1" x14ac:dyDescent="0.4">
      <c r="A14" s="162" t="s">
        <v>27</v>
      </c>
      <c r="B14" s="156" t="s">
        <v>28</v>
      </c>
      <c r="C14" s="156" t="s">
        <v>7</v>
      </c>
      <c r="D14" s="157">
        <v>222075664</v>
      </c>
      <c r="E14" s="163">
        <v>0.70599999999999996</v>
      </c>
      <c r="F14" s="99">
        <f t="shared" si="0"/>
        <v>12.064297820196701</v>
      </c>
    </row>
    <row r="15" spans="1:6" ht="38.25" thickBot="1" x14ac:dyDescent="0.4">
      <c r="A15" s="162" t="s">
        <v>29</v>
      </c>
      <c r="B15" s="156" t="s">
        <v>30</v>
      </c>
      <c r="C15" s="156" t="s">
        <v>8</v>
      </c>
      <c r="D15" s="157">
        <v>1164958126</v>
      </c>
      <c r="E15" s="163">
        <v>1.129</v>
      </c>
      <c r="F15" s="99">
        <f t="shared" si="0"/>
        <v>63.286546247238661</v>
      </c>
    </row>
    <row r="16" spans="1:6" ht="19.5" thickBot="1" x14ac:dyDescent="0.4">
      <c r="A16" s="162" t="s">
        <v>31</v>
      </c>
      <c r="B16" s="156" t="s">
        <v>32</v>
      </c>
      <c r="C16" s="156" t="s">
        <v>8</v>
      </c>
      <c r="D16" s="157">
        <v>811759800</v>
      </c>
      <c r="E16" s="163">
        <v>0.86699999999999999</v>
      </c>
      <c r="F16" s="99">
        <f t="shared" si="0"/>
        <v>44.098987747091954</v>
      </c>
    </row>
    <row r="17" spans="1:6" ht="19.5" thickBot="1" x14ac:dyDescent="0.4">
      <c r="A17" s="162" t="s">
        <v>33</v>
      </c>
      <c r="B17" s="156" t="s">
        <v>34</v>
      </c>
      <c r="C17" s="156" t="s">
        <v>35</v>
      </c>
      <c r="D17" s="157">
        <v>264640575</v>
      </c>
      <c r="E17" s="163">
        <v>0.41399999999999998</v>
      </c>
      <c r="F17" s="99">
        <f t="shared" si="0"/>
        <v>14.376643773574855</v>
      </c>
    </row>
    <row r="18" spans="1:6" ht="38.25" thickBot="1" x14ac:dyDescent="0.4">
      <c r="A18" s="162" t="s">
        <v>36</v>
      </c>
      <c r="B18" s="156" t="s">
        <v>37</v>
      </c>
      <c r="C18" s="156" t="s">
        <v>8</v>
      </c>
      <c r="D18" s="157">
        <v>843728684</v>
      </c>
      <c r="E18" s="163">
        <v>0.33900000000000002</v>
      </c>
      <c r="F18" s="99">
        <f t="shared" si="0"/>
        <v>45.835702750476216</v>
      </c>
    </row>
    <row r="19" spans="1:6" ht="19.5" thickBot="1" x14ac:dyDescent="0.4">
      <c r="A19" s="162" t="s">
        <v>38</v>
      </c>
      <c r="B19" s="156" t="s">
        <v>39</v>
      </c>
      <c r="C19" s="156" t="s">
        <v>8</v>
      </c>
      <c r="D19" s="157">
        <v>201549295</v>
      </c>
      <c r="E19" s="163">
        <v>0.80100000000000005</v>
      </c>
      <c r="F19" s="99">
        <f t="shared" si="0"/>
        <v>10.949199369862885</v>
      </c>
    </row>
    <row r="20" spans="1:6" ht="19.5" thickBot="1" x14ac:dyDescent="0.4">
      <c r="A20" s="162" t="s">
        <v>40</v>
      </c>
      <c r="B20" s="156" t="s">
        <v>41</v>
      </c>
      <c r="C20" s="156" t="s">
        <v>8</v>
      </c>
      <c r="D20" s="157">
        <v>1115695556</v>
      </c>
      <c r="E20" s="163">
        <v>0.6</v>
      </c>
      <c r="F20" s="99">
        <f t="shared" si="0"/>
        <v>60.61034884152793</v>
      </c>
    </row>
    <row r="21" spans="1:6" ht="19.5" thickBot="1" x14ac:dyDescent="0.4">
      <c r="A21" s="162" t="s">
        <v>43</v>
      </c>
      <c r="B21" s="156" t="s">
        <v>44</v>
      </c>
      <c r="C21" s="156" t="s">
        <v>8</v>
      </c>
      <c r="D21" s="157">
        <v>1112196638</v>
      </c>
      <c r="E21" s="163">
        <v>0.185</v>
      </c>
      <c r="F21" s="99">
        <f t="shared" si="0"/>
        <v>60.420269532340562</v>
      </c>
    </row>
    <row r="22" spans="1:6" ht="19.5" thickBot="1" x14ac:dyDescent="0.4">
      <c r="A22" s="162" t="s">
        <v>45</v>
      </c>
      <c r="B22" s="156" t="s">
        <v>46</v>
      </c>
      <c r="C22" s="156" t="s">
        <v>7</v>
      </c>
      <c r="D22" s="157">
        <v>969723092</v>
      </c>
      <c r="E22" s="163">
        <v>0.55100000000000005</v>
      </c>
      <c r="F22" s="99">
        <f t="shared" si="0"/>
        <v>52.680370168835815</v>
      </c>
    </row>
    <row r="23" spans="1:6" ht="19.5" thickBot="1" x14ac:dyDescent="0.4">
      <c r="A23" s="162" t="s">
        <v>47</v>
      </c>
      <c r="B23" s="156" t="s">
        <v>48</v>
      </c>
      <c r="C23" s="156" t="s">
        <v>8</v>
      </c>
      <c r="D23" s="157">
        <v>1847994874</v>
      </c>
      <c r="E23" s="163">
        <v>0.32800000000000001</v>
      </c>
      <c r="F23" s="99">
        <f t="shared" si="0"/>
        <v>100.39263253146403</v>
      </c>
    </row>
    <row r="24" spans="1:6" ht="38.25" thickBot="1" x14ac:dyDescent="0.4">
      <c r="A24" s="162" t="s">
        <v>49</v>
      </c>
      <c r="B24" s="156" t="s">
        <v>50</v>
      </c>
      <c r="C24" s="156" t="s">
        <v>8</v>
      </c>
      <c r="D24" s="157">
        <v>187714249</v>
      </c>
      <c r="E24" s="163">
        <v>0.25900000000000001</v>
      </c>
      <c r="F24" s="99">
        <f t="shared" si="0"/>
        <v>10.19760816759535</v>
      </c>
    </row>
    <row r="25" spans="1:6" ht="19.5" thickBot="1" x14ac:dyDescent="0.4">
      <c r="A25" s="162" t="s">
        <v>265</v>
      </c>
      <c r="B25" s="156" t="s">
        <v>268</v>
      </c>
      <c r="C25" s="156" t="s">
        <v>42</v>
      </c>
      <c r="D25" s="157">
        <v>128297543</v>
      </c>
      <c r="E25" s="163">
        <v>0.373</v>
      </c>
      <c r="F25" s="99">
        <f t="shared" si="0"/>
        <v>6.9697856148321256</v>
      </c>
    </row>
    <row r="26" spans="1:6" ht="38.25" thickBot="1" x14ac:dyDescent="0.4">
      <c r="A26" s="162" t="s">
        <v>51</v>
      </c>
      <c r="B26" s="156" t="s">
        <v>52</v>
      </c>
      <c r="C26" s="156" t="s">
        <v>8</v>
      </c>
      <c r="D26" s="157">
        <v>391758726</v>
      </c>
      <c r="E26" s="163">
        <v>0.36799999999999999</v>
      </c>
      <c r="F26" s="99">
        <f t="shared" si="0"/>
        <v>21.282358719525597</v>
      </c>
    </row>
    <row r="27" spans="1:6" ht="19.5" thickBot="1" x14ac:dyDescent="0.4">
      <c r="A27" s="162" t="s">
        <v>53</v>
      </c>
      <c r="B27" s="156" t="s">
        <v>54</v>
      </c>
      <c r="C27" s="156" t="s">
        <v>8</v>
      </c>
      <c r="D27" s="157">
        <v>129314042</v>
      </c>
      <c r="E27" s="163">
        <v>0.52500000000000002</v>
      </c>
      <c r="F27" s="99">
        <f t="shared" si="0"/>
        <v>7.0250070940750389</v>
      </c>
    </row>
    <row r="28" spans="1:6" ht="15" customHeight="1" thickBot="1" x14ac:dyDescent="0.4">
      <c r="A28" s="162" t="s">
        <v>55</v>
      </c>
      <c r="B28" s="156" t="s">
        <v>56</v>
      </c>
      <c r="C28" s="156" t="s">
        <v>6</v>
      </c>
      <c r="D28" s="157">
        <v>642398790</v>
      </c>
      <c r="E28" s="163">
        <v>1.075</v>
      </c>
      <c r="F28" s="99">
        <f t="shared" si="0"/>
        <v>34.898422376861603</v>
      </c>
    </row>
    <row r="29" spans="1:6" ht="19.5" thickBot="1" x14ac:dyDescent="0.4">
      <c r="A29" s="162" t="s">
        <v>57</v>
      </c>
      <c r="B29" s="156" t="s">
        <v>58</v>
      </c>
      <c r="C29" s="156" t="s">
        <v>8</v>
      </c>
      <c r="D29" s="157">
        <v>172756818</v>
      </c>
      <c r="E29" s="163">
        <v>0.13600000000000001</v>
      </c>
      <c r="F29" s="99">
        <f t="shared" si="0"/>
        <v>9.385043211315212</v>
      </c>
    </row>
    <row r="30" spans="1:6" ht="38.25" thickBot="1" x14ac:dyDescent="0.4">
      <c r="A30" s="162" t="s">
        <v>59</v>
      </c>
      <c r="B30" s="156" t="s">
        <v>60</v>
      </c>
      <c r="C30" s="156" t="s">
        <v>8</v>
      </c>
      <c r="D30" s="157">
        <v>281154098</v>
      </c>
      <c r="E30" s="163">
        <v>0.33900000000000002</v>
      </c>
      <c r="F30" s="99">
        <f t="shared" si="0"/>
        <v>15.273743689631701</v>
      </c>
    </row>
    <row r="31" spans="1:6" ht="38.25" thickBot="1" x14ac:dyDescent="0.4">
      <c r="A31" s="162" t="s">
        <v>61</v>
      </c>
      <c r="B31" s="156" t="s">
        <v>62</v>
      </c>
      <c r="C31" s="156" t="s">
        <v>8</v>
      </c>
      <c r="D31" s="157">
        <v>171109276</v>
      </c>
      <c r="E31" s="163">
        <v>0.09</v>
      </c>
      <c r="F31" s="99">
        <f t="shared" si="0"/>
        <v>9.2955402148982689</v>
      </c>
    </row>
    <row r="32" spans="1:6" ht="19.5" thickBot="1" x14ac:dyDescent="0.4">
      <c r="A32" s="162" t="s">
        <v>63</v>
      </c>
      <c r="B32" s="156" t="s">
        <v>64</v>
      </c>
      <c r="C32" s="156" t="s">
        <v>8</v>
      </c>
      <c r="D32" s="157">
        <v>254792279</v>
      </c>
      <c r="E32" s="163">
        <v>0.504</v>
      </c>
      <c r="F32" s="99">
        <f t="shared" si="0"/>
        <v>13.841633435992561</v>
      </c>
    </row>
    <row r="33" spans="1:6" ht="19.5" thickBot="1" x14ac:dyDescent="0.4">
      <c r="A33" s="162" t="s">
        <v>65</v>
      </c>
      <c r="B33" s="156" t="s">
        <v>66</v>
      </c>
      <c r="C33" s="156" t="s">
        <v>18</v>
      </c>
      <c r="D33" s="157">
        <v>358018408</v>
      </c>
      <c r="E33" s="163">
        <v>0.55600000000000005</v>
      </c>
      <c r="F33" s="99">
        <f t="shared" si="0"/>
        <v>19.449410265974453</v>
      </c>
    </row>
    <row r="34" spans="1:6" ht="19.5" thickBot="1" x14ac:dyDescent="0.4">
      <c r="A34" s="162" t="s">
        <v>67</v>
      </c>
      <c r="B34" s="156" t="s">
        <v>66</v>
      </c>
      <c r="C34" s="156" t="s">
        <v>42</v>
      </c>
      <c r="D34" s="157">
        <v>242977127</v>
      </c>
      <c r="E34" s="163">
        <v>0.38300000000000001</v>
      </c>
      <c r="F34" s="99">
        <f t="shared" si="0"/>
        <v>13.199773315205563</v>
      </c>
    </row>
    <row r="35" spans="1:6" ht="19.5" thickBot="1" x14ac:dyDescent="0.4">
      <c r="A35" s="162" t="s">
        <v>68</v>
      </c>
      <c r="B35" s="156" t="s">
        <v>69</v>
      </c>
      <c r="C35" s="156" t="s">
        <v>8</v>
      </c>
      <c r="D35" s="157">
        <v>736143105</v>
      </c>
      <c r="E35" s="163">
        <v>0.443</v>
      </c>
      <c r="F35" s="99">
        <f t="shared" si="0"/>
        <v>39.991098065586918</v>
      </c>
    </row>
    <row r="36" spans="1:6" ht="19.5" thickBot="1" x14ac:dyDescent="0.4">
      <c r="A36" s="162" t="s">
        <v>70</v>
      </c>
      <c r="B36" s="156" t="s">
        <v>71</v>
      </c>
      <c r="C36" s="156" t="s">
        <v>8</v>
      </c>
      <c r="D36" s="157">
        <v>250403441</v>
      </c>
      <c r="E36" s="163">
        <v>0.217</v>
      </c>
      <c r="F36" s="99">
        <f t="shared" si="0"/>
        <v>13.603209073039418</v>
      </c>
    </row>
    <row r="37" spans="1:6" ht="19.5" thickBot="1" x14ac:dyDescent="0.4">
      <c r="A37" s="162" t="s">
        <v>264</v>
      </c>
      <c r="B37" s="156" t="s">
        <v>269</v>
      </c>
      <c r="C37" s="156" t="s">
        <v>8</v>
      </c>
      <c r="D37" s="157">
        <v>287844670</v>
      </c>
      <c r="E37" s="163">
        <v>0.94799999999999995</v>
      </c>
      <c r="F37" s="99">
        <f t="shared" si="0"/>
        <v>15.637210139496593</v>
      </c>
    </row>
    <row r="38" spans="1:6" ht="19.5" thickBot="1" x14ac:dyDescent="0.4">
      <c r="A38" s="162" t="s">
        <v>72</v>
      </c>
      <c r="B38" s="156" t="s">
        <v>73</v>
      </c>
      <c r="C38" s="156" t="s">
        <v>26</v>
      </c>
      <c r="D38" s="157">
        <v>250679709</v>
      </c>
      <c r="E38" s="163">
        <v>0.52700000000000002</v>
      </c>
      <c r="F38" s="99">
        <f t="shared" si="0"/>
        <v>13.618217378632911</v>
      </c>
    </row>
    <row r="39" spans="1:6" ht="19.5" thickBot="1" x14ac:dyDescent="0.4">
      <c r="A39" s="162" t="s">
        <v>74</v>
      </c>
      <c r="B39" s="156" t="s">
        <v>75</v>
      </c>
      <c r="C39" s="156" t="s">
        <v>8</v>
      </c>
      <c r="D39" s="157">
        <v>1010286085</v>
      </c>
      <c r="E39" s="163">
        <v>0.98799999999999999</v>
      </c>
      <c r="F39" s="99">
        <f t="shared" si="0"/>
        <v>54.883961589958631</v>
      </c>
    </row>
    <row r="40" spans="1:6" ht="19.5" thickBot="1" x14ac:dyDescent="0.4">
      <c r="A40" s="162" t="s">
        <v>76</v>
      </c>
      <c r="B40" s="156" t="s">
        <v>77</v>
      </c>
      <c r="C40" s="156" t="s">
        <v>8</v>
      </c>
      <c r="D40" s="157">
        <v>95756217</v>
      </c>
      <c r="E40" s="163">
        <v>0.14599999999999999</v>
      </c>
      <c r="F40" s="99">
        <f t="shared" si="0"/>
        <v>5.2019726034608738</v>
      </c>
    </row>
    <row r="41" spans="1:6" ht="19.5" thickBot="1" x14ac:dyDescent="0.4">
      <c r="A41" s="162" t="s">
        <v>78</v>
      </c>
      <c r="B41" s="156" t="s">
        <v>79</v>
      </c>
      <c r="C41" s="156" t="s">
        <v>8</v>
      </c>
      <c r="D41" s="157">
        <v>303800430</v>
      </c>
      <c r="E41" s="163">
        <v>0.38800000000000001</v>
      </c>
      <c r="F41" s="99">
        <f t="shared" si="0"/>
        <v>16.504009486711791</v>
      </c>
    </row>
    <row r="42" spans="1:6" ht="19.5" thickBot="1" x14ac:dyDescent="0.4">
      <c r="A42" s="162" t="s">
        <v>80</v>
      </c>
      <c r="B42" s="156" t="s">
        <v>81</v>
      </c>
      <c r="C42" s="156" t="s">
        <v>7</v>
      </c>
      <c r="D42" s="157">
        <v>995903643</v>
      </c>
      <c r="E42" s="163">
        <v>1.3080000000000001</v>
      </c>
      <c r="F42" s="99">
        <f t="shared" si="0"/>
        <v>54.102633007869123</v>
      </c>
    </row>
    <row r="43" spans="1:6" ht="19.5" thickBot="1" x14ac:dyDescent="0.4">
      <c r="A43" s="162" t="s">
        <v>82</v>
      </c>
      <c r="B43" s="156" t="s">
        <v>83</v>
      </c>
      <c r="C43" s="156" t="s">
        <v>8</v>
      </c>
      <c r="D43" s="157">
        <v>588176771</v>
      </c>
      <c r="E43" s="163">
        <v>2.597</v>
      </c>
      <c r="F43" s="99">
        <f t="shared" si="0"/>
        <v>31.952802069593876</v>
      </c>
    </row>
    <row r="44" spans="1:6" ht="19.5" thickBot="1" x14ac:dyDescent="0.4">
      <c r="A44" s="162" t="s">
        <v>84</v>
      </c>
      <c r="B44" s="156" t="s">
        <v>85</v>
      </c>
      <c r="C44" s="156" t="s">
        <v>7</v>
      </c>
      <c r="D44" s="157">
        <v>693699918</v>
      </c>
      <c r="E44" s="163">
        <v>0.40699999999999997</v>
      </c>
      <c r="F44" s="99">
        <f t="shared" si="0"/>
        <v>37.685364788993851</v>
      </c>
    </row>
    <row r="45" spans="1:6" ht="29.45" customHeight="1" thickBot="1" x14ac:dyDescent="0.4">
      <c r="A45" s="162" t="s">
        <v>86</v>
      </c>
      <c r="B45" s="156" t="s">
        <v>87</v>
      </c>
      <c r="C45" s="156" t="s">
        <v>11</v>
      </c>
      <c r="D45" s="157">
        <v>137725788</v>
      </c>
      <c r="E45" s="163">
        <v>0.14499999999999999</v>
      </c>
      <c r="F45" s="99">
        <f t="shared" si="0"/>
        <v>7.4819766111485002</v>
      </c>
    </row>
    <row r="46" spans="1:6" ht="19.5" thickBot="1" x14ac:dyDescent="0.4">
      <c r="A46" s="162" t="s">
        <v>88</v>
      </c>
      <c r="B46" s="156" t="s">
        <v>89</v>
      </c>
      <c r="C46" s="156" t="s">
        <v>8</v>
      </c>
      <c r="D46" s="157">
        <v>1085256490</v>
      </c>
      <c r="E46" s="163">
        <v>0.872</v>
      </c>
      <c r="F46" s="99">
        <f t="shared" si="0"/>
        <v>58.956741458448697</v>
      </c>
    </row>
    <row r="47" spans="1:6" ht="19.5" thickBot="1" x14ac:dyDescent="0.4">
      <c r="A47" s="162" t="s">
        <v>90</v>
      </c>
      <c r="B47" s="156" t="s">
        <v>91</v>
      </c>
      <c r="C47" s="156" t="s">
        <v>8</v>
      </c>
      <c r="D47" s="157">
        <v>126186408</v>
      </c>
      <c r="E47" s="163">
        <v>9.0999999999999998E-2</v>
      </c>
      <c r="F47" s="99">
        <f t="shared" si="0"/>
        <v>6.8550978506715241</v>
      </c>
    </row>
    <row r="48" spans="1:6" ht="29.45" customHeight="1" thickBot="1" x14ac:dyDescent="0.4">
      <c r="A48" s="162" t="s">
        <v>92</v>
      </c>
      <c r="B48" s="156" t="s">
        <v>93</v>
      </c>
      <c r="C48" s="156" t="s">
        <v>8</v>
      </c>
      <c r="D48" s="157">
        <v>410147968</v>
      </c>
      <c r="E48" s="163">
        <v>0.63500000000000001</v>
      </c>
      <c r="F48" s="99">
        <f t="shared" si="0"/>
        <v>22.281357385924583</v>
      </c>
    </row>
    <row r="49" spans="1:6" ht="29.45" customHeight="1" thickBot="1" x14ac:dyDescent="0.4">
      <c r="A49" s="162" t="s">
        <v>94</v>
      </c>
      <c r="B49" s="156" t="s">
        <v>95</v>
      </c>
      <c r="C49" s="156" t="s">
        <v>8</v>
      </c>
      <c r="D49" s="157">
        <v>85796919</v>
      </c>
      <c r="E49" s="163">
        <v>0.129</v>
      </c>
      <c r="F49" s="99">
        <f t="shared" si="0"/>
        <v>4.6609320635479126</v>
      </c>
    </row>
    <row r="50" spans="1:6" ht="19.5" thickBot="1" x14ac:dyDescent="0.4">
      <c r="A50" s="162" t="s">
        <v>96</v>
      </c>
      <c r="B50" s="156" t="s">
        <v>97</v>
      </c>
      <c r="C50" s="156" t="s">
        <v>8</v>
      </c>
      <c r="D50" s="157">
        <v>1255327516</v>
      </c>
      <c r="E50" s="163">
        <v>0.36</v>
      </c>
      <c r="F50" s="99">
        <f t="shared" si="0"/>
        <v>68.195878567368553</v>
      </c>
    </row>
    <row r="51" spans="1:6" ht="19.5" thickBot="1" x14ac:dyDescent="0.4">
      <c r="A51" s="162" t="s">
        <v>98</v>
      </c>
      <c r="B51" s="156" t="s">
        <v>99</v>
      </c>
      <c r="C51" s="156" t="s">
        <v>277</v>
      </c>
      <c r="D51" s="157">
        <v>4515538171</v>
      </c>
      <c r="E51" s="163">
        <v>2.1389999999999998</v>
      </c>
      <c r="F51" s="99">
        <f t="shared" si="0"/>
        <v>245.30737106525234</v>
      </c>
    </row>
    <row r="52" spans="1:6" ht="38.25" thickBot="1" x14ac:dyDescent="0.4">
      <c r="A52" s="162" t="s">
        <v>100</v>
      </c>
      <c r="B52" s="156" t="s">
        <v>101</v>
      </c>
      <c r="C52" s="156" t="s">
        <v>278</v>
      </c>
      <c r="D52" s="157">
        <v>4757466114</v>
      </c>
      <c r="E52" s="163">
        <v>5.8019999999999996</v>
      </c>
      <c r="F52" s="99">
        <f t="shared" si="0"/>
        <v>258.45014728308939</v>
      </c>
    </row>
    <row r="53" spans="1:6" ht="19.5" thickBot="1" x14ac:dyDescent="0.4">
      <c r="A53" s="162" t="s">
        <v>102</v>
      </c>
      <c r="B53" s="156" t="s">
        <v>103</v>
      </c>
      <c r="C53" s="156" t="s">
        <v>8</v>
      </c>
      <c r="D53" s="157">
        <v>1500315048</v>
      </c>
      <c r="E53" s="163">
        <v>1.982</v>
      </c>
      <c r="F53" s="99">
        <f t="shared" si="0"/>
        <v>81.504867472532737</v>
      </c>
    </row>
    <row r="54" spans="1:6" ht="19.5" thickBot="1" x14ac:dyDescent="0.4">
      <c r="A54" s="162" t="s">
        <v>266</v>
      </c>
      <c r="B54" s="156" t="s">
        <v>270</v>
      </c>
      <c r="C54" s="156" t="s">
        <v>8</v>
      </c>
      <c r="D54" s="157">
        <v>288952690</v>
      </c>
      <c r="E54" s="163">
        <v>9.2999999999999999E-2</v>
      </c>
      <c r="F54" s="99">
        <f t="shared" si="0"/>
        <v>15.697403512466693</v>
      </c>
    </row>
    <row r="55" spans="1:6" ht="19.5" thickBot="1" x14ac:dyDescent="0.4">
      <c r="A55" s="162" t="s">
        <v>104</v>
      </c>
      <c r="B55" s="156" t="s">
        <v>105</v>
      </c>
      <c r="C55" s="156" t="s">
        <v>26</v>
      </c>
      <c r="D55" s="157">
        <v>788757519</v>
      </c>
      <c r="E55" s="163">
        <v>1.1950000000000001</v>
      </c>
      <c r="F55" s="99">
        <f t="shared" si="0"/>
        <v>42.84938496068375</v>
      </c>
    </row>
    <row r="56" spans="1:6" ht="38.25" thickBot="1" x14ac:dyDescent="0.4">
      <c r="A56" s="162" t="s">
        <v>107</v>
      </c>
      <c r="B56" s="156" t="s">
        <v>106</v>
      </c>
      <c r="C56" s="156" t="s">
        <v>7</v>
      </c>
      <c r="D56" s="157">
        <v>843325974</v>
      </c>
      <c r="E56" s="163">
        <v>1.0249999999999999</v>
      </c>
      <c r="F56" s="99">
        <f t="shared" si="0"/>
        <v>45.813825461953634</v>
      </c>
    </row>
    <row r="57" spans="1:6" ht="19.5" thickBot="1" x14ac:dyDescent="0.4">
      <c r="A57" s="162" t="s">
        <v>267</v>
      </c>
      <c r="B57" s="156" t="s">
        <v>271</v>
      </c>
      <c r="C57" s="156" t="s">
        <v>8</v>
      </c>
      <c r="D57" s="157">
        <v>323763077</v>
      </c>
      <c r="E57" s="163">
        <v>0.38600000000000001</v>
      </c>
      <c r="F57" s="99">
        <f t="shared" si="0"/>
        <v>17.588483644526114</v>
      </c>
    </row>
    <row r="58" spans="1:6" ht="29.45" customHeight="1" thickBot="1" x14ac:dyDescent="0.4">
      <c r="A58" s="162" t="s">
        <v>108</v>
      </c>
      <c r="B58" s="156" t="s">
        <v>109</v>
      </c>
      <c r="C58" s="156" t="s">
        <v>8</v>
      </c>
      <c r="D58" s="157">
        <v>785417914</v>
      </c>
      <c r="E58" s="163">
        <v>1.4370000000000001</v>
      </c>
      <c r="F58" s="99">
        <f t="shared" si="0"/>
        <v>42.667960357032364</v>
      </c>
    </row>
    <row r="59" spans="1:6" ht="19.5" thickBot="1" x14ac:dyDescent="0.4">
      <c r="A59" s="162" t="s">
        <v>110</v>
      </c>
      <c r="B59" s="156" t="s">
        <v>111</v>
      </c>
      <c r="C59" s="156" t="s">
        <v>8</v>
      </c>
      <c r="D59" s="157">
        <v>2668955512</v>
      </c>
      <c r="E59" s="163">
        <v>3.226</v>
      </c>
      <c r="F59" s="99">
        <f t="shared" si="0"/>
        <v>144.99145735132674</v>
      </c>
    </row>
    <row r="60" spans="1:6" ht="19.5" thickBot="1" x14ac:dyDescent="0.4">
      <c r="A60" s="162" t="s">
        <v>112</v>
      </c>
      <c r="B60" s="156" t="s">
        <v>113</v>
      </c>
      <c r="C60" s="156" t="s">
        <v>8</v>
      </c>
      <c r="D60" s="157">
        <v>368864634</v>
      </c>
      <c r="E60" s="163">
        <v>0.26</v>
      </c>
      <c r="F60" s="99">
        <f t="shared" si="0"/>
        <v>20.038633318749657</v>
      </c>
    </row>
    <row r="61" spans="1:6" ht="19.5" thickBot="1" x14ac:dyDescent="0.4">
      <c r="A61" s="162" t="s">
        <v>114</v>
      </c>
      <c r="B61" s="156" t="s">
        <v>115</v>
      </c>
      <c r="C61" s="156" t="s">
        <v>8</v>
      </c>
      <c r="D61" s="157">
        <v>298796441</v>
      </c>
      <c r="E61" s="163">
        <v>0.24299999999999999</v>
      </c>
      <c r="F61" s="99">
        <f t="shared" si="0"/>
        <v>16.2321669421591</v>
      </c>
    </row>
    <row r="62" spans="1:6" ht="19.5" thickBot="1" x14ac:dyDescent="0.4">
      <c r="A62" s="162" t="s">
        <v>116</v>
      </c>
      <c r="B62" s="156" t="s">
        <v>117</v>
      </c>
      <c r="C62" s="156" t="s">
        <v>118</v>
      </c>
      <c r="D62" s="157">
        <v>276848567</v>
      </c>
      <c r="E62" s="163">
        <v>0.26400000000000001</v>
      </c>
      <c r="F62" s="99">
        <f t="shared" si="0"/>
        <v>15.039844993473396</v>
      </c>
    </row>
    <row r="63" spans="1:6" ht="38.25" thickBot="1" x14ac:dyDescent="0.4">
      <c r="A63" s="162" t="s">
        <v>119</v>
      </c>
      <c r="B63" s="156" t="s">
        <v>120</v>
      </c>
      <c r="C63" s="156" t="s">
        <v>8</v>
      </c>
      <c r="D63" s="157">
        <v>841083922</v>
      </c>
      <c r="E63" s="163">
        <v>1.919</v>
      </c>
      <c r="F63" s="99">
        <f t="shared" si="0"/>
        <v>45.692025609735843</v>
      </c>
    </row>
    <row r="64" spans="1:6" ht="38.25" thickBot="1" x14ac:dyDescent="0.4">
      <c r="A64" s="162" t="s">
        <v>121</v>
      </c>
      <c r="B64" s="156" t="s">
        <v>122</v>
      </c>
      <c r="C64" s="156" t="s">
        <v>279</v>
      </c>
      <c r="D64" s="157">
        <v>157635935</v>
      </c>
      <c r="E64" s="163">
        <v>0.18099999999999999</v>
      </c>
      <c r="F64" s="99">
        <f t="shared" si="0"/>
        <v>8.5635986976275298</v>
      </c>
    </row>
    <row r="65" spans="1:6" ht="19.5" thickBot="1" x14ac:dyDescent="0.4">
      <c r="A65" s="162" t="s">
        <v>123</v>
      </c>
      <c r="B65" s="156" t="s">
        <v>124</v>
      </c>
      <c r="C65" s="156" t="s">
        <v>118</v>
      </c>
      <c r="D65" s="157">
        <v>3307982840</v>
      </c>
      <c r="E65" s="163">
        <v>3.585</v>
      </c>
      <c r="F65" s="99">
        <f t="shared" si="0"/>
        <v>179.70672448765072</v>
      </c>
    </row>
    <row r="66" spans="1:6" ht="19.5" thickBot="1" x14ac:dyDescent="0.4">
      <c r="A66" s="162" t="s">
        <v>125</v>
      </c>
      <c r="B66" s="156" t="s">
        <v>124</v>
      </c>
      <c r="C66" s="156" t="s">
        <v>11</v>
      </c>
      <c r="D66" s="157">
        <v>4566457037</v>
      </c>
      <c r="E66" s="163">
        <v>4.9459999999999997</v>
      </c>
      <c r="F66" s="99">
        <f t="shared" si="0"/>
        <v>248.07354702990321</v>
      </c>
    </row>
    <row r="67" spans="1:6" ht="19.5" thickBot="1" x14ac:dyDescent="0.4">
      <c r="A67" s="162" t="s">
        <v>126</v>
      </c>
      <c r="B67" s="156" t="s">
        <v>127</v>
      </c>
      <c r="C67" s="156" t="s">
        <v>8</v>
      </c>
      <c r="D67" s="157">
        <v>164860900</v>
      </c>
      <c r="E67" s="163">
        <v>0.71599999999999997</v>
      </c>
      <c r="F67" s="99">
        <f t="shared" si="0"/>
        <v>8.9560961371511034</v>
      </c>
    </row>
    <row r="68" spans="1:6" ht="19.5" thickBot="1" x14ac:dyDescent="0.4">
      <c r="A68" s="162" t="s">
        <v>128</v>
      </c>
      <c r="B68" s="156" t="s">
        <v>129</v>
      </c>
      <c r="C68" s="156" t="s">
        <v>8</v>
      </c>
      <c r="D68" s="157">
        <v>283467789</v>
      </c>
      <c r="E68" s="163">
        <v>0.44400000000000001</v>
      </c>
      <c r="F68" s="99">
        <f t="shared" si="0"/>
        <v>15.399435342580709</v>
      </c>
    </row>
    <row r="69" spans="1:6" ht="38.25" thickBot="1" x14ac:dyDescent="0.4">
      <c r="A69" s="162" t="s">
        <v>130</v>
      </c>
      <c r="B69" s="156" t="s">
        <v>131</v>
      </c>
      <c r="C69" s="156" t="s">
        <v>8</v>
      </c>
      <c r="D69" s="157">
        <v>1072645150</v>
      </c>
      <c r="E69" s="163">
        <v>1.2030000000000001</v>
      </c>
      <c r="F69" s="99">
        <f t="shared" ref="F69:F84" si="1">(D69/$D$3)</f>
        <v>58.271628290570206</v>
      </c>
    </row>
    <row r="70" spans="1:6" ht="19.5" thickBot="1" x14ac:dyDescent="0.4">
      <c r="A70" s="162" t="s">
        <v>132</v>
      </c>
      <c r="B70" s="156" t="s">
        <v>133</v>
      </c>
      <c r="C70" s="156" t="s">
        <v>8</v>
      </c>
      <c r="D70" s="157">
        <v>1218081171</v>
      </c>
      <c r="E70" s="163">
        <v>1.0840000000000001</v>
      </c>
      <c r="F70" s="99">
        <f t="shared" si="1"/>
        <v>66.172464607008649</v>
      </c>
    </row>
    <row r="71" spans="1:6" ht="19.5" thickBot="1" x14ac:dyDescent="0.4">
      <c r="A71" s="162" t="s">
        <v>134</v>
      </c>
      <c r="B71" s="156" t="s">
        <v>135</v>
      </c>
      <c r="C71" s="156" t="s">
        <v>8</v>
      </c>
      <c r="D71" s="157">
        <v>592069308</v>
      </c>
      <c r="E71" s="163">
        <v>1.7250000000000001</v>
      </c>
      <c r="F71" s="99">
        <f t="shared" si="1"/>
        <v>32.164264797198889</v>
      </c>
    </row>
    <row r="72" spans="1:6" ht="38.25" thickBot="1" x14ac:dyDescent="0.4">
      <c r="A72" s="162" t="s">
        <v>136</v>
      </c>
      <c r="B72" s="156" t="s">
        <v>137</v>
      </c>
      <c r="C72" s="156" t="s">
        <v>280</v>
      </c>
      <c r="D72" s="157">
        <v>355666691</v>
      </c>
      <c r="E72" s="163">
        <v>0.64700000000000002</v>
      </c>
      <c r="F72" s="99">
        <f t="shared" si="1"/>
        <v>19.321652844176</v>
      </c>
    </row>
    <row r="73" spans="1:6" ht="19.5" thickBot="1" x14ac:dyDescent="0.4">
      <c r="A73" s="162" t="s">
        <v>138</v>
      </c>
      <c r="B73" s="156" t="s">
        <v>139</v>
      </c>
      <c r="C73" s="156" t="s">
        <v>8</v>
      </c>
      <c r="D73" s="157">
        <v>339999111</v>
      </c>
      <c r="E73" s="163">
        <v>0.59299999999999997</v>
      </c>
      <c r="F73" s="99">
        <f t="shared" si="1"/>
        <v>18.470508923958981</v>
      </c>
    </row>
    <row r="74" spans="1:6" ht="19.5" thickBot="1" x14ac:dyDescent="0.4">
      <c r="A74" s="162" t="s">
        <v>140</v>
      </c>
      <c r="B74" s="156" t="s">
        <v>141</v>
      </c>
      <c r="C74" s="156" t="s">
        <v>26</v>
      </c>
      <c r="D74" s="157">
        <v>279572852</v>
      </c>
      <c r="E74" s="163">
        <v>0.45100000000000001</v>
      </c>
      <c r="F74" s="99">
        <f t="shared" si="1"/>
        <v>15.187842234571795</v>
      </c>
    </row>
    <row r="75" spans="1:6" ht="19.5" thickBot="1" x14ac:dyDescent="0.4">
      <c r="A75" s="162" t="s">
        <v>142</v>
      </c>
      <c r="B75" s="156" t="s">
        <v>143</v>
      </c>
      <c r="C75" s="156" t="s">
        <v>8</v>
      </c>
      <c r="D75" s="157">
        <v>724921241</v>
      </c>
      <c r="E75" s="163">
        <v>2.6589999999999998</v>
      </c>
      <c r="F75" s="99">
        <f t="shared" si="1"/>
        <v>39.381468415245116</v>
      </c>
    </row>
    <row r="76" spans="1:6" ht="19.5" thickBot="1" x14ac:dyDescent="0.4">
      <c r="A76" s="162" t="s">
        <v>144</v>
      </c>
      <c r="B76" s="156" t="s">
        <v>145</v>
      </c>
      <c r="C76" s="156" t="s">
        <v>26</v>
      </c>
      <c r="D76" s="157">
        <v>218568274</v>
      </c>
      <c r="E76" s="163">
        <v>0.32500000000000001</v>
      </c>
      <c r="F76" s="99">
        <f t="shared" si="1"/>
        <v>11.873758268183565</v>
      </c>
    </row>
    <row r="77" spans="1:6" ht="19.5" thickBot="1" x14ac:dyDescent="0.4">
      <c r="A77" s="162" t="s">
        <v>146</v>
      </c>
      <c r="B77" s="156" t="s">
        <v>147</v>
      </c>
      <c r="C77" s="156" t="s">
        <v>8</v>
      </c>
      <c r="D77" s="157">
        <v>808485985</v>
      </c>
      <c r="E77" s="163">
        <v>0.50600000000000001</v>
      </c>
      <c r="F77" s="99">
        <f t="shared" si="1"/>
        <v>43.921137196262457</v>
      </c>
    </row>
    <row r="78" spans="1:6" ht="19.5" thickBot="1" x14ac:dyDescent="0.4">
      <c r="A78" s="162" t="s">
        <v>148</v>
      </c>
      <c r="B78" s="156" t="s">
        <v>149</v>
      </c>
      <c r="C78" s="156" t="s">
        <v>8</v>
      </c>
      <c r="D78" s="157">
        <v>480228410</v>
      </c>
      <c r="E78" s="163">
        <v>0.74399999999999999</v>
      </c>
      <c r="F78" s="99">
        <f t="shared" si="1"/>
        <v>26.088489191501541</v>
      </c>
    </row>
    <row r="79" spans="1:6" ht="19.5" thickBot="1" x14ac:dyDescent="0.4">
      <c r="A79" s="162" t="s">
        <v>150</v>
      </c>
      <c r="B79" s="156" t="s">
        <v>151</v>
      </c>
      <c r="C79" s="156" t="s">
        <v>8</v>
      </c>
      <c r="D79" s="157">
        <v>1087056490</v>
      </c>
      <c r="E79" s="163">
        <v>1.004</v>
      </c>
      <c r="F79" s="99">
        <f t="shared" si="1"/>
        <v>59.054526761372991</v>
      </c>
    </row>
    <row r="80" spans="1:6" ht="19.5" thickBot="1" x14ac:dyDescent="0.4">
      <c r="A80" s="162" t="s">
        <v>152</v>
      </c>
      <c r="B80" s="156" t="s">
        <v>153</v>
      </c>
      <c r="C80" s="156" t="s">
        <v>35</v>
      </c>
      <c r="D80" s="157">
        <v>513729947</v>
      </c>
      <c r="E80" s="163">
        <v>0.42599999999999999</v>
      </c>
      <c r="F80" s="99">
        <f t="shared" si="1"/>
        <v>27.908465827042924</v>
      </c>
    </row>
    <row r="81" spans="1:6" ht="19.5" thickBot="1" x14ac:dyDescent="0.4">
      <c r="A81" s="162" t="s">
        <v>154</v>
      </c>
      <c r="B81" s="156" t="s">
        <v>155</v>
      </c>
      <c r="C81" s="156" t="s">
        <v>8</v>
      </c>
      <c r="D81" s="157">
        <v>2837320141</v>
      </c>
      <c r="E81" s="163">
        <v>13.77</v>
      </c>
      <c r="F81" s="99">
        <f t="shared" si="1"/>
        <v>154.13789415604987</v>
      </c>
    </row>
    <row r="82" spans="1:6" ht="19.5" thickBot="1" x14ac:dyDescent="0.4">
      <c r="A82" s="162" t="s">
        <v>262</v>
      </c>
      <c r="B82" s="156" t="s">
        <v>156</v>
      </c>
      <c r="C82" s="156" t="s">
        <v>281</v>
      </c>
      <c r="D82" s="157">
        <v>444219852</v>
      </c>
      <c r="E82" s="163">
        <v>0.94699999999999995</v>
      </c>
      <c r="F82" s="99">
        <f t="shared" si="1"/>
        <v>24.132318218225393</v>
      </c>
    </row>
    <row r="83" spans="1:6" ht="19.5" thickBot="1" x14ac:dyDescent="0.4">
      <c r="A83" s="162" t="s">
        <v>157</v>
      </c>
      <c r="B83" s="156" t="s">
        <v>158</v>
      </c>
      <c r="C83" s="156" t="s">
        <v>8</v>
      </c>
      <c r="D83" s="157">
        <v>1595083594</v>
      </c>
      <c r="E83" s="163">
        <v>0.95099999999999996</v>
      </c>
      <c r="F83" s="99">
        <f t="shared" si="1"/>
        <v>86.653184682702204</v>
      </c>
    </row>
    <row r="84" spans="1:6" ht="38.25" thickBot="1" x14ac:dyDescent="0.4">
      <c r="A84" s="162" t="s">
        <v>159</v>
      </c>
      <c r="B84" s="156" t="s">
        <v>160</v>
      </c>
      <c r="C84" s="156" t="s">
        <v>282</v>
      </c>
      <c r="D84" s="157">
        <v>741148001</v>
      </c>
      <c r="E84" s="163">
        <v>2.847</v>
      </c>
      <c r="F84" s="99">
        <f t="shared" si="1"/>
        <v>40.262989883067249</v>
      </c>
    </row>
  </sheetData>
  <mergeCells count="3">
    <mergeCell ref="B2:B3"/>
    <mergeCell ref="C2:C3"/>
    <mergeCell ref="E2:E3"/>
  </mergeCells>
  <hyperlinks>
    <hyperlink ref="A1" r:id="rId1" tooltip="Click here to sort" display="javascript:__doPostBack('ctl00$contentPlaceHolderConteudo$grdResumoCarteiraTeorica$ctl00$ctl02$ctl00$ctl00','')" xr:uid="{712D2D5C-ABEC-44C2-8467-9BF91CCE9732}"/>
    <hyperlink ref="B1" r:id="rId2" tooltip="Click here to sort" display="javascript:__doPostBack('ctl00$contentPlaceHolderConteudo$grdResumoCarteiraTeorica$ctl00$ctl02$ctl00$ctl02','')" xr:uid="{EED71479-A70F-4969-B488-F364605A76FE}"/>
    <hyperlink ref="C1" r:id="rId3" tooltip="Click here to sort" display="javascript:__doPostBack('ctl00$contentPlaceHolderConteudo$grdResumoCarteiraTeorica$ctl00$ctl02$ctl00$ctl03','')" xr:uid="{59C281DE-A803-4ACA-A003-1834A1EC73A3}"/>
    <hyperlink ref="D1" r:id="rId4" tooltip="Click here to sort" display="javascript:__doPostBack('ctl00$contentPlaceHolderConteudo$grdResumoCarteiraTeorica$ctl00$ctl02$ctl00$ctl04','')" xr:uid="{14FC58D3-E821-423B-9804-30DA1F844C7E}"/>
    <hyperlink ref="E1" r:id="rId5" tooltip="Click here to sort" display="javascript:__doPostBack('ctl00$contentPlaceHolderConteudo$grdResumoCarteiraTeorica$ctl00$ctl02$ctl00$ctl05','')" xr:uid="{30E13B20-744A-4965-A278-FE2EDAED3F75}"/>
  </hyperlinks>
  <pageMargins left="0.511811024" right="0.511811024" top="0.78740157499999996" bottom="0.78740157499999996" header="0.31496062000000002" footer="0.31496062000000002"/>
  <pageSetup paperSize="9"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7DC1-3125-4097-8E6A-6995026F305B}">
  <sheetPr codeName="Planilha8"/>
  <dimension ref="A1:FK167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80" sqref="C80"/>
    </sheetView>
  </sheetViews>
  <sheetFormatPr defaultColWidth="9.140625" defaultRowHeight="15" x14ac:dyDescent="0.25"/>
  <cols>
    <col min="1" max="1" width="17.85546875" style="11" customWidth="1"/>
    <col min="2" max="98" width="20" style="11" customWidth="1"/>
    <col min="99" max="99" width="20" style="1" customWidth="1"/>
    <col min="100" max="100" width="20" style="11" customWidth="1"/>
    <col min="101" max="101" width="18.140625" style="11" bestFit="1" customWidth="1"/>
    <col min="102" max="102" width="9.140625" style="11"/>
    <col min="103" max="103" width="19.5703125" style="11" bestFit="1" customWidth="1"/>
    <col min="104" max="104" width="9.140625" style="11"/>
    <col min="105" max="105" width="19.5703125" style="11" bestFit="1" customWidth="1"/>
    <col min="106" max="114" width="9.140625" style="11"/>
    <col min="115" max="115" width="19.5703125" style="11" bestFit="1" customWidth="1"/>
    <col min="116" max="162" width="9.140625" style="11"/>
    <col min="163" max="163" width="9.28515625" style="11" bestFit="1" customWidth="1"/>
    <col min="164" max="16384" width="9.140625" style="11"/>
  </cols>
  <sheetData>
    <row r="1" spans="1:167" ht="29.1" customHeight="1" x14ac:dyDescent="0.25">
      <c r="B1" s="33">
        <v>0.37500000000000699</v>
      </c>
      <c r="C1" s="33">
        <v>0.37847222222222898</v>
      </c>
      <c r="D1" s="33">
        <v>0.38194444444445103</v>
      </c>
      <c r="E1" s="33">
        <v>0.38541666666667301</v>
      </c>
      <c r="F1" s="33">
        <v>0.388888888888895</v>
      </c>
      <c r="G1" s="33">
        <v>0.39236111111111699</v>
      </c>
      <c r="H1" s="33">
        <v>0.39583333333333898</v>
      </c>
      <c r="I1" s="33">
        <v>0.39930555555556102</v>
      </c>
      <c r="J1" s="33">
        <v>0.40277777777778301</v>
      </c>
      <c r="K1" s="33">
        <v>0.406250000000005</v>
      </c>
      <c r="L1" s="33">
        <v>0.40972222222222698</v>
      </c>
      <c r="M1" s="33">
        <v>0.41319444444444903</v>
      </c>
      <c r="N1" s="33">
        <v>0.41666666666667102</v>
      </c>
      <c r="O1" s="33">
        <v>0.420138888888893</v>
      </c>
      <c r="P1" s="33">
        <v>0.4236111111111111</v>
      </c>
      <c r="Q1" s="33">
        <v>0.42708333333333698</v>
      </c>
      <c r="R1" s="33">
        <v>0.43055555555555902</v>
      </c>
      <c r="S1" s="33">
        <v>0.43402777777778101</v>
      </c>
      <c r="T1" s="33">
        <v>0.4375</v>
      </c>
      <c r="U1" s="33">
        <v>0.44097222222222499</v>
      </c>
      <c r="V1" s="33">
        <v>0.44444444444444697</v>
      </c>
      <c r="W1" s="33">
        <v>0.44791666666666902</v>
      </c>
      <c r="X1" s="33">
        <v>0.451388888888891</v>
      </c>
      <c r="Y1" s="33">
        <v>0.45486111111111299</v>
      </c>
      <c r="Z1" s="33">
        <v>0.45833333333333498</v>
      </c>
      <c r="AA1" s="33">
        <v>0.46180555555555702</v>
      </c>
      <c r="AB1" s="33">
        <v>0.46527777777777901</v>
      </c>
      <c r="AC1" s="33">
        <v>0.468750000000001</v>
      </c>
      <c r="AD1" s="33">
        <v>0.47222222222222299</v>
      </c>
      <c r="AE1" s="33">
        <v>0.47569444444444497</v>
      </c>
      <c r="AF1" s="33">
        <v>0.47916666666666702</v>
      </c>
      <c r="AG1" s="33">
        <v>0.48263888888888901</v>
      </c>
      <c r="AH1" s="33">
        <v>0.48611111111111099</v>
      </c>
      <c r="AI1" s="33">
        <v>0.48958333333333298</v>
      </c>
      <c r="AJ1" s="33">
        <v>0.49305555555555503</v>
      </c>
      <c r="AK1" s="33">
        <v>0.49652777777777701</v>
      </c>
      <c r="AL1" s="33">
        <v>0.5</v>
      </c>
      <c r="AM1" s="33">
        <v>0.50347222222222199</v>
      </c>
      <c r="AN1" s="33">
        <v>0.50694444444444398</v>
      </c>
      <c r="AO1" s="33">
        <v>0.51041666666666596</v>
      </c>
      <c r="AP1" s="33">
        <v>0.51388888888888895</v>
      </c>
      <c r="AQ1" s="33">
        <v>0.51736111111111105</v>
      </c>
      <c r="AR1" s="33">
        <v>0.52083333333333304</v>
      </c>
      <c r="AS1" s="33">
        <v>0.52430555555555602</v>
      </c>
      <c r="AT1" s="33">
        <v>0.52777777777777801</v>
      </c>
      <c r="AU1" s="33">
        <v>0.53125</v>
      </c>
      <c r="AV1" s="33">
        <v>0.53472222222222199</v>
      </c>
      <c r="AW1" s="33">
        <v>0.53819444444444398</v>
      </c>
      <c r="AX1" s="33">
        <v>0.54166666666666696</v>
      </c>
      <c r="AY1" s="33">
        <v>0.54513888888888895</v>
      </c>
      <c r="AZ1" s="33">
        <v>0.54861111111111105</v>
      </c>
      <c r="BA1" s="33">
        <v>0.55208333333333304</v>
      </c>
      <c r="BB1" s="33">
        <v>0.55555555555555503</v>
      </c>
      <c r="BC1" s="33">
        <v>0.55902777777777801</v>
      </c>
      <c r="BD1" s="33">
        <v>0.5625</v>
      </c>
      <c r="BE1" s="33">
        <v>0.56597222222222199</v>
      </c>
      <c r="BF1" s="33">
        <v>0.56944444444444398</v>
      </c>
      <c r="BG1" s="33">
        <v>0.57291666666666596</v>
      </c>
      <c r="BH1" s="33">
        <v>0.57638888888888895</v>
      </c>
      <c r="BI1" s="33">
        <v>0.57986111111111105</v>
      </c>
      <c r="BJ1" s="33">
        <v>0.58333333333333304</v>
      </c>
      <c r="BK1" s="33">
        <v>0.58680555555555503</v>
      </c>
      <c r="BL1" s="33">
        <v>0.59027777777777701</v>
      </c>
      <c r="BM1" s="33">
        <v>0.59375</v>
      </c>
      <c r="BN1" s="33">
        <v>0.59722222222222199</v>
      </c>
      <c r="BO1" s="33">
        <v>0.60069444444444398</v>
      </c>
      <c r="BP1" s="33">
        <v>0.60416666666666596</v>
      </c>
      <c r="BQ1" s="33">
        <v>0.60763888888888895</v>
      </c>
      <c r="BR1" s="33">
        <v>0.61111111111111105</v>
      </c>
      <c r="BS1" s="33">
        <v>0.61458333333333304</v>
      </c>
      <c r="BT1" s="33">
        <v>0.61805555555555558</v>
      </c>
      <c r="BU1" s="33">
        <v>0.62152777777777701</v>
      </c>
      <c r="BV1" s="33">
        <v>0.625</v>
      </c>
      <c r="BW1" s="33">
        <v>0.62847222222222199</v>
      </c>
      <c r="BX1" s="33">
        <v>0.63194444444444398</v>
      </c>
      <c r="BY1" s="33">
        <v>0.63541666666666596</v>
      </c>
      <c r="BZ1" s="33">
        <v>0.63888888888888795</v>
      </c>
      <c r="CA1" s="33">
        <v>0.64236111111111105</v>
      </c>
      <c r="CB1" s="33">
        <v>0.64583333333333304</v>
      </c>
      <c r="CC1" s="33">
        <v>0.64930555555555503</v>
      </c>
      <c r="CD1" s="33">
        <v>0.65277777777777701</v>
      </c>
      <c r="CE1" s="33">
        <v>0.656249999999999</v>
      </c>
      <c r="CF1" s="33">
        <v>0.65972222222222199</v>
      </c>
      <c r="CG1" s="33">
        <v>0.66319444444444398</v>
      </c>
      <c r="CH1" s="33">
        <v>0.66666666666666596</v>
      </c>
      <c r="CI1" s="33">
        <v>0.67013888888888795</v>
      </c>
      <c r="CJ1" s="33">
        <v>0.67361111111111105</v>
      </c>
      <c r="CK1" s="33">
        <v>0.67708333333333304</v>
      </c>
      <c r="CL1" s="33">
        <v>0.68055555555555503</v>
      </c>
      <c r="CM1" s="33">
        <v>0.68402777777777701</v>
      </c>
      <c r="CN1" s="33">
        <v>0.687499999999999</v>
      </c>
      <c r="CO1" s="33">
        <v>0.69097222222222199</v>
      </c>
      <c r="CP1" s="33">
        <v>0.69444444444444453</v>
      </c>
      <c r="CQ1" s="33">
        <v>0.69791666666666663</v>
      </c>
      <c r="CR1" s="33">
        <v>0.70138888888888884</v>
      </c>
      <c r="CS1" s="33">
        <v>0.70486111111111116</v>
      </c>
      <c r="CT1" s="33">
        <v>0.70833333333333337</v>
      </c>
      <c r="CU1" s="34" t="s">
        <v>206</v>
      </c>
      <c r="CV1" s="35" t="s">
        <v>207</v>
      </c>
    </row>
    <row r="2" spans="1:167" x14ac:dyDescent="0.25">
      <c r="A2" s="26" t="s">
        <v>208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67">
        <f>CALCULO!$H$9</f>
        <v>102670</v>
      </c>
      <c r="CV2" s="67">
        <f t="shared" ref="CV2:CV33" si="0">CT2</f>
        <v>0</v>
      </c>
      <c r="CW2" s="36">
        <v>95290</v>
      </c>
      <c r="CX2" s="36"/>
      <c r="CY2" s="11">
        <v>110217.5</v>
      </c>
      <c r="DK2" s="11">
        <v>95130</v>
      </c>
      <c r="DV2" s="11">
        <v>112987.5</v>
      </c>
      <c r="DW2" s="11">
        <v>95130</v>
      </c>
      <c r="EA2" s="11">
        <v>95130</v>
      </c>
      <c r="EF2" s="11">
        <v>1.0241340555441205</v>
      </c>
      <c r="EO2" s="11">
        <v>0</v>
      </c>
      <c r="EP2" s="11">
        <v>0</v>
      </c>
      <c r="EW2" s="11">
        <v>101355</v>
      </c>
      <c r="FB2" s="11">
        <v>101355</v>
      </c>
      <c r="FG2" s="11" t="e">
        <v>#DIV/0!</v>
      </c>
      <c r="FK2" s="11">
        <v>0</v>
      </c>
    </row>
    <row r="3" spans="1:167" x14ac:dyDescent="0.25">
      <c r="A3" s="26" t="s">
        <v>209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  <c r="BY3" s="70"/>
      <c r="BZ3" s="70"/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0"/>
      <c r="CN3" s="70"/>
      <c r="CO3" s="70"/>
      <c r="CP3" s="70"/>
      <c r="CQ3" s="70"/>
      <c r="CR3" s="70"/>
      <c r="CS3" s="70"/>
      <c r="CT3" s="70"/>
      <c r="CU3" s="66">
        <f ca="1">CALCULO!$C$6</f>
        <v>102571.66480153045</v>
      </c>
      <c r="CV3" s="67">
        <f t="shared" si="0"/>
        <v>0</v>
      </c>
      <c r="CW3" s="36">
        <v>95120.392928697605</v>
      </c>
      <c r="CX3" s="36"/>
      <c r="CY3" s="11">
        <v>110156.63344502669</v>
      </c>
      <c r="DK3" s="11">
        <v>94960.392928697605</v>
      </c>
      <c r="DV3" s="11">
        <v>112965.64216226009</v>
      </c>
      <c r="DW3" s="11">
        <v>94960.392928697605</v>
      </c>
      <c r="EA3" s="11">
        <v>94960.392928697605</v>
      </c>
      <c r="EF3" s="11">
        <v>0.97476386337227916</v>
      </c>
      <c r="EO3" s="11">
        <v>-69.513212889127317</v>
      </c>
      <c r="EP3" s="11">
        <v>-90.279083031491609</v>
      </c>
      <c r="EW3" s="11">
        <v>101165.05829113764</v>
      </c>
      <c r="FB3" s="11">
        <v>101164.41275480426</v>
      </c>
      <c r="FG3" s="11" t="e">
        <v>#DIV/0!</v>
      </c>
      <c r="FK3" s="11">
        <v>-90.279083031491609</v>
      </c>
    </row>
    <row r="4" spans="1:167" x14ac:dyDescent="0.25">
      <c r="A4" s="26" t="s">
        <v>210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0"/>
      <c r="CN4" s="70"/>
      <c r="CO4" s="70"/>
      <c r="CP4" s="70"/>
      <c r="CQ4" s="70"/>
      <c r="CR4" s="70"/>
      <c r="CS4" s="70"/>
      <c r="CT4" s="70"/>
      <c r="CU4" s="66">
        <f>CALCULO!$N$9</f>
        <v>86936.00222854162</v>
      </c>
      <c r="CV4" s="67">
        <f t="shared" si="0"/>
        <v>0</v>
      </c>
      <c r="CW4" s="36">
        <v>95368.762205770021</v>
      </c>
      <c r="CX4" s="37"/>
      <c r="CY4" s="11">
        <v>110124.68081933568</v>
      </c>
      <c r="DK4" s="11">
        <v>95368.762205770021</v>
      </c>
      <c r="DV4" s="11">
        <v>113001.16836277775</v>
      </c>
      <c r="DW4" s="11">
        <v>95368.762205770021</v>
      </c>
      <c r="EA4" s="11">
        <v>95368.762205770021</v>
      </c>
      <c r="EF4" s="11">
        <v>1.9988979189163998</v>
      </c>
      <c r="EO4" s="11">
        <v>109786.30431589384</v>
      </c>
      <c r="EP4" s="11">
        <v>109786.30431589384</v>
      </c>
      <c r="EW4" s="11">
        <v>100654.32819853198</v>
      </c>
      <c r="FB4" s="11">
        <v>100996.41223238544</v>
      </c>
      <c r="FG4" s="11" t="e">
        <v>#DIV/0!</v>
      </c>
      <c r="FK4" s="11">
        <v>109786.30431589384</v>
      </c>
    </row>
    <row r="5" spans="1:167" x14ac:dyDescent="0.25">
      <c r="A5" s="26" t="s">
        <v>211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71" t="e">
        <f>CALCULO!$L$9</f>
        <v>#DIV/0!</v>
      </c>
      <c r="CV5" s="72">
        <f t="shared" si="0"/>
        <v>0</v>
      </c>
      <c r="CW5" s="36">
        <v>-6.8109669133627863E-3</v>
      </c>
      <c r="CX5" s="37"/>
      <c r="CY5" s="11">
        <v>3.2890123485820278E-3</v>
      </c>
      <c r="DK5" s="11">
        <v>-8.4166311712501954E-3</v>
      </c>
      <c r="DV5" s="11">
        <v>-2.9358773259756461E-3</v>
      </c>
      <c r="DW5" s="11">
        <v>-8.4134005710046669E-3</v>
      </c>
      <c r="EA5" s="11">
        <v>-8.4134005710046669E-3</v>
      </c>
      <c r="EO5" s="11">
        <v>0.98238193017561504</v>
      </c>
      <c r="EP5" s="11">
        <v>0.98238193017561504</v>
      </c>
      <c r="EW5" s="11">
        <v>3.8688084382473968E-3</v>
      </c>
      <c r="FB5" s="11">
        <v>6.2725989703236503E-3</v>
      </c>
      <c r="FG5" s="11" t="e">
        <v>#DIV/0!</v>
      </c>
      <c r="FK5" s="11">
        <v>0.98238193017561504</v>
      </c>
    </row>
    <row r="6" spans="1:167" x14ac:dyDescent="0.25">
      <c r="A6" s="47" t="s">
        <v>213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 t="e">
        <f>'METODO GBE'!H32</f>
        <v>#N/A</v>
      </c>
      <c r="CV6" s="80">
        <f t="shared" si="0"/>
        <v>0</v>
      </c>
      <c r="CW6" s="68">
        <v>-6737001</v>
      </c>
      <c r="CX6" s="37"/>
      <c r="CY6" s="11">
        <v>772267092</v>
      </c>
      <c r="DK6" s="11">
        <v>-6737001</v>
      </c>
      <c r="DV6" s="11">
        <v>-333560660</v>
      </c>
      <c r="DW6" s="11">
        <v>-5.2213634640937596E-3</v>
      </c>
      <c r="EA6" s="11">
        <v>-5.2213634640937596E-3</v>
      </c>
      <c r="EF6" s="11">
        <v>2.2588692015401108E-2</v>
      </c>
      <c r="EO6" s="11">
        <v>1286469751</v>
      </c>
      <c r="EP6" s="11">
        <v>1286469751</v>
      </c>
      <c r="EW6" s="11">
        <v>-3350220</v>
      </c>
      <c r="FB6" s="11">
        <v>-18055969</v>
      </c>
      <c r="FG6" s="11" t="e">
        <v>#DIV/0!</v>
      </c>
      <c r="FK6" s="11">
        <v>1286469751</v>
      </c>
    </row>
    <row r="7" spans="1:167" s="38" customFormat="1" x14ac:dyDescent="0.25">
      <c r="A7" s="47" t="s">
        <v>214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80"/>
      <c r="CP7" s="80"/>
      <c r="CQ7" s="80"/>
      <c r="CR7" s="80"/>
      <c r="CS7" s="80"/>
      <c r="CT7" s="80"/>
      <c r="CU7" s="80" t="e">
        <f>'METODO GBE'!H33</f>
        <v>#N/A</v>
      </c>
      <c r="CV7" s="80">
        <f t="shared" si="0"/>
        <v>0</v>
      </c>
      <c r="CW7" s="68">
        <v>-2941338</v>
      </c>
      <c r="CX7" s="37"/>
      <c r="CY7" s="38">
        <v>-701234498</v>
      </c>
      <c r="DK7" s="38">
        <v>-2941338</v>
      </c>
      <c r="DV7" s="38">
        <v>382001478</v>
      </c>
      <c r="DW7" s="38">
        <v>2.0566361393240008E-3</v>
      </c>
      <c r="EA7" s="38">
        <v>2.0566361393240008E-3</v>
      </c>
      <c r="EF7" s="38">
        <v>3.3483574139497167E-3</v>
      </c>
      <c r="EO7" s="38">
        <v>-1328365719</v>
      </c>
      <c r="EP7" s="38">
        <v>-1328365719</v>
      </c>
      <c r="EW7" s="38">
        <v>3214441</v>
      </c>
      <c r="FB7" s="38">
        <v>3235257</v>
      </c>
      <c r="FG7" s="38" t="e">
        <v>#DIV/0!</v>
      </c>
      <c r="FK7" s="38">
        <v>-1328365719</v>
      </c>
    </row>
    <row r="8" spans="1:167" s="38" customFormat="1" x14ac:dyDescent="0.25">
      <c r="A8" s="47" t="s">
        <v>215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 t="e">
        <f>'METODO GBE'!H36</f>
        <v>#N/A</v>
      </c>
      <c r="CV8" s="80">
        <f t="shared" si="0"/>
        <v>0</v>
      </c>
      <c r="CW8" s="68">
        <v>437384</v>
      </c>
      <c r="CX8" s="37"/>
      <c r="CY8" s="38">
        <v>-140451825</v>
      </c>
      <c r="DK8" s="38">
        <v>437384</v>
      </c>
      <c r="DV8" s="38">
        <v>1108913195</v>
      </c>
      <c r="DW8" s="38">
        <v>-2.0093465153289143E-2</v>
      </c>
      <c r="EA8" s="38">
        <v>-2.0093465153289143E-2</v>
      </c>
      <c r="EF8" s="38">
        <v>2.5937049429350826E-2</v>
      </c>
      <c r="EO8" s="38">
        <v>61310820</v>
      </c>
      <c r="EP8" s="38">
        <v>61310820</v>
      </c>
      <c r="EW8" s="38">
        <v>-715307</v>
      </c>
      <c r="FB8" s="38">
        <v>-927142</v>
      </c>
      <c r="FG8" s="38" t="e">
        <v>#DIV/0!</v>
      </c>
      <c r="FK8" s="38">
        <v>61310820</v>
      </c>
    </row>
    <row r="9" spans="1:167" x14ac:dyDescent="0.25">
      <c r="A9" s="47" t="s">
        <v>216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 t="e">
        <f>'METODO GBE'!H37</f>
        <v>#N/A</v>
      </c>
      <c r="CV9" s="147">
        <f t="shared" si="0"/>
        <v>0</v>
      </c>
      <c r="CW9" s="68">
        <v>-1681050</v>
      </c>
      <c r="CX9" s="37"/>
      <c r="CY9" s="40">
        <v>150850415</v>
      </c>
      <c r="DK9" s="11">
        <v>-1681050</v>
      </c>
      <c r="DV9" s="11">
        <v>-1066823395</v>
      </c>
      <c r="DW9" s="11">
        <v>5.676517236353526E-3</v>
      </c>
      <c r="EA9" s="11">
        <v>5.676517236353526E-3</v>
      </c>
      <c r="EO9" s="11">
        <v>13586220</v>
      </c>
      <c r="EP9" s="11">
        <v>13586220</v>
      </c>
      <c r="EW9" s="11">
        <v>329691</v>
      </c>
      <c r="FB9" s="11">
        <v>352355</v>
      </c>
      <c r="FG9" s="11" t="e">
        <v>#DIV/0!</v>
      </c>
      <c r="FK9" s="11">
        <v>13586220</v>
      </c>
    </row>
    <row r="10" spans="1:167" s="42" customFormat="1" x14ac:dyDescent="0.25">
      <c r="A10" s="27" t="s">
        <v>4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>
        <f>CALCULO!L15</f>
        <v>9.7244060137067524E-4</v>
      </c>
      <c r="CV10" s="72">
        <f t="shared" si="0"/>
        <v>0</v>
      </c>
      <c r="CW10" s="68">
        <v>23875953</v>
      </c>
      <c r="CX10" s="41"/>
      <c r="CY10" s="42">
        <v>-1.3721795765583077E-3</v>
      </c>
      <c r="DK10" s="42">
        <v>23875953</v>
      </c>
      <c r="DV10" s="42">
        <v>2.1665218502427794E-2</v>
      </c>
      <c r="DW10" s="42">
        <v>-5.3743854168376744E-2</v>
      </c>
      <c r="EA10" s="42">
        <v>-5.3743854168376744E-2</v>
      </c>
      <c r="EF10" s="42">
        <v>-347223886</v>
      </c>
      <c r="EO10" s="42">
        <v>1.2071623465211461</v>
      </c>
      <c r="EP10" s="42">
        <v>1.2071623465211461</v>
      </c>
      <c r="EW10" s="42">
        <v>37948458</v>
      </c>
      <c r="FB10" s="42">
        <v>41774602</v>
      </c>
      <c r="FG10" s="42" t="e">
        <v>#DIV/0!</v>
      </c>
      <c r="FK10" s="42">
        <v>1.2071623465211461</v>
      </c>
    </row>
    <row r="11" spans="1:167" s="42" customFormat="1" x14ac:dyDescent="0.25">
      <c r="A11" s="27" t="s">
        <v>9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>
        <f>CALCULO!L17</f>
        <v>-8.2708388714704609E-3</v>
      </c>
      <c r="CV11" s="72">
        <f t="shared" si="0"/>
        <v>0</v>
      </c>
      <c r="CW11" s="68">
        <v>-33098894</v>
      </c>
      <c r="CX11" s="41"/>
      <c r="CY11" s="42">
        <v>3.5765895370202208E-2</v>
      </c>
      <c r="DK11" s="42">
        <v>-33098894</v>
      </c>
      <c r="DV11" s="42">
        <v>-2.0797506431717624E-3</v>
      </c>
      <c r="DW11" s="42">
        <v>1.1059300438454545E-2</v>
      </c>
      <c r="EA11" s="42">
        <v>1.1059300438454545E-2</v>
      </c>
      <c r="EF11" s="42">
        <v>453941172</v>
      </c>
      <c r="EO11" s="42">
        <v>1.6064570466030319</v>
      </c>
      <c r="EP11" s="42">
        <v>1.6064570466030319</v>
      </c>
      <c r="EW11" s="42">
        <v>4189813</v>
      </c>
      <c r="FB11" s="42">
        <v>6056330</v>
      </c>
      <c r="FG11" s="42" t="e">
        <v>#DIV/0!</v>
      </c>
      <c r="FK11" s="42">
        <v>1.6064570466030319</v>
      </c>
    </row>
    <row r="12" spans="1:167" s="63" customFormat="1" x14ac:dyDescent="0.25">
      <c r="A12" s="61" t="s">
        <v>12</v>
      </c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  <c r="BS12" s="84"/>
      <c r="BT12" s="84"/>
      <c r="BU12" s="84"/>
      <c r="BV12" s="84"/>
      <c r="BW12" s="84"/>
      <c r="BX12" s="84"/>
      <c r="BY12" s="84"/>
      <c r="BZ12" s="84"/>
      <c r="CA12" s="84"/>
      <c r="CB12" s="84"/>
      <c r="CC12" s="84"/>
      <c r="CD12" s="84"/>
      <c r="CE12" s="84"/>
      <c r="CF12" s="84"/>
      <c r="CG12" s="84"/>
      <c r="CH12" s="84"/>
      <c r="CI12" s="84"/>
      <c r="CJ12" s="84"/>
      <c r="CK12" s="84"/>
      <c r="CL12" s="84"/>
      <c r="CM12" s="84"/>
      <c r="CN12" s="84"/>
      <c r="CO12" s="84"/>
      <c r="CP12" s="84"/>
      <c r="CQ12" s="84"/>
      <c r="CR12" s="84"/>
      <c r="CS12" s="84"/>
      <c r="CT12" s="84"/>
      <c r="CU12" s="72">
        <f>CALCULO!L18</f>
        <v>-9.415251317957965E-3</v>
      </c>
      <c r="CV12" s="84">
        <f t="shared" si="0"/>
        <v>0</v>
      </c>
      <c r="CW12" s="68">
        <v>-7116181</v>
      </c>
      <c r="CX12" s="62"/>
      <c r="CY12" s="63">
        <v>3.5032359619614727E-3</v>
      </c>
      <c r="DK12" s="63">
        <v>-7116181</v>
      </c>
      <c r="DV12" s="63">
        <v>-1.8033941901182023E-2</v>
      </c>
      <c r="DW12" s="63">
        <v>1.1932739623423984E-2</v>
      </c>
      <c r="EA12" s="63">
        <v>1.1932739623423984E-2</v>
      </c>
      <c r="EF12" s="63">
        <v>-79417995</v>
      </c>
      <c r="EO12" s="63">
        <v>1.0980088740987244</v>
      </c>
      <c r="EP12" s="63">
        <v>1.0980088740987244</v>
      </c>
      <c r="EW12" s="63">
        <v>-10496124</v>
      </c>
      <c r="FB12" s="63">
        <v>-14918493</v>
      </c>
      <c r="FG12" s="63" t="e">
        <v>#DIV/0!</v>
      </c>
      <c r="FK12" s="63">
        <v>1.0980088740987244</v>
      </c>
    </row>
    <row r="13" spans="1:167" s="39" customFormat="1" x14ac:dyDescent="0.25">
      <c r="A13" s="43" t="s">
        <v>14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>
        <f>CALCULO!L19</f>
        <v>1.7313299342575136E-2</v>
      </c>
      <c r="CV13" s="72">
        <f t="shared" si="0"/>
        <v>0</v>
      </c>
      <c r="CW13" s="68">
        <v>-1648705</v>
      </c>
      <c r="CX13" s="44"/>
      <c r="CY13" s="39">
        <v>-1.7645932130861436E-2</v>
      </c>
      <c r="DK13" s="39">
        <v>-1648705</v>
      </c>
      <c r="DV13" s="39">
        <v>-6.1967545345493176E-3</v>
      </c>
      <c r="DW13" s="39">
        <v>-1.415295298922685E-2</v>
      </c>
      <c r="EA13" s="39">
        <v>-1.415295298922685E-2</v>
      </c>
      <c r="EO13" s="39">
        <v>1.0898377752027808</v>
      </c>
      <c r="EP13" s="39">
        <v>1.0898377752027808</v>
      </c>
      <c r="EW13" s="39">
        <v>-3182761</v>
      </c>
      <c r="FB13" s="39">
        <v>-2083731</v>
      </c>
      <c r="FG13" s="39" t="e">
        <v>#DIV/0!</v>
      </c>
      <c r="FK13" s="39">
        <v>1.0898377752027808</v>
      </c>
    </row>
    <row r="14" spans="1:167" s="42" customFormat="1" x14ac:dyDescent="0.25">
      <c r="A14" s="27" t="s">
        <v>16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>
        <f>CALCULO!L20</f>
        <v>1.3181322860602685E-2</v>
      </c>
      <c r="CV14" s="72">
        <f t="shared" si="0"/>
        <v>0</v>
      </c>
      <c r="CW14" s="68">
        <v>-29961574</v>
      </c>
      <c r="CX14" s="41"/>
      <c r="CY14" s="42">
        <v>-1.9747281077844517E-2</v>
      </c>
      <c r="DK14" s="42">
        <v>-29961574</v>
      </c>
      <c r="DV14" s="42">
        <v>6.6902275950564329E-3</v>
      </c>
      <c r="DW14" s="42">
        <v>-6.1692864164305944E-3</v>
      </c>
      <c r="EA14" s="42">
        <v>-6.1692864164305944E-3</v>
      </c>
      <c r="EF14" s="42">
        <v>1004299370</v>
      </c>
      <c r="EO14" s="42">
        <v>1.3004428377767736</v>
      </c>
      <c r="EP14" s="42">
        <v>1.3004428377767736</v>
      </c>
      <c r="EW14" s="42">
        <v>-42789016</v>
      </c>
      <c r="FB14" s="42">
        <v>-46187351</v>
      </c>
      <c r="FG14" s="42" t="e">
        <v>#DIV/0!</v>
      </c>
      <c r="FK14" s="42">
        <v>1.3004428377767736</v>
      </c>
    </row>
    <row r="15" spans="1:167" s="42" customFormat="1" x14ac:dyDescent="0.25">
      <c r="A15" s="27" t="s">
        <v>19</v>
      </c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>
        <f>CALCULO!L21</f>
        <v>1.1625167550253581E-2</v>
      </c>
      <c r="CV15" s="72">
        <f t="shared" si="0"/>
        <v>0</v>
      </c>
      <c r="CW15" s="68">
        <v>12355967</v>
      </c>
      <c r="CX15" s="41"/>
      <c r="CY15" s="42">
        <v>-1.6654592544480765E-2</v>
      </c>
      <c r="DK15" s="42">
        <v>12355967</v>
      </c>
      <c r="DV15" s="42">
        <v>1.1368990946699511E-2</v>
      </c>
      <c r="DW15" s="42">
        <v>-9.8462268620784048E-3</v>
      </c>
      <c r="EA15" s="42">
        <v>-9.8462268620784048E-3</v>
      </c>
      <c r="EF15" s="42">
        <v>-962768610</v>
      </c>
      <c r="EO15" s="42">
        <v>1.3082026143790848</v>
      </c>
      <c r="EP15" s="42">
        <v>1.3082026143790848</v>
      </c>
      <c r="EW15" s="42">
        <v>-1971690</v>
      </c>
      <c r="FB15" s="42">
        <v>-3076013</v>
      </c>
      <c r="FG15" s="42" t="e">
        <v>#DIV/0!</v>
      </c>
      <c r="FK15" s="42">
        <v>1.3082026143790848</v>
      </c>
    </row>
    <row r="16" spans="1:167" s="46" customFormat="1" x14ac:dyDescent="0.25">
      <c r="A16" s="27" t="s">
        <v>20</v>
      </c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2">
        <f>CALCULO!L22</f>
        <v>-1.4628618649506335E-2</v>
      </c>
      <c r="CV16" s="73">
        <f t="shared" si="0"/>
        <v>0</v>
      </c>
      <c r="CW16" s="68">
        <v>-5011707</v>
      </c>
      <c r="CX16" s="45"/>
      <c r="CY16" s="46">
        <v>1.2683033645525699E-3</v>
      </c>
      <c r="DK16" s="46">
        <v>-5011707</v>
      </c>
      <c r="DV16" s="46">
        <v>3.2406459160386541E-3</v>
      </c>
      <c r="DW16" s="46">
        <v>-1.7669975669924891E-2</v>
      </c>
      <c r="EA16" s="46">
        <v>-1.7669975669924891E-2</v>
      </c>
      <c r="EF16" s="46">
        <v>104956755</v>
      </c>
      <c r="EO16" s="46">
        <v>0.90858516483516472</v>
      </c>
      <c r="EP16" s="46">
        <v>0.90858516483516472</v>
      </c>
      <c r="EW16" s="46">
        <v>-1480144</v>
      </c>
      <c r="FB16" s="46">
        <v>-2566207</v>
      </c>
      <c r="FG16" s="46" t="e">
        <v>#DIV/0!</v>
      </c>
      <c r="FK16" s="46">
        <v>0.90858516483516472</v>
      </c>
    </row>
    <row r="17" spans="1:167" s="46" customFormat="1" x14ac:dyDescent="0.25">
      <c r="A17" s="27" t="s">
        <v>22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2">
        <f>CALCULO!L23</f>
        <v>1.2650571168321467E-2</v>
      </c>
      <c r="CV17" s="73">
        <f t="shared" si="0"/>
        <v>0</v>
      </c>
      <c r="CW17" s="68">
        <v>-807786</v>
      </c>
      <c r="CX17" s="45"/>
      <c r="CY17" s="46">
        <v>-7.1658734365071756E-3</v>
      </c>
      <c r="DK17" s="46">
        <v>-807786</v>
      </c>
      <c r="DV17" s="46">
        <v>-1.3639919486454034E-2</v>
      </c>
      <c r="DW17" s="46">
        <v>-1.0449508625544057E-2</v>
      </c>
      <c r="EA17" s="46">
        <v>-1.0449508625544057E-2</v>
      </c>
      <c r="EO17" s="46">
        <v>0.57739043824701231</v>
      </c>
      <c r="EP17" s="46">
        <v>0.57739043824701231</v>
      </c>
      <c r="EW17" s="46">
        <v>-1967852</v>
      </c>
      <c r="FB17" s="46">
        <v>-3597567</v>
      </c>
      <c r="FK17" s="46">
        <v>0.57739043824701231</v>
      </c>
    </row>
    <row r="18" spans="1:167" s="46" customFormat="1" x14ac:dyDescent="0.25">
      <c r="A18" s="27" t="s">
        <v>24</v>
      </c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2">
        <f>CALCULO!L24</f>
        <v>-5.6010617648338656E-3</v>
      </c>
      <c r="CV18" s="73">
        <f t="shared" si="0"/>
        <v>0</v>
      </c>
      <c r="CW18" s="68">
        <v>21100775</v>
      </c>
      <c r="CX18" s="45"/>
      <c r="CY18" s="46">
        <v>-3.9759041061514025E-3</v>
      </c>
      <c r="DK18" s="46">
        <v>21100775</v>
      </c>
      <c r="DV18" s="46">
        <v>-2.9855212923737398E-2</v>
      </c>
      <c r="DW18" s="46">
        <v>-2.1212672514098023E-2</v>
      </c>
      <c r="EA18" s="46">
        <v>-2.1212672514098023E-2</v>
      </c>
      <c r="EO18" s="46">
        <v>1.1444080604534004</v>
      </c>
      <c r="EP18" s="46">
        <v>1.1444080604534004</v>
      </c>
      <c r="EW18" s="46">
        <v>16066385</v>
      </c>
      <c r="FB18" s="46">
        <v>13934131</v>
      </c>
      <c r="FK18" s="46">
        <v>1.1444080604534004</v>
      </c>
    </row>
    <row r="19" spans="1:167" s="46" customFormat="1" x14ac:dyDescent="0.25">
      <c r="A19" s="27" t="s">
        <v>27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2">
        <f>CALCULO!L25</f>
        <v>-7.9932704382942692E-3</v>
      </c>
      <c r="CV19" s="73">
        <f t="shared" si="0"/>
        <v>0</v>
      </c>
      <c r="CW19" s="68">
        <v>-2072932</v>
      </c>
      <c r="CX19" s="45"/>
      <c r="CY19" s="46">
        <v>1.5802467656553222E-2</v>
      </c>
      <c r="DK19" s="46">
        <v>-2072932</v>
      </c>
      <c r="DV19" s="46">
        <v>5.7784171580632804E-3</v>
      </c>
      <c r="DW19" s="46">
        <v>-3.5928932726353162E-2</v>
      </c>
      <c r="EA19" s="46">
        <v>-3.5928932726353162E-2</v>
      </c>
      <c r="EO19" s="46">
        <v>0.71275512121781615</v>
      </c>
      <c r="EP19" s="46">
        <v>0.71275512121781615</v>
      </c>
      <c r="EW19" s="46">
        <v>-655295</v>
      </c>
      <c r="FB19" s="46">
        <v>-466731</v>
      </c>
      <c r="FK19" s="46">
        <v>0.71275512121781615</v>
      </c>
    </row>
    <row r="20" spans="1:167" s="46" customFormat="1" x14ac:dyDescent="0.25">
      <c r="A20" s="27" t="s">
        <v>29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2">
        <f>CALCULO!L26</f>
        <v>-0.99248621990136354</v>
      </c>
      <c r="CV20" s="73">
        <f t="shared" si="0"/>
        <v>0</v>
      </c>
      <c r="CW20" s="68">
        <v>-660178</v>
      </c>
      <c r="CX20" s="45"/>
      <c r="CY20" s="46">
        <v>-1.7971479780472355E-2</v>
      </c>
      <c r="DK20" s="46">
        <v>-660178</v>
      </c>
      <c r="DV20" s="46">
        <v>8.5692265649224501E-3</v>
      </c>
      <c r="DW20" s="46">
        <v>1.6097262296362158E-2</v>
      </c>
      <c r="EA20" s="46">
        <v>1.6097262296362158E-2</v>
      </c>
      <c r="EO20" s="46">
        <v>1.1361179361179361</v>
      </c>
      <c r="EP20" s="46">
        <v>1.1361179361179361</v>
      </c>
      <c r="EW20" s="46">
        <v>-1212954</v>
      </c>
      <c r="FB20" s="46">
        <v>1124289</v>
      </c>
      <c r="FK20" s="46">
        <v>1.1361179361179361</v>
      </c>
    </row>
    <row r="21" spans="1:167" s="46" customFormat="1" x14ac:dyDescent="0.25">
      <c r="A21" s="27" t="s">
        <v>31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2">
        <f>CALCULO!L27</f>
        <v>4.1961786023428475E-3</v>
      </c>
      <c r="CV21" s="73">
        <f t="shared" si="0"/>
        <v>0</v>
      </c>
      <c r="CW21" s="68">
        <v>3012634</v>
      </c>
      <c r="CX21" s="45"/>
      <c r="CY21" s="46">
        <v>-1.2665669928102856E-2</v>
      </c>
      <c r="DK21" s="46">
        <v>3012634</v>
      </c>
      <c r="DV21" s="46">
        <v>-1.4771265137802012E-2</v>
      </c>
      <c r="DW21" s="46">
        <v>1.7548689314161633E-2</v>
      </c>
      <c r="EA21" s="46">
        <v>1.7548689314161633E-2</v>
      </c>
      <c r="EO21" s="46">
        <v>0.87339083068542889</v>
      </c>
      <c r="EP21" s="46">
        <v>0.87339083068542889</v>
      </c>
      <c r="EW21" s="46">
        <v>-2292701</v>
      </c>
      <c r="FB21" s="46">
        <v>-3622694</v>
      </c>
      <c r="FK21" s="46">
        <v>0.87339083068542889</v>
      </c>
    </row>
    <row r="22" spans="1:167" s="46" customFormat="1" x14ac:dyDescent="0.25">
      <c r="A22" s="27" t="s">
        <v>33</v>
      </c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2">
        <f>CALCULO!L28</f>
        <v>9.532917281783241E-3</v>
      </c>
      <c r="CV22" s="73">
        <f t="shared" si="0"/>
        <v>0</v>
      </c>
      <c r="CW22" s="68">
        <v>-17711555</v>
      </c>
      <c r="CX22" s="45"/>
      <c r="CY22" s="46">
        <v>-2.1209317123284797E-2</v>
      </c>
      <c r="DK22" s="46">
        <v>-17711555</v>
      </c>
      <c r="DV22" s="46">
        <v>-3.5069630552263375E-3</v>
      </c>
      <c r="DW22" s="46">
        <v>1.1714057617854934E-2</v>
      </c>
      <c r="EA22" s="46">
        <v>1.1714057617854934E-2</v>
      </c>
      <c r="EO22" s="46">
        <v>0.68252653927813156</v>
      </c>
      <c r="EP22" s="46">
        <v>0.68252653927813156</v>
      </c>
      <c r="EW22" s="46">
        <v>35924651</v>
      </c>
      <c r="FB22" s="46">
        <v>33951404</v>
      </c>
      <c r="FK22" s="46">
        <v>0.68252653927813156</v>
      </c>
    </row>
    <row r="23" spans="1:167" s="46" customFormat="1" x14ac:dyDescent="0.25">
      <c r="A23" s="27" t="s">
        <v>36</v>
      </c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2">
        <f>CALCULO!L29</f>
        <v>-1.9085234705339217E-2</v>
      </c>
      <c r="CV23" s="73">
        <f t="shared" si="0"/>
        <v>0</v>
      </c>
      <c r="CW23" s="68">
        <v>-3219996</v>
      </c>
      <c r="CX23" s="45"/>
      <c r="CY23" s="46">
        <v>-7.4730354666966868E-4</v>
      </c>
      <c r="DK23" s="46">
        <v>-3219996</v>
      </c>
      <c r="DV23" s="46">
        <v>7.1702552386466514E-3</v>
      </c>
      <c r="DW23" s="46">
        <v>-1.4077600915900278E-2</v>
      </c>
      <c r="EA23" s="46">
        <v>-1.4077600915900278E-2</v>
      </c>
      <c r="EO23" s="46">
        <v>1.280203644158628</v>
      </c>
      <c r="EP23" s="46">
        <v>1.280203644158628</v>
      </c>
      <c r="EW23" s="46">
        <v>2744586</v>
      </c>
      <c r="FB23" s="46">
        <v>3320002</v>
      </c>
      <c r="FK23" s="46">
        <v>1.280203644158628</v>
      </c>
    </row>
    <row r="24" spans="1:167" s="46" customFormat="1" x14ac:dyDescent="0.25">
      <c r="A24" s="27" t="s">
        <v>38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2" t="e">
        <f>CALCULO!L30</f>
        <v>#DIV/0!</v>
      </c>
      <c r="CV24" s="73">
        <f t="shared" si="0"/>
        <v>0</v>
      </c>
      <c r="CW24" s="68">
        <v>12060701</v>
      </c>
      <c r="CX24" s="45"/>
      <c r="CY24" s="46">
        <v>8.9105286275548007E-3</v>
      </c>
      <c r="DK24" s="46">
        <v>12060701</v>
      </c>
      <c r="DV24" s="46">
        <v>-2.271172707889127E-2</v>
      </c>
      <c r="DW24" s="46">
        <v>-2.8504011799715005E-2</v>
      </c>
      <c r="EA24" s="46">
        <v>-2.8504011799715005E-2</v>
      </c>
      <c r="EO24" s="46">
        <v>0.78609260763606836</v>
      </c>
      <c r="EP24" s="46">
        <v>0.78609260763606836</v>
      </c>
      <c r="EW24" s="46">
        <v>4003596</v>
      </c>
      <c r="FB24" s="46">
        <v>2032823</v>
      </c>
      <c r="FK24" s="46">
        <v>0.78609260763606836</v>
      </c>
    </row>
    <row r="25" spans="1:167" s="46" customFormat="1" x14ac:dyDescent="0.25">
      <c r="A25" s="27" t="s">
        <v>40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2">
        <f>CALCULO!L31</f>
        <v>-9.2610627684759916E-3</v>
      </c>
      <c r="CV25" s="73">
        <f t="shared" si="0"/>
        <v>0</v>
      </c>
      <c r="CW25" s="68">
        <v>-4811159</v>
      </c>
      <c r="CX25" s="45"/>
      <c r="CY25" s="46">
        <v>-1.0026956474235413E-2</v>
      </c>
      <c r="DK25" s="46">
        <v>-4811159</v>
      </c>
      <c r="DV25" s="46">
        <v>-3.3699331381864053E-2</v>
      </c>
      <c r="DW25" s="46">
        <v>1.470761746069281E-2</v>
      </c>
      <c r="EA25" s="46">
        <v>1.470761746069281E-2</v>
      </c>
      <c r="EO25" s="46">
        <v>1.3179674796747967</v>
      </c>
      <c r="EP25" s="46">
        <v>1.3179674796747967</v>
      </c>
      <c r="EW25" s="46">
        <v>-4539265</v>
      </c>
      <c r="FB25" s="46">
        <v>-12360212</v>
      </c>
      <c r="FK25" s="46">
        <v>1.3179674796747967</v>
      </c>
    </row>
    <row r="26" spans="1:167" s="46" customFormat="1" x14ac:dyDescent="0.25">
      <c r="A26" s="27" t="s">
        <v>43</v>
      </c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2">
        <f>CALCULO!L32</f>
        <v>6.3628322967301081E-3</v>
      </c>
      <c r="CV26" s="73">
        <f t="shared" si="0"/>
        <v>0</v>
      </c>
      <c r="CW26" s="68">
        <v>-1792115</v>
      </c>
      <c r="CX26" s="45"/>
      <c r="CY26" s="46">
        <v>2.9217452852649119E-2</v>
      </c>
      <c r="DK26" s="46">
        <v>-1792115</v>
      </c>
      <c r="DV26" s="46">
        <v>-1.7959747659747623E-2</v>
      </c>
      <c r="DW26" s="46">
        <v>1.8173278416069305E-3</v>
      </c>
      <c r="EA26" s="46">
        <v>1.8173278416069305E-3</v>
      </c>
      <c r="EO26" s="46">
        <v>1.0646949602122016</v>
      </c>
      <c r="EP26" s="46">
        <v>1.0646949602122016</v>
      </c>
      <c r="EW26" s="46">
        <v>911232</v>
      </c>
      <c r="FB26" s="46">
        <v>2141934</v>
      </c>
      <c r="FK26" s="46">
        <v>1.0646949602122016</v>
      </c>
    </row>
    <row r="27" spans="1:167" s="46" customFormat="1" x14ac:dyDescent="0.25">
      <c r="A27" s="27" t="s">
        <v>45</v>
      </c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2">
        <f>CALCULO!L33</f>
        <v>2.4621420964365155E-3</v>
      </c>
      <c r="CV27" s="73">
        <f t="shared" si="0"/>
        <v>0</v>
      </c>
      <c r="CW27" s="68">
        <v>15421</v>
      </c>
      <c r="CX27" s="45"/>
      <c r="CY27" s="46">
        <v>-7.4267538303658814E-3</v>
      </c>
      <c r="DK27" s="46">
        <v>15421</v>
      </c>
      <c r="DV27" s="46">
        <v>4.9696307523892915E-3</v>
      </c>
      <c r="DW27" s="46">
        <v>-8.2611898760431117E-3</v>
      </c>
      <c r="EA27" s="46">
        <v>-8.2611898760431117E-3</v>
      </c>
      <c r="EO27" s="46">
        <v>1.0075527426160338</v>
      </c>
      <c r="EP27" s="46">
        <v>1.0075527426160338</v>
      </c>
      <c r="EW27" s="46">
        <v>95127</v>
      </c>
      <c r="FB27" s="46">
        <v>-333064</v>
      </c>
      <c r="FK27" s="46">
        <v>1.0075527426160338</v>
      </c>
    </row>
    <row r="28" spans="1:167" s="46" customFormat="1" x14ac:dyDescent="0.25">
      <c r="A28" s="27" t="s">
        <v>47</v>
      </c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2">
        <f>CALCULO!L34</f>
        <v>2.628877032327729E-3</v>
      </c>
      <c r="CV28" s="73">
        <f t="shared" si="0"/>
        <v>0</v>
      </c>
      <c r="CW28" s="68">
        <v>-9313654</v>
      </c>
      <c r="CX28" s="45"/>
      <c r="CY28" s="46">
        <v>4.0248020453820983E-2</v>
      </c>
      <c r="DK28" s="46">
        <v>-9313654</v>
      </c>
      <c r="DV28" s="46">
        <v>-4.4502575549451411E-3</v>
      </c>
      <c r="DW28" s="46">
        <v>-7.7826439284937377E-2</v>
      </c>
      <c r="EA28" s="46">
        <v>-7.7826439284937377E-2</v>
      </c>
      <c r="EO28" s="46">
        <v>1.2290079365079365</v>
      </c>
      <c r="EP28" s="46">
        <v>1.2290079365079365</v>
      </c>
      <c r="EW28" s="46">
        <v>-3022643</v>
      </c>
      <c r="FB28" s="46">
        <v>4559679</v>
      </c>
      <c r="FK28" s="46">
        <v>1.2290079365079365</v>
      </c>
    </row>
    <row r="29" spans="1:167" s="46" customFormat="1" x14ac:dyDescent="0.25">
      <c r="A29" s="27" t="s">
        <v>49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2">
        <f>CALCULO!L35</f>
        <v>2.3551495426630577E-3</v>
      </c>
      <c r="CV29" s="73">
        <f t="shared" si="0"/>
        <v>0</v>
      </c>
      <c r="CW29" s="68">
        <v>-688224</v>
      </c>
      <c r="CX29" s="45"/>
      <c r="CY29" s="46">
        <v>1.2511077827352458E-3</v>
      </c>
      <c r="DK29" s="46">
        <v>-688224</v>
      </c>
      <c r="DV29" s="46">
        <v>7.248025672415905E-3</v>
      </c>
      <c r="DW29" s="46">
        <v>1.3933022866411911E-2</v>
      </c>
      <c r="EA29" s="46">
        <v>1.3933022866411911E-2</v>
      </c>
      <c r="EO29" s="46">
        <v>0.86298904018598488</v>
      </c>
      <c r="EP29" s="46">
        <v>0.86298904018598488</v>
      </c>
      <c r="EW29" s="46">
        <v>-9191750</v>
      </c>
      <c r="FB29" s="46">
        <v>-12197770</v>
      </c>
      <c r="FK29" s="46">
        <v>0.86298904018598488</v>
      </c>
    </row>
    <row r="30" spans="1:167" s="46" customFormat="1" x14ac:dyDescent="0.25">
      <c r="A30" s="27" t="s">
        <v>51</v>
      </c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2">
        <f>CALCULO!L36</f>
        <v>-1.9385035851244761E-3</v>
      </c>
      <c r="CV30" s="73">
        <f t="shared" si="0"/>
        <v>0</v>
      </c>
      <c r="CW30" s="68">
        <v>-1443107</v>
      </c>
      <c r="CX30" s="45"/>
      <c r="CY30" s="46">
        <v>1.8797796048254215E-2</v>
      </c>
      <c r="DK30" s="46">
        <v>-1443107</v>
      </c>
      <c r="DV30" s="46">
        <v>4.9352647352647371E-3</v>
      </c>
      <c r="DW30" s="46">
        <v>-9.4308620997762688E-3</v>
      </c>
      <c r="EA30" s="46">
        <v>-9.4308620997762688E-3</v>
      </c>
      <c r="EO30" s="46">
        <v>0.61611398963730568</v>
      </c>
      <c r="EP30" s="46">
        <v>0.61611398963730568</v>
      </c>
      <c r="EW30" s="46">
        <v>-1342742</v>
      </c>
      <c r="FB30" s="46">
        <v>-1641202</v>
      </c>
      <c r="FK30" s="46">
        <v>0.61611398963730568</v>
      </c>
    </row>
    <row r="31" spans="1:167" s="46" customFormat="1" x14ac:dyDescent="0.25">
      <c r="A31" s="27" t="s">
        <v>53</v>
      </c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2">
        <f>CALCULO!L37</f>
        <v>-8.6704854435109419E-3</v>
      </c>
      <c r="CV31" s="73">
        <f t="shared" si="0"/>
        <v>0</v>
      </c>
      <c r="CW31" s="68">
        <v>-8871562</v>
      </c>
      <c r="CX31" s="45"/>
      <c r="CY31" s="46">
        <v>-1.8434347970514198E-3</v>
      </c>
      <c r="DK31" s="46">
        <v>-8871562</v>
      </c>
      <c r="DV31" s="46">
        <v>-1.7899687493779716E-2</v>
      </c>
      <c r="DW31" s="46">
        <v>-2.7899677459616794E-2</v>
      </c>
      <c r="EA31" s="46">
        <v>-2.7899677459616794E-2</v>
      </c>
      <c r="EO31" s="46">
        <v>1.0338060405851817</v>
      </c>
      <c r="EP31" s="46">
        <v>1.0338060405851817</v>
      </c>
      <c r="EW31" s="46">
        <v>74127</v>
      </c>
      <c r="FB31" s="46">
        <v>-7617553</v>
      </c>
      <c r="FK31" s="46">
        <v>1.0338060405851817</v>
      </c>
    </row>
    <row r="32" spans="1:167" s="46" customFormat="1" x14ac:dyDescent="0.25">
      <c r="A32" s="27" t="s">
        <v>55</v>
      </c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2">
        <f>CALCULO!L38</f>
        <v>3.1137396993709057E-3</v>
      </c>
      <c r="CV32" s="73">
        <f t="shared" si="0"/>
        <v>0</v>
      </c>
      <c r="CW32" s="68">
        <v>950581</v>
      </c>
      <c r="CX32" s="45"/>
      <c r="CY32" s="46">
        <v>4.2705342540432407E-2</v>
      </c>
      <c r="DK32" s="46">
        <v>950581</v>
      </c>
      <c r="DV32" s="46">
        <v>-1.1671711456860006E-2</v>
      </c>
      <c r="DW32" s="46">
        <v>-7.4661879611476294E-3</v>
      </c>
      <c r="EA32" s="46">
        <v>-7.4661879611476294E-3</v>
      </c>
      <c r="EO32" s="46">
        <v>0.78480093676814988</v>
      </c>
      <c r="EP32" s="46">
        <v>0.78480093676814988</v>
      </c>
      <c r="EW32" s="46">
        <v>-1345828</v>
      </c>
      <c r="FB32" s="46">
        <v>-1964575</v>
      </c>
      <c r="FK32" s="46">
        <v>0.78480093676814988</v>
      </c>
    </row>
    <row r="33" spans="1:167" s="46" customFormat="1" x14ac:dyDescent="0.25">
      <c r="A33" s="27" t="s">
        <v>57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2">
        <f>CALCULO!L39</f>
        <v>-3.2331510420049621E-2</v>
      </c>
      <c r="CV33" s="73">
        <f t="shared" si="0"/>
        <v>0</v>
      </c>
      <c r="CW33" s="68">
        <v>-3210607</v>
      </c>
      <c r="CX33" s="45"/>
      <c r="CY33" s="46">
        <v>8.4460577846370063E-3</v>
      </c>
      <c r="DK33" s="46">
        <v>-3210607</v>
      </c>
      <c r="DV33" s="46">
        <v>3.8095238095232735E-4</v>
      </c>
      <c r="DW33" s="46">
        <v>1.4705286680781589E-2</v>
      </c>
      <c r="EA33" s="46">
        <v>1.4705286680781589E-2</v>
      </c>
      <c r="EO33" s="46">
        <v>1.3036742192284141</v>
      </c>
      <c r="EP33" s="46">
        <v>1.3036742192284141</v>
      </c>
      <c r="EW33" s="46">
        <v>1295094</v>
      </c>
      <c r="FB33" s="46">
        <v>44232</v>
      </c>
      <c r="FK33" s="46">
        <v>1.3036742192284141</v>
      </c>
    </row>
    <row r="34" spans="1:167" s="46" customFormat="1" x14ac:dyDescent="0.25">
      <c r="A34" s="27" t="s">
        <v>59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2">
        <f>CALCULO!L40</f>
        <v>-6.3759403641968256E-3</v>
      </c>
      <c r="CV34" s="73">
        <f t="shared" ref="CV34:CV65" si="1">CT34</f>
        <v>0</v>
      </c>
      <c r="CW34" s="68">
        <v>5335382</v>
      </c>
      <c r="CX34" s="45"/>
      <c r="CY34" s="46">
        <v>-1.7035629935493728E-2</v>
      </c>
      <c r="DK34" s="46">
        <v>5335382</v>
      </c>
      <c r="DV34" s="46">
        <v>-9.5253274022914919E-3</v>
      </c>
      <c r="DW34" s="46">
        <v>6.4834267700010217E-3</v>
      </c>
      <c r="EA34" s="46">
        <v>6.4834267700010217E-3</v>
      </c>
      <c r="EO34" s="46">
        <v>1.3713070141816788</v>
      </c>
      <c r="EP34" s="46">
        <v>1.3713070141816788</v>
      </c>
      <c r="EW34" s="46">
        <v>-8567574</v>
      </c>
      <c r="FB34" s="46">
        <v>-7647150</v>
      </c>
      <c r="FK34" s="46">
        <v>1.3713070141816788</v>
      </c>
    </row>
    <row r="35" spans="1:167" s="46" customFormat="1" x14ac:dyDescent="0.25">
      <c r="A35" s="27" t="s">
        <v>61</v>
      </c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2">
        <f>CALCULO!L41</f>
        <v>-1.3189033332973246E-2</v>
      </c>
      <c r="CV35" s="73">
        <f t="shared" si="1"/>
        <v>0</v>
      </c>
      <c r="CW35" s="68">
        <v>13214601</v>
      </c>
      <c r="CX35" s="45"/>
      <c r="CY35" s="46">
        <v>-1.219399850699757E-2</v>
      </c>
      <c r="DK35" s="46">
        <v>13214601</v>
      </c>
      <c r="DV35" s="46">
        <v>-1.4281949045557414E-2</v>
      </c>
      <c r="DW35" s="46">
        <v>-1.3173418208499363E-3</v>
      </c>
      <c r="EA35" s="46">
        <v>-1.3173418208499363E-3</v>
      </c>
      <c r="EO35" s="46">
        <v>1.3721739130434782</v>
      </c>
      <c r="EP35" s="46">
        <v>1.3721739130434782</v>
      </c>
      <c r="EW35" s="46">
        <v>4426287</v>
      </c>
      <c r="FB35" s="46">
        <v>13719023</v>
      </c>
      <c r="FK35" s="46">
        <v>1.3721739130434782</v>
      </c>
    </row>
    <row r="36" spans="1:167" s="46" customFormat="1" x14ac:dyDescent="0.25">
      <c r="A36" s="27" t="s">
        <v>63</v>
      </c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2">
        <f>CALCULO!L42</f>
        <v>4.1596557392901395E-3</v>
      </c>
      <c r="CV36" s="73">
        <f t="shared" si="1"/>
        <v>0</v>
      </c>
      <c r="CW36" s="68">
        <v>7021803</v>
      </c>
      <c r="CX36" s="45"/>
      <c r="CY36" s="46">
        <v>-6.9750809385494834E-4</v>
      </c>
      <c r="DK36" s="46">
        <v>7021803</v>
      </c>
      <c r="DV36" s="46">
        <v>6.6741030054284006E-3</v>
      </c>
      <c r="DW36" s="46">
        <v>-3.2955249252335089E-2</v>
      </c>
      <c r="EA36" s="46">
        <v>-3.2955249252335089E-2</v>
      </c>
      <c r="EO36" s="46">
        <v>0.64569867472680786</v>
      </c>
      <c r="EP36" s="46">
        <v>0.64569867472680786</v>
      </c>
      <c r="EW36" s="46">
        <v>-1537811</v>
      </c>
      <c r="FB36" s="46">
        <v>-1935589</v>
      </c>
      <c r="FK36" s="46">
        <v>0.64569867472680786</v>
      </c>
    </row>
    <row r="37" spans="1:167" s="46" customFormat="1" x14ac:dyDescent="0.25">
      <c r="A37" s="27" t="s">
        <v>65</v>
      </c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2">
        <f>CALCULO!L43</f>
        <v>1.740830452649127E-3</v>
      </c>
      <c r="CV37" s="73">
        <f t="shared" si="1"/>
        <v>0</v>
      </c>
      <c r="CW37" s="68">
        <v>-521806</v>
      </c>
      <c r="CX37" s="45"/>
      <c r="CY37" s="46">
        <v>1.976185057648518E-2</v>
      </c>
      <c r="DK37" s="46">
        <v>-521806</v>
      </c>
      <c r="DV37" s="46">
        <v>1.541888184807897E-2</v>
      </c>
      <c r="DW37" s="46">
        <v>2.6006378101192676E-2</v>
      </c>
      <c r="EA37" s="46">
        <v>2.6006378101192676E-2</v>
      </c>
      <c r="EO37" s="46">
        <v>0.99276307295029032</v>
      </c>
      <c r="EP37" s="46">
        <v>0.99276307295029032</v>
      </c>
      <c r="EW37" s="46">
        <v>29880230</v>
      </c>
      <c r="FB37" s="46">
        <v>29458406</v>
      </c>
      <c r="FK37" s="46">
        <v>0.99276307295029032</v>
      </c>
    </row>
    <row r="38" spans="1:167" s="46" customFormat="1" x14ac:dyDescent="0.25">
      <c r="A38" s="27" t="s">
        <v>67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2">
        <f>CALCULO!L44</f>
        <v>1.1560508020378444E-2</v>
      </c>
      <c r="CV38" s="73">
        <f t="shared" si="1"/>
        <v>0</v>
      </c>
      <c r="CW38" s="68">
        <v>-6764188</v>
      </c>
      <c r="CX38" s="45"/>
      <c r="CY38" s="46">
        <v>1.5045015029506812E-2</v>
      </c>
      <c r="DK38" s="46">
        <v>-6764188</v>
      </c>
      <c r="DV38" s="46">
        <v>1.9721273942964752E-2</v>
      </c>
      <c r="DW38" s="46">
        <v>-4.8328256245339443E-2</v>
      </c>
      <c r="EA38" s="46">
        <v>-4.8328256245339443E-2</v>
      </c>
      <c r="EO38" s="46">
        <v>0.95468750000000002</v>
      </c>
      <c r="EP38" s="46">
        <v>0.95468750000000002</v>
      </c>
      <c r="EW38" s="46">
        <v>4693007</v>
      </c>
      <c r="FB38" s="46">
        <v>172252</v>
      </c>
      <c r="FK38" s="46">
        <v>0.95468750000000002</v>
      </c>
    </row>
    <row r="39" spans="1:167" s="46" customFormat="1" x14ac:dyDescent="0.25">
      <c r="A39" s="27" t="s">
        <v>68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2">
        <f>CALCULO!L45</f>
        <v>6.9603932942367041E-3</v>
      </c>
      <c r="CV39" s="73">
        <f t="shared" si="1"/>
        <v>0</v>
      </c>
      <c r="CW39" s="68">
        <v>-18192004</v>
      </c>
      <c r="CX39" s="45"/>
      <c r="CY39" s="46">
        <v>5.8184486615220805E-3</v>
      </c>
      <c r="DK39" s="46">
        <v>-18192004</v>
      </c>
      <c r="DV39" s="46">
        <v>-1.294653929948022E-2</v>
      </c>
      <c r="DW39" s="46">
        <v>-1.4581478005569748E-2</v>
      </c>
      <c r="EA39" s="46">
        <v>-1.4581478005569748E-2</v>
      </c>
      <c r="EO39" s="46">
        <v>1.4255785627283799</v>
      </c>
      <c r="EP39" s="46">
        <v>1.4255785627283799</v>
      </c>
      <c r="EW39" s="46">
        <v>2714121</v>
      </c>
      <c r="FB39" s="46">
        <v>-597959</v>
      </c>
      <c r="FK39" s="46">
        <v>1.4255785627283799</v>
      </c>
    </row>
    <row r="40" spans="1:167" s="46" customFormat="1" x14ac:dyDescent="0.25">
      <c r="A40" s="27" t="s">
        <v>70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2">
        <f>CALCULO!L46</f>
        <v>1.580489439727218E-2</v>
      </c>
      <c r="CV40" s="73">
        <f t="shared" si="1"/>
        <v>0</v>
      </c>
      <c r="CW40" s="68">
        <v>-5478818</v>
      </c>
      <c r="CX40" s="45"/>
      <c r="CY40" s="46">
        <v>1.0336941520841183E-2</v>
      </c>
      <c r="DK40" s="46">
        <v>-5478818</v>
      </c>
      <c r="DV40" s="46">
        <v>7.9243565833644163E-3</v>
      </c>
      <c r="DW40" s="46">
        <v>-2.3618063001373882E-3</v>
      </c>
      <c r="EA40" s="46">
        <v>-2.3618063001373882E-3</v>
      </c>
      <c r="EO40" s="46">
        <v>0.53229508196721298</v>
      </c>
      <c r="EP40" s="46">
        <v>0.53229508196721298</v>
      </c>
      <c r="EW40" s="46">
        <v>499659</v>
      </c>
      <c r="FB40" s="46">
        <v>-695407</v>
      </c>
      <c r="FK40" s="46">
        <v>0.53229508196721298</v>
      </c>
    </row>
    <row r="41" spans="1:167" s="46" customFormat="1" x14ac:dyDescent="0.25">
      <c r="A41" s="27" t="s">
        <v>72</v>
      </c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2">
        <f>CALCULO!L47</f>
        <v>7.397683248562114E-4</v>
      </c>
      <c r="CV41" s="73">
        <f t="shared" si="1"/>
        <v>0</v>
      </c>
      <c r="CW41" s="68">
        <v>-4896628</v>
      </c>
      <c r="CX41" s="45"/>
      <c r="CY41" s="46">
        <v>1.0975132024664339E-2</v>
      </c>
      <c r="DK41" s="46">
        <v>-4896628</v>
      </c>
      <c r="DV41" s="46">
        <v>4.7927960927961191E-3</v>
      </c>
      <c r="DW41" s="46">
        <v>-3.1264481406666905E-3</v>
      </c>
      <c r="EA41" s="46">
        <v>-3.1264481406666905E-3</v>
      </c>
      <c r="EO41" s="46">
        <v>0.96720857525681103</v>
      </c>
      <c r="EP41" s="46">
        <v>0.96720857525681103</v>
      </c>
      <c r="EW41" s="46">
        <v>265528</v>
      </c>
      <c r="FB41" s="46">
        <v>283964</v>
      </c>
      <c r="FK41" s="46">
        <v>0.96720857525681103</v>
      </c>
    </row>
    <row r="42" spans="1:167" s="46" customFormat="1" x14ac:dyDescent="0.25">
      <c r="A42" s="27" t="s">
        <v>74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2">
        <f>CALCULO!L48</f>
        <v>-5.9900137904334485E-3</v>
      </c>
      <c r="CV42" s="73">
        <f t="shared" si="1"/>
        <v>0</v>
      </c>
      <c r="CW42" s="68">
        <v>870288</v>
      </c>
      <c r="CX42" s="45"/>
      <c r="CY42" s="46">
        <v>-2.5004433810763291E-3</v>
      </c>
      <c r="DK42" s="46">
        <v>870288</v>
      </c>
      <c r="DV42" s="46">
        <v>-1.1498253849710208E-2</v>
      </c>
      <c r="DW42" s="46">
        <v>-5.1408527240925164E-3</v>
      </c>
      <c r="EA42" s="46">
        <v>-5.1408527240925164E-3</v>
      </c>
      <c r="EO42" s="46">
        <v>0.94411622276029061</v>
      </c>
      <c r="EP42" s="46">
        <v>0.94411622276029061</v>
      </c>
      <c r="EW42" s="46">
        <v>-1309892</v>
      </c>
      <c r="FB42" s="46">
        <v>-335808</v>
      </c>
      <c r="FK42" s="46">
        <v>0.94411622276029061</v>
      </c>
    </row>
    <row r="43" spans="1:167" s="46" customFormat="1" x14ac:dyDescent="0.25">
      <c r="A43" s="27" t="s">
        <v>76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2">
        <f>CALCULO!L49</f>
        <v>-3.8898725098844185E-3</v>
      </c>
      <c r="CV43" s="73">
        <f t="shared" si="1"/>
        <v>0</v>
      </c>
      <c r="CW43" s="68">
        <v>-8483740</v>
      </c>
      <c r="CX43" s="45"/>
      <c r="CY43" s="46">
        <v>1.33384289874566E-2</v>
      </c>
      <c r="DK43" s="46">
        <v>-8483740</v>
      </c>
      <c r="DV43" s="46">
        <v>1.5967522371870269E-2</v>
      </c>
      <c r="DW43" s="46">
        <v>1.7765035715607516E-2</v>
      </c>
      <c r="EA43" s="46">
        <v>1.7765035715607516E-2</v>
      </c>
      <c r="EO43" s="46">
        <v>1.1941194644696189</v>
      </c>
      <c r="EP43" s="46">
        <v>1.1941194644696189</v>
      </c>
      <c r="EW43" s="46">
        <v>1599199</v>
      </c>
      <c r="FB43" s="46">
        <v>133811</v>
      </c>
      <c r="FK43" s="46">
        <v>1.1941194644696189</v>
      </c>
    </row>
    <row r="44" spans="1:167" s="46" customFormat="1" x14ac:dyDescent="0.25">
      <c r="A44" s="27" t="s">
        <v>78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2">
        <f>CALCULO!L50</f>
        <v>6.5704805703949492E-3</v>
      </c>
      <c r="CV44" s="73">
        <f t="shared" si="1"/>
        <v>0</v>
      </c>
      <c r="CW44" s="68">
        <v>-5656984</v>
      </c>
      <c r="CX44" s="45"/>
      <c r="CY44" s="46">
        <v>-4.6152125736687675E-3</v>
      </c>
      <c r="DK44" s="46">
        <v>-5656984</v>
      </c>
      <c r="DV44" s="46">
        <v>-1.3537258720429275E-3</v>
      </c>
      <c r="DW44" s="46">
        <v>7.5900182414509049E-3</v>
      </c>
      <c r="EA44" s="46">
        <v>7.5900182414509049E-3</v>
      </c>
      <c r="EO44" s="46">
        <v>0.76229640498899476</v>
      </c>
      <c r="EP44" s="46">
        <v>0.76229640498899476</v>
      </c>
      <c r="EW44" s="46">
        <v>-18037</v>
      </c>
      <c r="FB44" s="46">
        <v>-636714</v>
      </c>
      <c r="FK44" s="46">
        <v>0.76229640498899476</v>
      </c>
    </row>
    <row r="45" spans="1:167" s="46" customFormat="1" x14ac:dyDescent="0.25">
      <c r="A45" s="27" t="s">
        <v>80</v>
      </c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2">
        <f>CALCULO!L51</f>
        <v>-2.0759167303441191E-3</v>
      </c>
      <c r="CV45" s="73">
        <f t="shared" si="1"/>
        <v>0</v>
      </c>
      <c r="CW45" s="68">
        <v>6032058</v>
      </c>
      <c r="CX45" s="45"/>
      <c r="CY45" s="46">
        <v>1.2429600592142867E-2</v>
      </c>
      <c r="DK45" s="46">
        <v>6032058</v>
      </c>
      <c r="DV45" s="46">
        <v>-1.4561044980160604E-2</v>
      </c>
      <c r="DW45" s="46">
        <v>-4.9002246768065326E-2</v>
      </c>
      <c r="EA45" s="46">
        <v>-4.9002246768065326E-2</v>
      </c>
      <c r="EO45" s="46">
        <v>0.79494331065759649</v>
      </c>
      <c r="EP45" s="46">
        <v>0.79494331065759649</v>
      </c>
      <c r="EW45" s="46">
        <v>2831684</v>
      </c>
      <c r="FB45" s="46">
        <v>7034344</v>
      </c>
      <c r="FK45" s="46">
        <v>0.79494331065759649</v>
      </c>
    </row>
    <row r="46" spans="1:167" s="46" customFormat="1" x14ac:dyDescent="0.25">
      <c r="A46" s="27" t="s">
        <v>82</v>
      </c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2">
        <f>CALCULO!L52</f>
        <v>-1.3237445100365182E-3</v>
      </c>
      <c r="CV46" s="73">
        <f t="shared" si="1"/>
        <v>0</v>
      </c>
      <c r="CW46" s="68">
        <v>-4217551</v>
      </c>
      <c r="CX46" s="45"/>
      <c r="CY46" s="46">
        <v>-3.1137919242641997E-2</v>
      </c>
      <c r="DK46" s="46">
        <v>-4217551</v>
      </c>
      <c r="DV46" s="46">
        <v>8.9006880969495043E-3</v>
      </c>
      <c r="DW46" s="46">
        <v>-1.6396919628181201E-2</v>
      </c>
      <c r="EA46" s="46">
        <v>-1.6396919628181201E-2</v>
      </c>
      <c r="EO46" s="46">
        <v>0.78349188584219354</v>
      </c>
      <c r="EP46" s="46">
        <v>0.78349188584219354</v>
      </c>
      <c r="EW46" s="46">
        <v>-2541337</v>
      </c>
      <c r="FB46" s="46">
        <v>-2779994</v>
      </c>
      <c r="FK46" s="46">
        <v>0.78349188584219354</v>
      </c>
    </row>
    <row r="47" spans="1:167" s="46" customFormat="1" x14ac:dyDescent="0.25">
      <c r="A47" s="27" t="s">
        <v>84</v>
      </c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2">
        <f>CALCULO!L53</f>
        <v>-6.0640979634210513E-3</v>
      </c>
      <c r="CV47" s="73">
        <f t="shared" si="1"/>
        <v>0</v>
      </c>
      <c r="CW47" s="68">
        <v>-6403133</v>
      </c>
      <c r="CX47" s="45"/>
      <c r="CY47" s="46">
        <v>1.495135162851095E-2</v>
      </c>
      <c r="DK47" s="46">
        <v>-6403133</v>
      </c>
      <c r="DV47" s="46">
        <v>-1.5102877577830111E-2</v>
      </c>
      <c r="DW47" s="46">
        <v>3.8890667508192957E-3</v>
      </c>
      <c r="EA47" s="46">
        <v>3.8890667508192957E-3</v>
      </c>
      <c r="EO47" s="46">
        <v>0.8165</v>
      </c>
      <c r="EP47" s="46">
        <v>0.8165</v>
      </c>
      <c r="EW47" s="46">
        <v>5959038</v>
      </c>
      <c r="FB47" s="46">
        <v>9109785</v>
      </c>
      <c r="FK47" s="46">
        <v>0.8165</v>
      </c>
    </row>
    <row r="48" spans="1:167" s="46" customFormat="1" x14ac:dyDescent="0.25">
      <c r="A48" s="27" t="s">
        <v>86</v>
      </c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2">
        <f>CALCULO!L54</f>
        <v>-1.1238114211841217E-2</v>
      </c>
      <c r="CV48" s="73">
        <f t="shared" si="1"/>
        <v>0</v>
      </c>
      <c r="CW48" s="68">
        <v>-7855979</v>
      </c>
      <c r="CX48" s="45"/>
      <c r="CY48" s="46">
        <v>-1.7233641582134446E-2</v>
      </c>
      <c r="DK48" s="46">
        <v>-7855979</v>
      </c>
      <c r="DV48" s="46">
        <v>-2.6738224217097688E-3</v>
      </c>
      <c r="DW48" s="46">
        <v>-7.1150909178522431E-4</v>
      </c>
      <c r="EA48" s="46">
        <v>-7.1150909178522431E-4</v>
      </c>
      <c r="EO48" s="46">
        <v>1.8454469396741524</v>
      </c>
      <c r="EP48" s="46">
        <v>1.8454469396741524</v>
      </c>
      <c r="EW48" s="46">
        <v>-1600050</v>
      </c>
      <c r="FB48" s="46">
        <v>-2082727</v>
      </c>
      <c r="FK48" s="46">
        <v>1.8454469396741524</v>
      </c>
    </row>
    <row r="49" spans="1:167" s="46" customFormat="1" x14ac:dyDescent="0.25">
      <c r="A49" s="27" t="s">
        <v>88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2">
        <f>CALCULO!L55</f>
        <v>-8.9228185032132375E-4</v>
      </c>
      <c r="CV49" s="73">
        <f t="shared" si="1"/>
        <v>0</v>
      </c>
      <c r="CW49" s="68">
        <v>-5262519</v>
      </c>
      <c r="CX49" s="45"/>
      <c r="CY49" s="46">
        <v>-2.2250512367659288E-2</v>
      </c>
      <c r="DK49" s="46">
        <v>-5262519</v>
      </c>
      <c r="DV49" s="46">
        <v>-7.5580730830240818E-3</v>
      </c>
      <c r="DW49" s="46">
        <v>-5.8469418340219292E-4</v>
      </c>
      <c r="EA49" s="46">
        <v>-5.8469418340219292E-4</v>
      </c>
      <c r="EO49" s="46">
        <v>-0.13</v>
      </c>
      <c r="EP49" s="46">
        <v>-0.13</v>
      </c>
      <c r="EW49" s="46">
        <v>-2827018</v>
      </c>
      <c r="FB49" s="46">
        <v>-3074804</v>
      </c>
      <c r="FK49" s="46">
        <v>-0.13</v>
      </c>
    </row>
    <row r="50" spans="1:167" s="46" customFormat="1" x14ac:dyDescent="0.25">
      <c r="A50" s="27" t="s">
        <v>90</v>
      </c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2">
        <f>CALCULO!L56</f>
        <v>-8.4336601287351622E-3</v>
      </c>
      <c r="CV50" s="73">
        <f t="shared" si="1"/>
        <v>0</v>
      </c>
      <c r="CW50" s="68">
        <v>-1029453</v>
      </c>
      <c r="CX50" s="45"/>
      <c r="CY50" s="46">
        <v>-3.771799852668456E-3</v>
      </c>
      <c r="DK50" s="46">
        <v>-1029453</v>
      </c>
      <c r="DV50" s="46">
        <v>8.9297816720724232E-3</v>
      </c>
      <c r="DW50" s="46">
        <v>-9.8388331252834485E-3</v>
      </c>
      <c r="EA50" s="46">
        <v>-9.8388331252834485E-3</v>
      </c>
      <c r="EO50" s="46">
        <v>1.2780866003510825</v>
      </c>
      <c r="EP50" s="46">
        <v>1.2780866003510825</v>
      </c>
      <c r="EW50" s="46">
        <v>634330</v>
      </c>
      <c r="FB50" s="46">
        <v>2520983</v>
      </c>
      <c r="FK50" s="46">
        <v>1.2780866003510825</v>
      </c>
    </row>
    <row r="51" spans="1:167" s="46" customFormat="1" x14ac:dyDescent="0.25">
      <c r="A51" s="27" t="s">
        <v>92</v>
      </c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2">
        <f>CALCULO!L57</f>
        <v>-8.739690271422032E-3</v>
      </c>
      <c r="CV51" s="73">
        <f t="shared" si="1"/>
        <v>0</v>
      </c>
      <c r="CW51" s="68">
        <v>-1847673</v>
      </c>
      <c r="CX51" s="45"/>
      <c r="CY51" s="46">
        <v>3.2698642727565928E-3</v>
      </c>
      <c r="DK51" s="46">
        <v>-1847673</v>
      </c>
      <c r="DV51" s="46">
        <v>-5.1973200818787582E-3</v>
      </c>
      <c r="DW51" s="46">
        <v>-2.4712616252437557E-2</v>
      </c>
      <c r="EA51" s="46">
        <v>-2.4712616252437557E-2</v>
      </c>
      <c r="EO51" s="46">
        <v>1.0605921052631579</v>
      </c>
      <c r="EP51" s="46">
        <v>1.0605921052631579</v>
      </c>
      <c r="EW51" s="46">
        <v>-1498983</v>
      </c>
      <c r="FB51" s="46">
        <v>-1635060</v>
      </c>
      <c r="FK51" s="46">
        <v>1.0605921052631579</v>
      </c>
    </row>
    <row r="52" spans="1:167" s="46" customFormat="1" x14ac:dyDescent="0.25">
      <c r="A52" s="27" t="s">
        <v>94</v>
      </c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2" t="e">
        <f>CALCULO!L58</f>
        <v>#DIV/0!</v>
      </c>
      <c r="CV52" s="73">
        <f t="shared" si="1"/>
        <v>0</v>
      </c>
      <c r="CW52" s="68">
        <v>-3522120</v>
      </c>
      <c r="CX52" s="45"/>
      <c r="CY52" s="46">
        <v>-1.6953197999485369E-2</v>
      </c>
      <c r="DK52" s="46">
        <v>-3522120</v>
      </c>
      <c r="DV52" s="46">
        <v>2.7630666208791323E-2</v>
      </c>
      <c r="DW52" s="46">
        <v>4.0538942437781111E-3</v>
      </c>
      <c r="EA52" s="46">
        <v>4.0538942437781111E-3</v>
      </c>
      <c r="EO52" s="46">
        <v>1.2092700729927006</v>
      </c>
      <c r="EP52" s="46">
        <v>1.2092700729927006</v>
      </c>
      <c r="EW52" s="46">
        <v>1959736</v>
      </c>
      <c r="FB52" s="46">
        <v>7829860</v>
      </c>
      <c r="FK52" s="46">
        <v>1.2092700729927006</v>
      </c>
    </row>
    <row r="53" spans="1:167" s="46" customFormat="1" x14ac:dyDescent="0.25">
      <c r="A53" s="27" t="s">
        <v>96</v>
      </c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2">
        <f>CALCULO!L59</f>
        <v>-3.7081281329742069E-3</v>
      </c>
      <c r="CV53" s="73">
        <f t="shared" si="1"/>
        <v>0</v>
      </c>
      <c r="CW53" s="68">
        <v>-5212895</v>
      </c>
      <c r="CX53" s="45"/>
      <c r="CY53" s="46">
        <v>1.8816925561858187E-2</v>
      </c>
      <c r="DK53" s="46">
        <v>-5212895</v>
      </c>
      <c r="DV53" s="46">
        <v>-2.560684879529506E-2</v>
      </c>
      <c r="DW53" s="46">
        <v>1.853371375120743E-2</v>
      </c>
      <c r="EA53" s="46">
        <v>1.853371375120743E-2</v>
      </c>
      <c r="EO53" s="46">
        <v>1.4188423988842398</v>
      </c>
      <c r="EP53" s="46">
        <v>1.4188423988842398</v>
      </c>
      <c r="EW53" s="46">
        <v>-11233709</v>
      </c>
      <c r="FB53" s="46">
        <v>-11696849</v>
      </c>
      <c r="FK53" s="46">
        <v>1.4188423988842398</v>
      </c>
    </row>
    <row r="54" spans="1:167" s="46" customFormat="1" x14ac:dyDescent="0.25">
      <c r="A54" s="27" t="s">
        <v>98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2">
        <f>CALCULO!L60</f>
        <v>-0.99112658350256266</v>
      </c>
      <c r="CV54" s="73">
        <f t="shared" si="1"/>
        <v>0</v>
      </c>
      <c r="CW54" s="68">
        <v>3233277</v>
      </c>
      <c r="CX54" s="45"/>
      <c r="CY54" s="46">
        <v>-9.3802540008087413E-3</v>
      </c>
      <c r="DK54" s="46">
        <v>3233277</v>
      </c>
      <c r="DV54" s="46">
        <v>1.1052734509023453E-2</v>
      </c>
      <c r="DW54" s="46">
        <v>1.3090575875662411E-2</v>
      </c>
      <c r="EA54" s="46">
        <v>1.3090575875662411E-2</v>
      </c>
      <c r="EO54" s="46">
        <v>1.072875816993464</v>
      </c>
      <c r="EP54" s="46">
        <v>1.072875816993464</v>
      </c>
      <c r="EW54" s="46">
        <v>904495</v>
      </c>
      <c r="FB54" s="46">
        <v>1646295</v>
      </c>
      <c r="FK54" s="46">
        <v>1.072875816993464</v>
      </c>
    </row>
    <row r="55" spans="1:167" s="46" customFormat="1" x14ac:dyDescent="0.25">
      <c r="A55" s="27" t="s">
        <v>100</v>
      </c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2">
        <f>CALCULO!L61</f>
        <v>3.813096690524145E-3</v>
      </c>
      <c r="CV55" s="73">
        <f t="shared" si="1"/>
        <v>0</v>
      </c>
      <c r="CW55" s="68">
        <v>26546239</v>
      </c>
      <c r="CX55" s="45"/>
      <c r="CY55" s="46">
        <v>-2.0634825269942019E-2</v>
      </c>
      <c r="DK55" s="46">
        <v>26546239</v>
      </c>
      <c r="DV55" s="46">
        <v>1.469860429425638E-2</v>
      </c>
      <c r="DW55" s="46">
        <v>-1.0243624259630907E-2</v>
      </c>
      <c r="EA55" s="46">
        <v>-1.0243624259630907E-2</v>
      </c>
      <c r="EO55" s="46">
        <v>1.2385467128027683</v>
      </c>
      <c r="EP55" s="46">
        <v>1.2385467128027683</v>
      </c>
      <c r="EW55" s="46">
        <v>21699240</v>
      </c>
      <c r="FB55" s="46">
        <v>19420753</v>
      </c>
      <c r="FK55" s="46">
        <v>1.2385467128027683</v>
      </c>
    </row>
    <row r="56" spans="1:167" s="46" customFormat="1" x14ac:dyDescent="0.25">
      <c r="A56" s="27" t="s">
        <v>102</v>
      </c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2">
        <f>CALCULO!L62</f>
        <v>8.2571943776060079E-3</v>
      </c>
      <c r="CV56" s="73">
        <f t="shared" si="1"/>
        <v>0</v>
      </c>
      <c r="CW56" s="68">
        <v>-1209387</v>
      </c>
      <c r="CX56" s="45"/>
      <c r="CY56" s="46">
        <v>1.0882922286096415E-2</v>
      </c>
      <c r="DK56" s="46">
        <v>-1209387</v>
      </c>
      <c r="DV56" s="46">
        <v>-1.3202675585284259E-2</v>
      </c>
      <c r="DW56" s="46">
        <v>1.1105650218476253E-2</v>
      </c>
      <c r="EA56" s="46">
        <v>1.1105650218476253E-2</v>
      </c>
      <c r="EO56" s="46">
        <v>0.57321092700403065</v>
      </c>
      <c r="EP56" s="46">
        <v>0.57321092700403065</v>
      </c>
      <c r="EW56" s="46">
        <v>-10604854</v>
      </c>
      <c r="FB56" s="46">
        <v>-12001422</v>
      </c>
      <c r="FK56" s="46">
        <v>0.57321092700403065</v>
      </c>
    </row>
    <row r="57" spans="1:167" s="46" customFormat="1" x14ac:dyDescent="0.25">
      <c r="A57" s="27" t="s">
        <v>104</v>
      </c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2">
        <f>CALCULO!L63</f>
        <v>1.266972123329748E-2</v>
      </c>
      <c r="CV57" s="73">
        <f t="shared" si="1"/>
        <v>0</v>
      </c>
      <c r="CW57" s="68">
        <v>10882093</v>
      </c>
      <c r="CX57" s="45"/>
      <c r="CY57" s="46">
        <v>3.0843855945917934E-2</v>
      </c>
      <c r="DK57" s="46">
        <v>10882093</v>
      </c>
      <c r="DV57" s="46">
        <v>-3.6162629089856926E-3</v>
      </c>
      <c r="DW57" s="46">
        <v>-4.5906410203830621E-2</v>
      </c>
      <c r="EA57" s="46">
        <v>-4.5906410203830621E-2</v>
      </c>
      <c r="EO57" s="46">
        <v>0.49</v>
      </c>
      <c r="EP57" s="46">
        <v>0.49</v>
      </c>
      <c r="EW57" s="46">
        <v>-276136</v>
      </c>
      <c r="FB57" s="46">
        <v>950414</v>
      </c>
      <c r="FK57" s="46">
        <v>0.49</v>
      </c>
    </row>
    <row r="58" spans="1:167" s="46" customFormat="1" x14ac:dyDescent="0.25">
      <c r="A58" s="27" t="s">
        <v>107</v>
      </c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2">
        <f>CALCULO!L64</f>
        <v>2.7201095865932046E-2</v>
      </c>
      <c r="CV58" s="73">
        <f t="shared" si="1"/>
        <v>0</v>
      </c>
      <c r="CW58" s="68">
        <v>-163340</v>
      </c>
      <c r="CX58" s="45"/>
      <c r="CY58" s="46">
        <v>-2.0334271830970497E-3</v>
      </c>
      <c r="DK58" s="46">
        <v>-163340</v>
      </c>
      <c r="DV58" s="46">
        <v>-3.7085634805446147E-2</v>
      </c>
      <c r="DW58" s="46">
        <v>-3.6851148867716468E-2</v>
      </c>
      <c r="EA58" s="46">
        <v>-3.6851148867716468E-2</v>
      </c>
      <c r="EO58" s="46">
        <v>0.83189873417721516</v>
      </c>
      <c r="EP58" s="46">
        <v>0.83189873417721516</v>
      </c>
      <c r="EW58" s="46">
        <v>-7284752</v>
      </c>
      <c r="FB58" s="46">
        <v>-10941666</v>
      </c>
      <c r="FK58" s="46">
        <v>0.83189873417721516</v>
      </c>
    </row>
    <row r="59" spans="1:167" s="46" customFormat="1" x14ac:dyDescent="0.25">
      <c r="A59" s="27" t="s">
        <v>108</v>
      </c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2">
        <f>CALCULO!L65</f>
        <v>-7.3128026277894595E-3</v>
      </c>
      <c r="CV59" s="73">
        <f t="shared" si="1"/>
        <v>0</v>
      </c>
      <c r="CW59" s="68">
        <v>7266286</v>
      </c>
      <c r="CX59" s="45"/>
      <c r="CY59" s="46">
        <v>-1.2844142223364162E-2</v>
      </c>
      <c r="DK59" s="46">
        <v>7266286</v>
      </c>
      <c r="DV59" s="46">
        <v>6.6067743817911969E-3</v>
      </c>
      <c r="DW59" s="46">
        <v>-1.7184083841144802E-2</v>
      </c>
      <c r="EA59" s="46">
        <v>-1.7184083841144802E-2</v>
      </c>
      <c r="EO59" s="46">
        <v>1.3833830627468189</v>
      </c>
      <c r="EP59" s="46">
        <v>1.3833830627468189</v>
      </c>
      <c r="EW59" s="46">
        <v>10979369</v>
      </c>
      <c r="FB59" s="46">
        <v>13297482</v>
      </c>
      <c r="FK59" s="46">
        <v>1.3833830627468189</v>
      </c>
    </row>
    <row r="60" spans="1:167" s="46" customFormat="1" x14ac:dyDescent="0.25">
      <c r="A60" s="27" t="s">
        <v>110</v>
      </c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2">
        <f>CALCULO!L66</f>
        <v>-1.1587960767794607E-2</v>
      </c>
      <c r="CV60" s="73">
        <f t="shared" si="1"/>
        <v>0</v>
      </c>
      <c r="CW60" s="68">
        <v>5491649</v>
      </c>
      <c r="CX60" s="45"/>
      <c r="CY60" s="46">
        <v>7.7848824883397193E-3</v>
      </c>
      <c r="DK60" s="46">
        <v>5491649</v>
      </c>
      <c r="DV60" s="46">
        <v>-3.3781853817525138E-2</v>
      </c>
      <c r="DW60" s="46">
        <v>-5.0878490455994463E-2</v>
      </c>
      <c r="EA60" s="46">
        <v>-5.0878490455994463E-2</v>
      </c>
      <c r="EO60" s="46">
        <v>0.83387702818104159</v>
      </c>
      <c r="EP60" s="46">
        <v>0.83387702818104159</v>
      </c>
      <c r="EW60" s="46">
        <v>-8665021</v>
      </c>
      <c r="FB60" s="46">
        <v>-10208488</v>
      </c>
      <c r="FK60" s="46">
        <v>0.83387702818104159</v>
      </c>
    </row>
    <row r="61" spans="1:167" s="46" customFormat="1" x14ac:dyDescent="0.25">
      <c r="A61" s="27" t="s">
        <v>112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2">
        <f>CALCULO!L67</f>
        <v>-1.6091327943610428E-2</v>
      </c>
      <c r="CV61" s="73">
        <f t="shared" si="1"/>
        <v>0</v>
      </c>
      <c r="CW61" s="68">
        <v>12809056</v>
      </c>
      <c r="CX61" s="45"/>
      <c r="CY61" s="46">
        <v>9.2744376507644128E-3</v>
      </c>
      <c r="DK61" s="46">
        <v>12809056</v>
      </c>
      <c r="DV61" s="46">
        <v>-7.5474427370692499E-3</v>
      </c>
      <c r="DW61" s="46">
        <v>-8.5030939921245802E-3</v>
      </c>
      <c r="EA61" s="46">
        <v>-8.5030939921245802E-3</v>
      </c>
      <c r="EO61" s="46">
        <v>0.38460597826086962</v>
      </c>
      <c r="EP61" s="46">
        <v>0.38460597826086962</v>
      </c>
      <c r="EW61" s="46">
        <v>-3245227</v>
      </c>
      <c r="FB61" s="46">
        <v>-5760157</v>
      </c>
      <c r="FK61" s="46">
        <v>0.38460597826086962</v>
      </c>
    </row>
    <row r="62" spans="1:167" s="46" customFormat="1" x14ac:dyDescent="0.25">
      <c r="A62" s="27" t="s">
        <v>114</v>
      </c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2">
        <f>CALCULO!L68</f>
        <v>-1.8134851561744394E-2</v>
      </c>
      <c r="CV62" s="73">
        <f t="shared" si="1"/>
        <v>0</v>
      </c>
      <c r="CW62" s="68">
        <v>-24518464</v>
      </c>
      <c r="CX62" s="45"/>
      <c r="CY62" s="46">
        <v>-1.0817795941753994E-2</v>
      </c>
      <c r="DK62" s="46">
        <v>-24518464</v>
      </c>
      <c r="DV62" s="46">
        <v>2.4087845689070315E-4</v>
      </c>
      <c r="DW62" s="46">
        <v>-2.2012224551811871E-3</v>
      </c>
      <c r="EA62" s="46">
        <v>-2.2012224551811871E-3</v>
      </c>
      <c r="EO62" s="46">
        <v>1.0600755667506296</v>
      </c>
      <c r="EP62" s="46">
        <v>1.0600755667506296</v>
      </c>
      <c r="EW62" s="46">
        <v>-12971339</v>
      </c>
      <c r="FB62" s="46">
        <v>-23402061</v>
      </c>
      <c r="FK62" s="46">
        <v>1.0600755667506296</v>
      </c>
    </row>
    <row r="63" spans="1:167" s="46" customFormat="1" x14ac:dyDescent="0.25">
      <c r="A63" s="27" t="s">
        <v>116</v>
      </c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2">
        <f>CALCULO!L69</f>
        <v>-1.2768592727867012E-3</v>
      </c>
      <c r="CV63" s="73">
        <f t="shared" si="1"/>
        <v>0</v>
      </c>
      <c r="CW63" s="68">
        <v>-35257448</v>
      </c>
      <c r="CX63" s="45"/>
      <c r="CY63" s="46">
        <v>-1.2219374176083066E-2</v>
      </c>
      <c r="DK63" s="46">
        <v>-35257448</v>
      </c>
      <c r="DV63" s="46">
        <v>2.1588942784451289E-2</v>
      </c>
      <c r="DW63" s="46">
        <v>-1.4565003911287584E-2</v>
      </c>
      <c r="EA63" s="46">
        <v>-1.4565003911287584E-2</v>
      </c>
      <c r="EO63" s="46">
        <v>1.2408755129958959</v>
      </c>
      <c r="EP63" s="46">
        <v>1.2408755129958959</v>
      </c>
      <c r="EW63" s="46">
        <v>-7245144</v>
      </c>
      <c r="FB63" s="46">
        <v>-8248345</v>
      </c>
      <c r="FK63" s="46">
        <v>1.2408755129958959</v>
      </c>
    </row>
    <row r="64" spans="1:167" s="46" customFormat="1" x14ac:dyDescent="0.25">
      <c r="A64" s="27" t="s">
        <v>119</v>
      </c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2">
        <f>CALCULO!L70</f>
        <v>-4.1349826230989574E-2</v>
      </c>
      <c r="CV64" s="73">
        <f t="shared" si="1"/>
        <v>0</v>
      </c>
      <c r="CW64" s="68">
        <v>5002163</v>
      </c>
      <c r="CX64" s="45"/>
      <c r="CY64" s="46">
        <v>-2.0572864828116938E-4</v>
      </c>
      <c r="DK64" s="46">
        <v>5002163</v>
      </c>
      <c r="DV64" s="46">
        <v>-7.2452826919138834E-3</v>
      </c>
      <c r="DW64" s="46">
        <v>8.4030453131737348E-3</v>
      </c>
      <c r="EA64" s="46">
        <v>8.4030453131737348E-3</v>
      </c>
      <c r="EO64" s="46">
        <v>0.63186683260734278</v>
      </c>
      <c r="EP64" s="46">
        <v>0.63186683260734278</v>
      </c>
      <c r="EW64" s="46">
        <v>4676060</v>
      </c>
      <c r="FB64" s="46">
        <v>5965965</v>
      </c>
      <c r="FK64" s="46">
        <v>0.63186683260734278</v>
      </c>
    </row>
    <row r="65" spans="1:167" s="46" customFormat="1" x14ac:dyDescent="0.25">
      <c r="A65" s="27" t="s">
        <v>121</v>
      </c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2">
        <f>CALCULO!L71</f>
        <v>2.2723291636169981E-2</v>
      </c>
      <c r="CV65" s="73">
        <f t="shared" si="1"/>
        <v>0</v>
      </c>
      <c r="CW65" s="68">
        <v>-2941228</v>
      </c>
      <c r="CX65" s="45"/>
      <c r="CY65" s="46">
        <v>-2.0031982200301973E-2</v>
      </c>
      <c r="DK65" s="46">
        <v>-2941228</v>
      </c>
      <c r="DV65" s="46">
        <v>3.4750602568708344E-3</v>
      </c>
      <c r="DW65" s="46">
        <v>-2.8621469678402831E-2</v>
      </c>
      <c r="EA65" s="46">
        <v>-2.8621469678402831E-2</v>
      </c>
      <c r="EO65" s="46">
        <v>0.32176890156918686</v>
      </c>
      <c r="EP65" s="46">
        <v>0.32176890156918686</v>
      </c>
      <c r="EW65" s="46">
        <v>-2132331</v>
      </c>
      <c r="FB65" s="46">
        <v>-2549643</v>
      </c>
      <c r="FK65" s="46">
        <v>0.32176890156918686</v>
      </c>
    </row>
    <row r="66" spans="1:167" s="46" customFormat="1" x14ac:dyDescent="0.25">
      <c r="A66" s="27" t="s">
        <v>123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2">
        <f>CALCULO!L72</f>
        <v>6.1128376793668539E-4</v>
      </c>
      <c r="CV66" s="73">
        <f t="shared" ref="CV66:CV97" si="2">CT66</f>
        <v>0</v>
      </c>
      <c r="CW66" s="68">
        <v>22257</v>
      </c>
      <c r="CX66" s="45"/>
      <c r="CY66" s="46">
        <v>-2.0742318961532235E-2</v>
      </c>
      <c r="DK66" s="46">
        <v>22257</v>
      </c>
      <c r="DV66" s="46">
        <v>1.05562530014973E-2</v>
      </c>
      <c r="DW66" s="46">
        <v>-1.0226366608859012E-2</v>
      </c>
      <c r="EA66" s="46">
        <v>-1.0226366608859012E-2</v>
      </c>
      <c r="EO66" s="46">
        <v>1.5690580847723703</v>
      </c>
      <c r="EP66" s="46">
        <v>1.5690580847723703</v>
      </c>
      <c r="EW66" s="46">
        <v>40587</v>
      </c>
      <c r="FB66" s="46">
        <v>597151</v>
      </c>
      <c r="FK66" s="46">
        <v>1.5690580847723703</v>
      </c>
    </row>
    <row r="67" spans="1:167" s="46" customFormat="1" x14ac:dyDescent="0.25">
      <c r="A67" s="27" t="s">
        <v>125</v>
      </c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2">
        <f>CALCULO!L73</f>
        <v>-3.6878273212391632E-3</v>
      </c>
      <c r="CV67" s="73">
        <f t="shared" si="2"/>
        <v>0</v>
      </c>
      <c r="CW67" s="68">
        <v>-6092651</v>
      </c>
      <c r="CX67" s="45"/>
      <c r="CY67" s="46">
        <v>-1.7956080233292759E-2</v>
      </c>
      <c r="DK67" s="46">
        <v>-6092651</v>
      </c>
      <c r="DV67" s="46">
        <v>1.9994930051194237E-2</v>
      </c>
      <c r="DW67" s="46">
        <v>-1.0858879043233245E-2</v>
      </c>
      <c r="EA67" s="46">
        <v>-1.0858879043233245E-2</v>
      </c>
      <c r="EO67" s="46">
        <v>1.5422310756972111</v>
      </c>
      <c r="EP67" s="46">
        <v>1.5422310756972111</v>
      </c>
      <c r="EW67" s="46">
        <v>-5361644</v>
      </c>
      <c r="FB67" s="46">
        <v>-5315152</v>
      </c>
      <c r="FK67" s="46">
        <v>1.5422310756972111</v>
      </c>
    </row>
    <row r="68" spans="1:167" s="46" customFormat="1" x14ac:dyDescent="0.25">
      <c r="A68" s="27" t="s">
        <v>126</v>
      </c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2">
        <f>CALCULO!L74</f>
        <v>-3.3608521991671989E-3</v>
      </c>
      <c r="CV68" s="73">
        <f t="shared" si="2"/>
        <v>0</v>
      </c>
      <c r="CW68" s="68">
        <v>-2461004</v>
      </c>
      <c r="CX68" s="45"/>
      <c r="CY68" s="46">
        <v>2.8676460566963456E-2</v>
      </c>
      <c r="DK68" s="46">
        <v>-2461004</v>
      </c>
      <c r="DV68" s="46">
        <v>1.8831949531949596E-2</v>
      </c>
      <c r="DW68" s="46">
        <v>1.0435033184653782E-2</v>
      </c>
      <c r="EA68" s="46">
        <v>1.0435033184653782E-2</v>
      </c>
      <c r="EO68" s="46">
        <v>1.5607568264889271</v>
      </c>
      <c r="EP68" s="46">
        <v>1.5607568264889271</v>
      </c>
      <c r="EW68" s="46">
        <v>-193338</v>
      </c>
      <c r="FB68" s="46">
        <v>388081</v>
      </c>
      <c r="FK68" s="46">
        <v>1.5607568264889271</v>
      </c>
    </row>
    <row r="69" spans="1:167" s="46" customFormat="1" x14ac:dyDescent="0.25">
      <c r="A69" s="27" t="s">
        <v>128</v>
      </c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2">
        <f>CALCULO!L75</f>
        <v>9.8656703508002552E-3</v>
      </c>
      <c r="CV69" s="73">
        <f t="shared" si="2"/>
        <v>0</v>
      </c>
      <c r="CW69" s="68">
        <v>8269385</v>
      </c>
      <c r="CX69" s="45"/>
      <c r="CY69" s="46">
        <v>-1.427418724382107E-2</v>
      </c>
      <c r="DK69" s="46">
        <v>8269385</v>
      </c>
      <c r="DV69" s="46">
        <v>1.7081496538142683E-3</v>
      </c>
      <c r="DW69" s="46">
        <v>2.8527638225410698E-2</v>
      </c>
      <c r="EA69" s="46">
        <v>2.8527638225410698E-2</v>
      </c>
      <c r="EO69" s="46">
        <v>0.87523809523809526</v>
      </c>
      <c r="EP69" s="46">
        <v>0.87523809523809526</v>
      </c>
      <c r="EW69" s="46">
        <v>6850377</v>
      </c>
      <c r="FB69" s="46">
        <v>8910077</v>
      </c>
      <c r="FK69" s="46">
        <v>0.87523809523809526</v>
      </c>
    </row>
    <row r="70" spans="1:167" s="46" customFormat="1" x14ac:dyDescent="0.25">
      <c r="A70" s="27" t="s">
        <v>130</v>
      </c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2">
        <f>CALCULO!L76</f>
        <v>1.0476491503499587E-2</v>
      </c>
      <c r="CV70" s="73">
        <f t="shared" si="2"/>
        <v>0</v>
      </c>
      <c r="CW70" s="68">
        <v>6314636</v>
      </c>
      <c r="CX70" s="45"/>
      <c r="CY70" s="46">
        <v>-9.576368322205632E-3</v>
      </c>
      <c r="DK70" s="46">
        <v>6314636</v>
      </c>
      <c r="DV70" s="46">
        <v>5.3575506967258168E-3</v>
      </c>
      <c r="DW70" s="46">
        <v>3.0056367833057832E-2</v>
      </c>
      <c r="EA70" s="46">
        <v>3.0056367833057832E-2</v>
      </c>
      <c r="EO70" s="46">
        <v>0.81271276595744679</v>
      </c>
      <c r="EP70" s="46">
        <v>0.81271276595744679</v>
      </c>
      <c r="EW70" s="46">
        <v>609685</v>
      </c>
      <c r="FB70" s="46">
        <v>587729</v>
      </c>
      <c r="FK70" s="46">
        <v>0.81271276595744679</v>
      </c>
    </row>
    <row r="71" spans="1:167" s="46" customFormat="1" x14ac:dyDescent="0.25">
      <c r="A71" s="27" t="s">
        <v>132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2">
        <f>CALCULO!L77</f>
        <v>8.8939786358283278E-3</v>
      </c>
      <c r="CV71" s="73">
        <f t="shared" si="2"/>
        <v>0</v>
      </c>
      <c r="CW71" s="68">
        <v>-3263426</v>
      </c>
      <c r="CX71" s="45"/>
      <c r="CY71" s="46">
        <v>1.1341708375427745E-2</v>
      </c>
      <c r="DK71" s="46">
        <v>-3263426</v>
      </c>
      <c r="DV71" s="46">
        <v>-2.1498221566419402E-2</v>
      </c>
      <c r="DW71" s="46">
        <v>5.4435709856304332E-3</v>
      </c>
      <c r="EA71" s="46">
        <v>5.4435709856304332E-3</v>
      </c>
      <c r="EO71" s="46">
        <v>1.0021875000000002</v>
      </c>
      <c r="EP71" s="46">
        <v>1.0021875000000002</v>
      </c>
      <c r="EW71" s="46">
        <v>-5051957</v>
      </c>
      <c r="FB71" s="46">
        <v>-7228377</v>
      </c>
      <c r="FK71" s="46">
        <v>1.0021875000000002</v>
      </c>
    </row>
    <row r="72" spans="1:167" s="46" customFormat="1" x14ac:dyDescent="0.25">
      <c r="A72" s="27" t="s">
        <v>134</v>
      </c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2">
        <f>CALCULO!L78</f>
        <v>2.3200751449243707E-2</v>
      </c>
      <c r="CV72" s="73">
        <f t="shared" si="2"/>
        <v>0</v>
      </c>
      <c r="CW72" s="68">
        <v>1373167</v>
      </c>
      <c r="CX72" s="45"/>
      <c r="CY72" s="46">
        <v>-1.0897474519601996E-2</v>
      </c>
      <c r="DK72" s="46">
        <v>1373167</v>
      </c>
      <c r="DV72" s="46">
        <v>-2.8410649144669627E-2</v>
      </c>
      <c r="DW72" s="46">
        <v>-2.6775410967432862E-2</v>
      </c>
      <c r="EA72" s="46">
        <v>-2.6775410967432862E-2</v>
      </c>
      <c r="EO72" s="46">
        <v>0.76466646266829863</v>
      </c>
      <c r="EP72" s="46">
        <v>0.76466646266829863</v>
      </c>
      <c r="EW72" s="46">
        <v>-130300</v>
      </c>
      <c r="FB72" s="46">
        <v>-108531</v>
      </c>
      <c r="FK72" s="46">
        <v>0.76466646266829863</v>
      </c>
    </row>
    <row r="73" spans="1:167" s="46" customFormat="1" x14ac:dyDescent="0.25">
      <c r="A73" s="27" t="s">
        <v>136</v>
      </c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2">
        <f>CALCULO!L79</f>
        <v>-1.5662647892898663E-2</v>
      </c>
      <c r="CV73" s="73">
        <f t="shared" si="2"/>
        <v>0</v>
      </c>
      <c r="CW73" s="68">
        <v>-41327318</v>
      </c>
      <c r="CX73" s="45"/>
      <c r="CY73" s="46">
        <v>4.5928492467312738E-3</v>
      </c>
      <c r="DK73" s="46">
        <v>-41327318</v>
      </c>
      <c r="DV73" s="46">
        <v>1.7467214803248213E-3</v>
      </c>
      <c r="DW73" s="46">
        <v>3.2968449547000553E-3</v>
      </c>
      <c r="EA73" s="46">
        <v>3.2968449547000553E-3</v>
      </c>
      <c r="EO73" s="46">
        <v>1.2545646573930962</v>
      </c>
      <c r="EP73" s="46">
        <v>1.2545646573930962</v>
      </c>
      <c r="EW73" s="46">
        <v>26074825</v>
      </c>
      <c r="FB73" s="46">
        <v>42699063</v>
      </c>
      <c r="FK73" s="46">
        <v>1.2545646573930962</v>
      </c>
    </row>
    <row r="74" spans="1:167" s="46" customFormat="1" x14ac:dyDescent="0.25">
      <c r="A74" s="27" t="s">
        <v>138</v>
      </c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2">
        <f>CALCULO!L80</f>
        <v>-1.7412788169239198E-3</v>
      </c>
      <c r="CV74" s="73">
        <f t="shared" si="2"/>
        <v>0</v>
      </c>
      <c r="CW74" s="68">
        <v>-3631435</v>
      </c>
      <c r="CX74" s="45"/>
      <c r="CY74" s="46">
        <v>1.6047130561399753E-2</v>
      </c>
      <c r="DK74" s="46">
        <v>-3631435</v>
      </c>
      <c r="DV74" s="46">
        <v>9.5119049241282859E-3</v>
      </c>
      <c r="DW74" s="46">
        <v>8.7400732476026408E-3</v>
      </c>
      <c r="EA74" s="46">
        <v>8.7400732476026408E-3</v>
      </c>
      <c r="EO74" s="46">
        <v>0.94171506974616959</v>
      </c>
      <c r="EP74" s="46">
        <v>0.94171506974616959</v>
      </c>
      <c r="EW74" s="46">
        <v>486610</v>
      </c>
      <c r="FB74" s="46">
        <v>340117</v>
      </c>
      <c r="FK74" s="46">
        <v>0.94171506974616959</v>
      </c>
    </row>
    <row r="75" spans="1:167" s="46" customFormat="1" x14ac:dyDescent="0.25">
      <c r="A75" s="27" t="s">
        <v>140</v>
      </c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2">
        <f>CALCULO!L81</f>
        <v>-9.6242798990736154E-3</v>
      </c>
      <c r="CV75" s="73">
        <f t="shared" si="2"/>
        <v>0</v>
      </c>
      <c r="CW75" s="68">
        <v>-13753974</v>
      </c>
      <c r="CX75" s="45"/>
      <c r="CY75" s="46">
        <v>2.7179491455776718E-3</v>
      </c>
      <c r="DK75" s="46">
        <v>-13753974</v>
      </c>
      <c r="DV75" s="46">
        <v>-5.873789202191144E-3</v>
      </c>
      <c r="DW75" s="46">
        <v>-5.541600393513639E-3</v>
      </c>
      <c r="EA75" s="46">
        <v>-5.541600393513639E-3</v>
      </c>
      <c r="EO75" s="46">
        <v>0.74991656734207379</v>
      </c>
      <c r="EP75" s="46">
        <v>0.74991656734207379</v>
      </c>
      <c r="EW75" s="46">
        <v>-9349631</v>
      </c>
      <c r="FB75" s="46">
        <v>-9284223</v>
      </c>
      <c r="FK75" s="46">
        <v>0.74991656734207379</v>
      </c>
    </row>
    <row r="76" spans="1:167" s="46" customFormat="1" x14ac:dyDescent="0.25">
      <c r="A76" s="27" t="s">
        <v>142</v>
      </c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2">
        <f>CALCULO!L82</f>
        <v>-1.3903693628821727E-2</v>
      </c>
      <c r="CV76" s="73">
        <f t="shared" si="2"/>
        <v>0</v>
      </c>
      <c r="CW76" s="68">
        <v>-4579255</v>
      </c>
      <c r="CX76" s="45"/>
      <c r="CY76" s="46">
        <v>5.1672553820651237E-2</v>
      </c>
      <c r="DK76" s="46">
        <v>-4579255</v>
      </c>
      <c r="DV76" s="46">
        <v>-3.5691174054036947E-3</v>
      </c>
      <c r="DW76" s="46">
        <v>2.7072115849116965E-3</v>
      </c>
      <c r="EA76" s="46">
        <v>2.7072115849116965E-3</v>
      </c>
      <c r="EO76" s="46">
        <v>0.45864085341762151</v>
      </c>
      <c r="EP76" s="46">
        <v>0.45864085341762151</v>
      </c>
      <c r="EW76" s="46">
        <v>-2223952</v>
      </c>
      <c r="FB76" s="46">
        <v>-3712722</v>
      </c>
      <c r="FK76" s="46">
        <v>0.45864085341762151</v>
      </c>
    </row>
    <row r="77" spans="1:167" s="46" customFormat="1" x14ac:dyDescent="0.25">
      <c r="A77" s="27" t="s">
        <v>144</v>
      </c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2">
        <f>CALCULO!L83</f>
        <v>1.4023984363230924E-2</v>
      </c>
      <c r="CV77" s="73">
        <f t="shared" si="2"/>
        <v>0</v>
      </c>
      <c r="CW77" s="68">
        <v>17301717</v>
      </c>
      <c r="CX77" s="45"/>
      <c r="CY77" s="46">
        <v>5.9386564490700698E-3</v>
      </c>
      <c r="DK77" s="46">
        <v>17301717</v>
      </c>
      <c r="DV77" s="46">
        <v>-5.0405737974600975E-3</v>
      </c>
      <c r="DW77" s="46">
        <v>-1.9225011978217341E-2</v>
      </c>
      <c r="EA77" s="46">
        <v>-1.9225011978217341E-2</v>
      </c>
      <c r="EO77" s="46">
        <v>0.33534883720930247</v>
      </c>
      <c r="EP77" s="46">
        <v>0.33534883720930247</v>
      </c>
      <c r="EW77" s="46">
        <v>26278671</v>
      </c>
      <c r="FB77" s="46">
        <v>29370699</v>
      </c>
      <c r="FK77" s="46">
        <v>0.33534883720930247</v>
      </c>
    </row>
    <row r="78" spans="1:167" s="46" customFormat="1" x14ac:dyDescent="0.25">
      <c r="A78" s="27" t="s">
        <v>146</v>
      </c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2">
        <f>CALCULO!L84</f>
        <v>-8.1545835241611381E-3</v>
      </c>
      <c r="CV78" s="73">
        <f t="shared" si="2"/>
        <v>0</v>
      </c>
      <c r="CW78" s="68">
        <v>-6499435</v>
      </c>
      <c r="CX78" s="45"/>
      <c r="CY78" s="46">
        <v>4.7271544306913939E-3</v>
      </c>
      <c r="DK78" s="46">
        <v>-6499435</v>
      </c>
      <c r="DV78" s="46">
        <v>9.2016564374659202E-3</v>
      </c>
      <c r="DW78" s="46">
        <v>2.3986357902294753E-2</v>
      </c>
      <c r="EA78" s="46">
        <v>2.3986357902294753E-2</v>
      </c>
      <c r="EO78" s="46">
        <v>0.83142753095411503</v>
      </c>
      <c r="EP78" s="46">
        <v>0.83142753095411503</v>
      </c>
      <c r="EW78" s="46">
        <v>-3871650</v>
      </c>
      <c r="FB78" s="46">
        <v>-7312254</v>
      </c>
      <c r="FK78" s="46">
        <v>0.83142753095411503</v>
      </c>
    </row>
    <row r="79" spans="1:167" s="46" customFormat="1" x14ac:dyDescent="0.25">
      <c r="A79" s="27" t="s">
        <v>148</v>
      </c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2">
        <f>CALCULO!L85</f>
        <v>-1.1373791990979921E-2</v>
      </c>
      <c r="CV79" s="73">
        <f t="shared" si="2"/>
        <v>0</v>
      </c>
      <c r="CW79" s="68">
        <v>1430222</v>
      </c>
      <c r="CX79" s="45"/>
      <c r="CY79" s="46">
        <v>3.2265150457264538E-2</v>
      </c>
      <c r="DK79" s="46">
        <v>1430222</v>
      </c>
      <c r="DV79" s="46">
        <v>-2.001245837969387E-2</v>
      </c>
      <c r="DW79" s="46">
        <v>1.5081528841051371E-2</v>
      </c>
      <c r="EA79" s="46">
        <v>1.5081528841051371E-2</v>
      </c>
      <c r="EO79" s="46">
        <v>0.70097724729578503</v>
      </c>
      <c r="EP79" s="46">
        <v>0.70097724729578503</v>
      </c>
      <c r="EW79" s="46">
        <v>-5236411</v>
      </c>
      <c r="FB79" s="46">
        <v>-1511265</v>
      </c>
      <c r="FK79" s="46">
        <v>0.70097724729578503</v>
      </c>
    </row>
    <row r="80" spans="1:167" s="46" customFormat="1" x14ac:dyDescent="0.25">
      <c r="A80" s="27" t="s">
        <v>150</v>
      </c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2">
        <f>CALCULO!L86</f>
        <v>8.6242880420938067E-3</v>
      </c>
      <c r="CV80" s="73">
        <f t="shared" si="2"/>
        <v>0</v>
      </c>
      <c r="CW80" s="68">
        <v>6108967</v>
      </c>
      <c r="CX80" s="45"/>
      <c r="CY80" s="46">
        <v>-4.9222468249057938E-3</v>
      </c>
      <c r="DK80" s="46">
        <v>6108967</v>
      </c>
      <c r="DV80" s="46">
        <v>1.4885407615640349E-2</v>
      </c>
      <c r="DW80" s="46">
        <v>-2.7245621074192261E-3</v>
      </c>
      <c r="EA80" s="46">
        <v>-2.7245621074192261E-3</v>
      </c>
      <c r="EO80" s="46">
        <v>1.4153861097620204</v>
      </c>
      <c r="EP80" s="46">
        <v>1.4153861097620204</v>
      </c>
      <c r="EW80" s="46">
        <v>7626211</v>
      </c>
      <c r="FB80" s="46">
        <v>6594544</v>
      </c>
      <c r="FK80" s="46">
        <v>1.4153861097620204</v>
      </c>
    </row>
    <row r="81" spans="1:167" s="46" customFormat="1" x14ac:dyDescent="0.25">
      <c r="A81" s="27" t="s">
        <v>152</v>
      </c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2">
        <f>CALCULO!L87</f>
        <v>5.9336615860522612E-3</v>
      </c>
      <c r="CV81" s="73">
        <f t="shared" si="2"/>
        <v>0</v>
      </c>
      <c r="CW81" s="68">
        <v>-8121832</v>
      </c>
      <c r="CX81" s="45"/>
      <c r="CY81" s="46">
        <v>4.0945243802781445E-2</v>
      </c>
      <c r="DK81" s="46">
        <v>-8121832</v>
      </c>
      <c r="DV81" s="46">
        <v>-3.5245143873467499E-2</v>
      </c>
      <c r="DW81" s="46">
        <v>1.0260026559207311E-2</v>
      </c>
      <c r="EA81" s="46">
        <v>1.0260026559207311E-2</v>
      </c>
      <c r="EO81" s="46">
        <v>1.0042006802721088</v>
      </c>
      <c r="EP81" s="46">
        <v>1.0042006802721088</v>
      </c>
      <c r="EW81" s="46">
        <v>-9131556</v>
      </c>
      <c r="FB81" s="46">
        <v>-15388821</v>
      </c>
      <c r="FK81" s="46">
        <v>1.0042006802721088</v>
      </c>
    </row>
    <row r="82" spans="1:167" s="46" customFormat="1" x14ac:dyDescent="0.25">
      <c r="A82" s="27" t="s">
        <v>154</v>
      </c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2">
        <f>CALCULO!L88</f>
        <v>-3.9661430964372741E-3</v>
      </c>
      <c r="CV82" s="73">
        <f t="shared" si="2"/>
        <v>0</v>
      </c>
      <c r="CW82" s="68">
        <v>91155024</v>
      </c>
      <c r="CX82" s="45"/>
      <c r="CY82" s="46">
        <v>8.6295434278470841E-3</v>
      </c>
      <c r="DK82" s="46">
        <v>91155024</v>
      </c>
      <c r="DV82" s="46">
        <v>2.025069261257402E-3</v>
      </c>
      <c r="DW82" s="46">
        <v>1.2333139962689574E-2</v>
      </c>
      <c r="EA82" s="46">
        <v>1.2333139962689574E-2</v>
      </c>
      <c r="EO82" s="46">
        <v>0.72678075466404823</v>
      </c>
      <c r="EP82" s="46">
        <v>0.72678075466404823</v>
      </c>
      <c r="EW82" s="46">
        <v>4862258</v>
      </c>
      <c r="FB82" s="46">
        <v>13969599</v>
      </c>
      <c r="FK82" s="46">
        <v>0.72678075466404823</v>
      </c>
    </row>
    <row r="83" spans="1:167" s="46" customFormat="1" x14ac:dyDescent="0.25">
      <c r="A83" s="27" t="s">
        <v>262</v>
      </c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2">
        <f>CALCULO!L89</f>
        <v>-1.7450511270843592E-2</v>
      </c>
      <c r="CV83" s="73">
        <f t="shared" si="2"/>
        <v>0</v>
      </c>
      <c r="CW83" s="68">
        <v>-8112640</v>
      </c>
      <c r="CX83" s="45"/>
      <c r="CY83" s="46">
        <v>3.7073223989261127E-2</v>
      </c>
      <c r="DK83" s="46">
        <v>-8112640</v>
      </c>
      <c r="DV83" s="46">
        <v>3.0744152214294426E-2</v>
      </c>
      <c r="DW83" s="46">
        <v>-7.4547993568692406E-3</v>
      </c>
      <c r="EA83" s="46">
        <v>-7.4547993568692406E-3</v>
      </c>
      <c r="EO83" s="46">
        <v>0.57366945512095868</v>
      </c>
      <c r="EP83" s="46">
        <v>0.57366945512095868</v>
      </c>
      <c r="EW83" s="46">
        <v>13530902</v>
      </c>
      <c r="FB83" s="46">
        <v>15977367</v>
      </c>
      <c r="FK83" s="46">
        <v>0.57366945512095868</v>
      </c>
    </row>
    <row r="84" spans="1:167" s="46" customFormat="1" x14ac:dyDescent="0.25">
      <c r="A84" s="27" t="s">
        <v>157</v>
      </c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2">
        <f>CALCULO!L90</f>
        <v>-9.7881544356741984E-4</v>
      </c>
      <c r="CV84" s="73">
        <f t="shared" si="2"/>
        <v>0</v>
      </c>
      <c r="CW84" s="68">
        <v>-3297745</v>
      </c>
      <c r="CX84" s="45"/>
      <c r="CY84" s="46">
        <v>2.5937344822124234E-2</v>
      </c>
      <c r="DK84" s="46">
        <v>-3297745</v>
      </c>
      <c r="DV84" s="46">
        <v>-1.9893437635810411E-2</v>
      </c>
      <c r="DW84" s="46">
        <v>-7.6017803815081122E-3</v>
      </c>
      <c r="EA84" s="46">
        <v>-7.6017803815081122E-3</v>
      </c>
      <c r="EO84" s="46">
        <v>1.1556741573033709</v>
      </c>
      <c r="EP84" s="46">
        <v>1.1556741573033709</v>
      </c>
      <c r="EW84" s="46">
        <v>-945647</v>
      </c>
      <c r="FB84" s="46">
        <v>-997648</v>
      </c>
      <c r="FK84" s="46">
        <v>1.1556741573033709</v>
      </c>
    </row>
    <row r="85" spans="1:167" s="46" customFormat="1" x14ac:dyDescent="0.25">
      <c r="A85" s="27" t="s">
        <v>159</v>
      </c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2">
        <f>CALCULO!L91</f>
        <v>-1.5446741588665911E-2</v>
      </c>
      <c r="CV85" s="73">
        <f t="shared" si="2"/>
        <v>0</v>
      </c>
      <c r="CW85" s="68">
        <v>-7013911</v>
      </c>
      <c r="CX85" s="45"/>
      <c r="CY85" s="46">
        <v>5.8905671214092891E-3</v>
      </c>
      <c r="DK85" s="46">
        <v>-7013911</v>
      </c>
      <c r="DV85" s="46">
        <v>-1.7297711504451412E-2</v>
      </c>
      <c r="DW85" s="46">
        <v>-1.227658796379983E-2</v>
      </c>
      <c r="EA85" s="46">
        <v>-1.227658796379983E-2</v>
      </c>
      <c r="EO85" s="46">
        <v>0.97433320596102402</v>
      </c>
      <c r="EP85" s="46">
        <v>0.97433320596102402</v>
      </c>
      <c r="EW85" s="46">
        <v>-2052125</v>
      </c>
      <c r="FB85" s="46">
        <v>302419</v>
      </c>
      <c r="FK85" s="46">
        <v>0.97433320596102402</v>
      </c>
    </row>
    <row r="86" spans="1:167" s="46" customFormat="1" x14ac:dyDescent="0.25">
      <c r="A86" s="27" t="s">
        <v>161</v>
      </c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2">
        <f>CALCULO!L92</f>
        <v>-1.1657479934242421E-2</v>
      </c>
      <c r="CV86" s="73">
        <f t="shared" si="2"/>
        <v>0</v>
      </c>
      <c r="CW86" s="68">
        <v>7770745</v>
      </c>
      <c r="CX86" s="45"/>
      <c r="CY86" s="46">
        <v>2.0731296590657932E-2</v>
      </c>
      <c r="DK86" s="46">
        <v>7770745</v>
      </c>
      <c r="DV86" s="46">
        <v>-3.0163911163911351E-2</v>
      </c>
      <c r="DW86" s="46">
        <v>-6.3934487402676779E-2</v>
      </c>
      <c r="EA86" s="46">
        <v>-6.3934487402676779E-2</v>
      </c>
      <c r="EO86" s="46">
        <v>1.1593306288032457</v>
      </c>
      <c r="EP86" s="46">
        <v>1.1593306288032457</v>
      </c>
      <c r="EW86" s="46">
        <v>2869933</v>
      </c>
      <c r="FB86" s="46">
        <v>4332097</v>
      </c>
      <c r="FK86" s="46">
        <v>1.1593306288032457</v>
      </c>
    </row>
    <row r="87" spans="1:167" s="46" customFormat="1" x14ac:dyDescent="0.25">
      <c r="A87" s="27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2"/>
      <c r="CV87" s="73">
        <f t="shared" si="2"/>
        <v>0</v>
      </c>
      <c r="CW87" s="68">
        <v>-6427171</v>
      </c>
      <c r="CX87" s="45"/>
      <c r="DK87" s="46">
        <v>-6427171</v>
      </c>
      <c r="DW87" s="46">
        <v>1.2520472973825005E-2</v>
      </c>
      <c r="EA87" s="46">
        <v>1.2520472973825005E-2</v>
      </c>
      <c r="EW87" s="46">
        <v>-8031125</v>
      </c>
      <c r="FB87" s="46">
        <v>-10243948</v>
      </c>
    </row>
    <row r="88" spans="1:167" s="46" customFormat="1" x14ac:dyDescent="0.25">
      <c r="A88" s="27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2"/>
      <c r="CV88" s="73">
        <f t="shared" si="2"/>
        <v>0</v>
      </c>
      <c r="CW88" s="68">
        <v>-1443775</v>
      </c>
      <c r="CX88" s="45"/>
      <c r="DK88" s="46">
        <v>-1443775</v>
      </c>
      <c r="DW88" s="46">
        <v>4.9017937045251064E-3</v>
      </c>
      <c r="EA88" s="46">
        <v>4.9017937045251064E-3</v>
      </c>
      <c r="EW88" s="46">
        <v>-4255158</v>
      </c>
      <c r="FB88" s="46">
        <v>-5399618</v>
      </c>
    </row>
    <row r="89" spans="1:167" s="46" customFormat="1" x14ac:dyDescent="0.25">
      <c r="A89" s="27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2"/>
      <c r="CV89" s="73">
        <f t="shared" si="2"/>
        <v>0</v>
      </c>
      <c r="CW89" s="68">
        <v>8095909</v>
      </c>
      <c r="CX89" s="45"/>
      <c r="DK89" s="46">
        <v>8095909</v>
      </c>
      <c r="DW89" s="46">
        <v>1.0960797349792196E-2</v>
      </c>
      <c r="EA89" s="46">
        <v>1.0960797349792196E-2</v>
      </c>
      <c r="EW89" s="46">
        <v>1341884</v>
      </c>
      <c r="FB89" s="46">
        <v>5252882</v>
      </c>
    </row>
    <row r="90" spans="1:167" s="46" customFormat="1" x14ac:dyDescent="0.25">
      <c r="A90" s="27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2"/>
      <c r="CV90" s="73">
        <f t="shared" si="2"/>
        <v>0</v>
      </c>
      <c r="CW90" s="68">
        <v>-10103349</v>
      </c>
      <c r="CX90" s="45"/>
      <c r="DK90" s="46">
        <v>-10103349</v>
      </c>
      <c r="DW90" s="46">
        <v>-5.0747354723596344E-3</v>
      </c>
      <c r="EA90" s="46">
        <v>-5.0747354723596344E-3</v>
      </c>
      <c r="EW90" s="46">
        <v>5098007</v>
      </c>
      <c r="FB90" s="46">
        <v>6944885</v>
      </c>
    </row>
    <row r="91" spans="1:167" s="46" customFormat="1" x14ac:dyDescent="0.25">
      <c r="A91" s="27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2"/>
      <c r="CV91" s="73">
        <f t="shared" si="2"/>
        <v>0</v>
      </c>
      <c r="CW91" s="68">
        <v>5532609</v>
      </c>
      <c r="CX91" s="45"/>
      <c r="DK91" s="46">
        <v>5532609</v>
      </c>
      <c r="DW91" s="46">
        <v>-6.3662268370523814E-3</v>
      </c>
      <c r="EA91" s="46">
        <v>-6.3662268370523814E-3</v>
      </c>
      <c r="EW91" s="46">
        <v>-20377</v>
      </c>
      <c r="FB91" s="46">
        <v>-3319492</v>
      </c>
    </row>
    <row r="92" spans="1:167" s="46" customFormat="1" x14ac:dyDescent="0.25">
      <c r="A92" s="27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2"/>
      <c r="CV92" s="73">
        <f t="shared" si="2"/>
        <v>0</v>
      </c>
      <c r="CW92" s="68">
        <v>9710238</v>
      </c>
      <c r="CX92" s="45"/>
      <c r="DK92" s="46">
        <v>9710238</v>
      </c>
      <c r="DW92" s="46">
        <v>-8.0590532864387512E-3</v>
      </c>
      <c r="EA92" s="46">
        <v>-8.0590532864387512E-3</v>
      </c>
      <c r="EW92" s="46">
        <v>-3677843</v>
      </c>
      <c r="FB92" s="46">
        <v>-1660982</v>
      </c>
    </row>
    <row r="93" spans="1:167" s="46" customFormat="1" x14ac:dyDescent="0.25">
      <c r="A93" s="27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2"/>
      <c r="CV93" s="73">
        <f t="shared" si="2"/>
        <v>0</v>
      </c>
      <c r="CW93" s="68">
        <v>-11419597</v>
      </c>
      <c r="CX93" s="45"/>
      <c r="DK93" s="46">
        <v>-11419597</v>
      </c>
      <c r="DW93" s="46">
        <v>9.9317814001585389E-3</v>
      </c>
      <c r="EA93" s="46">
        <v>9.9317814001585389E-3</v>
      </c>
      <c r="EW93" s="46">
        <v>-1960188</v>
      </c>
      <c r="FB93" s="46">
        <v>-3851149</v>
      </c>
    </row>
    <row r="94" spans="1:167" s="46" customFormat="1" x14ac:dyDescent="0.25">
      <c r="A94" s="27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2"/>
      <c r="CV94" s="73">
        <f t="shared" si="2"/>
        <v>0</v>
      </c>
      <c r="CW94" s="68">
        <v>-3511796</v>
      </c>
      <c r="CX94" s="45"/>
      <c r="DK94" s="46">
        <v>-3511796</v>
      </c>
      <c r="DW94" s="46">
        <v>-2.7534727207194062E-2</v>
      </c>
      <c r="EA94" s="46">
        <v>-2.7534727207194062E-2</v>
      </c>
      <c r="EW94" s="46">
        <v>531649</v>
      </c>
      <c r="FB94" s="46">
        <v>-248931</v>
      </c>
    </row>
    <row r="95" spans="1:167" s="46" customFormat="1" x14ac:dyDescent="0.25">
      <c r="A95" s="27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2"/>
      <c r="CV95" s="73">
        <f t="shared" si="2"/>
        <v>0</v>
      </c>
      <c r="CW95" s="68">
        <v>-1930622</v>
      </c>
      <c r="CX95" s="45"/>
      <c r="DK95" s="46">
        <v>-1930622</v>
      </c>
      <c r="DW95" s="46">
        <v>1.5938510259285686E-3</v>
      </c>
      <c r="EA95" s="46">
        <v>1.5938510259285686E-3</v>
      </c>
      <c r="EW95" s="46">
        <v>2351947</v>
      </c>
      <c r="FB95" s="46">
        <v>1682251</v>
      </c>
    </row>
    <row r="96" spans="1:167" s="3" customFormat="1" x14ac:dyDescent="0.25">
      <c r="A96" s="47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72"/>
      <c r="CH96" s="72"/>
      <c r="CI96" s="72"/>
      <c r="CJ96" s="72"/>
      <c r="CK96" s="72"/>
      <c r="CL96" s="72"/>
      <c r="CM96" s="72"/>
      <c r="CN96" s="72"/>
      <c r="CO96" s="72"/>
      <c r="CP96" s="72"/>
      <c r="CQ96" s="72"/>
      <c r="CR96" s="72"/>
      <c r="CS96" s="72"/>
      <c r="CT96" s="72"/>
      <c r="CU96" s="72"/>
      <c r="CV96" s="72">
        <f t="shared" si="2"/>
        <v>0</v>
      </c>
      <c r="CW96" s="68">
        <v>-3714405</v>
      </c>
      <c r="CX96" s="50"/>
      <c r="DK96" s="3">
        <v>-3714405</v>
      </c>
      <c r="DW96" s="3">
        <v>-5.208280018310394E-3</v>
      </c>
      <c r="EA96" s="3">
        <v>-5.208280018310394E-3</v>
      </c>
      <c r="EW96" s="3">
        <v>-1079370</v>
      </c>
      <c r="FB96" s="3">
        <v>-2260744</v>
      </c>
      <c r="FG96" s="3" t="e">
        <v>#DIV/0!</v>
      </c>
    </row>
    <row r="97" spans="1:163" s="3" customFormat="1" x14ac:dyDescent="0.25">
      <c r="A97" s="47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72"/>
      <c r="CH97" s="72"/>
      <c r="CI97" s="72"/>
      <c r="CJ97" s="72"/>
      <c r="CK97" s="72"/>
      <c r="CL97" s="72"/>
      <c r="CM97" s="72"/>
      <c r="CN97" s="72"/>
      <c r="CO97" s="72"/>
      <c r="CP97" s="72"/>
      <c r="CQ97" s="72"/>
      <c r="CR97" s="72"/>
      <c r="CS97" s="72"/>
      <c r="CT97" s="72"/>
      <c r="CU97" s="72"/>
      <c r="CV97" s="72">
        <f t="shared" si="2"/>
        <v>0</v>
      </c>
      <c r="CW97" s="68">
        <v>-3792074</v>
      </c>
      <c r="CX97" s="50"/>
      <c r="DK97" s="3">
        <v>-3792074</v>
      </c>
      <c r="DW97" s="3">
        <v>-1.0818731198253616E-2</v>
      </c>
      <c r="EA97" s="3">
        <v>-1.0818731198253616E-2</v>
      </c>
      <c r="EW97" s="3">
        <v>1568850</v>
      </c>
      <c r="FB97" s="3">
        <v>-7209993</v>
      </c>
      <c r="FG97" s="3" t="e">
        <v>#DIV/0!</v>
      </c>
    </row>
    <row r="98" spans="1:163" s="3" customFormat="1" x14ac:dyDescent="0.25">
      <c r="A98" s="47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72"/>
      <c r="CH98" s="72"/>
      <c r="CI98" s="72"/>
      <c r="CJ98" s="72"/>
      <c r="CK98" s="72"/>
      <c r="CL98" s="72"/>
      <c r="CM98" s="72"/>
      <c r="CN98" s="72"/>
      <c r="CO98" s="72"/>
      <c r="CP98" s="72"/>
      <c r="CQ98" s="72"/>
      <c r="CR98" s="72"/>
      <c r="CS98" s="72"/>
      <c r="CT98" s="72"/>
      <c r="CU98" s="72"/>
      <c r="CV98" s="72">
        <f t="shared" ref="CV98:CV129" si="3">CT98</f>
        <v>0</v>
      </c>
      <c r="CW98" s="68">
        <v>-12625680</v>
      </c>
      <c r="CX98" s="50"/>
      <c r="DK98" s="3">
        <v>-12625680</v>
      </c>
      <c r="DW98" s="3">
        <v>1.6212353683521967E-2</v>
      </c>
      <c r="EA98" s="3">
        <v>1.6212353683521967E-2</v>
      </c>
      <c r="EW98" s="3">
        <v>-2759520</v>
      </c>
      <c r="FB98" s="3">
        <v>-2439601</v>
      </c>
      <c r="FG98" s="3" t="e">
        <v>#DIV/0!</v>
      </c>
    </row>
    <row r="99" spans="1:163" s="3" customFormat="1" x14ac:dyDescent="0.25">
      <c r="A99" s="47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72"/>
      <c r="CH99" s="72"/>
      <c r="CI99" s="72"/>
      <c r="CJ99" s="72"/>
      <c r="CK99" s="72"/>
      <c r="CL99" s="72"/>
      <c r="CM99" s="72"/>
      <c r="CN99" s="72"/>
      <c r="CO99" s="72"/>
      <c r="CP99" s="72"/>
      <c r="CQ99" s="72"/>
      <c r="CR99" s="72"/>
      <c r="CS99" s="72"/>
      <c r="CT99" s="72"/>
      <c r="CU99" s="72"/>
      <c r="CV99" s="72">
        <f t="shared" si="3"/>
        <v>0</v>
      </c>
      <c r="CW99" s="68">
        <v>554803</v>
      </c>
      <c r="CX99" s="50"/>
      <c r="DK99" s="3">
        <v>554803</v>
      </c>
      <c r="DW99" s="3">
        <v>-2.6289229694789681E-2</v>
      </c>
      <c r="EA99" s="3">
        <v>-2.6289229694789681E-2</v>
      </c>
      <c r="EW99" s="3">
        <v>-1158655</v>
      </c>
      <c r="FB99" s="3">
        <v>-3573080</v>
      </c>
      <c r="FG99" s="3" t="e">
        <v>#DIV/0!</v>
      </c>
    </row>
    <row r="100" spans="1:163" s="3" customFormat="1" x14ac:dyDescent="0.25">
      <c r="A100" s="47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72"/>
      <c r="CH100" s="72"/>
      <c r="CI100" s="72"/>
      <c r="CJ100" s="72"/>
      <c r="CK100" s="72"/>
      <c r="CL100" s="72"/>
      <c r="CM100" s="72"/>
      <c r="CN100" s="72"/>
      <c r="CO100" s="72"/>
      <c r="CP100" s="72"/>
      <c r="CQ100" s="72"/>
      <c r="CR100" s="72"/>
      <c r="CS100" s="72"/>
      <c r="CT100" s="72"/>
      <c r="CU100" s="72"/>
      <c r="CV100" s="72">
        <f t="shared" si="3"/>
        <v>0</v>
      </c>
      <c r="CW100" s="68">
        <v>11565971</v>
      </c>
      <c r="CX100" s="50"/>
      <c r="DK100" s="3">
        <v>11565971</v>
      </c>
      <c r="DW100" s="3">
        <v>7.6707239638825336E-3</v>
      </c>
      <c r="EA100" s="3">
        <v>7.6707239638825336E-3</v>
      </c>
      <c r="EW100" s="3">
        <v>5873386</v>
      </c>
      <c r="FB100" s="3">
        <v>7945463</v>
      </c>
      <c r="FG100" s="3" t="e">
        <v>#DIV/0!</v>
      </c>
    </row>
    <row r="101" spans="1:163" s="3" customFormat="1" x14ac:dyDescent="0.25">
      <c r="A101" s="47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72"/>
      <c r="CH101" s="72"/>
      <c r="CI101" s="72"/>
      <c r="CJ101" s="72"/>
      <c r="CK101" s="72"/>
      <c r="CL101" s="72"/>
      <c r="CM101" s="72"/>
      <c r="CN101" s="72"/>
      <c r="CO101" s="72"/>
      <c r="CP101" s="72"/>
      <c r="CQ101" s="72"/>
      <c r="CR101" s="72"/>
      <c r="CS101" s="72"/>
      <c r="CT101" s="72"/>
      <c r="CU101" s="72"/>
      <c r="CV101" s="72">
        <f t="shared" si="3"/>
        <v>0</v>
      </c>
      <c r="CW101" s="68">
        <v>40399448</v>
      </c>
      <c r="CX101" s="50"/>
      <c r="DK101" s="3">
        <v>40399448</v>
      </c>
      <c r="DW101" s="3">
        <v>-9.8755567484411812E-3</v>
      </c>
      <c r="EA101" s="3">
        <v>-9.8755567484411812E-3</v>
      </c>
      <c r="EW101" s="3">
        <v>29608294</v>
      </c>
      <c r="FB101" s="3">
        <v>30514456</v>
      </c>
      <c r="FG101" s="3" t="e">
        <v>#DIV/0!</v>
      </c>
    </row>
    <row r="102" spans="1:163" s="3" customFormat="1" x14ac:dyDescent="0.25">
      <c r="A102" s="47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>
        <f t="shared" si="3"/>
        <v>0</v>
      </c>
      <c r="CW102" s="68">
        <v>-3484582</v>
      </c>
      <c r="CX102" s="50"/>
      <c r="DK102" s="3">
        <v>-3484582</v>
      </c>
      <c r="DW102" s="3">
        <v>-1.1876754672293242E-2</v>
      </c>
      <c r="EA102" s="3">
        <v>-1.1876754672293242E-2</v>
      </c>
      <c r="EW102" s="3">
        <v>1347071</v>
      </c>
      <c r="FB102" s="3">
        <v>1747753</v>
      </c>
      <c r="FG102" s="3" t="e">
        <v>#DIV/0!</v>
      </c>
    </row>
    <row r="103" spans="1:163" s="3" customFormat="1" x14ac:dyDescent="0.25">
      <c r="A103" s="47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  <c r="BL103" s="72"/>
      <c r="BM103" s="72"/>
      <c r="BN103" s="72"/>
      <c r="BO103" s="72"/>
      <c r="BP103" s="72"/>
      <c r="BQ103" s="72"/>
      <c r="BR103" s="72"/>
      <c r="BS103" s="72"/>
      <c r="BT103" s="72"/>
      <c r="BU103" s="72"/>
      <c r="BV103" s="72"/>
      <c r="BW103" s="72"/>
      <c r="BX103" s="72"/>
      <c r="BY103" s="72"/>
      <c r="BZ103" s="72"/>
      <c r="CA103" s="72"/>
      <c r="CB103" s="72"/>
      <c r="CC103" s="72"/>
      <c r="CD103" s="72"/>
      <c r="CE103" s="72"/>
      <c r="CF103" s="72"/>
      <c r="CG103" s="72"/>
      <c r="CH103" s="72"/>
      <c r="CI103" s="72"/>
      <c r="CJ103" s="72"/>
      <c r="CK103" s="72"/>
      <c r="CL103" s="72"/>
      <c r="CM103" s="72"/>
      <c r="CN103" s="72"/>
      <c r="CO103" s="72"/>
      <c r="CP103" s="72"/>
      <c r="CQ103" s="72"/>
      <c r="CR103" s="72"/>
      <c r="CS103" s="72"/>
      <c r="CT103" s="72"/>
      <c r="CU103" s="72"/>
      <c r="CV103" s="72">
        <f t="shared" si="3"/>
        <v>0</v>
      </c>
      <c r="CW103" s="68">
        <v>-78841165</v>
      </c>
      <c r="CX103" s="50"/>
      <c r="DK103" s="3">
        <v>-78841165</v>
      </c>
      <c r="DW103" s="3">
        <v>6.9138846737486215E-4</v>
      </c>
      <c r="EA103" s="3">
        <v>6.9138846737486215E-4</v>
      </c>
      <c r="EW103" s="3">
        <v>48543879</v>
      </c>
      <c r="FB103" s="3">
        <v>52432306</v>
      </c>
      <c r="FG103" s="3" t="e">
        <v>#DIV/0!</v>
      </c>
    </row>
    <row r="104" spans="1:163" s="3" customFormat="1" x14ac:dyDescent="0.25">
      <c r="A104" s="47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72"/>
      <c r="CH104" s="72"/>
      <c r="CI104" s="72"/>
      <c r="CJ104" s="72"/>
      <c r="CK104" s="72"/>
      <c r="CL104" s="72"/>
      <c r="CM104" s="72"/>
      <c r="CN104" s="72"/>
      <c r="CO104" s="72"/>
      <c r="CP104" s="72"/>
      <c r="CQ104" s="72"/>
      <c r="CR104" s="72"/>
      <c r="CS104" s="72"/>
      <c r="CT104" s="72"/>
      <c r="CU104" s="72"/>
      <c r="CV104" s="72">
        <f t="shared" si="3"/>
        <v>0</v>
      </c>
      <c r="CW104" s="68">
        <v>19873877</v>
      </c>
      <c r="CX104" s="50"/>
      <c r="DK104" s="3">
        <v>19873877</v>
      </c>
      <c r="DW104" s="3">
        <v>-2.7577139507021852E-2</v>
      </c>
      <c r="EA104" s="3">
        <v>-2.7577139507021852E-2</v>
      </c>
      <c r="EW104" s="3">
        <v>-39188028</v>
      </c>
      <c r="FB104" s="3">
        <v>-44147828</v>
      </c>
      <c r="FG104" s="3" t="e">
        <v>#DIV/0!</v>
      </c>
    </row>
    <row r="105" spans="1:163" s="3" customFormat="1" x14ac:dyDescent="0.25">
      <c r="A105" s="47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72"/>
      <c r="CH105" s="72"/>
      <c r="CI105" s="72"/>
      <c r="CJ105" s="72"/>
      <c r="CK105" s="72"/>
      <c r="CL105" s="72"/>
      <c r="CM105" s="72"/>
      <c r="CN105" s="72"/>
      <c r="CO105" s="72"/>
      <c r="CP105" s="72"/>
      <c r="CQ105" s="72"/>
      <c r="CR105" s="72"/>
      <c r="CS105" s="72"/>
      <c r="CT105" s="72"/>
      <c r="CU105" s="72"/>
      <c r="CV105" s="72">
        <f t="shared" si="3"/>
        <v>0</v>
      </c>
      <c r="CW105" s="68">
        <v>-3139898</v>
      </c>
      <c r="CX105" s="50"/>
      <c r="DK105" s="3">
        <v>-3139898</v>
      </c>
      <c r="DW105" s="3">
        <v>-1.6945763205491939E-2</v>
      </c>
      <c r="EA105" s="3">
        <v>-1.6945763205491939E-2</v>
      </c>
      <c r="EW105" s="3">
        <v>772603</v>
      </c>
      <c r="FB105" s="3">
        <v>-9955863</v>
      </c>
      <c r="FG105" s="3" t="e">
        <v>#DIV/0!</v>
      </c>
    </row>
    <row r="106" spans="1:163" s="3" customFormat="1" x14ac:dyDescent="0.25"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85"/>
      <c r="CV106" s="41">
        <f t="shared" si="3"/>
        <v>0</v>
      </c>
      <c r="CW106" s="36">
        <v>-725772420</v>
      </c>
      <c r="CX106" s="50"/>
      <c r="DK106" s="3">
        <v>-717424943</v>
      </c>
      <c r="DW106" s="3">
        <v>-431787761</v>
      </c>
      <c r="EA106" s="3">
        <v>-431787761</v>
      </c>
      <c r="EW106" s="3">
        <v>-45911168</v>
      </c>
      <c r="FB106" s="3">
        <v>452552884</v>
      </c>
      <c r="FG106" s="3" t="e">
        <v>#DIV/0!</v>
      </c>
    </row>
    <row r="107" spans="1:163" s="3" customFormat="1" x14ac:dyDescent="0.25"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85"/>
      <c r="CV107" s="41">
        <f t="shared" si="3"/>
        <v>0</v>
      </c>
      <c r="CW107" s="36">
        <v>574607209</v>
      </c>
      <c r="CX107" s="50"/>
      <c r="DK107" s="3">
        <v>592990275</v>
      </c>
      <c r="DW107" s="3">
        <v>291911823</v>
      </c>
      <c r="EA107" s="3">
        <v>291911823</v>
      </c>
      <c r="EW107" s="3">
        <v>347600995</v>
      </c>
      <c r="FB107" s="3">
        <v>-227075235</v>
      </c>
      <c r="FG107" s="3" t="e">
        <v>#DIV/0!</v>
      </c>
    </row>
    <row r="108" spans="1:163" s="3" customFormat="1" x14ac:dyDescent="0.25"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81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85"/>
      <c r="CV108" s="41">
        <f t="shared" si="3"/>
        <v>0</v>
      </c>
      <c r="CW108" s="36">
        <v>-1754871755</v>
      </c>
      <c r="CX108" s="50"/>
      <c r="DK108" s="3">
        <v>-1742306370</v>
      </c>
      <c r="DW108" s="3">
        <v>-1977743470</v>
      </c>
      <c r="EA108" s="3">
        <v>-1977743470</v>
      </c>
      <c r="EW108" s="3">
        <v>-919108500</v>
      </c>
      <c r="FB108" s="3">
        <v>-274723740</v>
      </c>
      <c r="FG108" s="3" t="e">
        <v>#DIV/0!</v>
      </c>
    </row>
    <row r="109" spans="1:163" s="3" customFormat="1" x14ac:dyDescent="0.25"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85"/>
      <c r="CV109" s="41">
        <f t="shared" si="3"/>
        <v>0</v>
      </c>
      <c r="CW109" s="36">
        <v>1193033945</v>
      </c>
      <c r="CX109" s="50"/>
      <c r="DK109" s="3">
        <v>1176316665</v>
      </c>
      <c r="DW109" s="3">
        <v>1331564245</v>
      </c>
      <c r="EA109" s="3">
        <v>1331564245</v>
      </c>
      <c r="EW109" s="3">
        <v>1209224605</v>
      </c>
      <c r="FB109" s="3">
        <v>754459205</v>
      </c>
      <c r="FG109" s="3" t="e">
        <v>#DIV/0!</v>
      </c>
    </row>
    <row r="110" spans="1:163" s="3" customFormat="1" x14ac:dyDescent="0.25">
      <c r="A110" s="47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1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  <c r="BB110" s="48"/>
      <c r="BC110" s="48"/>
      <c r="BD110" s="48"/>
      <c r="BE110" s="48"/>
      <c r="BF110" s="48"/>
      <c r="BG110" s="48"/>
      <c r="BH110" s="48"/>
      <c r="BI110" s="48"/>
      <c r="BJ110" s="48"/>
      <c r="BK110" s="48"/>
      <c r="BL110" s="48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49"/>
      <c r="CA110" s="49"/>
      <c r="CB110" s="49"/>
      <c r="CC110" s="49"/>
      <c r="CD110" s="49"/>
      <c r="CE110" s="49"/>
      <c r="CF110" s="49"/>
      <c r="CG110" s="49"/>
      <c r="CH110" s="49"/>
      <c r="CI110" s="49"/>
      <c r="CJ110" s="49"/>
      <c r="CK110" s="49"/>
      <c r="CL110" s="49"/>
      <c r="CM110" s="49"/>
      <c r="CN110" s="49"/>
      <c r="CO110" s="49"/>
      <c r="CP110" s="49"/>
      <c r="CQ110" s="49"/>
      <c r="CR110" s="49"/>
      <c r="CS110" s="49"/>
      <c r="CT110" s="49"/>
      <c r="CU110" s="50"/>
      <c r="CV110" s="79">
        <f t="shared" si="3"/>
        <v>0</v>
      </c>
      <c r="CW110" s="36"/>
      <c r="CX110" s="50"/>
      <c r="FG110" s="3" t="e">
        <v>#DIV/0!</v>
      </c>
    </row>
    <row r="111" spans="1:163" s="3" customFormat="1" x14ac:dyDescent="0.25">
      <c r="A111" s="47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1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  <c r="BB111" s="48"/>
      <c r="BC111" s="48"/>
      <c r="BD111" s="48"/>
      <c r="BE111" s="48"/>
      <c r="BF111" s="48"/>
      <c r="BG111" s="48"/>
      <c r="BH111" s="48"/>
      <c r="BI111" s="48"/>
      <c r="BJ111" s="48"/>
      <c r="BK111" s="48"/>
      <c r="BL111" s="48"/>
      <c r="BM111" s="49"/>
      <c r="BN111" s="49"/>
      <c r="BO111" s="49"/>
      <c r="BP111" s="49"/>
      <c r="BQ111" s="49"/>
      <c r="BR111" s="49"/>
      <c r="BS111" s="49"/>
      <c r="BT111" s="49"/>
      <c r="BU111" s="49"/>
      <c r="BV111" s="49"/>
      <c r="BW111" s="49"/>
      <c r="BX111" s="49"/>
      <c r="BY111" s="49"/>
      <c r="BZ111" s="49"/>
      <c r="CA111" s="49"/>
      <c r="CB111" s="49"/>
      <c r="CC111" s="49"/>
      <c r="CD111" s="49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50"/>
      <c r="CV111" s="79">
        <f t="shared" si="3"/>
        <v>0</v>
      </c>
      <c r="CW111" s="36"/>
      <c r="CX111" s="50"/>
      <c r="FG111" s="3" t="e">
        <v>#DIV/0!</v>
      </c>
    </row>
    <row r="112" spans="1:163" s="3" customFormat="1" x14ac:dyDescent="0.25">
      <c r="A112" s="47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60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  <c r="BB112" s="48"/>
      <c r="BC112" s="48"/>
      <c r="BD112" s="48"/>
      <c r="BE112" s="48"/>
      <c r="BF112" s="48"/>
      <c r="BG112" s="48"/>
      <c r="BH112" s="48"/>
      <c r="BI112" s="48"/>
      <c r="BJ112" s="48"/>
      <c r="BK112" s="48"/>
      <c r="BL112" s="48"/>
      <c r="BM112" s="49"/>
      <c r="BN112" s="49"/>
      <c r="BO112" s="49"/>
      <c r="BP112" s="49"/>
      <c r="BQ112" s="49"/>
      <c r="BR112" s="49"/>
      <c r="BS112" s="49"/>
      <c r="BT112" s="49"/>
      <c r="BU112" s="49"/>
      <c r="BV112" s="49"/>
      <c r="BW112" s="49"/>
      <c r="BX112" s="49"/>
      <c r="BY112" s="49"/>
      <c r="BZ112" s="49"/>
      <c r="CA112" s="49"/>
      <c r="CB112" s="49"/>
      <c r="CC112" s="49"/>
      <c r="CD112" s="49"/>
      <c r="CE112" s="49"/>
      <c r="CF112" s="49"/>
      <c r="CG112" s="49"/>
      <c r="CH112" s="49"/>
      <c r="CI112" s="49"/>
      <c r="CJ112" s="49"/>
      <c r="CK112" s="49"/>
      <c r="CL112" s="49"/>
      <c r="CM112" s="49"/>
      <c r="CN112" s="49"/>
      <c r="CO112" s="49"/>
      <c r="CP112" s="49"/>
      <c r="CQ112" s="49"/>
      <c r="CR112" s="49"/>
      <c r="CS112" s="49"/>
      <c r="CT112" s="49"/>
      <c r="CU112" s="50"/>
      <c r="CV112" s="79">
        <f t="shared" si="3"/>
        <v>0</v>
      </c>
      <c r="CW112" s="36"/>
      <c r="CX112" s="50"/>
      <c r="FG112" s="3" t="e">
        <v>#DIV/0!</v>
      </c>
    </row>
    <row r="113" spans="1:163" s="3" customFormat="1" x14ac:dyDescent="0.25">
      <c r="A113" s="47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  <c r="BB113" s="48"/>
      <c r="BC113" s="48"/>
      <c r="BD113" s="48"/>
      <c r="BE113" s="48"/>
      <c r="BF113" s="48"/>
      <c r="BG113" s="48"/>
      <c r="BH113" s="48"/>
      <c r="BI113" s="48"/>
      <c r="BJ113" s="48"/>
      <c r="BK113" s="48"/>
      <c r="BL113" s="48"/>
      <c r="BM113" s="49"/>
      <c r="BN113" s="49"/>
      <c r="BO113" s="49"/>
      <c r="BP113" s="49"/>
      <c r="BQ113" s="49"/>
      <c r="BR113" s="49"/>
      <c r="BS113" s="49"/>
      <c r="BT113" s="49"/>
      <c r="BU113" s="49"/>
      <c r="BV113" s="49"/>
      <c r="BW113" s="49"/>
      <c r="BX113" s="49"/>
      <c r="BY113" s="49"/>
      <c r="BZ113" s="49"/>
      <c r="CA113" s="49"/>
      <c r="CB113" s="49"/>
      <c r="CC113" s="49"/>
      <c r="CD113" s="49"/>
      <c r="CE113" s="49"/>
      <c r="CF113" s="49"/>
      <c r="CG113" s="49"/>
      <c r="CH113" s="49"/>
      <c r="CI113" s="49"/>
      <c r="CJ113" s="49"/>
      <c r="CK113" s="49"/>
      <c r="CL113" s="49"/>
      <c r="CM113" s="49"/>
      <c r="CN113" s="49"/>
      <c r="CO113" s="49"/>
      <c r="CP113" s="49"/>
      <c r="CQ113" s="49"/>
      <c r="CR113" s="49"/>
      <c r="CS113" s="49"/>
      <c r="CT113" s="49"/>
      <c r="CU113" s="50"/>
      <c r="CV113" s="64">
        <f t="shared" si="3"/>
        <v>0</v>
      </c>
      <c r="CW113" s="36"/>
      <c r="CX113" s="50"/>
      <c r="FG113" s="3" t="e">
        <v>#DIV/0!</v>
      </c>
    </row>
    <row r="114" spans="1:163" s="3" customFormat="1" x14ac:dyDescent="0.25">
      <c r="A114" s="47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  <c r="BB114" s="48"/>
      <c r="BC114" s="48"/>
      <c r="BD114" s="48"/>
      <c r="BE114" s="48"/>
      <c r="BF114" s="48"/>
      <c r="BG114" s="48"/>
      <c r="BH114" s="48"/>
      <c r="BI114" s="48"/>
      <c r="BJ114" s="48"/>
      <c r="BK114" s="48"/>
      <c r="BL114" s="48"/>
      <c r="BM114" s="49"/>
      <c r="BN114" s="49"/>
      <c r="BO114" s="49"/>
      <c r="BP114" s="49"/>
      <c r="BQ114" s="49"/>
      <c r="BR114" s="49"/>
      <c r="BS114" s="49"/>
      <c r="BT114" s="49"/>
      <c r="BU114" s="49"/>
      <c r="BV114" s="49"/>
      <c r="BW114" s="49"/>
      <c r="BX114" s="49"/>
      <c r="BY114" s="49"/>
      <c r="BZ114" s="49"/>
      <c r="CA114" s="49"/>
      <c r="CB114" s="49"/>
      <c r="CC114" s="49"/>
      <c r="CD114" s="49"/>
      <c r="CE114" s="49"/>
      <c r="CF114" s="49"/>
      <c r="CG114" s="49"/>
      <c r="CH114" s="49"/>
      <c r="CI114" s="49"/>
      <c r="CJ114" s="49"/>
      <c r="CK114" s="49"/>
      <c r="CL114" s="49"/>
      <c r="CM114" s="49"/>
      <c r="CN114" s="49"/>
      <c r="CO114" s="49"/>
      <c r="CP114" s="49"/>
      <c r="CQ114" s="49"/>
      <c r="CR114" s="49"/>
      <c r="CS114" s="49"/>
      <c r="CT114" s="49"/>
      <c r="CU114" s="50"/>
      <c r="CV114" s="64">
        <f t="shared" si="3"/>
        <v>0</v>
      </c>
      <c r="CW114" s="36"/>
      <c r="CX114" s="50"/>
      <c r="FG114" s="3" t="e">
        <v>#DIV/0!</v>
      </c>
    </row>
    <row r="115" spans="1:163" s="3" customFormat="1" x14ac:dyDescent="0.25">
      <c r="A115" s="47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  <c r="BB115" s="48"/>
      <c r="BC115" s="48"/>
      <c r="BD115" s="48"/>
      <c r="BE115" s="48"/>
      <c r="BF115" s="48"/>
      <c r="BG115" s="48"/>
      <c r="BH115" s="48"/>
      <c r="BI115" s="48"/>
      <c r="BJ115" s="48"/>
      <c r="BK115" s="48"/>
      <c r="BL115" s="48"/>
      <c r="BM115" s="49"/>
      <c r="BN115" s="49"/>
      <c r="BO115" s="49"/>
      <c r="BP115" s="49"/>
      <c r="BQ115" s="49"/>
      <c r="BR115" s="49"/>
      <c r="BS115" s="49"/>
      <c r="BT115" s="49"/>
      <c r="BU115" s="49"/>
      <c r="BV115" s="49"/>
      <c r="BW115" s="49"/>
      <c r="BX115" s="49"/>
      <c r="BY115" s="49"/>
      <c r="BZ115" s="49"/>
      <c r="CA115" s="49"/>
      <c r="CB115" s="49"/>
      <c r="CC115" s="49"/>
      <c r="CD115" s="49"/>
      <c r="CE115" s="49"/>
      <c r="CF115" s="49"/>
      <c r="CG115" s="49"/>
      <c r="CH115" s="49"/>
      <c r="CI115" s="49"/>
      <c r="CJ115" s="49"/>
      <c r="CK115" s="49"/>
      <c r="CL115" s="49"/>
      <c r="CM115" s="49"/>
      <c r="CN115" s="49"/>
      <c r="CO115" s="49"/>
      <c r="CP115" s="49"/>
      <c r="CQ115" s="49"/>
      <c r="CR115" s="49"/>
      <c r="CS115" s="49"/>
      <c r="CT115" s="49"/>
      <c r="CU115" s="50"/>
      <c r="CV115" s="64">
        <f t="shared" si="3"/>
        <v>0</v>
      </c>
      <c r="CW115" s="36"/>
      <c r="CX115" s="50"/>
      <c r="FG115" s="3" t="e">
        <v>#DIV/0!</v>
      </c>
    </row>
    <row r="116" spans="1:163" s="52" customFormat="1" x14ac:dyDescent="0.25">
      <c r="A116" s="47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  <c r="BB116" s="48"/>
      <c r="BC116" s="48"/>
      <c r="BD116" s="48"/>
      <c r="BE116" s="48"/>
      <c r="BF116" s="48"/>
      <c r="BG116" s="48"/>
      <c r="BH116" s="48"/>
      <c r="BI116" s="48"/>
      <c r="BJ116" s="48"/>
      <c r="BK116" s="48"/>
      <c r="BL116" s="48"/>
      <c r="BM116" s="49"/>
      <c r="BN116" s="49"/>
      <c r="BO116" s="49"/>
      <c r="BP116" s="49"/>
      <c r="BQ116" s="49"/>
      <c r="BR116" s="49"/>
      <c r="BS116" s="49"/>
      <c r="BT116" s="49"/>
      <c r="BU116" s="49"/>
      <c r="BV116" s="49"/>
      <c r="BW116" s="49"/>
      <c r="BX116" s="49"/>
      <c r="BY116" s="49"/>
      <c r="BZ116" s="49"/>
      <c r="CA116" s="49"/>
      <c r="CB116" s="49"/>
      <c r="CC116" s="49"/>
      <c r="CD116" s="49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59"/>
      <c r="CV116" s="64">
        <f t="shared" si="3"/>
        <v>0</v>
      </c>
      <c r="CW116" s="36"/>
      <c r="CX116" s="50"/>
      <c r="FG116" s="52" t="e">
        <v>#DIV/0!</v>
      </c>
    </row>
    <row r="117" spans="1:163" s="3" customFormat="1" x14ac:dyDescent="0.25">
      <c r="A117" s="47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  <c r="BB117" s="48"/>
      <c r="BC117" s="48"/>
      <c r="BD117" s="48"/>
      <c r="BE117" s="48"/>
      <c r="BF117" s="48"/>
      <c r="BG117" s="48"/>
      <c r="BH117" s="48"/>
      <c r="BI117" s="48"/>
      <c r="BJ117" s="48"/>
      <c r="BK117" s="48"/>
      <c r="BL117" s="48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50"/>
      <c r="CV117" s="64">
        <f t="shared" si="3"/>
        <v>0</v>
      </c>
      <c r="CW117" s="36"/>
      <c r="CX117" s="50"/>
      <c r="FG117" s="3" t="e">
        <v>#DIV/0!</v>
      </c>
    </row>
    <row r="118" spans="1:163" s="3" customFormat="1" x14ac:dyDescent="0.25">
      <c r="A118" s="47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  <c r="BB118" s="48"/>
      <c r="BC118" s="48"/>
      <c r="BD118" s="48"/>
      <c r="BE118" s="48"/>
      <c r="BF118" s="48"/>
      <c r="BG118" s="48"/>
      <c r="BH118" s="48"/>
      <c r="BI118" s="48"/>
      <c r="BJ118" s="48"/>
      <c r="BK118" s="48"/>
      <c r="BL118" s="48"/>
      <c r="BM118" s="49"/>
      <c r="BN118" s="49"/>
      <c r="BO118" s="49"/>
      <c r="BP118" s="49"/>
      <c r="BQ118" s="49"/>
      <c r="BR118" s="49"/>
      <c r="BS118" s="49"/>
      <c r="BT118" s="49"/>
      <c r="BU118" s="49"/>
      <c r="BV118" s="49"/>
      <c r="BW118" s="49"/>
      <c r="BX118" s="49"/>
      <c r="BY118" s="49"/>
      <c r="BZ118" s="49"/>
      <c r="CA118" s="49"/>
      <c r="CB118" s="49"/>
      <c r="CC118" s="49"/>
      <c r="CD118" s="49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50"/>
      <c r="CV118" s="64">
        <f t="shared" si="3"/>
        <v>0</v>
      </c>
      <c r="CW118" s="36"/>
      <c r="CX118" s="50"/>
      <c r="FG118" s="3" t="e">
        <v>#DIV/0!</v>
      </c>
    </row>
    <row r="119" spans="1:163" s="3" customFormat="1" x14ac:dyDescent="0.25">
      <c r="A119" s="47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  <c r="BB119" s="48"/>
      <c r="BC119" s="48"/>
      <c r="BD119" s="48"/>
      <c r="BE119" s="48"/>
      <c r="BF119" s="48"/>
      <c r="BG119" s="48"/>
      <c r="BH119" s="48"/>
      <c r="BI119" s="48"/>
      <c r="BJ119" s="48"/>
      <c r="BK119" s="48"/>
      <c r="BL119" s="48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50"/>
      <c r="CV119" s="64">
        <f t="shared" si="3"/>
        <v>0</v>
      </c>
      <c r="CW119" s="36"/>
      <c r="CX119" s="50"/>
      <c r="FG119" s="3" t="e">
        <v>#DIV/0!</v>
      </c>
    </row>
    <row r="120" spans="1:163" s="3" customFormat="1" x14ac:dyDescent="0.25">
      <c r="A120" s="47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  <c r="BB120" s="48"/>
      <c r="BC120" s="48"/>
      <c r="BD120" s="48"/>
      <c r="BE120" s="48"/>
      <c r="BF120" s="48"/>
      <c r="BG120" s="48"/>
      <c r="BH120" s="48"/>
      <c r="BI120" s="48"/>
      <c r="BJ120" s="48"/>
      <c r="BK120" s="48"/>
      <c r="BL120" s="48"/>
      <c r="BM120" s="49"/>
      <c r="BN120" s="49"/>
      <c r="BO120" s="49"/>
      <c r="BP120" s="49"/>
      <c r="BQ120" s="49"/>
      <c r="BR120" s="49"/>
      <c r="BS120" s="49"/>
      <c r="BT120" s="49"/>
      <c r="BU120" s="49"/>
      <c r="BV120" s="49"/>
      <c r="BW120" s="49"/>
      <c r="BX120" s="49"/>
      <c r="BY120" s="49"/>
      <c r="BZ120" s="49"/>
      <c r="CA120" s="49"/>
      <c r="CB120" s="49"/>
      <c r="CC120" s="49"/>
      <c r="CD120" s="49"/>
      <c r="CE120" s="49"/>
      <c r="CF120" s="49"/>
      <c r="CG120" s="49"/>
      <c r="CH120" s="49"/>
      <c r="CI120" s="49"/>
      <c r="CJ120" s="49"/>
      <c r="CK120" s="49"/>
      <c r="CL120" s="49"/>
      <c r="CM120" s="49"/>
      <c r="CN120" s="49"/>
      <c r="CO120" s="49"/>
      <c r="CP120" s="49"/>
      <c r="CQ120" s="49"/>
      <c r="CR120" s="49"/>
      <c r="CS120" s="49"/>
      <c r="CT120" s="49"/>
      <c r="CU120" s="53"/>
      <c r="CV120" s="64">
        <f t="shared" si="3"/>
        <v>0</v>
      </c>
      <c r="CW120" s="36"/>
      <c r="CX120" s="50"/>
      <c r="FG120" s="3" t="e">
        <v>#DIV/0!</v>
      </c>
    </row>
    <row r="121" spans="1:163" s="54" customFormat="1" x14ac:dyDescent="0.25">
      <c r="A121" s="47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  <c r="BM121" s="49"/>
      <c r="BN121" s="49"/>
      <c r="BO121" s="49"/>
      <c r="BP121" s="49"/>
      <c r="BQ121" s="49"/>
      <c r="BR121" s="49"/>
      <c r="BS121" s="49"/>
      <c r="BT121" s="49"/>
      <c r="BU121" s="49"/>
      <c r="BV121" s="49"/>
      <c r="BW121" s="49"/>
      <c r="BX121" s="49"/>
      <c r="BY121" s="49"/>
      <c r="BZ121" s="49"/>
      <c r="CA121" s="49"/>
      <c r="CB121" s="49"/>
      <c r="CC121" s="49"/>
      <c r="CD121" s="49"/>
      <c r="CE121" s="49"/>
      <c r="CF121" s="49"/>
      <c r="CG121" s="49"/>
      <c r="CH121" s="49"/>
      <c r="CI121" s="49"/>
      <c r="CJ121" s="49"/>
      <c r="CK121" s="49"/>
      <c r="CL121" s="49"/>
      <c r="CM121" s="49"/>
      <c r="CN121" s="49"/>
      <c r="CO121" s="49"/>
      <c r="CP121" s="49"/>
      <c r="CQ121" s="49"/>
      <c r="CR121" s="49"/>
      <c r="CS121" s="49"/>
      <c r="CT121" s="49"/>
      <c r="CU121" s="53"/>
      <c r="CV121" s="64">
        <f t="shared" si="3"/>
        <v>0</v>
      </c>
      <c r="CW121" s="36"/>
      <c r="CX121" s="50"/>
      <c r="FG121" s="54" t="e">
        <v>#DIV/0!</v>
      </c>
    </row>
    <row r="122" spans="1:163" s="3" customFormat="1" x14ac:dyDescent="0.25">
      <c r="A122" s="47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  <c r="BB122" s="48"/>
      <c r="BC122" s="48"/>
      <c r="BD122" s="48"/>
      <c r="BE122" s="48"/>
      <c r="BF122" s="48"/>
      <c r="BG122" s="48"/>
      <c r="BH122" s="48"/>
      <c r="BI122" s="48"/>
      <c r="BJ122" s="48"/>
      <c r="BK122" s="48"/>
      <c r="BL122" s="48"/>
      <c r="BM122" s="49"/>
      <c r="BN122" s="49"/>
      <c r="BO122" s="49"/>
      <c r="BP122" s="49"/>
      <c r="BQ122" s="49"/>
      <c r="BR122" s="49"/>
      <c r="BS122" s="49"/>
      <c r="BT122" s="49"/>
      <c r="BU122" s="49"/>
      <c r="BV122" s="49"/>
      <c r="BW122" s="49"/>
      <c r="BX122" s="49"/>
      <c r="BY122" s="49"/>
      <c r="BZ122" s="49"/>
      <c r="CA122" s="49"/>
      <c r="CB122" s="49"/>
      <c r="CC122" s="49"/>
      <c r="CD122" s="49"/>
      <c r="CE122" s="49"/>
      <c r="CF122" s="49"/>
      <c r="CG122" s="49"/>
      <c r="CH122" s="49"/>
      <c r="CI122" s="49"/>
      <c r="CJ122" s="49"/>
      <c r="CK122" s="49"/>
      <c r="CL122" s="49"/>
      <c r="CM122" s="49"/>
      <c r="CN122" s="49"/>
      <c r="CO122" s="49"/>
      <c r="CP122" s="49"/>
      <c r="CQ122" s="49"/>
      <c r="CR122" s="49"/>
      <c r="CS122" s="49"/>
      <c r="CT122" s="49"/>
      <c r="CU122" s="53"/>
      <c r="CV122" s="64">
        <f t="shared" si="3"/>
        <v>0</v>
      </c>
      <c r="CW122" s="36"/>
      <c r="CX122" s="50"/>
      <c r="FG122" s="3" t="e">
        <v>#DIV/0!</v>
      </c>
    </row>
    <row r="123" spans="1:163" s="3" customFormat="1" x14ac:dyDescent="0.25">
      <c r="A123" s="47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  <c r="BB123" s="48"/>
      <c r="BC123" s="48"/>
      <c r="BD123" s="48"/>
      <c r="BE123" s="48"/>
      <c r="BF123" s="48"/>
      <c r="BG123" s="48"/>
      <c r="BH123" s="48"/>
      <c r="BI123" s="48"/>
      <c r="BJ123" s="48"/>
      <c r="BK123" s="48"/>
      <c r="BL123" s="48"/>
      <c r="BM123" s="49"/>
      <c r="BN123" s="49"/>
      <c r="BO123" s="49"/>
      <c r="BP123" s="49"/>
      <c r="BQ123" s="49"/>
      <c r="BR123" s="49"/>
      <c r="BS123" s="49"/>
      <c r="BT123" s="49"/>
      <c r="BU123" s="49"/>
      <c r="BV123" s="49"/>
      <c r="BW123" s="49"/>
      <c r="BX123" s="49"/>
      <c r="BY123" s="49"/>
      <c r="BZ123" s="49"/>
      <c r="CA123" s="49"/>
      <c r="CB123" s="49"/>
      <c r="CC123" s="49"/>
      <c r="CD123" s="49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53"/>
      <c r="CV123" s="64">
        <f t="shared" si="3"/>
        <v>0</v>
      </c>
      <c r="CW123" s="36"/>
      <c r="CX123" s="50"/>
      <c r="FG123" s="3" t="e">
        <v>#DIV/0!</v>
      </c>
    </row>
    <row r="124" spans="1:163" s="3" customFormat="1" x14ac:dyDescent="0.25">
      <c r="A124" s="47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  <c r="BL124" s="48"/>
      <c r="BM124" s="49"/>
      <c r="BN124" s="49"/>
      <c r="BO124" s="49"/>
      <c r="BP124" s="49"/>
      <c r="BQ124" s="49"/>
      <c r="BR124" s="49"/>
      <c r="BS124" s="49"/>
      <c r="BT124" s="49"/>
      <c r="BU124" s="49"/>
      <c r="BV124" s="49"/>
      <c r="BW124" s="49"/>
      <c r="BX124" s="49"/>
      <c r="BY124" s="49"/>
      <c r="BZ124" s="49"/>
      <c r="CA124" s="49"/>
      <c r="CB124" s="49"/>
      <c r="CC124" s="49"/>
      <c r="CD124" s="49"/>
      <c r="CE124" s="49"/>
      <c r="CF124" s="49"/>
      <c r="CG124" s="49"/>
      <c r="CH124" s="49"/>
      <c r="CI124" s="49"/>
      <c r="CJ124" s="49"/>
      <c r="CK124" s="49"/>
      <c r="CL124" s="49"/>
      <c r="CM124" s="49"/>
      <c r="CN124" s="49"/>
      <c r="CO124" s="49"/>
      <c r="CP124" s="49"/>
      <c r="CQ124" s="49"/>
      <c r="CR124" s="49"/>
      <c r="CS124" s="49"/>
      <c r="CT124" s="49"/>
      <c r="CU124" s="53"/>
      <c r="CV124" s="64">
        <f t="shared" si="3"/>
        <v>0</v>
      </c>
      <c r="CW124" s="36"/>
      <c r="CX124" s="50"/>
      <c r="FG124" s="3" t="e">
        <v>#DIV/0!</v>
      </c>
    </row>
    <row r="125" spans="1:163" s="3" customFormat="1" x14ac:dyDescent="0.25">
      <c r="A125" s="47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  <c r="BB125" s="48"/>
      <c r="BC125" s="48"/>
      <c r="BD125" s="48"/>
      <c r="BE125" s="48"/>
      <c r="BF125" s="48"/>
      <c r="BG125" s="48"/>
      <c r="BH125" s="48"/>
      <c r="BI125" s="48"/>
      <c r="BJ125" s="48"/>
      <c r="BK125" s="48"/>
      <c r="BL125" s="48"/>
      <c r="BM125" s="49"/>
      <c r="BN125" s="49"/>
      <c r="BO125" s="49"/>
      <c r="BP125" s="49"/>
      <c r="BQ125" s="49"/>
      <c r="BR125" s="49"/>
      <c r="BS125" s="49"/>
      <c r="BT125" s="49"/>
      <c r="BU125" s="49"/>
      <c r="BV125" s="49"/>
      <c r="BW125" s="49"/>
      <c r="BX125" s="49"/>
      <c r="BY125" s="49"/>
      <c r="BZ125" s="49"/>
      <c r="CA125" s="49"/>
      <c r="CB125" s="49"/>
      <c r="CC125" s="49"/>
      <c r="CD125" s="49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53"/>
      <c r="CV125" s="64">
        <f t="shared" si="3"/>
        <v>0</v>
      </c>
      <c r="CW125" s="36"/>
      <c r="CX125" s="50"/>
      <c r="FG125" s="3" t="e">
        <v>#DIV/0!</v>
      </c>
    </row>
    <row r="126" spans="1:163" s="3" customFormat="1" x14ac:dyDescent="0.25">
      <c r="A126" s="47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  <c r="BB126" s="48"/>
      <c r="BC126" s="48"/>
      <c r="BD126" s="48"/>
      <c r="BE126" s="48"/>
      <c r="BF126" s="48"/>
      <c r="BG126" s="48"/>
      <c r="BH126" s="48"/>
      <c r="BI126" s="48"/>
      <c r="BJ126" s="48"/>
      <c r="BK126" s="48"/>
      <c r="BL126" s="48"/>
      <c r="BM126" s="49"/>
      <c r="BN126" s="49"/>
      <c r="BO126" s="49"/>
      <c r="BP126" s="49"/>
      <c r="BQ126" s="49"/>
      <c r="BR126" s="49"/>
      <c r="BS126" s="49"/>
      <c r="BT126" s="49"/>
      <c r="BU126" s="49"/>
      <c r="BV126" s="49"/>
      <c r="BW126" s="49"/>
      <c r="BX126" s="49"/>
      <c r="BY126" s="49"/>
      <c r="BZ126" s="49"/>
      <c r="CA126" s="49"/>
      <c r="CB126" s="49"/>
      <c r="CC126" s="49"/>
      <c r="CD126" s="49"/>
      <c r="CE126" s="49"/>
      <c r="CF126" s="49"/>
      <c r="CG126" s="49"/>
      <c r="CH126" s="49"/>
      <c r="CI126" s="49"/>
      <c r="CJ126" s="49"/>
      <c r="CK126" s="49"/>
      <c r="CL126" s="49"/>
      <c r="CM126" s="49"/>
      <c r="CN126" s="49"/>
      <c r="CO126" s="49"/>
      <c r="CP126" s="49"/>
      <c r="CQ126" s="49"/>
      <c r="CR126" s="49"/>
      <c r="CS126" s="49"/>
      <c r="CT126" s="49"/>
      <c r="CU126" s="53"/>
      <c r="CV126" s="64">
        <f t="shared" si="3"/>
        <v>0</v>
      </c>
      <c r="CW126" s="36"/>
      <c r="CX126" s="50"/>
      <c r="FG126" s="3" t="e">
        <v>#DIV/0!</v>
      </c>
    </row>
    <row r="127" spans="1:163" s="3" customFormat="1" x14ac:dyDescent="0.25">
      <c r="A127" s="47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  <c r="BB127" s="48"/>
      <c r="BC127" s="48"/>
      <c r="BD127" s="48"/>
      <c r="BE127" s="48"/>
      <c r="BF127" s="48"/>
      <c r="BG127" s="48"/>
      <c r="BH127" s="48"/>
      <c r="BI127" s="48"/>
      <c r="BJ127" s="48"/>
      <c r="BK127" s="48"/>
      <c r="BL127" s="48"/>
      <c r="BM127" s="49"/>
      <c r="BN127" s="49"/>
      <c r="BO127" s="49"/>
      <c r="BP127" s="49"/>
      <c r="BQ127" s="49"/>
      <c r="BR127" s="49"/>
      <c r="BS127" s="49"/>
      <c r="BT127" s="49"/>
      <c r="BU127" s="49"/>
      <c r="BV127" s="49"/>
      <c r="BW127" s="49"/>
      <c r="BX127" s="49"/>
      <c r="BY127" s="49"/>
      <c r="BZ127" s="49"/>
      <c r="CA127" s="49"/>
      <c r="CB127" s="49"/>
      <c r="CC127" s="49"/>
      <c r="CD127" s="49"/>
      <c r="CE127" s="49"/>
      <c r="CF127" s="49"/>
      <c r="CG127" s="49"/>
      <c r="CH127" s="49"/>
      <c r="CI127" s="49"/>
      <c r="CJ127" s="49"/>
      <c r="CK127" s="49"/>
      <c r="CL127" s="49"/>
      <c r="CM127" s="49"/>
      <c r="CN127" s="49"/>
      <c r="CO127" s="49"/>
      <c r="CP127" s="49"/>
      <c r="CQ127" s="49"/>
      <c r="CR127" s="49"/>
      <c r="CS127" s="49"/>
      <c r="CT127" s="49"/>
      <c r="CU127" s="53"/>
      <c r="CV127" s="64">
        <f t="shared" si="3"/>
        <v>0</v>
      </c>
      <c r="CW127" s="36"/>
      <c r="CX127" s="50"/>
      <c r="FG127" s="3" t="e">
        <v>#DIV/0!</v>
      </c>
    </row>
    <row r="128" spans="1:163" s="3" customFormat="1" x14ac:dyDescent="0.25">
      <c r="A128" s="47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  <c r="BB128" s="48"/>
      <c r="BC128" s="48"/>
      <c r="BD128" s="48"/>
      <c r="BE128" s="48"/>
      <c r="BF128" s="48"/>
      <c r="BG128" s="48"/>
      <c r="BH128" s="48"/>
      <c r="BI128" s="48"/>
      <c r="BJ128" s="48"/>
      <c r="BK128" s="48"/>
      <c r="BL128" s="48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49"/>
      <c r="BZ128" s="49"/>
      <c r="CA128" s="49"/>
      <c r="CB128" s="49"/>
      <c r="CC128" s="49"/>
      <c r="CD128" s="49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53"/>
      <c r="CV128" s="64">
        <f t="shared" si="3"/>
        <v>0</v>
      </c>
      <c r="CW128" s="36"/>
      <c r="CX128" s="50"/>
      <c r="FG128" s="3" t="e">
        <v>#DIV/0!</v>
      </c>
    </row>
    <row r="129" spans="1:163" s="3" customFormat="1" x14ac:dyDescent="0.25">
      <c r="A129" s="47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  <c r="BB129" s="48"/>
      <c r="BC129" s="48"/>
      <c r="BD129" s="48"/>
      <c r="BE129" s="48"/>
      <c r="BF129" s="48"/>
      <c r="BG129" s="48"/>
      <c r="BH129" s="48"/>
      <c r="BI129" s="48"/>
      <c r="BJ129" s="48"/>
      <c r="BK129" s="48"/>
      <c r="BL129" s="48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53"/>
      <c r="CV129" s="64">
        <f t="shared" si="3"/>
        <v>0</v>
      </c>
      <c r="CW129" s="36"/>
      <c r="CX129" s="50"/>
      <c r="FG129" s="3" t="e">
        <v>#DIV/0!</v>
      </c>
    </row>
    <row r="130" spans="1:163" s="3" customFormat="1" x14ac:dyDescent="0.25">
      <c r="A130" s="47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  <c r="AX130" s="48"/>
      <c r="AY130" s="48"/>
      <c r="AZ130" s="48"/>
      <c r="BA130" s="48"/>
      <c r="BB130" s="48"/>
      <c r="BC130" s="48"/>
      <c r="BD130" s="48"/>
      <c r="BE130" s="48"/>
      <c r="BF130" s="48"/>
      <c r="BG130" s="48"/>
      <c r="BH130" s="48"/>
      <c r="BI130" s="48"/>
      <c r="BJ130" s="48"/>
      <c r="BK130" s="48"/>
      <c r="BL130" s="48"/>
      <c r="BM130" s="49"/>
      <c r="BN130" s="49"/>
      <c r="BO130" s="49"/>
      <c r="BP130" s="49"/>
      <c r="BQ130" s="49"/>
      <c r="BR130" s="49"/>
      <c r="BS130" s="49"/>
      <c r="BT130" s="49"/>
      <c r="BU130" s="49"/>
      <c r="BV130" s="49"/>
      <c r="BW130" s="49"/>
      <c r="BX130" s="49"/>
      <c r="BY130" s="49"/>
      <c r="BZ130" s="49"/>
      <c r="CA130" s="49"/>
      <c r="CB130" s="49"/>
      <c r="CC130" s="49"/>
      <c r="CD130" s="49"/>
      <c r="CE130" s="49"/>
      <c r="CF130" s="49"/>
      <c r="CG130" s="49"/>
      <c r="CH130" s="49"/>
      <c r="CI130" s="49"/>
      <c r="CJ130" s="49"/>
      <c r="CK130" s="49"/>
      <c r="CL130" s="49"/>
      <c r="CM130" s="49"/>
      <c r="CN130" s="49"/>
      <c r="CO130" s="49"/>
      <c r="CP130" s="49"/>
      <c r="CQ130" s="49"/>
      <c r="CR130" s="49"/>
      <c r="CS130" s="49"/>
      <c r="CT130" s="49"/>
      <c r="CU130" s="53"/>
      <c r="CV130" s="64">
        <f t="shared" ref="CV130:CV161" si="4">CT130</f>
        <v>0</v>
      </c>
      <c r="CW130" s="36"/>
      <c r="CX130" s="50"/>
      <c r="FG130" s="3" t="e">
        <v>#DIV/0!</v>
      </c>
    </row>
    <row r="131" spans="1:163" s="3" customFormat="1" x14ac:dyDescent="0.25">
      <c r="A131" s="47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  <c r="BB131" s="48"/>
      <c r="BC131" s="48"/>
      <c r="BD131" s="48"/>
      <c r="BE131" s="48"/>
      <c r="BF131" s="48"/>
      <c r="BG131" s="48"/>
      <c r="BH131" s="48"/>
      <c r="BI131" s="48"/>
      <c r="BJ131" s="48"/>
      <c r="BK131" s="48"/>
      <c r="BL131" s="48"/>
      <c r="BM131" s="49"/>
      <c r="BN131" s="49"/>
      <c r="BO131" s="49"/>
      <c r="BP131" s="49"/>
      <c r="BQ131" s="49"/>
      <c r="BR131" s="49"/>
      <c r="BS131" s="49"/>
      <c r="BT131" s="49"/>
      <c r="BU131" s="49"/>
      <c r="BV131" s="49"/>
      <c r="BW131" s="49"/>
      <c r="BX131" s="49"/>
      <c r="BY131" s="49"/>
      <c r="BZ131" s="49"/>
      <c r="CA131" s="49"/>
      <c r="CB131" s="49"/>
      <c r="CC131" s="49"/>
      <c r="CD131" s="49"/>
      <c r="CE131" s="49"/>
      <c r="CF131" s="49"/>
      <c r="CG131" s="49"/>
      <c r="CH131" s="49"/>
      <c r="CI131" s="49"/>
      <c r="CJ131" s="49"/>
      <c r="CK131" s="49"/>
      <c r="CL131" s="49"/>
      <c r="CM131" s="49"/>
      <c r="CN131" s="49"/>
      <c r="CO131" s="49"/>
      <c r="CP131" s="49"/>
      <c r="CQ131" s="49"/>
      <c r="CR131" s="49"/>
      <c r="CS131" s="49"/>
      <c r="CT131" s="49"/>
      <c r="CU131" s="53"/>
      <c r="CV131" s="64">
        <f t="shared" si="4"/>
        <v>0</v>
      </c>
      <c r="CW131" s="36"/>
      <c r="CX131" s="50"/>
      <c r="FG131" s="3" t="e">
        <v>#DIV/0!</v>
      </c>
    </row>
    <row r="132" spans="1:163" s="3" customFormat="1" x14ac:dyDescent="0.25">
      <c r="A132" s="47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48"/>
      <c r="AZ132" s="48"/>
      <c r="BA132" s="48"/>
      <c r="BB132" s="48"/>
      <c r="BC132" s="48"/>
      <c r="BD132" s="48"/>
      <c r="BE132" s="48"/>
      <c r="BF132" s="48"/>
      <c r="BG132" s="48"/>
      <c r="BH132" s="48"/>
      <c r="BI132" s="48"/>
      <c r="BJ132" s="48"/>
      <c r="BK132" s="48"/>
      <c r="BL132" s="48"/>
      <c r="BM132" s="49"/>
      <c r="BN132" s="49"/>
      <c r="BO132" s="49"/>
      <c r="BP132" s="49"/>
      <c r="BQ132" s="49"/>
      <c r="BR132" s="49"/>
      <c r="BS132" s="49"/>
      <c r="BT132" s="49"/>
      <c r="BU132" s="49"/>
      <c r="BV132" s="49"/>
      <c r="BW132" s="49"/>
      <c r="BX132" s="49"/>
      <c r="BY132" s="49"/>
      <c r="BZ132" s="49"/>
      <c r="CA132" s="49"/>
      <c r="CB132" s="49"/>
      <c r="CC132" s="49"/>
      <c r="CD132" s="49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53"/>
      <c r="CV132" s="64">
        <f t="shared" si="4"/>
        <v>0</v>
      </c>
      <c r="CW132" s="36"/>
      <c r="CX132" s="50"/>
      <c r="FG132" s="3" t="e">
        <v>#DIV/0!</v>
      </c>
    </row>
    <row r="133" spans="1:163" s="3" customFormat="1" x14ac:dyDescent="0.25">
      <c r="A133" s="47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AZ133" s="48"/>
      <c r="BA133" s="48"/>
      <c r="BB133" s="48"/>
      <c r="BC133" s="48"/>
      <c r="BD133" s="48"/>
      <c r="BE133" s="48"/>
      <c r="BF133" s="48"/>
      <c r="BG133" s="48"/>
      <c r="BH133" s="48"/>
      <c r="BI133" s="48"/>
      <c r="BJ133" s="48"/>
      <c r="BK133" s="48"/>
      <c r="BL133" s="48"/>
      <c r="BM133" s="49"/>
      <c r="BN133" s="49"/>
      <c r="BO133" s="49"/>
      <c r="BP133" s="49"/>
      <c r="BQ133" s="49"/>
      <c r="BR133" s="49"/>
      <c r="BS133" s="49"/>
      <c r="BT133" s="49"/>
      <c r="BU133" s="49"/>
      <c r="BV133" s="49"/>
      <c r="BW133" s="49"/>
      <c r="BX133" s="49"/>
      <c r="BY133" s="49"/>
      <c r="BZ133" s="49"/>
      <c r="CA133" s="49"/>
      <c r="CB133" s="49"/>
      <c r="CC133" s="49"/>
      <c r="CD133" s="49"/>
      <c r="CE133" s="49"/>
      <c r="CF133" s="49"/>
      <c r="CG133" s="49"/>
      <c r="CH133" s="49"/>
      <c r="CI133" s="49"/>
      <c r="CJ133" s="49"/>
      <c r="CK133" s="49"/>
      <c r="CL133" s="49"/>
      <c r="CM133" s="49"/>
      <c r="CN133" s="49"/>
      <c r="CO133" s="49"/>
      <c r="CP133" s="49"/>
      <c r="CQ133" s="49"/>
      <c r="CR133" s="49"/>
      <c r="CS133" s="49"/>
      <c r="CT133" s="49"/>
      <c r="CU133" s="53"/>
      <c r="CV133" s="64">
        <f t="shared" si="4"/>
        <v>0</v>
      </c>
      <c r="CW133" s="36"/>
      <c r="CX133" s="50"/>
      <c r="FG133" s="3" t="e">
        <v>#DIV/0!</v>
      </c>
    </row>
    <row r="134" spans="1:163" s="3" customFormat="1" x14ac:dyDescent="0.25">
      <c r="A134" s="47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  <c r="BB134" s="48"/>
      <c r="BC134" s="48"/>
      <c r="BD134" s="48"/>
      <c r="BE134" s="48"/>
      <c r="BF134" s="48"/>
      <c r="BG134" s="48"/>
      <c r="BH134" s="48"/>
      <c r="BI134" s="48"/>
      <c r="BJ134" s="48"/>
      <c r="BK134" s="48"/>
      <c r="BL134" s="48"/>
      <c r="BM134" s="49"/>
      <c r="BN134" s="49"/>
      <c r="BO134" s="49"/>
      <c r="BP134" s="49"/>
      <c r="BQ134" s="49"/>
      <c r="BR134" s="49"/>
      <c r="BS134" s="49"/>
      <c r="BT134" s="49"/>
      <c r="BU134" s="49"/>
      <c r="BV134" s="49"/>
      <c r="BW134" s="49"/>
      <c r="BX134" s="49"/>
      <c r="BY134" s="49"/>
      <c r="BZ134" s="49"/>
      <c r="CA134" s="49"/>
      <c r="CB134" s="49"/>
      <c r="CC134" s="49"/>
      <c r="CD134" s="49"/>
      <c r="CE134" s="49"/>
      <c r="CF134" s="49"/>
      <c r="CG134" s="49"/>
      <c r="CH134" s="49"/>
      <c r="CI134" s="49"/>
      <c r="CJ134" s="49"/>
      <c r="CK134" s="49"/>
      <c r="CL134" s="49"/>
      <c r="CM134" s="49"/>
      <c r="CN134" s="49"/>
      <c r="CO134" s="49"/>
      <c r="CP134" s="49"/>
      <c r="CQ134" s="49"/>
      <c r="CR134" s="49"/>
      <c r="CS134" s="49"/>
      <c r="CT134" s="49"/>
      <c r="CU134" s="53"/>
      <c r="CV134" s="64">
        <f t="shared" si="4"/>
        <v>0</v>
      </c>
      <c r="CW134" s="36"/>
      <c r="CX134" s="50"/>
      <c r="FG134" s="3" t="e">
        <v>#DIV/0!</v>
      </c>
    </row>
    <row r="135" spans="1:163" s="3" customFormat="1" x14ac:dyDescent="0.25">
      <c r="A135" s="47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  <c r="BB135" s="48"/>
      <c r="BC135" s="48"/>
      <c r="BD135" s="48"/>
      <c r="BE135" s="48"/>
      <c r="BF135" s="48"/>
      <c r="BG135" s="48"/>
      <c r="BH135" s="48"/>
      <c r="BI135" s="48"/>
      <c r="BJ135" s="48"/>
      <c r="BK135" s="48"/>
      <c r="BL135" s="48"/>
      <c r="BM135" s="49"/>
      <c r="BN135" s="49"/>
      <c r="BO135" s="49"/>
      <c r="BP135" s="49"/>
      <c r="BQ135" s="49"/>
      <c r="BR135" s="49"/>
      <c r="BS135" s="49"/>
      <c r="BT135" s="49"/>
      <c r="BU135" s="49"/>
      <c r="BV135" s="49"/>
      <c r="BW135" s="49"/>
      <c r="BX135" s="49"/>
      <c r="BY135" s="49"/>
      <c r="BZ135" s="49"/>
      <c r="CA135" s="49"/>
      <c r="CB135" s="49"/>
      <c r="CC135" s="49"/>
      <c r="CD135" s="49"/>
      <c r="CE135" s="49"/>
      <c r="CF135" s="49"/>
      <c r="CG135" s="49"/>
      <c r="CH135" s="49"/>
      <c r="CI135" s="49"/>
      <c r="CJ135" s="49"/>
      <c r="CK135" s="49"/>
      <c r="CL135" s="49"/>
      <c r="CM135" s="49"/>
      <c r="CN135" s="49"/>
      <c r="CO135" s="49"/>
      <c r="CP135" s="49"/>
      <c r="CQ135" s="49"/>
      <c r="CR135" s="49"/>
      <c r="CS135" s="49"/>
      <c r="CT135" s="49"/>
      <c r="CU135" s="53"/>
      <c r="CV135" s="64">
        <f t="shared" si="4"/>
        <v>0</v>
      </c>
      <c r="CW135" s="36"/>
      <c r="CX135" s="50"/>
      <c r="FG135" s="3" t="e">
        <v>#DIV/0!</v>
      </c>
    </row>
    <row r="136" spans="1:163" s="3" customFormat="1" x14ac:dyDescent="0.25">
      <c r="A136" s="47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  <c r="BB136" s="48"/>
      <c r="BC136" s="48"/>
      <c r="BD136" s="48"/>
      <c r="BE136" s="48"/>
      <c r="BF136" s="48"/>
      <c r="BG136" s="48"/>
      <c r="BH136" s="48"/>
      <c r="BI136" s="48"/>
      <c r="BJ136" s="48"/>
      <c r="BK136" s="48"/>
      <c r="BL136" s="48"/>
      <c r="BM136" s="49"/>
      <c r="BN136" s="49"/>
      <c r="BO136" s="49"/>
      <c r="BP136" s="49"/>
      <c r="BQ136" s="49"/>
      <c r="BR136" s="49"/>
      <c r="BS136" s="49"/>
      <c r="BT136" s="49"/>
      <c r="BU136" s="49"/>
      <c r="BV136" s="49"/>
      <c r="BW136" s="49"/>
      <c r="BX136" s="49"/>
      <c r="BY136" s="49"/>
      <c r="BZ136" s="49"/>
      <c r="CA136" s="49"/>
      <c r="CB136" s="49"/>
      <c r="CC136" s="49"/>
      <c r="CD136" s="49"/>
      <c r="CE136" s="49"/>
      <c r="CF136" s="49"/>
      <c r="CG136" s="49"/>
      <c r="CH136" s="49"/>
      <c r="CI136" s="49"/>
      <c r="CJ136" s="49"/>
      <c r="CK136" s="49"/>
      <c r="CL136" s="49"/>
      <c r="CM136" s="49"/>
      <c r="CN136" s="49"/>
      <c r="CO136" s="49"/>
      <c r="CP136" s="49"/>
      <c r="CQ136" s="49"/>
      <c r="CR136" s="49"/>
      <c r="CS136" s="49"/>
      <c r="CT136" s="49"/>
      <c r="CU136" s="53"/>
      <c r="CV136" s="64">
        <f t="shared" si="4"/>
        <v>0</v>
      </c>
      <c r="CW136" s="36"/>
      <c r="CX136" s="50"/>
      <c r="FG136" s="3" t="e">
        <v>#DIV/0!</v>
      </c>
    </row>
    <row r="137" spans="1:163" s="3" customFormat="1" x14ac:dyDescent="0.25">
      <c r="A137" s="47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  <c r="BB137" s="48"/>
      <c r="BC137" s="48"/>
      <c r="BD137" s="48"/>
      <c r="BE137" s="48"/>
      <c r="BF137" s="48"/>
      <c r="BG137" s="48"/>
      <c r="BH137" s="48"/>
      <c r="BI137" s="48"/>
      <c r="BJ137" s="48"/>
      <c r="BK137" s="48"/>
      <c r="BL137" s="48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49"/>
      <c r="BY137" s="49"/>
      <c r="BZ137" s="49"/>
      <c r="CA137" s="49"/>
      <c r="CB137" s="49"/>
      <c r="CC137" s="49"/>
      <c r="CD137" s="49"/>
      <c r="CE137" s="49"/>
      <c r="CF137" s="49"/>
      <c r="CG137" s="49"/>
      <c r="CH137" s="49"/>
      <c r="CI137" s="49"/>
      <c r="CJ137" s="49"/>
      <c r="CK137" s="49"/>
      <c r="CL137" s="49"/>
      <c r="CM137" s="49"/>
      <c r="CN137" s="49"/>
      <c r="CO137" s="49"/>
      <c r="CP137" s="49"/>
      <c r="CQ137" s="49"/>
      <c r="CR137" s="49"/>
      <c r="CS137" s="49"/>
      <c r="CT137" s="49"/>
      <c r="CU137" s="53"/>
      <c r="CV137" s="64">
        <f t="shared" si="4"/>
        <v>0</v>
      </c>
      <c r="CW137" s="36"/>
      <c r="CX137" s="50"/>
      <c r="FG137" s="3" t="e">
        <v>#DIV/0!</v>
      </c>
    </row>
    <row r="138" spans="1:163" s="3" customFormat="1" x14ac:dyDescent="0.25">
      <c r="A138" s="47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  <c r="BB138" s="48"/>
      <c r="BC138" s="48"/>
      <c r="BD138" s="48"/>
      <c r="BE138" s="48"/>
      <c r="BF138" s="48"/>
      <c r="BG138" s="48"/>
      <c r="BH138" s="48"/>
      <c r="BI138" s="48"/>
      <c r="BJ138" s="48"/>
      <c r="BK138" s="48"/>
      <c r="BL138" s="48"/>
      <c r="BM138" s="49"/>
      <c r="BN138" s="49"/>
      <c r="BO138" s="49"/>
      <c r="BP138" s="49"/>
      <c r="BQ138" s="49"/>
      <c r="BR138" s="49"/>
      <c r="BS138" s="49"/>
      <c r="BT138" s="49"/>
      <c r="BU138" s="49"/>
      <c r="BV138" s="49"/>
      <c r="BW138" s="49"/>
      <c r="BX138" s="49"/>
      <c r="BY138" s="49"/>
      <c r="BZ138" s="49"/>
      <c r="CA138" s="49"/>
      <c r="CB138" s="49"/>
      <c r="CC138" s="49"/>
      <c r="CD138" s="49"/>
      <c r="CE138" s="49"/>
      <c r="CF138" s="49"/>
      <c r="CG138" s="49"/>
      <c r="CH138" s="49"/>
      <c r="CI138" s="49"/>
      <c r="CJ138" s="49"/>
      <c r="CK138" s="49"/>
      <c r="CL138" s="49"/>
      <c r="CM138" s="49"/>
      <c r="CN138" s="49"/>
      <c r="CO138" s="49"/>
      <c r="CP138" s="49"/>
      <c r="CQ138" s="49"/>
      <c r="CR138" s="49"/>
      <c r="CS138" s="49"/>
      <c r="CT138" s="49"/>
      <c r="CU138" s="53"/>
      <c r="CV138" s="64">
        <f t="shared" si="4"/>
        <v>0</v>
      </c>
      <c r="CW138" s="36"/>
      <c r="CX138" s="50"/>
      <c r="FG138" s="3" t="e">
        <v>#DIV/0!</v>
      </c>
    </row>
    <row r="139" spans="1:163" s="3" customFormat="1" x14ac:dyDescent="0.25">
      <c r="A139" s="47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8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9"/>
      <c r="BN139" s="49"/>
      <c r="BO139" s="49"/>
      <c r="BP139" s="49"/>
      <c r="BQ139" s="49"/>
      <c r="BR139" s="49"/>
      <c r="BS139" s="49"/>
      <c r="BT139" s="49"/>
      <c r="BU139" s="49"/>
      <c r="BV139" s="49"/>
      <c r="BW139" s="49"/>
      <c r="BX139" s="49"/>
      <c r="BY139" s="49"/>
      <c r="BZ139" s="49"/>
      <c r="CA139" s="49"/>
      <c r="CB139" s="49"/>
      <c r="CC139" s="49"/>
      <c r="CD139" s="49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53"/>
      <c r="CV139" s="64">
        <f t="shared" si="4"/>
        <v>0</v>
      </c>
      <c r="CW139" s="36"/>
      <c r="CX139" s="50"/>
      <c r="FG139" s="3" t="e">
        <v>#DIV/0!</v>
      </c>
    </row>
    <row r="140" spans="1:163" s="3" customFormat="1" x14ac:dyDescent="0.25">
      <c r="A140" s="47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  <c r="BB140" s="48"/>
      <c r="BC140" s="48"/>
      <c r="BD140" s="48"/>
      <c r="BE140" s="48"/>
      <c r="BF140" s="48"/>
      <c r="BG140" s="48"/>
      <c r="BH140" s="48"/>
      <c r="BI140" s="48"/>
      <c r="BJ140" s="48"/>
      <c r="BK140" s="48"/>
      <c r="BL140" s="48"/>
      <c r="BM140" s="49"/>
      <c r="BN140" s="49"/>
      <c r="BO140" s="49"/>
      <c r="BP140" s="49"/>
      <c r="BQ140" s="49"/>
      <c r="BR140" s="49"/>
      <c r="BS140" s="49"/>
      <c r="BT140" s="49"/>
      <c r="BU140" s="49"/>
      <c r="BV140" s="49"/>
      <c r="BW140" s="49"/>
      <c r="BX140" s="49"/>
      <c r="BY140" s="49"/>
      <c r="BZ140" s="49"/>
      <c r="CA140" s="49"/>
      <c r="CB140" s="49"/>
      <c r="CC140" s="49"/>
      <c r="CD140" s="49"/>
      <c r="CE140" s="49"/>
      <c r="CF140" s="49"/>
      <c r="CG140" s="49"/>
      <c r="CH140" s="49"/>
      <c r="CI140" s="49"/>
      <c r="CJ140" s="49"/>
      <c r="CK140" s="49"/>
      <c r="CL140" s="49"/>
      <c r="CM140" s="49"/>
      <c r="CN140" s="49"/>
      <c r="CO140" s="49"/>
      <c r="CP140" s="49"/>
      <c r="CQ140" s="49"/>
      <c r="CR140" s="49"/>
      <c r="CS140" s="49"/>
      <c r="CT140" s="49"/>
      <c r="CU140" s="53"/>
      <c r="CV140" s="64">
        <f t="shared" si="4"/>
        <v>0</v>
      </c>
      <c r="CW140" s="36"/>
      <c r="CX140" s="50"/>
      <c r="FG140" s="3" t="e">
        <v>#DIV/0!</v>
      </c>
    </row>
    <row r="141" spans="1:163" s="3" customFormat="1" x14ac:dyDescent="0.25">
      <c r="A141" s="47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  <c r="BB141" s="48"/>
      <c r="BC141" s="48"/>
      <c r="BD141" s="48"/>
      <c r="BE141" s="48"/>
      <c r="BF141" s="48"/>
      <c r="BG141" s="48"/>
      <c r="BH141" s="48"/>
      <c r="BI141" s="48"/>
      <c r="BJ141" s="48"/>
      <c r="BK141" s="48"/>
      <c r="BL141" s="48"/>
      <c r="BM141" s="49"/>
      <c r="BN141" s="49"/>
      <c r="BO141" s="49"/>
      <c r="BP141" s="49"/>
      <c r="BQ141" s="49"/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/>
      <c r="CU141" s="53"/>
      <c r="CV141" s="64">
        <f t="shared" si="4"/>
        <v>0</v>
      </c>
      <c r="CW141" s="36"/>
      <c r="CX141" s="50"/>
      <c r="FG141" s="3" t="e">
        <v>#DIV/0!</v>
      </c>
    </row>
    <row r="142" spans="1:163" s="3" customFormat="1" x14ac:dyDescent="0.25">
      <c r="A142" s="47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  <c r="BB142" s="48"/>
      <c r="BC142" s="48"/>
      <c r="BD142" s="48"/>
      <c r="BE142" s="48"/>
      <c r="BF142" s="48"/>
      <c r="BG142" s="48"/>
      <c r="BH142" s="48"/>
      <c r="BI142" s="48"/>
      <c r="BJ142" s="48"/>
      <c r="BK142" s="48"/>
      <c r="BL142" s="48"/>
      <c r="BM142" s="49"/>
      <c r="BN142" s="49"/>
      <c r="BO142" s="49"/>
      <c r="BP142" s="49"/>
      <c r="BQ142" s="49"/>
      <c r="BR142" s="49"/>
      <c r="BS142" s="49"/>
      <c r="BT142" s="49"/>
      <c r="BU142" s="49"/>
      <c r="BV142" s="49"/>
      <c r="BW142" s="49"/>
      <c r="BX142" s="49"/>
      <c r="BY142" s="49"/>
      <c r="BZ142" s="49"/>
      <c r="CA142" s="49"/>
      <c r="CB142" s="49"/>
      <c r="CC142" s="49"/>
      <c r="CD142" s="49"/>
      <c r="CE142" s="49"/>
      <c r="CF142" s="49"/>
      <c r="CG142" s="49"/>
      <c r="CH142" s="49"/>
      <c r="CI142" s="49"/>
      <c r="CJ142" s="49"/>
      <c r="CK142" s="49"/>
      <c r="CL142" s="49"/>
      <c r="CM142" s="49"/>
      <c r="CN142" s="49"/>
      <c r="CO142" s="49"/>
      <c r="CP142" s="49"/>
      <c r="CQ142" s="49"/>
      <c r="CR142" s="49"/>
      <c r="CS142" s="49"/>
      <c r="CT142" s="49"/>
      <c r="CU142" s="53"/>
      <c r="CV142" s="64">
        <f t="shared" si="4"/>
        <v>0</v>
      </c>
      <c r="CW142" s="36"/>
      <c r="CX142" s="50"/>
      <c r="FG142" s="3" t="e">
        <v>#DIV/0!</v>
      </c>
    </row>
    <row r="143" spans="1:163" s="3" customFormat="1" x14ac:dyDescent="0.25">
      <c r="A143" s="47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AZ143" s="48"/>
      <c r="BA143" s="48"/>
      <c r="BB143" s="48"/>
      <c r="BC143" s="48"/>
      <c r="BD143" s="48"/>
      <c r="BE143" s="48"/>
      <c r="BF143" s="48"/>
      <c r="BG143" s="48"/>
      <c r="BH143" s="48"/>
      <c r="BI143" s="48"/>
      <c r="BJ143" s="48"/>
      <c r="BK143" s="48"/>
      <c r="BL143" s="48"/>
      <c r="BM143" s="49"/>
      <c r="BN143" s="49"/>
      <c r="BO143" s="49"/>
      <c r="BP143" s="49"/>
      <c r="BQ143" s="49"/>
      <c r="BR143" s="49"/>
      <c r="BS143" s="49"/>
      <c r="BT143" s="49"/>
      <c r="BU143" s="49"/>
      <c r="BV143" s="49"/>
      <c r="BW143" s="49"/>
      <c r="BX143" s="49"/>
      <c r="BY143" s="49"/>
      <c r="BZ143" s="49"/>
      <c r="CA143" s="49"/>
      <c r="CB143" s="49"/>
      <c r="CC143" s="49"/>
      <c r="CD143" s="49"/>
      <c r="CE143" s="49"/>
      <c r="CF143" s="49"/>
      <c r="CG143" s="49"/>
      <c r="CH143" s="49"/>
      <c r="CI143" s="49"/>
      <c r="CJ143" s="49"/>
      <c r="CK143" s="49"/>
      <c r="CL143" s="49"/>
      <c r="CM143" s="49"/>
      <c r="CN143" s="49"/>
      <c r="CO143" s="49"/>
      <c r="CP143" s="49"/>
      <c r="CQ143" s="49"/>
      <c r="CR143" s="49"/>
      <c r="CS143" s="49"/>
      <c r="CT143" s="49"/>
      <c r="CU143" s="53"/>
      <c r="CV143" s="64">
        <f t="shared" si="4"/>
        <v>0</v>
      </c>
      <c r="CW143" s="36"/>
      <c r="CX143" s="50"/>
      <c r="FG143" s="3" t="e">
        <v>#DIV/0!</v>
      </c>
    </row>
    <row r="144" spans="1:163" s="3" customFormat="1" x14ac:dyDescent="0.25">
      <c r="A144" s="47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  <c r="BB144" s="48"/>
      <c r="BC144" s="48"/>
      <c r="BD144" s="48"/>
      <c r="BE144" s="48"/>
      <c r="BF144" s="48"/>
      <c r="BG144" s="48"/>
      <c r="BH144" s="48"/>
      <c r="BI144" s="48"/>
      <c r="BJ144" s="48"/>
      <c r="BK144" s="48"/>
      <c r="BL144" s="48"/>
      <c r="BM144" s="49"/>
      <c r="BN144" s="49"/>
      <c r="BO144" s="49"/>
      <c r="BP144" s="49"/>
      <c r="BQ144" s="49"/>
      <c r="BR144" s="49"/>
      <c r="BS144" s="49"/>
      <c r="BT144" s="49"/>
      <c r="BU144" s="49"/>
      <c r="BV144" s="49"/>
      <c r="BW144" s="49"/>
      <c r="BX144" s="49"/>
      <c r="BY144" s="49"/>
      <c r="BZ144" s="49"/>
      <c r="CA144" s="49"/>
      <c r="CB144" s="49"/>
      <c r="CC144" s="49"/>
      <c r="CD144" s="49"/>
      <c r="CE144" s="49"/>
      <c r="CF144" s="49"/>
      <c r="CG144" s="49"/>
      <c r="CH144" s="49"/>
      <c r="CI144" s="49"/>
      <c r="CJ144" s="49"/>
      <c r="CK144" s="49"/>
      <c r="CL144" s="49"/>
      <c r="CM144" s="49"/>
      <c r="CN144" s="49"/>
      <c r="CO144" s="49"/>
      <c r="CP144" s="49"/>
      <c r="CQ144" s="49"/>
      <c r="CR144" s="49"/>
      <c r="CS144" s="49"/>
      <c r="CT144" s="49"/>
      <c r="CU144" s="53"/>
      <c r="CV144" s="64">
        <f t="shared" si="4"/>
        <v>0</v>
      </c>
      <c r="CW144" s="36"/>
      <c r="CX144" s="50"/>
      <c r="FG144" s="3" t="e">
        <v>#DIV/0!</v>
      </c>
    </row>
    <row r="145" spans="1:163" s="3" customFormat="1" x14ac:dyDescent="0.25">
      <c r="A145" s="47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  <c r="BB145" s="48"/>
      <c r="BC145" s="48"/>
      <c r="BD145" s="48"/>
      <c r="BE145" s="48"/>
      <c r="BF145" s="48"/>
      <c r="BG145" s="48"/>
      <c r="BH145" s="48"/>
      <c r="BI145" s="48"/>
      <c r="BJ145" s="48"/>
      <c r="BK145" s="48"/>
      <c r="BL145" s="48"/>
      <c r="BM145" s="49"/>
      <c r="BN145" s="49"/>
      <c r="BO145" s="49"/>
      <c r="BP145" s="49"/>
      <c r="BQ145" s="49"/>
      <c r="BR145" s="49"/>
      <c r="BS145" s="49"/>
      <c r="BT145" s="49"/>
      <c r="BU145" s="49"/>
      <c r="BV145" s="49"/>
      <c r="BW145" s="49"/>
      <c r="BX145" s="49"/>
      <c r="BY145" s="49"/>
      <c r="BZ145" s="49"/>
      <c r="CA145" s="49"/>
      <c r="CB145" s="49"/>
      <c r="CC145" s="49"/>
      <c r="CD145" s="49"/>
      <c r="CE145" s="49"/>
      <c r="CF145" s="49"/>
      <c r="CG145" s="49"/>
      <c r="CH145" s="49"/>
      <c r="CI145" s="49"/>
      <c r="CJ145" s="49"/>
      <c r="CK145" s="49"/>
      <c r="CL145" s="49"/>
      <c r="CM145" s="49"/>
      <c r="CN145" s="49"/>
      <c r="CO145" s="49"/>
      <c r="CP145" s="49"/>
      <c r="CQ145" s="49"/>
      <c r="CR145" s="49"/>
      <c r="CS145" s="49"/>
      <c r="CT145" s="49"/>
      <c r="CU145" s="53"/>
      <c r="CV145" s="64">
        <f t="shared" si="4"/>
        <v>0</v>
      </c>
      <c r="CW145" s="36"/>
      <c r="CX145" s="50"/>
      <c r="FG145" s="3" t="e">
        <v>#DIV/0!</v>
      </c>
    </row>
    <row r="146" spans="1:163" s="3" customFormat="1" x14ac:dyDescent="0.25">
      <c r="A146" s="47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  <c r="BD146" s="48"/>
      <c r="BE146" s="48"/>
      <c r="BF146" s="48"/>
      <c r="BG146" s="48"/>
      <c r="BH146" s="48"/>
      <c r="BI146" s="48"/>
      <c r="BJ146" s="48"/>
      <c r="BK146" s="48"/>
      <c r="BL146" s="48"/>
      <c r="BM146" s="49"/>
      <c r="BN146" s="49"/>
      <c r="BO146" s="49"/>
      <c r="BP146" s="49"/>
      <c r="BQ146" s="49"/>
      <c r="BR146" s="49"/>
      <c r="BS146" s="49"/>
      <c r="BT146" s="49"/>
      <c r="BU146" s="49"/>
      <c r="BV146" s="49"/>
      <c r="BW146" s="49"/>
      <c r="BX146" s="49"/>
      <c r="BY146" s="49"/>
      <c r="BZ146" s="49"/>
      <c r="CA146" s="49"/>
      <c r="CB146" s="49"/>
      <c r="CC146" s="49"/>
      <c r="CD146" s="49"/>
      <c r="CE146" s="49"/>
      <c r="CF146" s="49"/>
      <c r="CG146" s="49"/>
      <c r="CH146" s="49"/>
      <c r="CI146" s="49"/>
      <c r="CJ146" s="49"/>
      <c r="CK146" s="49"/>
      <c r="CL146" s="49"/>
      <c r="CM146" s="49"/>
      <c r="CN146" s="49"/>
      <c r="CO146" s="49"/>
      <c r="CP146" s="49"/>
      <c r="CQ146" s="49"/>
      <c r="CR146" s="49"/>
      <c r="CS146" s="49"/>
      <c r="CT146" s="49"/>
      <c r="CU146" s="53"/>
      <c r="CV146" s="64">
        <f t="shared" si="4"/>
        <v>0</v>
      </c>
      <c r="CW146" s="36"/>
      <c r="CX146" s="50"/>
      <c r="FG146" s="3" t="e">
        <v>#DIV/0!</v>
      </c>
    </row>
    <row r="147" spans="1:163" s="3" customFormat="1" x14ac:dyDescent="0.25">
      <c r="A147" s="47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  <c r="BD147" s="48"/>
      <c r="BE147" s="48"/>
      <c r="BF147" s="48"/>
      <c r="BG147" s="48"/>
      <c r="BH147" s="48"/>
      <c r="BI147" s="48"/>
      <c r="BJ147" s="48"/>
      <c r="BK147" s="48"/>
      <c r="BL147" s="48"/>
      <c r="BM147" s="49"/>
      <c r="BN147" s="49"/>
      <c r="BO147" s="49"/>
      <c r="BP147" s="49"/>
      <c r="BQ147" s="49"/>
      <c r="BR147" s="49"/>
      <c r="BS147" s="49"/>
      <c r="BT147" s="49"/>
      <c r="BU147" s="49"/>
      <c r="BV147" s="49"/>
      <c r="BW147" s="49"/>
      <c r="BX147" s="49"/>
      <c r="BY147" s="49"/>
      <c r="BZ147" s="49"/>
      <c r="CA147" s="49"/>
      <c r="CB147" s="49"/>
      <c r="CC147" s="49"/>
      <c r="CD147" s="49"/>
      <c r="CE147" s="49"/>
      <c r="CF147" s="49"/>
      <c r="CG147" s="49"/>
      <c r="CH147" s="49"/>
      <c r="CI147" s="49"/>
      <c r="CJ147" s="49"/>
      <c r="CK147" s="49"/>
      <c r="CL147" s="49"/>
      <c r="CM147" s="49"/>
      <c r="CN147" s="49"/>
      <c r="CO147" s="49"/>
      <c r="CP147" s="49"/>
      <c r="CQ147" s="49"/>
      <c r="CR147" s="49"/>
      <c r="CS147" s="49"/>
      <c r="CT147" s="49"/>
      <c r="CU147" s="53"/>
      <c r="CV147" s="64">
        <f t="shared" si="4"/>
        <v>0</v>
      </c>
      <c r="CW147" s="36"/>
      <c r="CX147" s="50"/>
    </row>
    <row r="148" spans="1:163" s="3" customFormat="1" x14ac:dyDescent="0.25">
      <c r="A148" s="47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AZ148" s="48"/>
      <c r="BA148" s="48"/>
      <c r="BB148" s="48"/>
      <c r="BC148" s="48"/>
      <c r="BD148" s="48"/>
      <c r="BE148" s="48"/>
      <c r="BF148" s="48"/>
      <c r="BG148" s="48"/>
      <c r="BH148" s="48"/>
      <c r="BI148" s="48"/>
      <c r="BJ148" s="48"/>
      <c r="BK148" s="48"/>
      <c r="BL148" s="48"/>
      <c r="BM148" s="49"/>
      <c r="BN148" s="49"/>
      <c r="BO148" s="49"/>
      <c r="BP148" s="49"/>
      <c r="BQ148" s="49"/>
      <c r="BR148" s="49"/>
      <c r="BS148" s="49"/>
      <c r="BT148" s="49"/>
      <c r="BU148" s="49"/>
      <c r="BV148" s="49"/>
      <c r="BW148" s="49"/>
      <c r="BX148" s="49"/>
      <c r="BY148" s="49"/>
      <c r="BZ148" s="49"/>
      <c r="CA148" s="49"/>
      <c r="CB148" s="49"/>
      <c r="CC148" s="49"/>
      <c r="CD148" s="49"/>
      <c r="CE148" s="49"/>
      <c r="CF148" s="49"/>
      <c r="CG148" s="49"/>
      <c r="CH148" s="49"/>
      <c r="CI148" s="49"/>
      <c r="CJ148" s="49"/>
      <c r="CK148" s="49"/>
      <c r="CL148" s="49"/>
      <c r="CM148" s="49"/>
      <c r="CN148" s="49"/>
      <c r="CO148" s="49"/>
      <c r="CP148" s="49"/>
      <c r="CQ148" s="49"/>
      <c r="CR148" s="49"/>
      <c r="CS148" s="49"/>
      <c r="CT148" s="49"/>
      <c r="CU148" s="53"/>
      <c r="CV148" s="64">
        <f t="shared" si="4"/>
        <v>0</v>
      </c>
      <c r="CW148" s="36"/>
      <c r="CX148" s="50"/>
    </row>
    <row r="149" spans="1:163" s="3" customFormat="1" x14ac:dyDescent="0.25">
      <c r="A149" s="47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AZ149" s="48"/>
      <c r="BA149" s="48"/>
      <c r="BB149" s="48"/>
      <c r="BC149" s="48"/>
      <c r="BD149" s="48"/>
      <c r="BE149" s="48"/>
      <c r="BF149" s="48"/>
      <c r="BG149" s="48"/>
      <c r="BH149" s="48"/>
      <c r="BI149" s="48"/>
      <c r="BJ149" s="48"/>
      <c r="BK149" s="48"/>
      <c r="BL149" s="48"/>
      <c r="BM149" s="49"/>
      <c r="BN149" s="49"/>
      <c r="BO149" s="49"/>
      <c r="BP149" s="49"/>
      <c r="BQ149" s="49"/>
      <c r="BR149" s="49"/>
      <c r="BS149" s="49"/>
      <c r="BT149" s="49"/>
      <c r="BU149" s="49"/>
      <c r="BV149" s="49"/>
      <c r="BW149" s="49"/>
      <c r="BX149" s="49"/>
      <c r="BY149" s="49"/>
      <c r="BZ149" s="49"/>
      <c r="CA149" s="49"/>
      <c r="CB149" s="49"/>
      <c r="CC149" s="49"/>
      <c r="CD149" s="49"/>
      <c r="CE149" s="49"/>
      <c r="CF149" s="49"/>
      <c r="CG149" s="49"/>
      <c r="CH149" s="49"/>
      <c r="CI149" s="49"/>
      <c r="CJ149" s="49"/>
      <c r="CK149" s="49"/>
      <c r="CL149" s="49"/>
      <c r="CM149" s="49"/>
      <c r="CN149" s="49"/>
      <c r="CO149" s="49"/>
      <c r="CP149" s="49"/>
      <c r="CQ149" s="49"/>
      <c r="CR149" s="49"/>
      <c r="CS149" s="49"/>
      <c r="CT149" s="49"/>
      <c r="CU149" s="53"/>
      <c r="CV149" s="64">
        <f t="shared" si="4"/>
        <v>0</v>
      </c>
      <c r="CW149" s="36"/>
      <c r="CX149" s="50"/>
    </row>
    <row r="150" spans="1:163" s="3" customFormat="1" x14ac:dyDescent="0.25">
      <c r="A150" s="47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  <c r="BB150" s="48"/>
      <c r="BC150" s="48"/>
      <c r="BD150" s="48"/>
      <c r="BE150" s="48"/>
      <c r="BF150" s="48"/>
      <c r="BG150" s="48"/>
      <c r="BH150" s="48"/>
      <c r="BI150" s="48"/>
      <c r="BJ150" s="48"/>
      <c r="BK150" s="48"/>
      <c r="BL150" s="48"/>
      <c r="BM150" s="49"/>
      <c r="BN150" s="49"/>
      <c r="BO150" s="49"/>
      <c r="BP150" s="49"/>
      <c r="BQ150" s="49"/>
      <c r="BR150" s="49"/>
      <c r="BS150" s="49"/>
      <c r="BT150" s="49"/>
      <c r="BU150" s="49"/>
      <c r="BV150" s="49"/>
      <c r="BW150" s="49"/>
      <c r="BX150" s="49"/>
      <c r="BY150" s="49"/>
      <c r="BZ150" s="49"/>
      <c r="CA150" s="49"/>
      <c r="CB150" s="49"/>
      <c r="CC150" s="49"/>
      <c r="CD150" s="49"/>
      <c r="CE150" s="49"/>
      <c r="CF150" s="49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3"/>
      <c r="CV150" s="64">
        <f t="shared" si="4"/>
        <v>0</v>
      </c>
      <c r="CW150" s="36"/>
      <c r="CX150" s="50"/>
    </row>
    <row r="151" spans="1:163" s="3" customFormat="1" x14ac:dyDescent="0.25">
      <c r="A151" s="47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  <c r="BD151" s="48"/>
      <c r="BE151" s="48"/>
      <c r="BF151" s="48"/>
      <c r="BG151" s="48"/>
      <c r="BH151" s="48"/>
      <c r="BI151" s="48"/>
      <c r="BJ151" s="48"/>
      <c r="BK151" s="48"/>
      <c r="BL151" s="48"/>
      <c r="BM151" s="49"/>
      <c r="BN151" s="49"/>
      <c r="BO151" s="49"/>
      <c r="BP151" s="49"/>
      <c r="BQ151" s="49"/>
      <c r="BR151" s="49"/>
      <c r="BS151" s="49"/>
      <c r="BT151" s="49"/>
      <c r="BU151" s="49"/>
      <c r="BV151" s="49"/>
      <c r="BW151" s="49"/>
      <c r="BX151" s="49"/>
      <c r="BY151" s="49"/>
      <c r="BZ151" s="49"/>
      <c r="CA151" s="49"/>
      <c r="CB151" s="49"/>
      <c r="CC151" s="49"/>
      <c r="CD151" s="49"/>
      <c r="CE151" s="49"/>
      <c r="CF151" s="49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3"/>
      <c r="CV151" s="64">
        <f t="shared" si="4"/>
        <v>0</v>
      </c>
      <c r="CW151" s="36"/>
      <c r="CX151" s="50"/>
    </row>
    <row r="152" spans="1:163" s="3" customFormat="1" x14ac:dyDescent="0.25">
      <c r="A152" s="47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  <c r="BB152" s="48"/>
      <c r="BC152" s="48"/>
      <c r="BD152" s="48"/>
      <c r="BE152" s="48"/>
      <c r="BF152" s="48"/>
      <c r="BG152" s="48"/>
      <c r="BH152" s="48"/>
      <c r="BI152" s="48"/>
      <c r="BJ152" s="48"/>
      <c r="BK152" s="48"/>
      <c r="BL152" s="48"/>
      <c r="BM152" s="55"/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5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55"/>
      <c r="CO152" s="55"/>
      <c r="CP152" s="55"/>
      <c r="CQ152" s="55"/>
      <c r="CR152" s="55"/>
      <c r="CS152" s="55"/>
      <c r="CT152" s="55"/>
      <c r="CU152" s="53"/>
      <c r="CV152" s="64">
        <f t="shared" si="4"/>
        <v>0</v>
      </c>
      <c r="CW152" s="36"/>
      <c r="CX152" s="50"/>
    </row>
    <row r="153" spans="1:163" s="3" customFormat="1" x14ac:dyDescent="0.25">
      <c r="A153" s="47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  <c r="BB153" s="48"/>
      <c r="BC153" s="48"/>
      <c r="BD153" s="48"/>
      <c r="BE153" s="48"/>
      <c r="BF153" s="48"/>
      <c r="BG153" s="48"/>
      <c r="BH153" s="48"/>
      <c r="BI153" s="48"/>
      <c r="BJ153" s="48"/>
      <c r="BK153" s="48"/>
      <c r="BL153" s="48"/>
      <c r="BM153" s="55"/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5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55"/>
      <c r="CO153" s="55"/>
      <c r="CP153" s="55"/>
      <c r="CQ153" s="55"/>
      <c r="CR153" s="55"/>
      <c r="CS153" s="55"/>
      <c r="CT153" s="55"/>
      <c r="CU153" s="53"/>
      <c r="CV153" s="64">
        <f t="shared" si="4"/>
        <v>0</v>
      </c>
      <c r="CW153" s="36"/>
      <c r="CX153" s="50"/>
    </row>
    <row r="154" spans="1:163" s="3" customFormat="1" x14ac:dyDescent="0.25">
      <c r="A154" s="47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  <c r="BB154" s="48"/>
      <c r="BC154" s="48"/>
      <c r="BD154" s="48"/>
      <c r="BE154" s="48"/>
      <c r="BF154" s="48"/>
      <c r="BG154" s="48"/>
      <c r="BH154" s="48"/>
      <c r="BI154" s="48"/>
      <c r="BJ154" s="48"/>
      <c r="BK154" s="48"/>
      <c r="BL154" s="48"/>
      <c r="BM154" s="55"/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5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55"/>
      <c r="CO154" s="55"/>
      <c r="CP154" s="55"/>
      <c r="CQ154" s="55"/>
      <c r="CR154" s="55"/>
      <c r="CS154" s="55"/>
      <c r="CT154" s="55"/>
      <c r="CU154" s="53"/>
      <c r="CV154" s="64">
        <f t="shared" si="4"/>
        <v>0</v>
      </c>
      <c r="CW154" s="36"/>
      <c r="CX154" s="50"/>
    </row>
    <row r="155" spans="1:163" s="3" customFormat="1" x14ac:dyDescent="0.25">
      <c r="A155" s="47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  <c r="BB155" s="48"/>
      <c r="BC155" s="48"/>
      <c r="BD155" s="48"/>
      <c r="BE155" s="48"/>
      <c r="BF155" s="48"/>
      <c r="BG155" s="48"/>
      <c r="BH155" s="48"/>
      <c r="BI155" s="48"/>
      <c r="BJ155" s="48"/>
      <c r="BK155" s="48"/>
      <c r="BL155" s="48"/>
      <c r="BM155" s="55"/>
      <c r="BN155" s="55"/>
      <c r="BO155" s="55"/>
      <c r="BP155" s="55"/>
      <c r="BQ155" s="55"/>
      <c r="BR155" s="55"/>
      <c r="BS155" s="55"/>
      <c r="BT155" s="55"/>
      <c r="BU155" s="55"/>
      <c r="BV155" s="55"/>
      <c r="BW155" s="55"/>
      <c r="BX155" s="55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55"/>
      <c r="CO155" s="55"/>
      <c r="CP155" s="55"/>
      <c r="CQ155" s="55"/>
      <c r="CR155" s="55"/>
      <c r="CS155" s="55"/>
      <c r="CT155" s="55"/>
      <c r="CU155" s="53"/>
      <c r="CV155" s="64">
        <f t="shared" si="4"/>
        <v>0</v>
      </c>
      <c r="CW155" s="36"/>
      <c r="CX155" s="50"/>
    </row>
    <row r="156" spans="1:163" s="3" customFormat="1" x14ac:dyDescent="0.25">
      <c r="A156" s="47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  <c r="BM156" s="49"/>
      <c r="BN156" s="49"/>
      <c r="BO156" s="49"/>
      <c r="BP156" s="49"/>
      <c r="BQ156" s="49"/>
      <c r="BR156" s="49"/>
      <c r="BS156" s="49"/>
      <c r="BT156" s="49"/>
      <c r="BU156" s="49"/>
      <c r="BV156" s="49"/>
      <c r="BW156" s="49"/>
      <c r="BX156" s="49"/>
      <c r="BY156" s="49"/>
      <c r="BZ156" s="49"/>
      <c r="CA156" s="49"/>
      <c r="CB156" s="49"/>
      <c r="CC156" s="49"/>
      <c r="CD156" s="49"/>
      <c r="CE156" s="49"/>
      <c r="CF156" s="49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53"/>
      <c r="CV156" s="64">
        <f t="shared" si="4"/>
        <v>0</v>
      </c>
      <c r="CW156" s="36"/>
      <c r="CX156" s="50"/>
    </row>
    <row r="157" spans="1:163" s="3" customFormat="1" x14ac:dyDescent="0.25">
      <c r="A157" s="47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  <c r="BM157" s="49"/>
      <c r="BN157" s="49"/>
      <c r="BO157" s="49"/>
      <c r="BP157" s="49"/>
      <c r="BQ157" s="49"/>
      <c r="BR157" s="49"/>
      <c r="BS157" s="49"/>
      <c r="BT157" s="49"/>
      <c r="BU157" s="49"/>
      <c r="BV157" s="49"/>
      <c r="BW157" s="49"/>
      <c r="BX157" s="49"/>
      <c r="BY157" s="49"/>
      <c r="BZ157" s="49"/>
      <c r="CA157" s="49"/>
      <c r="CB157" s="49"/>
      <c r="CC157" s="49"/>
      <c r="CD157" s="49"/>
      <c r="CE157" s="49"/>
      <c r="CF157" s="49"/>
      <c r="CG157" s="49"/>
      <c r="CH157" s="49"/>
      <c r="CI157" s="49"/>
      <c r="CJ157" s="49"/>
      <c r="CK157" s="49"/>
      <c r="CL157" s="49"/>
      <c r="CM157" s="49"/>
      <c r="CN157" s="49"/>
      <c r="CO157" s="49"/>
      <c r="CP157" s="49"/>
      <c r="CQ157" s="49"/>
      <c r="CR157" s="49"/>
      <c r="CS157" s="49"/>
      <c r="CT157" s="49"/>
      <c r="CU157" s="53"/>
      <c r="CV157" s="64">
        <f t="shared" si="4"/>
        <v>0</v>
      </c>
      <c r="CW157" s="36"/>
      <c r="CX157" s="50"/>
    </row>
    <row r="158" spans="1:163" s="3" customFormat="1" x14ac:dyDescent="0.25">
      <c r="A158" s="47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  <c r="BB158" s="48"/>
      <c r="BC158" s="48"/>
      <c r="BD158" s="48"/>
      <c r="BE158" s="48"/>
      <c r="BF158" s="48"/>
      <c r="BG158" s="48"/>
      <c r="BH158" s="48"/>
      <c r="BI158" s="48"/>
      <c r="BJ158" s="48"/>
      <c r="BK158" s="48"/>
      <c r="BL158" s="48"/>
      <c r="BM158" s="49"/>
      <c r="BN158" s="49"/>
      <c r="BO158" s="49"/>
      <c r="BP158" s="49"/>
      <c r="BQ158" s="49"/>
      <c r="BR158" s="49"/>
      <c r="BS158" s="49"/>
      <c r="BT158" s="49"/>
      <c r="BU158" s="49"/>
      <c r="BV158" s="49"/>
      <c r="BW158" s="49"/>
      <c r="BX158" s="49"/>
      <c r="BY158" s="49"/>
      <c r="BZ158" s="49"/>
      <c r="CA158" s="49"/>
      <c r="CB158" s="49"/>
      <c r="CC158" s="49"/>
      <c r="CD158" s="49"/>
      <c r="CE158" s="49"/>
      <c r="CF158" s="49"/>
      <c r="CG158" s="49"/>
      <c r="CH158" s="49"/>
      <c r="CI158" s="49"/>
      <c r="CJ158" s="49"/>
      <c r="CK158" s="49"/>
      <c r="CL158" s="49"/>
      <c r="CM158" s="49"/>
      <c r="CN158" s="49"/>
      <c r="CO158" s="49"/>
      <c r="CP158" s="49"/>
      <c r="CQ158" s="49"/>
      <c r="CR158" s="49"/>
      <c r="CS158" s="49"/>
      <c r="CT158" s="49"/>
      <c r="CU158" s="53"/>
      <c r="CV158" s="64">
        <f t="shared" si="4"/>
        <v>0</v>
      </c>
      <c r="CW158" s="36"/>
      <c r="CX158" s="50"/>
    </row>
    <row r="159" spans="1:163" s="3" customFormat="1" x14ac:dyDescent="0.25">
      <c r="A159" s="47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  <c r="BB159" s="48"/>
      <c r="BC159" s="48"/>
      <c r="BD159" s="48"/>
      <c r="BE159" s="48"/>
      <c r="BF159" s="48"/>
      <c r="BG159" s="48"/>
      <c r="BH159" s="48"/>
      <c r="BI159" s="48"/>
      <c r="BJ159" s="48"/>
      <c r="BK159" s="48"/>
      <c r="BL159" s="48"/>
      <c r="BM159" s="49"/>
      <c r="BN159" s="49"/>
      <c r="BO159" s="49"/>
      <c r="BP159" s="49"/>
      <c r="BQ159" s="49"/>
      <c r="BR159" s="49"/>
      <c r="BS159" s="49"/>
      <c r="BT159" s="49"/>
      <c r="BU159" s="49"/>
      <c r="BV159" s="49"/>
      <c r="BW159" s="49"/>
      <c r="BX159" s="49"/>
      <c r="BY159" s="49"/>
      <c r="BZ159" s="49"/>
      <c r="CA159" s="49"/>
      <c r="CB159" s="49"/>
      <c r="CC159" s="49"/>
      <c r="CD159" s="49"/>
      <c r="CE159" s="49"/>
      <c r="CF159" s="49"/>
      <c r="CG159" s="49"/>
      <c r="CH159" s="49"/>
      <c r="CI159" s="49"/>
      <c r="CJ159" s="49"/>
      <c r="CK159" s="49"/>
      <c r="CL159" s="49"/>
      <c r="CM159" s="49"/>
      <c r="CN159" s="49"/>
      <c r="CO159" s="49"/>
      <c r="CP159" s="49"/>
      <c r="CQ159" s="49"/>
      <c r="CR159" s="49"/>
      <c r="CS159" s="49"/>
      <c r="CT159" s="49"/>
      <c r="CU159" s="53"/>
      <c r="CV159" s="64">
        <f t="shared" si="4"/>
        <v>0</v>
      </c>
      <c r="CW159" s="36"/>
      <c r="CX159" s="50"/>
    </row>
    <row r="160" spans="1:163" s="3" customFormat="1" x14ac:dyDescent="0.25">
      <c r="A160" s="47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  <c r="BB160" s="48"/>
      <c r="BC160" s="48"/>
      <c r="BD160" s="48"/>
      <c r="BE160" s="48"/>
      <c r="BF160" s="48"/>
      <c r="BG160" s="48"/>
      <c r="BH160" s="48"/>
      <c r="BI160" s="48"/>
      <c r="BJ160" s="48"/>
      <c r="BK160" s="48"/>
      <c r="BL160" s="48"/>
      <c r="BM160" s="49"/>
      <c r="BN160" s="49"/>
      <c r="BO160" s="49"/>
      <c r="BP160" s="49"/>
      <c r="BQ160" s="49"/>
      <c r="BR160" s="49"/>
      <c r="BS160" s="49"/>
      <c r="BT160" s="49"/>
      <c r="BU160" s="49"/>
      <c r="BV160" s="49"/>
      <c r="BW160" s="49"/>
      <c r="BX160" s="49"/>
      <c r="BY160" s="49"/>
      <c r="BZ160" s="49"/>
      <c r="CA160" s="49"/>
      <c r="CB160" s="49"/>
      <c r="CC160" s="49"/>
      <c r="CD160" s="49"/>
      <c r="CE160" s="49"/>
      <c r="CF160" s="49"/>
      <c r="CG160" s="49"/>
      <c r="CH160" s="49"/>
      <c r="CI160" s="49"/>
      <c r="CJ160" s="49"/>
      <c r="CK160" s="49"/>
      <c r="CL160" s="49"/>
      <c r="CM160" s="49"/>
      <c r="CN160" s="49"/>
      <c r="CO160" s="49"/>
      <c r="CP160" s="49"/>
      <c r="CQ160" s="49"/>
      <c r="CR160" s="49"/>
      <c r="CS160" s="49"/>
      <c r="CT160" s="49"/>
      <c r="CU160" s="53"/>
      <c r="CV160" s="64">
        <f t="shared" si="4"/>
        <v>0</v>
      </c>
      <c r="CW160" s="36"/>
      <c r="CX160" s="50"/>
    </row>
    <row r="161" spans="1:102" s="3" customFormat="1" x14ac:dyDescent="0.25">
      <c r="A161" s="47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  <c r="AZ161" s="48"/>
      <c r="BA161" s="48"/>
      <c r="BB161" s="48"/>
      <c r="BC161" s="48"/>
      <c r="BD161" s="48"/>
      <c r="BE161" s="48"/>
      <c r="BF161" s="48"/>
      <c r="BG161" s="48"/>
      <c r="BH161" s="48"/>
      <c r="BI161" s="48"/>
      <c r="BJ161" s="48"/>
      <c r="BK161" s="48"/>
      <c r="BL161" s="48"/>
      <c r="BM161" s="49"/>
      <c r="BN161" s="49"/>
      <c r="BO161" s="49"/>
      <c r="BP161" s="49"/>
      <c r="BQ161" s="49"/>
      <c r="BR161" s="49"/>
      <c r="BS161" s="49"/>
      <c r="BT161" s="49"/>
      <c r="BU161" s="49"/>
      <c r="BV161" s="49"/>
      <c r="BW161" s="49"/>
      <c r="BX161" s="49"/>
      <c r="BY161" s="49"/>
      <c r="BZ161" s="49"/>
      <c r="CA161" s="49"/>
      <c r="CB161" s="49"/>
      <c r="CC161" s="49"/>
      <c r="CD161" s="49"/>
      <c r="CE161" s="49"/>
      <c r="CF161" s="49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53"/>
      <c r="CV161" s="64">
        <f t="shared" si="4"/>
        <v>0</v>
      </c>
      <c r="CW161" s="36"/>
      <c r="CX161" s="50"/>
    </row>
    <row r="162" spans="1:102" s="3" customFormat="1" x14ac:dyDescent="0.25">
      <c r="A162" s="47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  <c r="AZ162" s="48"/>
      <c r="BA162" s="48"/>
      <c r="BB162" s="48"/>
      <c r="BC162" s="48"/>
      <c r="BD162" s="48"/>
      <c r="BE162" s="48"/>
      <c r="BF162" s="48"/>
      <c r="BG162" s="48"/>
      <c r="BH162" s="48"/>
      <c r="BI162" s="48"/>
      <c r="BJ162" s="48"/>
      <c r="BK162" s="48"/>
      <c r="BL162" s="48"/>
      <c r="BM162" s="49"/>
      <c r="BN162" s="49"/>
      <c r="BO162" s="49"/>
      <c r="BP162" s="49"/>
      <c r="BQ162" s="49"/>
      <c r="BR162" s="49"/>
      <c r="BS162" s="49"/>
      <c r="BT162" s="49"/>
      <c r="BU162" s="49"/>
      <c r="BV162" s="49"/>
      <c r="BW162" s="49"/>
      <c r="BX162" s="49"/>
      <c r="BY162" s="49"/>
      <c r="BZ162" s="49"/>
      <c r="CA162" s="49"/>
      <c r="CB162" s="49"/>
      <c r="CC162" s="49"/>
      <c r="CD162" s="49"/>
      <c r="CE162" s="49"/>
      <c r="CF162" s="49"/>
      <c r="CG162" s="49"/>
      <c r="CH162" s="49"/>
      <c r="CI162" s="49"/>
      <c r="CJ162" s="49"/>
      <c r="CK162" s="49"/>
      <c r="CL162" s="49"/>
      <c r="CM162" s="49"/>
      <c r="CN162" s="49"/>
      <c r="CO162" s="49"/>
      <c r="CP162" s="49"/>
      <c r="CQ162" s="49"/>
      <c r="CR162" s="49"/>
      <c r="CS162" s="49"/>
      <c r="CT162" s="49"/>
      <c r="CU162" s="53"/>
      <c r="CV162" s="64">
        <f t="shared" ref="CV162:CV167" si="5">CT162</f>
        <v>0</v>
      </c>
      <c r="CW162" s="36"/>
      <c r="CX162" s="50"/>
    </row>
    <row r="163" spans="1:102" s="3" customFormat="1" x14ac:dyDescent="0.25">
      <c r="A163" s="47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8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  <c r="AZ163" s="48"/>
      <c r="BA163" s="48"/>
      <c r="BB163" s="48"/>
      <c r="BC163" s="48"/>
      <c r="BD163" s="48"/>
      <c r="BE163" s="48"/>
      <c r="BF163" s="48"/>
      <c r="BG163" s="48"/>
      <c r="BH163" s="48"/>
      <c r="BI163" s="48"/>
      <c r="BJ163" s="48"/>
      <c r="BK163" s="48"/>
      <c r="BL163" s="48"/>
      <c r="BM163" s="49"/>
      <c r="BN163" s="49"/>
      <c r="BO163" s="49"/>
      <c r="BP163" s="49"/>
      <c r="BQ163" s="49"/>
      <c r="BR163" s="49"/>
      <c r="BS163" s="49"/>
      <c r="BT163" s="49"/>
      <c r="BU163" s="49"/>
      <c r="BV163" s="49"/>
      <c r="BW163" s="49"/>
      <c r="BX163" s="49"/>
      <c r="BY163" s="49"/>
      <c r="BZ163" s="49"/>
      <c r="CA163" s="49"/>
      <c r="CB163" s="49"/>
      <c r="CC163" s="49"/>
      <c r="CD163" s="49"/>
      <c r="CE163" s="49"/>
      <c r="CF163" s="49"/>
      <c r="CG163" s="49"/>
      <c r="CH163" s="49"/>
      <c r="CI163" s="49"/>
      <c r="CJ163" s="49"/>
      <c r="CK163" s="49"/>
      <c r="CL163" s="49"/>
      <c r="CM163" s="49"/>
      <c r="CN163" s="49"/>
      <c r="CO163" s="49"/>
      <c r="CP163" s="49"/>
      <c r="CQ163" s="49"/>
      <c r="CR163" s="49"/>
      <c r="CS163" s="49"/>
      <c r="CT163" s="49"/>
      <c r="CU163" s="53"/>
      <c r="CV163" s="64">
        <f t="shared" si="5"/>
        <v>0</v>
      </c>
      <c r="CW163" s="36"/>
      <c r="CX163" s="50"/>
    </row>
    <row r="164" spans="1:102" s="3" customFormat="1" x14ac:dyDescent="0.25">
      <c r="A164" s="47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  <c r="AZ164" s="48"/>
      <c r="BA164" s="48"/>
      <c r="BB164" s="48"/>
      <c r="BC164" s="48"/>
      <c r="BD164" s="48"/>
      <c r="BE164" s="48"/>
      <c r="BF164" s="48"/>
      <c r="BG164" s="48"/>
      <c r="BH164" s="48"/>
      <c r="BI164" s="48"/>
      <c r="BJ164" s="48"/>
      <c r="BK164" s="48"/>
      <c r="BL164" s="48"/>
      <c r="BM164" s="49"/>
      <c r="BN164" s="49"/>
      <c r="BO164" s="49"/>
      <c r="BP164" s="49"/>
      <c r="BQ164" s="49"/>
      <c r="BR164" s="49"/>
      <c r="BS164" s="49"/>
      <c r="BT164" s="49"/>
      <c r="BU164" s="49"/>
      <c r="BV164" s="49"/>
      <c r="BW164" s="49"/>
      <c r="BX164" s="49"/>
      <c r="BY164" s="49"/>
      <c r="BZ164" s="49"/>
      <c r="CA164" s="49"/>
      <c r="CB164" s="49"/>
      <c r="CC164" s="49"/>
      <c r="CD164" s="49"/>
      <c r="CE164" s="49"/>
      <c r="CF164" s="49"/>
      <c r="CG164" s="49"/>
      <c r="CH164" s="49"/>
      <c r="CI164" s="49"/>
      <c r="CJ164" s="49"/>
      <c r="CK164" s="49"/>
      <c r="CL164" s="49"/>
      <c r="CM164" s="49"/>
      <c r="CN164" s="49"/>
      <c r="CO164" s="49"/>
      <c r="CP164" s="49"/>
      <c r="CQ164" s="49"/>
      <c r="CR164" s="49"/>
      <c r="CS164" s="49"/>
      <c r="CT164" s="49"/>
      <c r="CU164" s="53"/>
      <c r="CV164" s="64">
        <f t="shared" si="5"/>
        <v>0</v>
      </c>
      <c r="CW164" s="36"/>
      <c r="CX164" s="50"/>
    </row>
    <row r="165" spans="1:102" s="3" customFormat="1" x14ac:dyDescent="0.25">
      <c r="CU165" s="8"/>
      <c r="CV165" s="65">
        <f t="shared" si="5"/>
        <v>0</v>
      </c>
      <c r="CW165" s="36"/>
    </row>
    <row r="166" spans="1:102" s="3" customFormat="1" x14ac:dyDescent="0.25">
      <c r="N166" s="56"/>
      <c r="O166" s="56"/>
      <c r="CU166" s="8"/>
      <c r="CV166" s="65">
        <f t="shared" si="5"/>
        <v>0</v>
      </c>
      <c r="CW166" s="36"/>
    </row>
    <row r="167" spans="1:102" x14ac:dyDescent="0.25">
      <c r="N167" s="57"/>
      <c r="CV167" s="65">
        <f t="shared" si="5"/>
        <v>0</v>
      </c>
      <c r="CW167" s="36"/>
    </row>
  </sheetData>
  <autoFilter ref="CW1:CW146" xr:uid="{8B65D84C-73DB-4B2F-906C-D234CEDD371A}"/>
  <conditionalFormatting sqref="B106:CU10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B5:CU105">
    <cfRule type="cellIs" dxfId="1" priority="1" operator="lessThan">
      <formula>-0.02</formula>
    </cfRule>
    <cfRule type="cellIs" dxfId="0" priority="2" operator="greaterThan">
      <formula>0.02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37C54-49FA-4AC3-BACE-CF412607AEC5}">
  <sheetPr codeName="Planilha4"/>
  <dimension ref="A1:T101"/>
  <sheetViews>
    <sheetView topLeftCell="A37" zoomScale="150" zoomScaleNormal="150" workbookViewId="0">
      <selection activeCell="B45" sqref="B45"/>
    </sheetView>
  </sheetViews>
  <sheetFormatPr defaultColWidth="8.7109375" defaultRowHeight="15" x14ac:dyDescent="0.25"/>
  <cols>
    <col min="1" max="1" width="9.140625" customWidth="1"/>
    <col min="2" max="2" width="6.42578125" style="12" bestFit="1" customWidth="1"/>
    <col min="3" max="3" width="8.28515625" style="12" bestFit="1" customWidth="1"/>
    <col min="4" max="4" width="18.5703125" style="12" bestFit="1" customWidth="1"/>
    <col min="5" max="5" width="10.42578125" style="12" bestFit="1" customWidth="1"/>
    <col min="6" max="6" width="9.140625" style="12" bestFit="1" customWidth="1"/>
    <col min="7" max="7" width="12.140625" style="12" bestFit="1" customWidth="1"/>
    <col min="8" max="8" width="8.7109375" style="12"/>
    <col min="9" max="16384" width="8.7109375" style="7"/>
  </cols>
  <sheetData>
    <row r="1" spans="1:20" x14ac:dyDescent="0.25">
      <c r="A1" s="7" t="s">
        <v>165</v>
      </c>
      <c r="B1" s="12" t="s">
        <v>166</v>
      </c>
      <c r="C1" s="12" t="s">
        <v>167</v>
      </c>
      <c r="D1" s="12" t="s">
        <v>168</v>
      </c>
      <c r="E1" s="12" t="s">
        <v>169</v>
      </c>
      <c r="F1" s="12" t="s">
        <v>170</v>
      </c>
      <c r="G1" s="12" t="s">
        <v>171</v>
      </c>
      <c r="H1" s="12" t="s">
        <v>224</v>
      </c>
    </row>
    <row r="2" spans="1:20" x14ac:dyDescent="0.25">
      <c r="A2" s="6" t="s">
        <v>4</v>
      </c>
      <c r="B2" s="12">
        <f>RTD("rtdtrading.rtdserver",, "ABEV3_B_0", "ULT")</f>
        <v>14.41</v>
      </c>
      <c r="C2" s="12">
        <f>RTD("rtdtrading.rtdserver",, "ABEV3_B_0", "ABE")</f>
        <v>14.44</v>
      </c>
      <c r="D2" s="12">
        <f>RTD("rtdtrading.rtdserver",, "ABEV3_B_0", "FEC")</f>
        <v>14.530000000000001</v>
      </c>
      <c r="E2" s="12">
        <f>RTD("rtdtrading.rtdserver",, "ABEV3_B_0", "OCP")</f>
        <v>14.4</v>
      </c>
      <c r="F2" s="12">
        <f>RTD("rtdtrading.rtdserver",, "ABEV3_B_0", "OVD")</f>
        <v>14.42</v>
      </c>
      <c r="G2" s="12">
        <f>RTD("rtdtrading.rtdserver",, "ABEV3_B_0", "PRT")</f>
        <v>0</v>
      </c>
      <c r="H2" s="12">
        <v>1.29</v>
      </c>
    </row>
    <row r="3" spans="1:20" x14ac:dyDescent="0.25">
      <c r="A3" s="6" t="s">
        <v>272</v>
      </c>
      <c r="B3" s="12">
        <f>RTD("rtdtrading.rtdserver",, "ASAI3_B_0", "ULT")</f>
        <v>11.25</v>
      </c>
      <c r="C3" s="12">
        <f>RTD("rtdtrading.rtdserver",, "ASAI3_B_0", "ABE")</f>
        <v>11.26</v>
      </c>
      <c r="D3" s="12">
        <f>RTD("rtdtrading.rtdserver",, "ASAI3_B_0", "FEC")</f>
        <v>11.360000000000001</v>
      </c>
      <c r="E3" s="12">
        <f>RTD("rtdtrading.rtdserver",, "ASAI3_B_0", "OCP")</f>
        <v>11.23</v>
      </c>
      <c r="F3" s="12">
        <f>RTD("rtdtrading.rtdserver",, "ASAI3_B_0", "OVD")</f>
        <v>11.25</v>
      </c>
      <c r="G3" s="12">
        <f>RTD("rtdtrading.rtdserver",, "ASAI3_B_0", "PRT")</f>
        <v>0</v>
      </c>
      <c r="H3" s="12">
        <v>1.21</v>
      </c>
    </row>
    <row r="4" spans="1:20" x14ac:dyDescent="0.25">
      <c r="A4" s="6" t="s">
        <v>9</v>
      </c>
      <c r="B4" s="12">
        <f>RTD("rtdtrading.rtdserver",, "AZUL4_B_0", "ULT")</f>
        <v>23.43000000000001</v>
      </c>
      <c r="C4" s="12">
        <f>RTD("rtdtrading.rtdserver",, "AZUL4_B_0", "ABE")</f>
        <v>23.43</v>
      </c>
      <c r="D4" s="12">
        <f>RTD("rtdtrading.rtdserver",, "AZUL4_B_0", "FEC")</f>
        <v>23.900000000000002</v>
      </c>
      <c r="E4" s="12">
        <f>RTD("rtdtrading.rtdserver",, "AZUL4_B_0", "OCP")</f>
        <v>23.400000000000002</v>
      </c>
      <c r="F4" s="12">
        <f>RTD("rtdtrading.rtdserver",, "AZUL4_B_0", "OVD")</f>
        <v>23.43</v>
      </c>
      <c r="G4" s="12">
        <f>RTD("rtdtrading.rtdserver",, "AZUL4_B_0", "PRT")</f>
        <v>0</v>
      </c>
      <c r="H4" s="12">
        <v>1.68</v>
      </c>
    </row>
    <row r="5" spans="1:20" x14ac:dyDescent="0.25">
      <c r="A5" s="6" t="s">
        <v>12</v>
      </c>
      <c r="B5" s="12">
        <f>RTD("rtdtrading.rtdserver",, "B3SA3_B_0", "ULT")</f>
        <v>11.06</v>
      </c>
      <c r="C5" s="12">
        <f>RTD("rtdtrading.rtdserver",, "B3SA3_B_0", "ABE")</f>
        <v>11.1</v>
      </c>
      <c r="D5" s="12">
        <f>RTD("rtdtrading.rtdserver",, "B3SA3_B_0", "FEC")</f>
        <v>11.24</v>
      </c>
      <c r="E5" s="12">
        <f>RTD("rtdtrading.rtdserver",, "B3SA3_B_0", "OCP")</f>
        <v>11.06</v>
      </c>
      <c r="F5" s="12">
        <f>RTD("rtdtrading.rtdserver",, "B3SA3_B_0", "OVD")</f>
        <v>11.07</v>
      </c>
      <c r="G5" s="12">
        <f>RTD("rtdtrading.rtdserver",, "B3SA3_B_0", "PRT")</f>
        <v>0</v>
      </c>
      <c r="H5" s="12">
        <v>0.86</v>
      </c>
      <c r="T5" s="7" t="s">
        <v>218</v>
      </c>
    </row>
    <row r="6" spans="1:20" x14ac:dyDescent="0.25">
      <c r="A6" s="6" t="s">
        <v>14</v>
      </c>
      <c r="B6" s="12">
        <f>RTD("rtdtrading.rtdserver",, "BBAS3_B_0", "ULT")</f>
        <v>28.86</v>
      </c>
      <c r="C6" s="12">
        <f>RTD("rtdtrading.rtdserver",, "BBAS3_B_0", "ABE")</f>
        <v>28.54</v>
      </c>
      <c r="D6" s="12">
        <f>RTD("rtdtrading.rtdserver",, "BBAS3_B_0", "FEC")</f>
        <v>28.630000000000003</v>
      </c>
      <c r="E6" s="12">
        <f>RTD("rtdtrading.rtdserver",, "BBAS3_B_0", "OCP")</f>
        <v>28.84</v>
      </c>
      <c r="F6" s="12">
        <f>RTD("rtdtrading.rtdserver",, "BBAS3_B_0", "OVD")</f>
        <v>28.85</v>
      </c>
      <c r="G6" s="12">
        <f>RTD("rtdtrading.rtdserver",, "BBAS3_B_0", "PRT")</f>
        <v>0</v>
      </c>
      <c r="H6" s="12">
        <v>1.37</v>
      </c>
    </row>
    <row r="7" spans="1:20" x14ac:dyDescent="0.25">
      <c r="A7" s="6" t="s">
        <v>16</v>
      </c>
      <c r="B7" s="12">
        <f>RTD("rtdtrading.rtdserver",, "BBDC3_B_0", "ULT")</f>
        <v>16.780000000000015</v>
      </c>
      <c r="C7" s="12">
        <f>RTD("rtdtrading.rtdserver",, "BBDC3_B_0", "ABE")</f>
        <v>16.670000000000002</v>
      </c>
      <c r="D7" s="12">
        <f>RTD("rtdtrading.rtdserver",, "BBDC3_B_0", "FEC")</f>
        <v>16.75</v>
      </c>
      <c r="E7" s="12">
        <f>RTD("rtdtrading.rtdserver",, "BBDC3_B_0", "OCP")</f>
        <v>16.78</v>
      </c>
      <c r="F7" s="12">
        <f>RTD("rtdtrading.rtdserver",, "BBDC3_B_0", "OVD")</f>
        <v>16.79</v>
      </c>
      <c r="G7" s="12">
        <f>RTD("rtdtrading.rtdserver",, "BBDC3_B_0", "PRT")</f>
        <v>0</v>
      </c>
      <c r="H7" s="12">
        <v>1.55</v>
      </c>
    </row>
    <row r="8" spans="1:20" x14ac:dyDescent="0.25">
      <c r="A8" s="6" t="s">
        <v>19</v>
      </c>
      <c r="B8" s="12">
        <f>RTD("rtdtrading.rtdserver",, "BBDC4_B_0", "ULT")</f>
        <v>20.240000000000002</v>
      </c>
      <c r="C8" s="12">
        <f>RTD("rtdtrading.rtdserver",, "BBDC4_B_0", "ABE")</f>
        <v>20.05</v>
      </c>
      <c r="D8" s="12">
        <f>RTD("rtdtrading.rtdserver",, "BBDC4_B_0", "FEC")</f>
        <v>20.23</v>
      </c>
      <c r="E8" s="12">
        <f>RTD("rtdtrading.rtdserver",, "BBDC4_B_0", "OCP")</f>
        <v>20.23</v>
      </c>
      <c r="F8" s="12">
        <f>RTD("rtdtrading.rtdserver",, "BBDC4_B_0", "OVD")</f>
        <v>20.240000000000002</v>
      </c>
      <c r="G8" s="12">
        <f>RTD("rtdtrading.rtdserver",, "BBDC4_B_0", "PRT")</f>
        <v>0</v>
      </c>
      <c r="H8" s="12">
        <v>1.59</v>
      </c>
    </row>
    <row r="9" spans="1:20" x14ac:dyDescent="0.25">
      <c r="A9" s="6" t="s">
        <v>20</v>
      </c>
      <c r="B9" s="12">
        <f>RTD("rtdtrading.rtdserver",, "BBSE3_B_0", "ULT")</f>
        <v>19.379999999999974</v>
      </c>
      <c r="C9" s="12">
        <f>RTD("rtdtrading.rtdserver",, "BBSE3_B_0", "ABE")</f>
        <v>19.759999999999998</v>
      </c>
      <c r="D9" s="12">
        <f>RTD("rtdtrading.rtdserver",, "BBSE3_B_0", "FEC")</f>
        <v>19.8</v>
      </c>
      <c r="E9" s="12">
        <f>RTD("rtdtrading.rtdserver",, "BBSE3_B_0", "OCP")</f>
        <v>19.37</v>
      </c>
      <c r="F9" s="12">
        <f>RTD("rtdtrading.rtdserver",, "BBSE3_B_0", "OVD")</f>
        <v>19.39</v>
      </c>
      <c r="G9" s="12">
        <f>RTD("rtdtrading.rtdserver",, "BBSE3_B_0", "PRT")</f>
        <v>0</v>
      </c>
      <c r="H9" s="12">
        <v>0.92</v>
      </c>
    </row>
    <row r="10" spans="1:20" x14ac:dyDescent="0.25">
      <c r="A10" s="6" t="s">
        <v>22</v>
      </c>
      <c r="B10" s="12">
        <f>RTD("rtdtrading.rtdserver",, "BEEF3_B_0", "ULT")</f>
        <v>9.9699999999999989</v>
      </c>
      <c r="C10" s="12">
        <f>RTD("rtdtrading.rtdserver",, "BEEF3_B_0", "ABE")</f>
        <v>9.8899999999999988</v>
      </c>
      <c r="D10" s="12">
        <f>RTD("rtdtrading.rtdserver",, "BEEF3_B_0", "FEC")</f>
        <v>9.92</v>
      </c>
      <c r="E10" s="12">
        <f>RTD("rtdtrading.rtdserver",, "BEEF3_B_0", "OCP")</f>
        <v>10</v>
      </c>
      <c r="F10" s="12">
        <f>RTD("rtdtrading.rtdserver",, "BEEF3_B_0", "OVD")</f>
        <v>10.02</v>
      </c>
      <c r="G10" s="12">
        <f>RTD("rtdtrading.rtdserver",, "BEEF3_B_0", "PRT")</f>
        <v>0</v>
      </c>
      <c r="H10" s="12">
        <v>0.5</v>
      </c>
    </row>
    <row r="11" spans="1:20" x14ac:dyDescent="0.25">
      <c r="A11" s="6" t="s">
        <v>24</v>
      </c>
      <c r="B11" s="12">
        <f>RTD("rtdtrading.rtdserver",, "BPAC11_B_0", "ULT")</f>
        <v>18.420000000000009</v>
      </c>
      <c r="C11" s="12">
        <f>RTD("rtdtrading.rtdserver",, "BPAC11_B_0", "ABE")</f>
        <v>18.55</v>
      </c>
      <c r="D11" s="12">
        <f>RTD("rtdtrading.rtdserver",, "BPAC11_B_0", "FEC")</f>
        <v>18.630000000000003</v>
      </c>
      <c r="E11" s="12">
        <f>RTD("rtdtrading.rtdserver",, "BPAC11_B_0", "OCP")</f>
        <v>18.41</v>
      </c>
      <c r="F11" s="12">
        <f>RTD("rtdtrading.rtdserver",, "BPAC11_B_0", "OVD")</f>
        <v>18.420000000000002</v>
      </c>
      <c r="G11" s="12">
        <f>RTD("rtdtrading.rtdserver",, "BPAC11_B_0", "PRT")</f>
        <v>0</v>
      </c>
      <c r="H11" s="12">
        <v>0.83</v>
      </c>
    </row>
    <row r="12" spans="1:20" x14ac:dyDescent="0.25">
      <c r="A12" s="6" t="s">
        <v>27</v>
      </c>
      <c r="B12" s="12">
        <f>RTD("rtdtrading.rtdserver",, "BRAP4_B_0", "ULT")</f>
        <v>26.3</v>
      </c>
      <c r="C12" s="12">
        <f>RTD("rtdtrading.rtdserver",, "BRAP4_B_0", "ABE")</f>
        <v>26.44</v>
      </c>
      <c r="D12" s="12">
        <f>RTD("rtdtrading.rtdserver",, "BRAP4_B_0", "FEC")</f>
        <v>26.66</v>
      </c>
      <c r="E12" s="12">
        <f>RTD("rtdtrading.rtdserver",, "BRAP4_B_0", "OCP")</f>
        <v>26.29</v>
      </c>
      <c r="F12" s="12">
        <f>RTD("rtdtrading.rtdserver",, "BRAP4_B_0", "OVD")</f>
        <v>26.310000000000002</v>
      </c>
      <c r="G12" s="12">
        <f>RTD("rtdtrading.rtdserver",, "BRAP4_B_0", "PRT")</f>
        <v>0</v>
      </c>
      <c r="H12" s="12">
        <v>0.77</v>
      </c>
    </row>
    <row r="13" spans="1:20" x14ac:dyDescent="0.25">
      <c r="A13" s="6" t="s">
        <v>29</v>
      </c>
      <c r="B13" s="12">
        <f>RTD("rtdtrading.rtdserver",, "BRDT3_B_0", "ULT")</f>
        <v>22.03</v>
      </c>
      <c r="C13" s="12">
        <f>RTD("rtdtrading.rtdserver",, "BRDT3_B_0", "ABE")</f>
        <v>22.6</v>
      </c>
      <c r="D13" s="12">
        <f>RTD("rtdtrading.rtdserver",, "BRDT3_B_0", "FEC")</f>
        <v>23.23</v>
      </c>
      <c r="E13" s="12">
        <f>RTD("rtdtrading.rtdserver",, "BRDT3_B_0", "OCP")</f>
        <v>0</v>
      </c>
      <c r="F13" s="12">
        <f>RTD("rtdtrading.rtdserver",, "BRDT3_B_0", "OVD")</f>
        <v>0</v>
      </c>
      <c r="G13" s="12">
        <f>RTD("rtdtrading.rtdserver",, "BRDT3_B_0", "PRT")</f>
        <v>0</v>
      </c>
      <c r="H13" s="12">
        <v>1.05</v>
      </c>
    </row>
    <row r="14" spans="1:20" x14ac:dyDescent="0.25">
      <c r="A14" s="6" t="s">
        <v>31</v>
      </c>
      <c r="B14" s="12">
        <f>RTD("rtdtrading.rtdserver",, "BRFS3_B_0", "ULT")</f>
        <v>24.590000000000003</v>
      </c>
      <c r="C14" s="12">
        <f>RTD("rtdtrading.rtdserver",, "BRFS3_B_0", "ABE")</f>
        <v>24.37</v>
      </c>
      <c r="D14" s="12">
        <f>RTD("rtdtrading.rtdserver",, "BRFS3_B_0", "FEC")</f>
        <v>24.6</v>
      </c>
      <c r="E14" s="12">
        <f>RTD("rtdtrading.rtdserver",, "BRFS3_B_0", "OCP")</f>
        <v>24.57</v>
      </c>
      <c r="F14" s="12">
        <f>RTD("rtdtrading.rtdserver",, "BRFS3_B_0", "OVD")</f>
        <v>24.59</v>
      </c>
      <c r="G14" s="12">
        <f>RTD("rtdtrading.rtdserver",, "BRFS3_B_0", "PRT")</f>
        <v>0</v>
      </c>
      <c r="H14" s="12">
        <v>0.7</v>
      </c>
    </row>
    <row r="15" spans="1:20" x14ac:dyDescent="0.25">
      <c r="A15" s="6" t="s">
        <v>33</v>
      </c>
      <c r="B15" s="12">
        <f>RTD("rtdtrading.rtdserver",, "BRKM5_B_0", "ULT")</f>
        <v>52.9</v>
      </c>
      <c r="C15" s="12">
        <f>RTD("rtdtrading.rtdserver",, "BRKM5_B_0", "ABE")</f>
        <v>52.47</v>
      </c>
      <c r="D15" s="12">
        <f>RTD("rtdtrading.rtdserver",, "BRKM5_B_0", "FEC")</f>
        <v>52.74</v>
      </c>
      <c r="E15" s="12">
        <f>RTD("rtdtrading.rtdserver",, "BRKM5_B_0", "OCP")</f>
        <v>52.96</v>
      </c>
      <c r="F15" s="12">
        <f>RTD("rtdtrading.rtdserver",, "BRKM5_B_0", "OVD")</f>
        <v>53.050000000000004</v>
      </c>
      <c r="G15" s="12">
        <f>RTD("rtdtrading.rtdserver",, "BRKM5_B_0", "PRT")</f>
        <v>0</v>
      </c>
      <c r="H15" s="12">
        <v>0.63</v>
      </c>
    </row>
    <row r="16" spans="1:20" x14ac:dyDescent="0.25">
      <c r="A16" s="6" t="s">
        <v>36</v>
      </c>
      <c r="B16" s="12">
        <f>RTD("rtdtrading.rtdserver",, "BRML3_B_0", "ULT")</f>
        <v>7.0700000000000038</v>
      </c>
      <c r="C16" s="12">
        <f>RTD("rtdtrading.rtdserver",, "BRML3_B_0", "ABE")</f>
        <v>7.22</v>
      </c>
      <c r="D16" s="12">
        <f>RTD("rtdtrading.rtdserver",, "BRML3_B_0", "FEC")</f>
        <v>7.28</v>
      </c>
      <c r="E16" s="12">
        <f>RTD("rtdtrading.rtdserver",, "BRML3_B_0", "OCP")</f>
        <v>7.0600000000000005</v>
      </c>
      <c r="F16" s="12">
        <f>RTD("rtdtrading.rtdserver",, "BRML3_B_0", "OVD")</f>
        <v>7.07</v>
      </c>
      <c r="G16" s="12">
        <f>RTD("rtdtrading.rtdserver",, "BRML3_B_0", "PRT")</f>
        <v>0</v>
      </c>
      <c r="H16" s="12">
        <v>1.46</v>
      </c>
    </row>
    <row r="17" spans="1:8" x14ac:dyDescent="0.25">
      <c r="A17" s="6" t="s">
        <v>38</v>
      </c>
      <c r="B17" s="12">
        <f>RTD("rtdtrading.rtdserver",, "BTOW3_B_0", "ULT")</f>
        <v>0</v>
      </c>
      <c r="C17" s="12">
        <f>RTD("rtdtrading.rtdserver",, "BTOW3_B_0", "ABE")</f>
        <v>0</v>
      </c>
      <c r="D17" s="12">
        <f>RTD("rtdtrading.rtdserver",, "BTOW3_B_0", "FEC")</f>
        <v>0</v>
      </c>
      <c r="E17" s="12">
        <f>RTD("rtdtrading.rtdserver",, "BTOW3_B_0", "OCP")</f>
        <v>0</v>
      </c>
      <c r="F17" s="12">
        <f>RTD("rtdtrading.rtdserver",, "BTOW3_B_0", "OVD")</f>
        <v>0</v>
      </c>
      <c r="G17" s="12">
        <f>RTD("rtdtrading.rtdserver",, "BTOW3_B_0", "PRT")</f>
        <v>0</v>
      </c>
      <c r="H17" s="12">
        <v>0.7</v>
      </c>
    </row>
    <row r="18" spans="1:8" x14ac:dyDescent="0.25">
      <c r="A18" s="6" t="s">
        <v>40</v>
      </c>
      <c r="B18" s="12">
        <f>RTD("rtdtrading.rtdserver",, "CCRO3_B_0", "ULT")</f>
        <v>11.060000000000002</v>
      </c>
      <c r="C18" s="12">
        <f>RTD("rtdtrading.rtdserver",, "CCRO3_B_0", "ABE")</f>
        <v>11.2</v>
      </c>
      <c r="D18" s="12">
        <f>RTD("rtdtrading.rtdserver",, "CCRO3_B_0", "FEC")</f>
        <v>11.26</v>
      </c>
      <c r="E18" s="12">
        <f>RTD("rtdtrading.rtdserver",, "CCRO3_B_0", "OCP")</f>
        <v>11.05</v>
      </c>
      <c r="F18" s="12">
        <f>RTD("rtdtrading.rtdserver",, "CCRO3_B_0", "OVD")</f>
        <v>11.06</v>
      </c>
      <c r="G18" s="12">
        <f>RTD("rtdtrading.rtdserver",, "CCRO3_B_0", "PRT")</f>
        <v>0</v>
      </c>
      <c r="H18" s="12">
        <v>1.25</v>
      </c>
    </row>
    <row r="19" spans="1:8" x14ac:dyDescent="0.25">
      <c r="A19" s="6" t="s">
        <v>43</v>
      </c>
      <c r="B19" s="12">
        <f>RTD("rtdtrading.rtdserver",, "CIEL3_B_0", "ULT")</f>
        <v>2.04</v>
      </c>
      <c r="C19" s="12">
        <f>RTD("rtdtrading.rtdserver",, "CIEL3_B_0", "ABE")</f>
        <v>2.0500000000000003</v>
      </c>
      <c r="D19" s="12">
        <f>RTD("rtdtrading.rtdserver",, "CIEL3_B_0", "FEC")</f>
        <v>2.0500000000000003</v>
      </c>
      <c r="E19" s="12">
        <f>RTD("rtdtrading.rtdserver",, "CIEL3_B_0", "OCP")</f>
        <v>2.04</v>
      </c>
      <c r="F19" s="12">
        <f>RTD("rtdtrading.rtdserver",, "CIEL3_B_0", "OVD")</f>
        <v>2.0499999999999998</v>
      </c>
      <c r="G19" s="12">
        <f>RTD("rtdtrading.rtdserver",, "CIEL3_B_0", "PRT")</f>
        <v>0</v>
      </c>
      <c r="H19" s="12">
        <v>1.23</v>
      </c>
    </row>
    <row r="20" spans="1:8" x14ac:dyDescent="0.25">
      <c r="A20" s="6" t="s">
        <v>45</v>
      </c>
      <c r="B20" s="12">
        <f>RTD("rtdtrading.rtdserver",, "CMIG4_B_0", "ULT")</f>
        <v>12.219999999999999</v>
      </c>
      <c r="C20" s="12">
        <f>RTD("rtdtrading.rtdserver",, "CMIG4_B_0", "ABE")</f>
        <v>12.21</v>
      </c>
      <c r="D20" s="12">
        <f>RTD("rtdtrading.rtdserver",, "CMIG4_B_0", "FEC")</f>
        <v>12.26</v>
      </c>
      <c r="E20" s="12">
        <f>RTD("rtdtrading.rtdserver",, "CMIG4_B_0", "OCP")</f>
        <v>12.21</v>
      </c>
      <c r="F20" s="12">
        <f>RTD("rtdtrading.rtdserver",, "CMIG4_B_0", "OVD")</f>
        <v>12.23</v>
      </c>
      <c r="G20" s="12">
        <f>RTD("rtdtrading.rtdserver",, "CMIG4_B_0", "PRT")</f>
        <v>0</v>
      </c>
      <c r="H20" s="12">
        <v>0.8</v>
      </c>
    </row>
    <row r="21" spans="1:8" x14ac:dyDescent="0.25">
      <c r="A21" s="6" t="s">
        <v>47</v>
      </c>
      <c r="B21" s="12">
        <f>RTD("rtdtrading.rtdserver",, "COGN3_B_0", "ULT")</f>
        <v>2.0500000000000003</v>
      </c>
      <c r="C21" s="12">
        <f>RTD("rtdtrading.rtdserver",, "COGN3_B_0", "ABE")</f>
        <v>2.06</v>
      </c>
      <c r="D21" s="12">
        <f>RTD("rtdtrading.rtdserver",, "COGN3_B_0", "FEC")</f>
        <v>2.0700000000000003</v>
      </c>
      <c r="E21" s="12">
        <f>RTD("rtdtrading.rtdserver",, "COGN3_B_0", "OCP")</f>
        <v>2.0499999999999998</v>
      </c>
      <c r="F21" s="12">
        <f>RTD("rtdtrading.rtdserver",, "COGN3_B_0", "OVD")</f>
        <v>2.06</v>
      </c>
      <c r="G21" s="12">
        <f>RTD("rtdtrading.rtdserver",, "COGN3_B_0", "PRT")</f>
        <v>0</v>
      </c>
      <c r="H21" s="12">
        <v>1.38</v>
      </c>
    </row>
    <row r="22" spans="1:8" x14ac:dyDescent="0.25">
      <c r="A22" s="6" t="s">
        <v>49</v>
      </c>
      <c r="B22" s="12">
        <f>RTD("rtdtrading.rtdserver",, "CPFE3_B_0", "ULT")</f>
        <v>25.229999999999968</v>
      </c>
      <c r="C22" s="12">
        <f>RTD("rtdtrading.rtdserver",, "CPFE3_B_0", "ABE")</f>
        <v>25.35</v>
      </c>
      <c r="D22" s="12">
        <f>RTD("rtdtrading.rtdserver",, "CPFE3_B_0", "FEC")</f>
        <v>25.34</v>
      </c>
      <c r="E22" s="12">
        <f>RTD("rtdtrading.rtdserver",, "CPFE3_B_0", "OCP")</f>
        <v>25.26</v>
      </c>
      <c r="F22" s="12">
        <f>RTD("rtdtrading.rtdserver",, "CPFE3_B_0", "OVD")</f>
        <v>25.3</v>
      </c>
      <c r="G22" s="12">
        <f>RTD("rtdtrading.rtdserver",, "CPFE3_B_0", "PRT")</f>
        <v>0</v>
      </c>
      <c r="H22" s="12">
        <v>0.66</v>
      </c>
    </row>
    <row r="23" spans="1:8" x14ac:dyDescent="0.25">
      <c r="A23" s="6" t="s">
        <v>265</v>
      </c>
      <c r="B23" s="12">
        <f>RTD("rtdtrading.rtdserver",, "CPLE6_B_0", "ULT")</f>
        <v>6.0600000000000005</v>
      </c>
      <c r="C23" s="12">
        <f>RTD("rtdtrading.rtdserver",, "CPLE6_B_0", "ABE")</f>
        <v>6.1000000000000005</v>
      </c>
      <c r="D23" s="12">
        <f>RTD("rtdtrading.rtdserver",, "CPLE6_B_0", "FEC")</f>
        <v>6.1000000000000005</v>
      </c>
      <c r="E23" s="12">
        <f>RTD("rtdtrading.rtdserver",, "CPLE6_B_0", "OCP")</f>
        <v>6.05</v>
      </c>
      <c r="F23" s="12">
        <f>RTD("rtdtrading.rtdserver",, "CPLE6_B_0", "OVD")</f>
        <v>6.0600000000000005</v>
      </c>
      <c r="G23" s="12">
        <f>RTD("rtdtrading.rtdserver",, "CPLE6_B_0", "PRT")</f>
        <v>0</v>
      </c>
      <c r="H23" s="12">
        <v>0.76</v>
      </c>
    </row>
    <row r="24" spans="1:8" x14ac:dyDescent="0.25">
      <c r="A24" s="6" t="s">
        <v>51</v>
      </c>
      <c r="B24" s="12">
        <f>RTD("rtdtrading.rtdserver",, "CRFB3_B_0", "ULT")</f>
        <v>13.800000000000002</v>
      </c>
      <c r="C24" s="12">
        <f>RTD("rtdtrading.rtdserver",, "CRFB3_B_0", "ABE")</f>
        <v>13.889999999999999</v>
      </c>
      <c r="D24" s="12">
        <f>RTD("rtdtrading.rtdserver",, "CRFB3_B_0", "FEC")</f>
        <v>13.96</v>
      </c>
      <c r="E24" s="12">
        <f>RTD("rtdtrading.rtdserver",, "CRFB3_B_0", "OCP")</f>
        <v>13.790000000000001</v>
      </c>
      <c r="F24" s="12">
        <f>RTD("rtdtrading.rtdserver",, "CRFB3_B_0", "OVD")</f>
        <v>13.81</v>
      </c>
      <c r="G24" s="12">
        <f>RTD("rtdtrading.rtdserver",, "CRFB3_B_0", "PRT")</f>
        <v>0</v>
      </c>
      <c r="H24" s="12">
        <v>0.39</v>
      </c>
    </row>
    <row r="25" spans="1:8" x14ac:dyDescent="0.25">
      <c r="A25" s="6" t="s">
        <v>53</v>
      </c>
      <c r="B25" s="12">
        <f>RTD("rtdtrading.rtdserver",, "CSAN3_B_0", "ULT")</f>
        <v>19.70999999999999</v>
      </c>
      <c r="C25" s="12">
        <f>RTD("rtdtrading.rtdserver",, "CSAN3_B_0", "ABE")</f>
        <v>19.810000000000002</v>
      </c>
      <c r="D25" s="12">
        <f>RTD("rtdtrading.rtdserver",, "CSAN3_B_0", "FEC")</f>
        <v>19.810000000000002</v>
      </c>
      <c r="E25" s="12">
        <f>RTD("rtdtrading.rtdserver",, "CSAN3_B_0", "OCP")</f>
        <v>19.71</v>
      </c>
      <c r="F25" s="12">
        <f>RTD("rtdtrading.rtdserver",, "CSAN3_B_0", "OVD")</f>
        <v>19.73</v>
      </c>
      <c r="G25" s="12">
        <f>RTD("rtdtrading.rtdserver",, "CSAN3_B_0", "PRT")</f>
        <v>0</v>
      </c>
      <c r="H25" s="12">
        <v>1.07</v>
      </c>
    </row>
    <row r="26" spans="1:8" x14ac:dyDescent="0.25">
      <c r="A26" s="6" t="s">
        <v>55</v>
      </c>
      <c r="B26" s="12">
        <f>RTD("rtdtrading.rtdserver",, "CSNA3_B_0", "ULT")</f>
        <v>23.189999999999973</v>
      </c>
      <c r="C26" s="12">
        <f>RTD("rtdtrading.rtdserver",, "CSNA3_B_0", "ABE")</f>
        <v>23.82</v>
      </c>
      <c r="D26" s="12">
        <f>RTD("rtdtrading.rtdserver",, "CSNA3_B_0", "FEC")</f>
        <v>24.12</v>
      </c>
      <c r="E26" s="12">
        <f>RTD("rtdtrading.rtdserver",, "CSNA3_B_0", "OCP")</f>
        <v>23.18</v>
      </c>
      <c r="F26" s="12">
        <f>RTD("rtdtrading.rtdserver",, "CSNA3_B_0", "OVD")</f>
        <v>23.2</v>
      </c>
      <c r="G26" s="12">
        <f>RTD("rtdtrading.rtdserver",, "CSNA3_B_0", "PRT")</f>
        <v>0</v>
      </c>
      <c r="H26" s="12">
        <v>0.87</v>
      </c>
    </row>
    <row r="27" spans="1:8" x14ac:dyDescent="0.25">
      <c r="A27" s="6" t="s">
        <v>57</v>
      </c>
      <c r="B27" s="12">
        <f>RTD("rtdtrading.rtdserver",, "CVCB3_B_0", "ULT")</f>
        <v>11.349999999999998</v>
      </c>
      <c r="C27" s="12">
        <f>RTD("rtdtrading.rtdserver",, "CVCB3_B_0", "ABE")</f>
        <v>11.299999999999999</v>
      </c>
      <c r="D27" s="12">
        <f>RTD("rtdtrading.rtdserver",, "CVCB3_B_0", "FEC")</f>
        <v>11.530000000000001</v>
      </c>
      <c r="E27" s="12">
        <f>RTD("rtdtrading.rtdserver",, "CVCB3_B_0", "OCP")</f>
        <v>11.34</v>
      </c>
      <c r="F27" s="12">
        <f>RTD("rtdtrading.rtdserver",, "CVCB3_B_0", "OVD")</f>
        <v>11.370000000000001</v>
      </c>
      <c r="G27" s="12">
        <f>RTD("rtdtrading.rtdserver",, "CVCB3_B_0", "PRT")</f>
        <v>0</v>
      </c>
      <c r="H27" s="12">
        <v>1.23</v>
      </c>
    </row>
    <row r="28" spans="1:8" x14ac:dyDescent="0.25">
      <c r="A28" s="6" t="s">
        <v>59</v>
      </c>
      <c r="B28" s="12">
        <f>RTD("rtdtrading.rtdserver",, "CYRE3_B_0", "ULT")</f>
        <v>13.669999999999998</v>
      </c>
      <c r="C28" s="12">
        <f>RTD("rtdtrading.rtdserver",, "CYRE3_B_0", "ABE")</f>
        <v>13.72</v>
      </c>
      <c r="D28" s="12">
        <f>RTD("rtdtrading.rtdserver",, "CYRE3_B_0", "FEC")</f>
        <v>13.96</v>
      </c>
      <c r="E28" s="12">
        <f>RTD("rtdtrading.rtdserver",, "CYRE3_B_0", "OCP")</f>
        <v>13.65</v>
      </c>
      <c r="F28" s="12">
        <f>RTD("rtdtrading.rtdserver",, "CYRE3_B_0", "OVD")</f>
        <v>13.67</v>
      </c>
      <c r="G28" s="12">
        <f>RTD("rtdtrading.rtdserver",, "CYRE3_B_0", "PRT")</f>
        <v>0</v>
      </c>
      <c r="H28" s="12">
        <v>1.1599999999999999</v>
      </c>
    </row>
    <row r="29" spans="1:8" x14ac:dyDescent="0.25">
      <c r="A29" s="6" t="s">
        <v>61</v>
      </c>
      <c r="B29" s="12">
        <f>RTD("rtdtrading.rtdserver",, "ECOR3_B_0", "ULT")</f>
        <v>6.9699999999999989</v>
      </c>
      <c r="C29" s="12">
        <f>RTD("rtdtrading.rtdserver",, "ECOR3_B_0", "ABE")</f>
        <v>6.97</v>
      </c>
      <c r="D29" s="12">
        <f>RTD("rtdtrading.rtdserver",, "ECOR3_B_0", "FEC")</f>
        <v>7</v>
      </c>
      <c r="E29" s="12">
        <f>RTD("rtdtrading.rtdserver",, "ECOR3_B_0", "OCP")</f>
        <v>6.96</v>
      </c>
      <c r="F29" s="12">
        <f>RTD("rtdtrading.rtdserver",, "ECOR3_B_0", "OVD")</f>
        <v>6.97</v>
      </c>
      <c r="G29" s="12">
        <f>RTD("rtdtrading.rtdserver",, "ECOR3_B_0", "PRT")</f>
        <v>0</v>
      </c>
      <c r="H29" s="12">
        <v>1.28</v>
      </c>
    </row>
    <row r="30" spans="1:8" x14ac:dyDescent="0.25">
      <c r="A30" s="6" t="s">
        <v>63</v>
      </c>
      <c r="B30" s="12">
        <f>RTD("rtdtrading.rtdserver",, "EGIE3_B_0", "ULT")</f>
        <v>37.240000000000009</v>
      </c>
      <c r="C30" s="12">
        <f>RTD("rtdtrading.rtdserver",, "EGIE3_B_0", "ABE")</f>
        <v>37.35</v>
      </c>
      <c r="D30" s="12">
        <f>RTD("rtdtrading.rtdserver",, "EGIE3_B_0", "FEC")</f>
        <v>37.35</v>
      </c>
      <c r="E30" s="12">
        <f>RTD("rtdtrading.rtdserver",, "EGIE3_B_0", "OCP")</f>
        <v>37.24</v>
      </c>
      <c r="F30" s="12">
        <f>RTD("rtdtrading.rtdserver",, "EGIE3_B_0", "OVD")</f>
        <v>37.28</v>
      </c>
      <c r="G30" s="12">
        <f>RTD("rtdtrading.rtdserver",, "EGIE3_B_0", "PRT")</f>
        <v>0</v>
      </c>
      <c r="H30" s="12">
        <v>0.57999999999999996</v>
      </c>
    </row>
    <row r="31" spans="1:8" x14ac:dyDescent="0.25">
      <c r="A31" s="6" t="s">
        <v>65</v>
      </c>
      <c r="B31" s="12">
        <f>RTD("rtdtrading.rtdserver",, "ELET3_B_0", "ULT")</f>
        <v>30.540000000000031</v>
      </c>
      <c r="C31" s="12">
        <f>RTD("rtdtrading.rtdserver",, "ELET3_B_0", "ABE")</f>
        <v>30.3</v>
      </c>
      <c r="D31" s="12">
        <f>RTD("rtdtrading.rtdserver",, "ELET3_B_0", "FEC")</f>
        <v>30.360000000000003</v>
      </c>
      <c r="E31" s="12">
        <f>RTD("rtdtrading.rtdserver",, "ELET3_B_0", "OCP")</f>
        <v>30.53</v>
      </c>
      <c r="F31" s="12">
        <f>RTD("rtdtrading.rtdserver",, "ELET3_B_0", "OVD")</f>
        <v>30.54</v>
      </c>
      <c r="G31" s="12">
        <f>RTD("rtdtrading.rtdserver",, "ELET3_B_0", "PRT")</f>
        <v>0</v>
      </c>
      <c r="H31" s="12">
        <v>0.81</v>
      </c>
    </row>
    <row r="32" spans="1:8" x14ac:dyDescent="0.25">
      <c r="A32" s="6" t="s">
        <v>67</v>
      </c>
      <c r="B32" s="12">
        <f>RTD("rtdtrading.rtdserver",, "ELET6_B_0", "ULT")</f>
        <v>30.159999999999997</v>
      </c>
      <c r="C32" s="12">
        <f>RTD("rtdtrading.rtdserver",, "ELET6_B_0", "ABE")</f>
        <v>30.12</v>
      </c>
      <c r="D32" s="12">
        <f>RTD("rtdtrading.rtdserver",, "ELET6_B_0", "FEC")</f>
        <v>30.16</v>
      </c>
      <c r="E32" s="12">
        <f>RTD("rtdtrading.rtdserver",, "ELET6_B_0", "OCP")</f>
        <v>30.16</v>
      </c>
      <c r="F32" s="12">
        <f>RTD("rtdtrading.rtdserver",, "ELET6_B_0", "OVD")</f>
        <v>30.2</v>
      </c>
      <c r="G32" s="12">
        <f>RTD("rtdtrading.rtdserver",, "ELET6_B_0", "PRT")</f>
        <v>0</v>
      </c>
      <c r="H32" s="12">
        <v>0.88</v>
      </c>
    </row>
    <row r="33" spans="1:8" x14ac:dyDescent="0.25">
      <c r="A33" s="6" t="s">
        <v>68</v>
      </c>
      <c r="B33" s="12">
        <f>RTD("rtdtrading.rtdserver",, "EMBR3_B_0", "ULT")</f>
        <v>24.200000000000017</v>
      </c>
      <c r="C33" s="12">
        <f>RTD("rtdtrading.rtdserver",, "EMBR3_B_0", "ABE")</f>
        <v>23.92</v>
      </c>
      <c r="D33" s="12">
        <f>RTD("rtdtrading.rtdserver",, "EMBR3_B_0", "FEC")</f>
        <v>24.07</v>
      </c>
      <c r="E33" s="12">
        <f>RTD("rtdtrading.rtdserver",, "EMBR3_B_0", "OCP")</f>
        <v>24.17</v>
      </c>
      <c r="F33" s="12">
        <f>RTD("rtdtrading.rtdserver",, "EMBR3_B_0", "OVD")</f>
        <v>24.19</v>
      </c>
      <c r="G33" s="12">
        <f>RTD("rtdtrading.rtdserver",, "EMBR3_B_0", "PRT")</f>
        <v>0</v>
      </c>
      <c r="H33" s="12">
        <v>1.57</v>
      </c>
    </row>
    <row r="34" spans="1:8" x14ac:dyDescent="0.25">
      <c r="A34" s="6" t="s">
        <v>70</v>
      </c>
      <c r="B34" s="12">
        <f>RTD("rtdtrading.rtdserver",, "ENBR3_B_0", "ULT")</f>
        <v>19.639999999999997</v>
      </c>
      <c r="C34" s="12">
        <f>RTD("rtdtrading.rtdserver",, "ENBR3_B_0", "ABE")</f>
        <v>19.59</v>
      </c>
      <c r="D34" s="12">
        <f>RTD("rtdtrading.rtdserver",, "ENBR3_B_0", "FEC")</f>
        <v>19.73</v>
      </c>
      <c r="E34" s="12">
        <f>RTD("rtdtrading.rtdserver",, "ENBR3_B_0", "OCP")</f>
        <v>19.64</v>
      </c>
      <c r="F34" s="12">
        <f>RTD("rtdtrading.rtdserver",, "ENBR3_B_0", "OVD")</f>
        <v>19.66</v>
      </c>
      <c r="G34" s="12">
        <f>RTD("rtdtrading.rtdserver",, "ENBR3_B_0", "PRT")</f>
        <v>0</v>
      </c>
      <c r="H34" s="12">
        <v>0.67</v>
      </c>
    </row>
    <row r="35" spans="1:8" x14ac:dyDescent="0.25">
      <c r="A35" s="6" t="s">
        <v>264</v>
      </c>
      <c r="B35" s="12">
        <f>RTD("rtdtrading.rtdserver",, "ENEV3_B_0", "ULT")</f>
        <v>11.81</v>
      </c>
      <c r="C35" s="12">
        <f>RTD("rtdtrading.rtdserver",, "ENEV3_B_0", "ABE")</f>
        <v>11.82</v>
      </c>
      <c r="D35" s="12">
        <f>RTD("rtdtrading.rtdserver",, "ENEV3_B_0", "FEC")</f>
        <v>11.93</v>
      </c>
      <c r="E35" s="12">
        <f>RTD("rtdtrading.rtdserver",, "ENEV3_B_0", "OCP")</f>
        <v>11.81</v>
      </c>
      <c r="F35" s="12">
        <f>RTD("rtdtrading.rtdserver",, "ENEV3_B_0", "OVD")</f>
        <v>11.82</v>
      </c>
      <c r="G35" s="12">
        <f>RTD("rtdtrading.rtdserver",, "ENEV3_B_0", "PRT")</f>
        <v>0</v>
      </c>
      <c r="H35" s="12">
        <v>0.51</v>
      </c>
    </row>
    <row r="36" spans="1:8" x14ac:dyDescent="0.25">
      <c r="A36" s="6" t="s">
        <v>72</v>
      </c>
      <c r="B36" s="12">
        <f>RTD("rtdtrading.rtdserver",, "ENGI11_B_0", "ULT")</f>
        <v>39.000000000000014</v>
      </c>
      <c r="C36" s="12">
        <f>RTD("rtdtrading.rtdserver",, "ENGI11_B_0", "ABE")</f>
        <v>39.200000000000003</v>
      </c>
      <c r="D36" s="12">
        <f>RTD("rtdtrading.rtdserver",, "ENGI11_B_0", "FEC")</f>
        <v>39.330000000000005</v>
      </c>
      <c r="E36" s="12">
        <f>RTD("rtdtrading.rtdserver",, "ENGI11_B_0", "OCP")</f>
        <v>38.96</v>
      </c>
      <c r="F36" s="12">
        <f>RTD("rtdtrading.rtdserver",, "ENGI11_B_0", "OVD")</f>
        <v>39</v>
      </c>
      <c r="G36" s="12">
        <f>RTD("rtdtrading.rtdserver",, "ENGI11_B_0", "PRT")</f>
        <v>0</v>
      </c>
      <c r="H36" s="12">
        <v>0.7</v>
      </c>
    </row>
    <row r="37" spans="1:8" x14ac:dyDescent="0.25">
      <c r="A37" s="6" t="s">
        <v>74</v>
      </c>
      <c r="B37" s="12">
        <f>RTD("rtdtrading.rtdserver",, "EQTL3_B_0", "ULT")</f>
        <v>21.380000000000042</v>
      </c>
      <c r="C37" s="12">
        <f>RTD("rtdtrading.rtdserver",, "EQTL3_B_0", "ABE")</f>
        <v>21.23</v>
      </c>
      <c r="D37" s="12">
        <f>RTD("rtdtrading.rtdserver",, "EQTL3_B_0", "FEC")</f>
        <v>21.35</v>
      </c>
      <c r="E37" s="12">
        <f>RTD("rtdtrading.rtdserver",, "EQTL3_B_0", "OCP")</f>
        <v>21.35</v>
      </c>
      <c r="F37" s="12">
        <f>RTD("rtdtrading.rtdserver",, "EQTL3_B_0", "OVD")</f>
        <v>21.38</v>
      </c>
      <c r="G37" s="12">
        <f>RTD("rtdtrading.rtdserver",, "EQTL3_B_0", "PRT")</f>
        <v>0</v>
      </c>
      <c r="H37" s="12">
        <v>0.82</v>
      </c>
    </row>
    <row r="38" spans="1:8" x14ac:dyDescent="0.25">
      <c r="A38" s="6" t="s">
        <v>76</v>
      </c>
      <c r="B38" s="12">
        <f>RTD("rtdtrading.rtdserver",, "EZTC3_B_0", "ULT")</f>
        <v>17.849999999999994</v>
      </c>
      <c r="C38" s="12">
        <f>RTD("rtdtrading.rtdserver",, "EZTC3_B_0", "ABE")</f>
        <v>17.899999999999999</v>
      </c>
      <c r="D38" s="12">
        <f>RTD("rtdtrading.rtdserver",, "EZTC3_B_0", "FEC")</f>
        <v>18.03</v>
      </c>
      <c r="E38" s="12">
        <f>RTD("rtdtrading.rtdserver",, "EZTC3_B_0", "OCP")</f>
        <v>17.86</v>
      </c>
      <c r="F38" s="12">
        <f>RTD("rtdtrading.rtdserver",, "EZTC3_B_0", "OVD")</f>
        <v>17.88</v>
      </c>
      <c r="G38" s="12">
        <f>RTD("rtdtrading.rtdserver",, "EZTC3_B_0", "PRT")</f>
        <v>0</v>
      </c>
      <c r="H38" s="12">
        <v>0.95</v>
      </c>
    </row>
    <row r="39" spans="1:8" x14ac:dyDescent="0.25">
      <c r="A39" s="6" t="s">
        <v>78</v>
      </c>
      <c r="B39" s="12">
        <f>RTD("rtdtrading.rtdserver",, "FLRY3_B_0", "ULT")</f>
        <v>16.449999999999989</v>
      </c>
      <c r="C39" s="12">
        <f>RTD("rtdtrading.rtdserver",, "FLRY3_B_0", "ABE")</f>
        <v>16.57</v>
      </c>
      <c r="D39" s="12">
        <f>RTD("rtdtrading.rtdserver",, "FLRY3_B_0", "FEC")</f>
        <v>16.580000000000002</v>
      </c>
      <c r="E39" s="12">
        <f>RTD("rtdtrading.rtdserver",, "FLRY3_B_0", "OCP")</f>
        <v>16.46</v>
      </c>
      <c r="F39" s="12">
        <f>RTD("rtdtrading.rtdserver",, "FLRY3_B_0", "OVD")</f>
        <v>16.490000000000002</v>
      </c>
      <c r="G39" s="12">
        <f>RTD("rtdtrading.rtdserver",, "FLRY3_B_0", "PRT")</f>
        <v>0</v>
      </c>
      <c r="H39" s="12">
        <v>0.7</v>
      </c>
    </row>
    <row r="40" spans="1:8" x14ac:dyDescent="0.25">
      <c r="A40" s="6" t="s">
        <v>80</v>
      </c>
      <c r="B40" s="12">
        <f>RTD("rtdtrading.rtdserver",, "GGBR4_B_0", "ULT")</f>
        <v>27.150000000000048</v>
      </c>
      <c r="C40" s="12">
        <f>RTD("rtdtrading.rtdserver",, "GGBR4_B_0", "ABE")</f>
        <v>26.78</v>
      </c>
      <c r="D40" s="12">
        <f>RTD("rtdtrading.rtdserver",, "GGBR4_B_0", "FEC")</f>
        <v>27.43</v>
      </c>
      <c r="E40" s="12">
        <f>RTD("rtdtrading.rtdserver",, "GGBR4_B_0", "OCP")</f>
        <v>27.13</v>
      </c>
      <c r="F40" s="12">
        <f>RTD("rtdtrading.rtdserver",, "GGBR4_B_0", "OVD")</f>
        <v>27.150000000000002</v>
      </c>
      <c r="G40" s="12">
        <f>RTD("rtdtrading.rtdserver",, "GGBR4_B_0", "PRT")</f>
        <v>0</v>
      </c>
      <c r="H40" s="12">
        <v>0.63</v>
      </c>
    </row>
    <row r="41" spans="1:8" x14ac:dyDescent="0.25">
      <c r="A41" s="6" t="s">
        <v>82</v>
      </c>
      <c r="B41" s="12">
        <f>RTD("rtdtrading.rtdserver",, "GNDI3_B_0", "ULT")</f>
        <v>57.229999999999968</v>
      </c>
      <c r="C41" s="12">
        <f>RTD("rtdtrading.rtdserver",, "GNDI3_B_0", "ABE")</f>
        <v>57.910000000000004</v>
      </c>
      <c r="D41" s="12">
        <f>RTD("rtdtrading.rtdserver",, "GNDI3_B_0", "FEC")</f>
        <v>58.160000000000004</v>
      </c>
      <c r="E41" s="12">
        <f>RTD("rtdtrading.rtdserver",, "GNDI3_B_0", "OCP")</f>
        <v>57.22</v>
      </c>
      <c r="F41" s="12">
        <f>RTD("rtdtrading.rtdserver",, "GNDI3_B_0", "OVD")</f>
        <v>57.31</v>
      </c>
      <c r="G41" s="12">
        <f>RTD("rtdtrading.rtdserver",, "GNDI3_B_0", "PRT")</f>
        <v>0</v>
      </c>
      <c r="H41" s="12">
        <v>0.57999999999999996</v>
      </c>
    </row>
    <row r="42" spans="1:8" x14ac:dyDescent="0.25">
      <c r="A42" s="6" t="s">
        <v>84</v>
      </c>
      <c r="B42" s="12">
        <f>RTD("rtdtrading.rtdserver",, "GOAU4_B_0", "ULT")</f>
        <v>11.37</v>
      </c>
      <c r="C42" s="12">
        <f>RTD("rtdtrading.rtdserver",, "GOAU4_B_0", "ABE")</f>
        <v>11.34</v>
      </c>
      <c r="D42" s="12">
        <f>RTD("rtdtrading.rtdserver",, "GOAU4_B_0", "FEC")</f>
        <v>11.43</v>
      </c>
      <c r="E42" s="12">
        <f>RTD("rtdtrading.rtdserver",, "GOAU4_B_0", "OCP")</f>
        <v>11.36</v>
      </c>
      <c r="F42" s="12">
        <f>RTD("rtdtrading.rtdserver",, "GOAU4_B_0", "OVD")</f>
        <v>11.370000000000001</v>
      </c>
      <c r="G42" s="12">
        <f>RTD("rtdtrading.rtdserver",, "GOAU4_B_0", "PRT")</f>
        <v>0</v>
      </c>
      <c r="H42" s="12">
        <v>0.67</v>
      </c>
    </row>
    <row r="43" spans="1:8" x14ac:dyDescent="0.25">
      <c r="A43" s="6" t="s">
        <v>86</v>
      </c>
      <c r="B43" s="12">
        <f>RTD("rtdtrading.rtdserver",, "GOLL4_B_0", "ULT")</f>
        <v>15.430000000000007</v>
      </c>
      <c r="C43" s="12">
        <f>RTD("rtdtrading.rtdserver",, "GOLL4_B_0", "ABE")</f>
        <v>15.75</v>
      </c>
      <c r="D43" s="12">
        <f>RTD("rtdtrading.rtdserver",, "GOLL4_B_0", "FEC")</f>
        <v>15.770000000000001</v>
      </c>
      <c r="E43" s="12">
        <f>RTD("rtdtrading.rtdserver",, "GOLL4_B_0", "OCP")</f>
        <v>15.42</v>
      </c>
      <c r="F43" s="12">
        <f>RTD("rtdtrading.rtdserver",, "GOLL4_B_0", "OVD")</f>
        <v>15.450000000000001</v>
      </c>
      <c r="G43" s="12">
        <f>RTD("rtdtrading.rtdserver",, "GOLL4_B_0", "PRT")</f>
        <v>0</v>
      </c>
      <c r="H43" s="12">
        <v>1.79</v>
      </c>
    </row>
    <row r="44" spans="1:8" x14ac:dyDescent="0.25">
      <c r="A44" s="6" t="s">
        <v>88</v>
      </c>
      <c r="B44" s="12">
        <f>RTD("rtdtrading.rtdserver",, "HAPV3_B_0", "ULT")</f>
        <v>9.7800000000000029</v>
      </c>
      <c r="C44" s="12">
        <f>RTD("rtdtrading.rtdserver",, "HAPV3_B_0", "ABE")</f>
        <v>9.8899999999999988</v>
      </c>
      <c r="D44" s="12">
        <f>RTD("rtdtrading.rtdserver",, "HAPV3_B_0", "FEC")</f>
        <v>9.92</v>
      </c>
      <c r="E44" s="12">
        <f>RTD("rtdtrading.rtdserver",, "HAPV3_B_0", "OCP")</f>
        <v>9.7799999999999994</v>
      </c>
      <c r="F44" s="12">
        <f>RTD("rtdtrading.rtdserver",, "HAPV3_B_0", "OVD")</f>
        <v>9.8000000000000007</v>
      </c>
      <c r="G44" s="12">
        <f>RTD("rtdtrading.rtdserver",, "HAPV3_B_0", "PRT")</f>
        <v>0</v>
      </c>
      <c r="H44" s="12">
        <v>0.61</v>
      </c>
    </row>
    <row r="45" spans="1:8" x14ac:dyDescent="0.25">
      <c r="A45" s="6" t="s">
        <v>90</v>
      </c>
      <c r="B45" s="12">
        <f>RTD("rtdtrading.rtdserver",, "HGTX3_B_0", "ULT")</f>
        <v>0</v>
      </c>
      <c r="C45" s="12">
        <f>RTD("rtdtrading.rtdserver",, "HGTX3_B_0", "ABE")</f>
        <v>0</v>
      </c>
      <c r="D45" s="12">
        <f>RTD("rtdtrading.rtdserver",, "HGTX3_B_0", "FEC")</f>
        <v>0</v>
      </c>
      <c r="E45" s="12">
        <f>RTD("rtdtrading.rtdserver",, "HGTX3_B_0", "OCP")</f>
        <v>0</v>
      </c>
      <c r="F45" s="12">
        <f>RTD("rtdtrading.rtdserver",, "HGTX3_B_0", "OVD")</f>
        <v>0</v>
      </c>
      <c r="G45" s="12">
        <f>RTD("rtdtrading.rtdserver",, "HGTX3_B_0", "PRT")</f>
        <v>0</v>
      </c>
      <c r="H45" s="12">
        <v>1.28</v>
      </c>
    </row>
    <row r="46" spans="1:8" x14ac:dyDescent="0.25">
      <c r="A46" s="6" t="s">
        <v>92</v>
      </c>
      <c r="B46" s="12">
        <f>RTD("rtdtrading.rtdserver",, "HYPE3_B_0", "ULT")</f>
        <v>27.019999999999978</v>
      </c>
      <c r="C46" s="12">
        <f>RTD("rtdtrading.rtdserver",, "HYPE3_B_0", "ABE")</f>
        <v>27.279999999999998</v>
      </c>
      <c r="D46" s="12">
        <f>RTD("rtdtrading.rtdserver",, "HYPE3_B_0", "FEC")</f>
        <v>27.290000000000003</v>
      </c>
      <c r="E46" s="12">
        <f>RTD("rtdtrading.rtdserver",, "HYPE3_B_0", "OCP")</f>
        <v>27</v>
      </c>
      <c r="F46" s="12">
        <f>RTD("rtdtrading.rtdserver",, "HYPE3_B_0", "OVD")</f>
        <v>27.03</v>
      </c>
      <c r="G46" s="12">
        <f>RTD("rtdtrading.rtdserver",, "HYPE3_B_0", "PRT")</f>
        <v>0</v>
      </c>
      <c r="H46" s="12">
        <v>0.89</v>
      </c>
    </row>
    <row r="47" spans="1:8" x14ac:dyDescent="0.25">
      <c r="A47" s="6" t="s">
        <v>94</v>
      </c>
      <c r="B47" s="12">
        <f>RTD("rtdtrading.rtdserver",, "IGTA3_B_0", "ULT")</f>
        <v>33</v>
      </c>
      <c r="C47" s="12">
        <f>RTD("rtdtrading.rtdserver",, "IGTA3_B_0", "ABE")</f>
        <v>33.08</v>
      </c>
      <c r="D47" s="12">
        <f>RTD("rtdtrading.rtdserver",, "IGTA3_B_0", "FEC")</f>
        <v>33.07</v>
      </c>
      <c r="E47" s="12">
        <f>RTD("rtdtrading.rtdserver",, "IGTA3_B_0", "OCP")</f>
        <v>0</v>
      </c>
      <c r="F47" s="12">
        <f>RTD("rtdtrading.rtdserver",, "IGTA3_B_0", "OVD")</f>
        <v>0</v>
      </c>
      <c r="G47" s="12">
        <f>RTD("rtdtrading.rtdserver",, "IGTA3_B_0", "PRT")</f>
        <v>0</v>
      </c>
      <c r="H47" s="12">
        <v>1.24</v>
      </c>
    </row>
    <row r="48" spans="1:8" x14ac:dyDescent="0.25">
      <c r="A48" s="6" t="s">
        <v>96</v>
      </c>
      <c r="B48" s="12">
        <f>RTD("rtdtrading.rtdserver",, "IRBR3_B_0", "ULT")</f>
        <v>3.6200000000000006</v>
      </c>
      <c r="C48" s="12">
        <f>RTD("rtdtrading.rtdserver",, "IRBR3_B_0", "ABE")</f>
        <v>3.65</v>
      </c>
      <c r="D48" s="12">
        <f>RTD("rtdtrading.rtdserver",, "IRBR3_B_0", "FEC")</f>
        <v>3.6500000000000004</v>
      </c>
      <c r="E48" s="12">
        <f>RTD("rtdtrading.rtdserver",, "IRBR3_B_0", "OCP")</f>
        <v>3.62</v>
      </c>
      <c r="F48" s="12">
        <f>RTD("rtdtrading.rtdserver",, "IRBR3_B_0", "OVD")</f>
        <v>3.63</v>
      </c>
      <c r="G48" s="12">
        <f>RTD("rtdtrading.rtdserver",, "IRBR3_B_0", "PRT")</f>
        <v>0</v>
      </c>
      <c r="H48" s="12">
        <v>1.49</v>
      </c>
    </row>
    <row r="49" spans="1:8" x14ac:dyDescent="0.25">
      <c r="A49" s="6" t="s">
        <v>98</v>
      </c>
      <c r="B49" s="12">
        <f>RTD("rtdtrading.rtdserver",, "ITSA4_B_0", "ULT")</f>
        <v>9.18</v>
      </c>
      <c r="C49" s="12">
        <f>RTD("rtdtrading.rtdserver",, "ITSA4_B_0", "ABE")</f>
        <v>9.15</v>
      </c>
      <c r="D49" s="12">
        <f>RTD("rtdtrading.rtdserver",, "ITSA4_B_0", "FEC")</f>
        <v>9.18</v>
      </c>
      <c r="E49" s="12">
        <f>RTD("rtdtrading.rtdserver",, "ITSA4_B_0", "OCP")</f>
        <v>9.17</v>
      </c>
      <c r="F49" s="12">
        <f>RTD("rtdtrading.rtdserver",, "ITSA4_B_0", "OVD")</f>
        <v>9.18</v>
      </c>
      <c r="G49" s="12">
        <f>RTD("rtdtrading.rtdserver",, "ITSA4_B_0", "PRT")</f>
        <v>0</v>
      </c>
      <c r="H49" s="12">
        <v>1.23</v>
      </c>
    </row>
    <row r="50" spans="1:8" x14ac:dyDescent="0.25">
      <c r="A50" s="6" t="s">
        <v>100</v>
      </c>
      <c r="B50" s="12">
        <f>RTD("rtdtrading.rtdserver",, "ITUB4_B_0", "ULT")</f>
        <v>22.67</v>
      </c>
      <c r="C50" s="12">
        <f>RTD("rtdtrading.rtdserver",, "ITUB4_B_0", "ABE")</f>
        <v>22.57</v>
      </c>
      <c r="D50" s="12">
        <f>RTD("rtdtrading.rtdserver",, "ITUB4_B_0", "FEC")</f>
        <v>22.630000000000003</v>
      </c>
      <c r="E50" s="12">
        <f>RTD("rtdtrading.rtdserver",, "ITUB4_B_0", "OCP")</f>
        <v>22.67</v>
      </c>
      <c r="F50" s="12">
        <f>RTD("rtdtrading.rtdserver",, "ITUB4_B_0", "OVD")</f>
        <v>22.71</v>
      </c>
      <c r="G50" s="12">
        <f>RTD("rtdtrading.rtdserver",, "ITUB4_B_0", "PRT")</f>
        <v>0</v>
      </c>
      <c r="H50" s="12">
        <v>1.4</v>
      </c>
    </row>
    <row r="51" spans="1:8" x14ac:dyDescent="0.25">
      <c r="A51" s="6" t="s">
        <v>102</v>
      </c>
      <c r="B51" s="12">
        <f>RTD("rtdtrading.rtdserver",, "JBSS3_B_0", "ULT")</f>
        <v>36.07</v>
      </c>
      <c r="C51" s="12">
        <f>RTD("rtdtrading.rtdserver",, "JBSS3_B_0", "ABE")</f>
        <v>35.229999999999997</v>
      </c>
      <c r="D51" s="12">
        <f>RTD("rtdtrading.rtdserver",, "JBSS3_B_0", "FEC")</f>
        <v>35.24</v>
      </c>
      <c r="E51" s="12">
        <f>RTD("rtdtrading.rtdserver",, "JBSS3_B_0", "OCP")</f>
        <v>36.06</v>
      </c>
      <c r="F51" s="12">
        <f>RTD("rtdtrading.rtdserver",, "JBSS3_B_0", "OVD")</f>
        <v>36.090000000000003</v>
      </c>
      <c r="G51" s="12">
        <f>RTD("rtdtrading.rtdserver",, "JBSS3_B_0", "PRT")</f>
        <v>0</v>
      </c>
      <c r="H51" s="12">
        <v>0.49</v>
      </c>
    </row>
    <row r="52" spans="1:8" x14ac:dyDescent="0.25">
      <c r="A52" s="6" t="s">
        <v>266</v>
      </c>
      <c r="B52" s="12">
        <f>RTD("rtdtrading.rtdserver",, "JHSF3_B_0", "ULT")</f>
        <v>4.5400000000000009</v>
      </c>
      <c r="C52" s="12">
        <f>RTD("rtdtrading.rtdserver",, "JHSF3_B_0", "ABE")</f>
        <v>4.58</v>
      </c>
      <c r="D52" s="12">
        <f>RTD("rtdtrading.rtdserver",, "JHSF3_B_0", "FEC")</f>
        <v>4.6100000000000003</v>
      </c>
      <c r="E52" s="12">
        <f>RTD("rtdtrading.rtdserver",, "JHSF3_B_0", "OCP")</f>
        <v>4.53</v>
      </c>
      <c r="F52" s="12">
        <f>RTD("rtdtrading.rtdserver",, "JHSF3_B_0", "OVD")</f>
        <v>4.55</v>
      </c>
      <c r="G52" s="12">
        <f>RTD("rtdtrading.rtdserver",, "JHSF3_B_0", "PRT")</f>
        <v>0</v>
      </c>
      <c r="H52" s="12">
        <v>1.1000000000000001</v>
      </c>
    </row>
    <row r="53" spans="1:8" x14ac:dyDescent="0.25">
      <c r="A53" s="6" t="s">
        <v>104</v>
      </c>
      <c r="B53" s="12">
        <f>RTD("rtdtrading.rtdserver",, "KLBN11_B_0", "ULT")</f>
        <v>24.879999999999985</v>
      </c>
      <c r="C53" s="12">
        <f>RTD("rtdtrading.rtdserver",, "KLBN11_B_0", "ABE")</f>
        <v>25.21</v>
      </c>
      <c r="D53" s="12">
        <f>RTD("rtdtrading.rtdserver",, "KLBN11_B_0", "FEC")</f>
        <v>25.220000000000002</v>
      </c>
      <c r="E53" s="12">
        <f>RTD("rtdtrading.rtdserver",, "KLBN11_B_0", "OCP")</f>
        <v>24.86</v>
      </c>
      <c r="F53" s="12">
        <f>RTD("rtdtrading.rtdserver",, "KLBN11_B_0", "OVD")</f>
        <v>24.88</v>
      </c>
      <c r="G53" s="12">
        <f>RTD("rtdtrading.rtdserver",, "KLBN11_B_0", "PRT")</f>
        <v>0</v>
      </c>
      <c r="H53" s="12">
        <v>0.32</v>
      </c>
    </row>
    <row r="54" spans="1:8" x14ac:dyDescent="0.25">
      <c r="A54" s="6" t="s">
        <v>107</v>
      </c>
      <c r="B54" s="12">
        <f>RTD("rtdtrading.rtdserver",, "LAME4_B_0", "ULT")</f>
        <v>5.080000000000001</v>
      </c>
      <c r="C54" s="12">
        <f>RTD("rtdtrading.rtdserver",, "LAME4_B_0", "ABE")</f>
        <v>5.17</v>
      </c>
      <c r="D54" s="12">
        <f>RTD("rtdtrading.rtdserver",, "LAME4_B_0", "FEC")</f>
        <v>5.21</v>
      </c>
      <c r="E54" s="12">
        <f>RTD("rtdtrading.rtdserver",, "LAME4_B_0", "OCP")</f>
        <v>5.08</v>
      </c>
      <c r="F54" s="12">
        <f>RTD("rtdtrading.rtdserver",, "LAME4_B_0", "OVD")</f>
        <v>5.1000000000000005</v>
      </c>
      <c r="G54" s="12">
        <f>RTD("rtdtrading.rtdserver",, "LAME4_B_0", "PRT")</f>
        <v>0</v>
      </c>
      <c r="H54" s="12">
        <v>0.97</v>
      </c>
    </row>
    <row r="55" spans="1:8" x14ac:dyDescent="0.25">
      <c r="A55" s="6" t="s">
        <v>267</v>
      </c>
      <c r="B55" s="12">
        <f>RTD("rtdtrading.rtdserver",, "LCAM3_B_0", "ULT")</f>
        <v>21.519999999999978</v>
      </c>
      <c r="C55" s="12">
        <f>RTD("rtdtrading.rtdserver",, "LCAM3_B_0", "ABE")</f>
        <v>21.8</v>
      </c>
      <c r="D55" s="12">
        <f>RTD("rtdtrading.rtdserver",, "LCAM3_B_0", "FEC")</f>
        <v>22</v>
      </c>
      <c r="E55" s="12">
        <f>RTD("rtdtrading.rtdserver",, "LCAM3_B_0", "OCP")</f>
        <v>21.48</v>
      </c>
      <c r="F55" s="12">
        <f>RTD("rtdtrading.rtdserver",, "LCAM3_B_0", "OVD")</f>
        <v>21.53</v>
      </c>
      <c r="G55" s="12">
        <f>RTD("rtdtrading.rtdserver",, "LCAM3_B_0", "PRT")</f>
        <v>0</v>
      </c>
      <c r="H55" s="12">
        <v>0.61</v>
      </c>
    </row>
    <row r="56" spans="1:8" x14ac:dyDescent="0.25">
      <c r="A56" s="6" t="s">
        <v>108</v>
      </c>
      <c r="B56" s="12">
        <f>RTD("rtdtrading.rtdserver",, "LREN3_B_0", "ULT")</f>
        <v>22.750000000000011</v>
      </c>
      <c r="C56" s="12">
        <f>RTD("rtdtrading.rtdserver",, "LREN3_B_0", "ABE")</f>
        <v>22.74</v>
      </c>
      <c r="D56" s="12">
        <f>RTD("rtdtrading.rtdserver",, "LREN3_B_0", "FEC")</f>
        <v>22.990000000000002</v>
      </c>
      <c r="E56" s="12">
        <f>RTD("rtdtrading.rtdserver",, "LREN3_B_0", "OCP")</f>
        <v>22.75</v>
      </c>
      <c r="F56" s="12">
        <f>RTD("rtdtrading.rtdserver",, "LREN3_B_0", "OVD")</f>
        <v>22.76</v>
      </c>
      <c r="G56" s="12">
        <f>RTD("rtdtrading.rtdserver",, "LREN3_B_0", "PRT")</f>
        <v>0</v>
      </c>
      <c r="H56" s="12">
        <v>1.25</v>
      </c>
    </row>
    <row r="57" spans="1:8" x14ac:dyDescent="0.25">
      <c r="A57" s="6" t="s">
        <v>110</v>
      </c>
      <c r="B57" s="12">
        <f>RTD("rtdtrading.rtdserver",, "MGLU3_B_0", "ULT")</f>
        <v>5.95</v>
      </c>
      <c r="C57" s="12">
        <f>RTD("rtdtrading.rtdserver",, "MGLU3_B_0", "ABE")</f>
        <v>6.14</v>
      </c>
      <c r="D57" s="12">
        <f>RTD("rtdtrading.rtdserver",, "MGLU3_B_0", "FEC")</f>
        <v>6.2200000000000006</v>
      </c>
      <c r="E57" s="12">
        <f>RTD("rtdtrading.rtdserver",, "MGLU3_B_0", "OCP")</f>
        <v>5.94</v>
      </c>
      <c r="F57" s="12">
        <f>RTD("rtdtrading.rtdserver",, "MGLU3_B_0", "OVD")</f>
        <v>5.95</v>
      </c>
      <c r="G57" s="12">
        <f>RTD("rtdtrading.rtdserver",, "MGLU3_B_0", "PRT")</f>
        <v>0</v>
      </c>
      <c r="H57" s="12">
        <v>0.4</v>
      </c>
    </row>
    <row r="58" spans="1:8" x14ac:dyDescent="0.25">
      <c r="A58" s="6" t="s">
        <v>112</v>
      </c>
      <c r="B58" s="12">
        <f>RTD("rtdtrading.rtdserver",, "MRFG3_B_0", "ULT")</f>
        <v>21.610000000000042</v>
      </c>
      <c r="C58" s="12">
        <f>RTD("rtdtrading.rtdserver",, "MRFG3_B_0", "ABE")</f>
        <v>21.259999999999998</v>
      </c>
      <c r="D58" s="12">
        <f>RTD("rtdtrading.rtdserver",, "MRFG3_B_0", "FEC")</f>
        <v>21.17</v>
      </c>
      <c r="E58" s="12">
        <f>RTD("rtdtrading.rtdserver",, "MRFG3_B_0", "OCP")</f>
        <v>21.59</v>
      </c>
      <c r="F58" s="12">
        <f>RTD("rtdtrading.rtdserver",, "MRFG3_B_0", "OVD")</f>
        <v>21.6</v>
      </c>
      <c r="G58" s="12">
        <f>RTD("rtdtrading.rtdserver",, "MRFG3_B_0", "PRT")</f>
        <v>0</v>
      </c>
      <c r="H58" s="12">
        <v>0.37</v>
      </c>
    </row>
    <row r="59" spans="1:8" x14ac:dyDescent="0.25">
      <c r="A59" s="6" t="s">
        <v>114</v>
      </c>
      <c r="B59" s="12">
        <f>RTD("rtdtrading.rtdserver",, "MRVE3_B_0", "ULT")</f>
        <v>10.480000000000002</v>
      </c>
      <c r="C59" s="12">
        <f>RTD("rtdtrading.rtdserver",, "MRVE3_B_0", "ABE")</f>
        <v>10.549999999999999</v>
      </c>
      <c r="D59" s="12">
        <f>RTD("rtdtrading.rtdserver",, "MRVE3_B_0", "FEC")</f>
        <v>10.58</v>
      </c>
      <c r="E59" s="12">
        <f>RTD("rtdtrading.rtdserver",, "MRVE3_B_0", "OCP")</f>
        <v>10.5</v>
      </c>
      <c r="F59" s="12">
        <f>RTD("rtdtrading.rtdserver",, "MRVE3_B_0", "OVD")</f>
        <v>10.52</v>
      </c>
      <c r="G59" s="12">
        <f>RTD("rtdtrading.rtdserver",, "MRVE3_B_0", "PRT")</f>
        <v>0</v>
      </c>
      <c r="H59" s="12">
        <v>1.01</v>
      </c>
    </row>
    <row r="60" spans="1:8" x14ac:dyDescent="0.25">
      <c r="A60" s="6" t="s">
        <v>116</v>
      </c>
      <c r="B60" s="12">
        <f>RTD("rtdtrading.rtdserver",, "MULT3_B_0", "ULT")</f>
        <v>16.439999999999976</v>
      </c>
      <c r="C60" s="12">
        <f>RTD("rtdtrading.rtdserver",, "MULT3_B_0", "ABE")</f>
        <v>16.559999999999999</v>
      </c>
      <c r="D60" s="12">
        <f>RTD("rtdtrading.rtdserver",, "MULT3_B_0", "FEC")</f>
        <v>16.66</v>
      </c>
      <c r="E60" s="12">
        <f>RTD("rtdtrading.rtdserver",, "MULT3_B_0", "OCP")</f>
        <v>16.43</v>
      </c>
      <c r="F60" s="12">
        <f>RTD("rtdtrading.rtdserver",, "MULT3_B_0", "OVD")</f>
        <v>16.45</v>
      </c>
      <c r="G60" s="12">
        <f>RTD("rtdtrading.rtdserver",, "MULT3_B_0", "PRT")</f>
        <v>0</v>
      </c>
      <c r="H60" s="12">
        <v>1.33</v>
      </c>
    </row>
    <row r="61" spans="1:8" x14ac:dyDescent="0.25">
      <c r="A61" s="6" t="s">
        <v>119</v>
      </c>
      <c r="B61" s="12">
        <f>RTD("rtdtrading.rtdserver",, "NTCO3_B_0", "ULT")</f>
        <v>21.970000000000024</v>
      </c>
      <c r="C61" s="12">
        <f>RTD("rtdtrading.rtdserver",, "NTCO3_B_0", "ABE")</f>
        <v>21.95</v>
      </c>
      <c r="D61" s="12">
        <f>RTD("rtdtrading.rtdserver",, "NTCO3_B_0", "FEC")</f>
        <v>22.11</v>
      </c>
      <c r="E61" s="12">
        <f>RTD("rtdtrading.rtdserver",, "NTCO3_B_0", "OCP")</f>
        <v>21.95</v>
      </c>
      <c r="F61" s="12">
        <f>RTD("rtdtrading.rtdserver",, "NTCO3_B_0", "OVD")</f>
        <v>21.96</v>
      </c>
      <c r="G61" s="12">
        <f>RTD("rtdtrading.rtdserver",, "NTCO3_B_0", "PRT")</f>
        <v>0</v>
      </c>
      <c r="H61" s="12">
        <v>0.51</v>
      </c>
    </row>
    <row r="62" spans="1:8" x14ac:dyDescent="0.25">
      <c r="A62" s="6" t="s">
        <v>121</v>
      </c>
      <c r="B62" s="12">
        <f>RTD("rtdtrading.rtdserver",, "PCAR3_B_0", "ULT")</f>
        <v>19.059999999999999</v>
      </c>
      <c r="C62" s="12">
        <f>RTD("rtdtrading.rtdserver",, "PCAR3_B_0", "ABE")</f>
        <v>18.95</v>
      </c>
      <c r="D62" s="12">
        <f>RTD("rtdtrading.rtdserver",, "PCAR3_B_0", "FEC")</f>
        <v>18.95</v>
      </c>
      <c r="E62" s="12">
        <f>RTD("rtdtrading.rtdserver",, "PCAR3_B_0", "OCP")</f>
        <v>19.059999999999999</v>
      </c>
      <c r="F62" s="12">
        <f>RTD("rtdtrading.rtdserver",, "PCAR3_B_0", "OVD")</f>
        <v>19.100000000000001</v>
      </c>
      <c r="G62" s="12">
        <f>RTD("rtdtrading.rtdserver",, "PCAR3_B_0", "PRT")</f>
        <v>0</v>
      </c>
      <c r="H62" s="12">
        <v>0.42</v>
      </c>
    </row>
    <row r="63" spans="1:8" x14ac:dyDescent="0.25">
      <c r="A63" s="6" t="s">
        <v>123</v>
      </c>
      <c r="B63" s="12">
        <f>RTD("rtdtrading.rtdserver",, "PETR3_B_0", "ULT")</f>
        <v>30.79</v>
      </c>
      <c r="C63" s="12">
        <f>RTD("rtdtrading.rtdserver",, "PETR3_B_0", "ABE")</f>
        <v>30.7</v>
      </c>
      <c r="D63" s="12">
        <f>RTD("rtdtrading.rtdserver",, "PETR3_B_0", "FEC")</f>
        <v>30.830000000000002</v>
      </c>
      <c r="E63" s="12">
        <f>RTD("rtdtrading.rtdserver",, "PETR3_B_0", "OCP")</f>
        <v>30.79</v>
      </c>
      <c r="F63" s="12">
        <f>RTD("rtdtrading.rtdserver",, "PETR3_B_0", "OVD")</f>
        <v>30.810000000000002</v>
      </c>
      <c r="G63" s="12">
        <f>RTD("rtdtrading.rtdserver",, "PETR3_B_0", "PRT")</f>
        <v>0</v>
      </c>
      <c r="H63" s="12">
        <v>1.6</v>
      </c>
    </row>
    <row r="64" spans="1:8" x14ac:dyDescent="0.25">
      <c r="A64" s="6" t="s">
        <v>125</v>
      </c>
      <c r="B64" s="12">
        <f>RTD("rtdtrading.rtdserver",, "PETR4_B_0", "ULT")</f>
        <v>28.1</v>
      </c>
      <c r="C64" s="12">
        <f>RTD("rtdtrading.rtdserver",, "PETR4_B_0", "ABE")</f>
        <v>27.99</v>
      </c>
      <c r="D64" s="12">
        <f>RTD("rtdtrading.rtdserver",, "PETR4_B_0", "FEC")</f>
        <v>28.18</v>
      </c>
      <c r="E64" s="12">
        <f>RTD("rtdtrading.rtdserver",, "PETR4_B_0", "OCP")</f>
        <v>28.1</v>
      </c>
      <c r="F64" s="12">
        <f>RTD("rtdtrading.rtdserver",, "PETR4_B_0", "OVD")</f>
        <v>28.12</v>
      </c>
      <c r="G64" s="12">
        <f>RTD("rtdtrading.rtdserver",, "PETR4_B_0", "PRT")</f>
        <v>0</v>
      </c>
      <c r="H64" s="12">
        <v>1.59</v>
      </c>
    </row>
    <row r="65" spans="1:8" x14ac:dyDescent="0.25">
      <c r="A65" s="6" t="s">
        <v>126</v>
      </c>
      <c r="B65" s="12">
        <f>RTD("rtdtrading.rtdserver",, "PRIO3_B_0", "ULT")</f>
        <v>20.050000000000015</v>
      </c>
      <c r="C65" s="12">
        <f>RTD("rtdtrading.rtdserver",, "PRIO3_B_0", "ABE")</f>
        <v>19.559999999999999</v>
      </c>
      <c r="D65" s="12">
        <f>RTD("rtdtrading.rtdserver",, "PRIO3_B_0", "FEC")</f>
        <v>19.82</v>
      </c>
      <c r="E65" s="12">
        <f>RTD("rtdtrading.rtdserver",, "PRIO3_B_0", "OCP")</f>
        <v>20.05</v>
      </c>
      <c r="F65" s="12">
        <f>RTD("rtdtrading.rtdserver",, "PRIO3_B_0", "OVD")</f>
        <v>20.07</v>
      </c>
      <c r="G65" s="12">
        <f>RTD("rtdtrading.rtdserver",, "PRIO3_B_0", "PRT")</f>
        <v>0</v>
      </c>
      <c r="H65" s="12">
        <v>1.55</v>
      </c>
    </row>
    <row r="66" spans="1:8" x14ac:dyDescent="0.25">
      <c r="A66" s="6" t="s">
        <v>128</v>
      </c>
      <c r="B66" s="12">
        <f>RTD("rtdtrading.rtdserver",, "QUAL3_B_0", "ULT")</f>
        <v>15.140000000000004</v>
      </c>
      <c r="C66" s="12">
        <f>RTD("rtdtrading.rtdserver",, "QUAL3_B_0", "ABE")</f>
        <v>15.35</v>
      </c>
      <c r="D66" s="12">
        <f>RTD("rtdtrading.rtdserver",, "QUAL3_B_0", "FEC")</f>
        <v>15.48</v>
      </c>
      <c r="E66" s="12">
        <f>RTD("rtdtrading.rtdserver",, "QUAL3_B_0", "OCP")</f>
        <v>15.14</v>
      </c>
      <c r="F66" s="12">
        <f>RTD("rtdtrading.rtdserver",, "QUAL3_B_0", "OVD")</f>
        <v>15.18</v>
      </c>
      <c r="G66" s="12">
        <f>RTD("rtdtrading.rtdserver",, "QUAL3_B_0", "PRT")</f>
        <v>0</v>
      </c>
      <c r="H66" s="12">
        <v>0.7</v>
      </c>
    </row>
    <row r="67" spans="1:8" x14ac:dyDescent="0.25">
      <c r="A67" s="6" t="s">
        <v>130</v>
      </c>
      <c r="B67" s="12">
        <f>RTD("rtdtrading.rtdserver",, "RADL3_B_0", "ULT")</f>
        <v>21.330000000000002</v>
      </c>
      <c r="C67" s="12">
        <f>RTD("rtdtrading.rtdserver",, "RADL3_B_0", "ABE")</f>
        <v>21.35</v>
      </c>
      <c r="D67" s="12">
        <f>RTD("rtdtrading.rtdserver",, "RADL3_B_0", "FEC")</f>
        <v>21.48</v>
      </c>
      <c r="E67" s="12">
        <f>RTD("rtdtrading.rtdserver",, "RADL3_B_0", "OCP")</f>
        <v>21.32</v>
      </c>
      <c r="F67" s="12">
        <f>RTD("rtdtrading.rtdserver",, "RADL3_B_0", "OVD")</f>
        <v>21.35</v>
      </c>
      <c r="G67" s="12">
        <f>RTD("rtdtrading.rtdserver",, "RADL3_B_0", "PRT")</f>
        <v>0</v>
      </c>
      <c r="H67" s="12">
        <v>0.7</v>
      </c>
    </row>
    <row r="68" spans="1:8" x14ac:dyDescent="0.25">
      <c r="A68" s="6" t="s">
        <v>132</v>
      </c>
      <c r="B68" s="12">
        <f>RTD("rtdtrading.rtdserver",, "RAIL3_B_0", "ULT")</f>
        <v>15.590000000000005</v>
      </c>
      <c r="C68" s="12">
        <f>RTD("rtdtrading.rtdserver",, "RAIL3_B_0", "ABE")</f>
        <v>15.819999999999999</v>
      </c>
      <c r="D68" s="12">
        <f>RTD("rtdtrading.rtdserver",, "RAIL3_B_0", "FEC")</f>
        <v>15.860000000000001</v>
      </c>
      <c r="E68" s="12">
        <f>RTD("rtdtrading.rtdserver",, "RAIL3_B_0", "OCP")</f>
        <v>15.59</v>
      </c>
      <c r="F68" s="12">
        <f>RTD("rtdtrading.rtdserver",, "RAIL3_B_0", "OVD")</f>
        <v>15.6</v>
      </c>
      <c r="G68" s="12">
        <f>RTD("rtdtrading.rtdserver",, "RAIL3_B_0", "PRT")</f>
        <v>0</v>
      </c>
      <c r="H68" s="12">
        <v>0.99</v>
      </c>
    </row>
    <row r="69" spans="1:8" x14ac:dyDescent="0.25">
      <c r="A69" s="6" t="s">
        <v>134</v>
      </c>
      <c r="B69" s="12">
        <f>RTD("rtdtrading.rtdserver",, "RENT3_B_0", "ULT")</f>
        <v>48.520000000000024</v>
      </c>
      <c r="C69" s="12">
        <f>RTD("rtdtrading.rtdserver",, "RENT3_B_0", "ABE")</f>
        <v>48.699999999999996</v>
      </c>
      <c r="D69" s="12">
        <f>RTD("rtdtrading.rtdserver",, "RENT3_B_0", "FEC")</f>
        <v>49.47</v>
      </c>
      <c r="E69" s="12">
        <f>RTD("rtdtrading.rtdserver",, "RENT3_B_0", "OCP")</f>
        <v>48.52</v>
      </c>
      <c r="F69" s="12">
        <f>RTD("rtdtrading.rtdserver",, "RENT3_B_0", "OVD")</f>
        <v>48.57</v>
      </c>
      <c r="G69" s="12">
        <f>RTD("rtdtrading.rtdserver",, "RENT3_B_0", "PRT")</f>
        <v>0</v>
      </c>
      <c r="H69" s="12">
        <v>0.67</v>
      </c>
    </row>
    <row r="70" spans="1:8" x14ac:dyDescent="0.25">
      <c r="A70" s="6" t="s">
        <v>136</v>
      </c>
      <c r="B70" s="12">
        <f>RTD("rtdtrading.rtdserver",, "SANB11_B_0", "ULT")</f>
        <v>31.35</v>
      </c>
      <c r="C70" s="12">
        <f>RTD("rtdtrading.rtdserver",, "SANB11_B_0", "ABE")</f>
        <v>31.25</v>
      </c>
      <c r="D70" s="12">
        <f>RTD("rtdtrading.rtdserver",, "SANB11_B_0", "FEC")</f>
        <v>31.273300000000003</v>
      </c>
      <c r="E70" s="12">
        <f>RTD("rtdtrading.rtdserver",, "SANB11_B_0", "OCP")</f>
        <v>31.34</v>
      </c>
      <c r="F70" s="12">
        <f>RTD("rtdtrading.rtdserver",, "SANB11_B_0", "OVD")</f>
        <v>31.39</v>
      </c>
      <c r="G70" s="12">
        <f>RTD("rtdtrading.rtdserver",, "SANB11_B_0", "PRT")</f>
        <v>0</v>
      </c>
      <c r="H70" s="12">
        <v>1.55</v>
      </c>
    </row>
    <row r="71" spans="1:8" x14ac:dyDescent="0.25">
      <c r="A71" s="6" t="s">
        <v>138</v>
      </c>
      <c r="B71" s="12">
        <f>RTD("rtdtrading.rtdserver",, "SBSP3_B_0", "ULT")</f>
        <v>34.920000000000009</v>
      </c>
      <c r="C71" s="12">
        <f>RTD("rtdtrading.rtdserver",, "SBSP3_B_0", "ABE")</f>
        <v>35.15</v>
      </c>
      <c r="D71" s="12">
        <f>RTD("rtdtrading.rtdserver",, "SBSP3_B_0", "FEC")</f>
        <v>35.46</v>
      </c>
      <c r="E71" s="12">
        <f>RTD("rtdtrading.rtdserver",, "SBSP3_B_0", "OCP")</f>
        <v>34.92</v>
      </c>
      <c r="F71" s="12">
        <f>RTD("rtdtrading.rtdserver",, "SBSP3_B_0", "OVD")</f>
        <v>34.97</v>
      </c>
      <c r="G71" s="12">
        <f>RTD("rtdtrading.rtdserver",, "SBSP3_B_0", "PRT")</f>
        <v>0</v>
      </c>
      <c r="H71" s="12">
        <v>0.89</v>
      </c>
    </row>
    <row r="72" spans="1:8" x14ac:dyDescent="0.25">
      <c r="A72" s="6" t="s">
        <v>140</v>
      </c>
      <c r="B72" s="12">
        <f>RTD("rtdtrading.rtdserver",, "SULA11_B_0", "ULT")</f>
        <v>23.119999999999994</v>
      </c>
      <c r="C72" s="12">
        <f>RTD("rtdtrading.rtdserver",, "SULA11_B_0", "ABE")</f>
        <v>23.389999999999997</v>
      </c>
      <c r="D72" s="12">
        <f>RTD("rtdtrading.rtdserver",, "SULA11_B_0", "FEC")</f>
        <v>23.5</v>
      </c>
      <c r="E72" s="12">
        <f>RTD("rtdtrading.rtdserver",, "SULA11_B_0", "OCP")</f>
        <v>23.1</v>
      </c>
      <c r="F72" s="12">
        <f>RTD("rtdtrading.rtdserver",, "SULA11_B_0", "OVD")</f>
        <v>23.13</v>
      </c>
      <c r="G72" s="12">
        <f>RTD("rtdtrading.rtdserver",, "SULA11_B_0", "PRT")</f>
        <v>0</v>
      </c>
      <c r="H72" s="12">
        <v>0.7</v>
      </c>
    </row>
    <row r="73" spans="1:8" x14ac:dyDescent="0.25">
      <c r="A73" s="6" t="s">
        <v>142</v>
      </c>
      <c r="B73" s="12">
        <f>RTD("rtdtrading.rtdserver",, "SUZB3_B_0", "ULT")</f>
        <v>59.660000000000025</v>
      </c>
      <c r="C73" s="12">
        <f>RTD("rtdtrading.rtdserver",, "SUZB3_B_0", "ABE")</f>
        <v>59.39</v>
      </c>
      <c r="D73" s="12">
        <f>RTD("rtdtrading.rtdserver",, "SUZB3_B_0", "FEC")</f>
        <v>59.32</v>
      </c>
      <c r="E73" s="12">
        <f>RTD("rtdtrading.rtdserver",, "SUZB3_B_0", "OCP")</f>
        <v>59.660000000000004</v>
      </c>
      <c r="F73" s="12">
        <f>RTD("rtdtrading.rtdserver",, "SUZB3_B_0", "OVD")</f>
        <v>59.74</v>
      </c>
      <c r="G73" s="12">
        <f>RTD("rtdtrading.rtdserver",, "SUZB3_B_0", "PRT")</f>
        <v>0</v>
      </c>
      <c r="H73" s="12">
        <v>0.31</v>
      </c>
    </row>
    <row r="74" spans="1:8" x14ac:dyDescent="0.25">
      <c r="A74" s="6" t="s">
        <v>144</v>
      </c>
      <c r="B74" s="12">
        <f>RTD("rtdtrading.rtdserver",, "TAEE11_B_0", "ULT")</f>
        <v>36.250000000000021</v>
      </c>
      <c r="C74" s="12">
        <f>RTD("rtdtrading.rtdserver",, "TAEE11_B_0", "ABE")</f>
        <v>36.17</v>
      </c>
      <c r="D74" s="12">
        <f>RTD("rtdtrading.rtdserver",, "TAEE11_B_0", "FEC")</f>
        <v>36.11</v>
      </c>
      <c r="E74" s="12">
        <f>RTD("rtdtrading.rtdserver",, "TAEE11_B_0", "OCP")</f>
        <v>36.26</v>
      </c>
      <c r="F74" s="12">
        <f>RTD("rtdtrading.rtdserver",, "TAEE11_B_0", "OVD")</f>
        <v>36.28</v>
      </c>
      <c r="G74" s="12">
        <f>RTD("rtdtrading.rtdserver",, "TAEE11_B_0", "PRT")</f>
        <v>0</v>
      </c>
      <c r="H74" s="12">
        <v>0.21</v>
      </c>
    </row>
    <row r="75" spans="1:8" x14ac:dyDescent="0.25">
      <c r="A75" s="6" t="s">
        <v>146</v>
      </c>
      <c r="B75" s="12">
        <f>RTD("rtdtrading.rtdserver",, "TIMS3_B_0", "ULT")</f>
        <v>12.319999999999999</v>
      </c>
      <c r="C75" s="12">
        <f>RTD("rtdtrading.rtdserver",, "TIMS3_B_0", "ABE")</f>
        <v>12.3</v>
      </c>
      <c r="D75" s="12">
        <f>RTD("rtdtrading.rtdserver",, "TIMS3_B_0", "FEC")</f>
        <v>12.43</v>
      </c>
      <c r="E75" s="12">
        <f>RTD("rtdtrading.rtdserver",, "TIMS3_B_0", "OCP")</f>
        <v>12.32</v>
      </c>
      <c r="F75" s="12">
        <f>RTD("rtdtrading.rtdserver",, "TIMS3_B_0", "OVD")</f>
        <v>12.34</v>
      </c>
      <c r="G75" s="12">
        <f>RTD("rtdtrading.rtdserver",, "TIMS3_B_0", "PRT")</f>
        <v>0</v>
      </c>
      <c r="H75" s="12">
        <v>0.56999999999999995</v>
      </c>
    </row>
    <row r="76" spans="1:8" x14ac:dyDescent="0.25">
      <c r="A76" s="6" t="s">
        <v>148</v>
      </c>
      <c r="B76" s="12">
        <f>RTD("rtdtrading.rtdserver",, "TOTS3_B_0", "ULT")</f>
        <v>24.539999999999974</v>
      </c>
      <c r="C76" s="12">
        <f>RTD("rtdtrading.rtdserver",, "TOTS3_B_0", "ABE")</f>
        <v>24.919999999999998</v>
      </c>
      <c r="D76" s="12">
        <f>RTD("rtdtrading.rtdserver",, "TOTS3_B_0", "FEC")</f>
        <v>25.1</v>
      </c>
      <c r="E76" s="12">
        <f>RTD("rtdtrading.rtdserver",, "TOTS3_B_0", "OCP")</f>
        <v>24.55</v>
      </c>
      <c r="F76" s="12">
        <f>RTD("rtdtrading.rtdserver",, "TOTS3_B_0", "OVD")</f>
        <v>24.580000000000002</v>
      </c>
      <c r="G76" s="12">
        <f>RTD("rtdtrading.rtdserver",, "TOTS3_B_0", "PRT")</f>
        <v>0</v>
      </c>
      <c r="H76" s="12">
        <v>0.54</v>
      </c>
    </row>
    <row r="77" spans="1:8" x14ac:dyDescent="0.25">
      <c r="A77" s="6" t="s">
        <v>150</v>
      </c>
      <c r="B77" s="12">
        <f>RTD("rtdtrading.rtdserver",, "UGPA3_B_0", "ULT")</f>
        <v>12.810000000000002</v>
      </c>
      <c r="C77" s="12">
        <f>RTD("rtdtrading.rtdserver",, "UGPA3_B_0", "ABE")</f>
        <v>12.950000000000001</v>
      </c>
      <c r="D77" s="12">
        <f>RTD("rtdtrading.rtdserver",, "UGPA3_B_0", "FEC")</f>
        <v>12.950000000000001</v>
      </c>
      <c r="E77" s="12">
        <f>RTD("rtdtrading.rtdserver",, "UGPA3_B_0", "OCP")</f>
        <v>12.8</v>
      </c>
      <c r="F77" s="12">
        <f>RTD("rtdtrading.rtdserver",, "UGPA3_B_0", "OVD")</f>
        <v>12.83</v>
      </c>
      <c r="G77" s="12">
        <f>RTD("rtdtrading.rtdserver",, "UGPA3_B_0", "PRT")</f>
        <v>0</v>
      </c>
      <c r="H77" s="12">
        <v>1.32</v>
      </c>
    </row>
    <row r="78" spans="1:8" x14ac:dyDescent="0.25">
      <c r="A78" s="6" t="s">
        <v>152</v>
      </c>
      <c r="B78" s="12">
        <f>RTD("rtdtrading.rtdserver",, "USIM5_B_0", "ULT")</f>
        <v>14.37</v>
      </c>
      <c r="C78" s="12">
        <f>RTD("rtdtrading.rtdserver",, "USIM5_B_0", "ABE")</f>
        <v>14.32</v>
      </c>
      <c r="D78" s="12">
        <f>RTD("rtdtrading.rtdserver",, "USIM5_B_0", "FEC")</f>
        <v>14.680000000000001</v>
      </c>
      <c r="E78" s="12">
        <f>RTD("rtdtrading.rtdserver",, "USIM5_B_0", "OCP")</f>
        <v>14.36</v>
      </c>
      <c r="F78" s="12">
        <f>RTD("rtdtrading.rtdserver",, "USIM5_B_0", "OVD")</f>
        <v>14.370000000000001</v>
      </c>
      <c r="G78" s="12">
        <f>RTD("rtdtrading.rtdserver",, "USIM5_B_0", "PRT")</f>
        <v>0</v>
      </c>
      <c r="H78" s="12">
        <v>0.84</v>
      </c>
    </row>
    <row r="79" spans="1:8" x14ac:dyDescent="0.25">
      <c r="A79" s="6" t="s">
        <v>154</v>
      </c>
      <c r="B79" s="12">
        <f>RTD("rtdtrading.rtdserver",, "VALE3_B_0", "ULT")</f>
        <v>82.61</v>
      </c>
      <c r="C79" s="12">
        <f>RTD("rtdtrading.rtdserver",, "VALE3_B_0", "ABE")</f>
        <v>82.49</v>
      </c>
      <c r="D79" s="12">
        <f>RTD("rtdtrading.rtdserver",, "VALE3_B_0", "FEC")</f>
        <v>84</v>
      </c>
      <c r="E79" s="12">
        <f>RTD("rtdtrading.rtdserver",, "VALE3_B_0", "OCP")</f>
        <v>82.59</v>
      </c>
      <c r="F79" s="12">
        <f>RTD("rtdtrading.rtdserver",, "VALE3_B_0", "OVD")</f>
        <v>82.61</v>
      </c>
      <c r="G79" s="12">
        <f>RTD("rtdtrading.rtdserver",, "VALE3_B_0", "PRT")</f>
        <v>0</v>
      </c>
      <c r="H79" s="12">
        <v>0.7</v>
      </c>
    </row>
    <row r="80" spans="1:8" x14ac:dyDescent="0.25">
      <c r="A80" s="6" t="s">
        <v>262</v>
      </c>
      <c r="B80" s="12">
        <f>RTD("rtdtrading.rtdserver",, "VIVT3_B_0", "ULT")</f>
        <v>46.290000000000013</v>
      </c>
      <c r="C80" s="12">
        <f>RTD("rtdtrading.rtdserver",, "VIVT3_B_0", "ABE")</f>
        <v>46.230000000000004</v>
      </c>
      <c r="D80" s="12">
        <f>RTD("rtdtrading.rtdserver",, "VIVT3_B_0", "FEC")</f>
        <v>46.660000000000004</v>
      </c>
      <c r="E80" s="12">
        <f>RTD("rtdtrading.rtdserver",, "VIVT3_B_0", "OCP")</f>
        <v>46.25</v>
      </c>
      <c r="F80" s="12">
        <f>RTD("rtdtrading.rtdserver",, "VIVT3_B_0", "OVD")</f>
        <v>46.300000000000004</v>
      </c>
      <c r="G80" s="12">
        <f>RTD("rtdtrading.rtdserver",, "VIVT3_B_0", "PRT")</f>
        <v>0</v>
      </c>
      <c r="H80" s="12">
        <v>0.43</v>
      </c>
    </row>
    <row r="81" spans="1:8" x14ac:dyDescent="0.25">
      <c r="A81" s="6" t="s">
        <v>157</v>
      </c>
      <c r="B81" s="12">
        <f>RTD("rtdtrading.rtdserver",, "VVAR3_B_0", "ULT")</f>
        <v>0</v>
      </c>
      <c r="C81" s="12">
        <f>RTD("rtdtrading.rtdserver",, "VVAR3_B_0", "ABE")</f>
        <v>0</v>
      </c>
      <c r="D81" s="12">
        <f>RTD("rtdtrading.rtdserver",, "VVAR3_B_0", "FEC")</f>
        <v>0</v>
      </c>
      <c r="E81" s="12">
        <f>RTD("rtdtrading.rtdserver",, "VVAR3_B_0", "OCP")</f>
        <v>0</v>
      </c>
      <c r="F81" s="12">
        <f>RTD("rtdtrading.rtdserver",, "VVAR3_B_0", "OVD")</f>
        <v>0</v>
      </c>
      <c r="G81" s="12">
        <f>RTD("rtdtrading.rtdserver",, "VVAR3_B_0", "PRT")</f>
        <v>0</v>
      </c>
      <c r="H81" s="12">
        <v>1.18</v>
      </c>
    </row>
    <row r="82" spans="1:8" x14ac:dyDescent="0.25">
      <c r="A82" s="6" t="s">
        <v>159</v>
      </c>
      <c r="B82" s="12">
        <f>RTD("rtdtrading.rtdserver",, "WEGE3_B_0", "ULT")</f>
        <v>29.16999999999998</v>
      </c>
      <c r="C82" s="12">
        <f>RTD("rtdtrading.rtdserver",, "WEGE3_B_0", "ABE")</f>
        <v>29.31</v>
      </c>
      <c r="D82" s="12">
        <f>RTD("rtdtrading.rtdserver",, "WEGE3_B_0", "FEC")</f>
        <v>29.41</v>
      </c>
      <c r="E82" s="12">
        <f>RTD("rtdtrading.rtdserver",, "WEGE3_B_0", "OCP")</f>
        <v>29.150000000000002</v>
      </c>
      <c r="F82" s="12">
        <f>RTD("rtdtrading.rtdserver",, "WEGE3_B_0", "OVD")</f>
        <v>29.17</v>
      </c>
      <c r="G82" s="12">
        <f>RTD("rtdtrading.rtdserver",, "WEGE3_B_0", "PRT")</f>
        <v>0</v>
      </c>
      <c r="H82" s="12">
        <v>0.8</v>
      </c>
    </row>
    <row r="83" spans="1:8" x14ac:dyDescent="0.25">
      <c r="A83" s="7"/>
    </row>
    <row r="84" spans="1:8" x14ac:dyDescent="0.25">
      <c r="A84" s="7"/>
    </row>
    <row r="85" spans="1:8" x14ac:dyDescent="0.25">
      <c r="A85" s="7"/>
    </row>
    <row r="86" spans="1:8" x14ac:dyDescent="0.25">
      <c r="A86" s="7"/>
    </row>
    <row r="87" spans="1:8" x14ac:dyDescent="0.25">
      <c r="A87" s="7"/>
    </row>
    <row r="88" spans="1:8" x14ac:dyDescent="0.25">
      <c r="A88" s="7"/>
    </row>
    <row r="89" spans="1:8" x14ac:dyDescent="0.25">
      <c r="A89" s="7"/>
    </row>
    <row r="90" spans="1:8" x14ac:dyDescent="0.25">
      <c r="A90" s="7"/>
    </row>
    <row r="91" spans="1:8" x14ac:dyDescent="0.25">
      <c r="A91" s="7"/>
    </row>
    <row r="92" spans="1:8" x14ac:dyDescent="0.25">
      <c r="A92" s="7"/>
    </row>
    <row r="93" spans="1:8" x14ac:dyDescent="0.25">
      <c r="A93" s="7"/>
    </row>
    <row r="94" spans="1:8" x14ac:dyDescent="0.25">
      <c r="A94" s="7"/>
    </row>
    <row r="95" spans="1:8" x14ac:dyDescent="0.25">
      <c r="A95" s="7"/>
    </row>
    <row r="96" spans="1:8" x14ac:dyDescent="0.25">
      <c r="A96" s="95"/>
    </row>
    <row r="97" spans="1:1" x14ac:dyDescent="0.25">
      <c r="A97" s="95"/>
    </row>
    <row r="98" spans="1:1" x14ac:dyDescent="0.25">
      <c r="A98" s="95"/>
    </row>
    <row r="99" spans="1:1" x14ac:dyDescent="0.25">
      <c r="A99" s="95"/>
    </row>
    <row r="100" spans="1:1" x14ac:dyDescent="0.25">
      <c r="A100" s="95"/>
    </row>
    <row r="101" spans="1:1" x14ac:dyDescent="0.25">
      <c r="A101" s="95"/>
    </row>
  </sheetData>
  <sortState xmlns:xlrd2="http://schemas.microsoft.com/office/spreadsheetml/2017/richdata2" ref="A2:G80">
    <sortCondition ref="A2:A8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17C44-31B1-41A1-BAD5-889E7657CE86}">
  <sheetPr codeName="Planilha7">
    <tabColor theme="0" tint="-0.499984740745262"/>
  </sheetPr>
  <dimension ref="A1:B3682"/>
  <sheetViews>
    <sheetView workbookViewId="0">
      <selection activeCell="A2" sqref="A2:XFD2"/>
    </sheetView>
  </sheetViews>
  <sheetFormatPr defaultColWidth="8.7109375" defaultRowHeight="15" x14ac:dyDescent="0.25"/>
  <cols>
    <col min="1" max="2" width="8.7109375" style="11"/>
    <col min="3" max="16384" width="8.7109375" style="7"/>
  </cols>
  <sheetData>
    <row r="1" spans="1:2" x14ac:dyDescent="0.25">
      <c r="A1" s="189" t="s">
        <v>173</v>
      </c>
      <c r="B1" s="189"/>
    </row>
    <row r="2" spans="1:2" x14ac:dyDescent="0.25">
      <c r="A2" s="10">
        <v>1</v>
      </c>
      <c r="B2" s="9">
        <v>1.913667</v>
      </c>
    </row>
    <row r="3" spans="1:2" x14ac:dyDescent="0.25">
      <c r="A3" s="10">
        <v>2</v>
      </c>
      <c r="B3" s="9">
        <v>1.9139999999999999</v>
      </c>
    </row>
    <row r="4" spans="1:2" x14ac:dyDescent="0.25">
      <c r="A4" s="10">
        <v>3</v>
      </c>
      <c r="B4" s="9">
        <v>1.9143330000000001</v>
      </c>
    </row>
    <row r="5" spans="1:2" x14ac:dyDescent="0.25">
      <c r="A5" s="10">
        <v>4</v>
      </c>
      <c r="B5" s="9">
        <v>1.9146669999999999</v>
      </c>
    </row>
    <row r="6" spans="1:2" x14ac:dyDescent="0.25">
      <c r="A6" s="10">
        <v>5</v>
      </c>
      <c r="B6" s="9">
        <v>1.915</v>
      </c>
    </row>
    <row r="7" spans="1:2" x14ac:dyDescent="0.25">
      <c r="A7" s="10">
        <v>6</v>
      </c>
      <c r="B7" s="9">
        <v>1.915333</v>
      </c>
    </row>
    <row r="8" spans="1:2" x14ac:dyDescent="0.25">
      <c r="A8" s="10">
        <v>7</v>
      </c>
      <c r="B8" s="9">
        <v>1.915667</v>
      </c>
    </row>
    <row r="9" spans="1:2" x14ac:dyDescent="0.25">
      <c r="A9" s="10">
        <v>8</v>
      </c>
      <c r="B9" s="9">
        <v>1.9159999999999999</v>
      </c>
    </row>
    <row r="10" spans="1:2" x14ac:dyDescent="0.25">
      <c r="A10" s="10">
        <v>9</v>
      </c>
      <c r="B10" s="9">
        <v>1.9163330000000001</v>
      </c>
    </row>
    <row r="11" spans="1:2" x14ac:dyDescent="0.25">
      <c r="A11" s="10">
        <v>10</v>
      </c>
      <c r="B11" s="9">
        <v>1.9166669999999999</v>
      </c>
    </row>
    <row r="12" spans="1:2" x14ac:dyDescent="0.25">
      <c r="A12" s="10">
        <v>11</v>
      </c>
      <c r="B12" s="9">
        <v>1.917</v>
      </c>
    </row>
    <row r="13" spans="1:2" x14ac:dyDescent="0.25">
      <c r="A13" s="10">
        <v>12</v>
      </c>
      <c r="B13" s="9">
        <v>1.917333</v>
      </c>
    </row>
    <row r="14" spans="1:2" x14ac:dyDescent="0.25">
      <c r="A14" s="10">
        <v>13</v>
      </c>
      <c r="B14" s="9">
        <v>1.917667</v>
      </c>
    </row>
    <row r="15" spans="1:2" x14ac:dyDescent="0.25">
      <c r="A15" s="10">
        <v>14</v>
      </c>
      <c r="B15" s="9">
        <v>1.9179999999999999</v>
      </c>
    </row>
    <row r="16" spans="1:2" x14ac:dyDescent="0.25">
      <c r="A16" s="10">
        <v>15</v>
      </c>
      <c r="B16" s="9">
        <v>1.9183330000000001</v>
      </c>
    </row>
    <row r="17" spans="1:2" x14ac:dyDescent="0.25">
      <c r="A17" s="10">
        <v>16</v>
      </c>
      <c r="B17" s="9">
        <v>1.9186669999999999</v>
      </c>
    </row>
    <row r="18" spans="1:2" x14ac:dyDescent="0.25">
      <c r="A18" s="10">
        <v>17</v>
      </c>
      <c r="B18" s="9">
        <v>1.919</v>
      </c>
    </row>
    <row r="19" spans="1:2" x14ac:dyDescent="0.25">
      <c r="A19" s="10">
        <v>18</v>
      </c>
      <c r="B19" s="9">
        <v>1.919333</v>
      </c>
    </row>
    <row r="20" spans="1:2" x14ac:dyDescent="0.25">
      <c r="A20" s="10">
        <v>19</v>
      </c>
      <c r="B20" s="9">
        <v>1.919667</v>
      </c>
    </row>
    <row r="21" spans="1:2" x14ac:dyDescent="0.25">
      <c r="A21" s="10">
        <v>20</v>
      </c>
      <c r="B21" s="9">
        <v>1.92</v>
      </c>
    </row>
    <row r="22" spans="1:2" x14ac:dyDescent="0.25">
      <c r="A22" s="10">
        <v>21</v>
      </c>
      <c r="B22" s="9">
        <v>1.9203330000000001</v>
      </c>
    </row>
    <row r="23" spans="1:2" x14ac:dyDescent="0.25">
      <c r="A23" s="10">
        <v>22</v>
      </c>
      <c r="B23" s="9">
        <v>1.9206669999999999</v>
      </c>
    </row>
    <row r="24" spans="1:2" x14ac:dyDescent="0.25">
      <c r="A24" s="10">
        <v>23</v>
      </c>
      <c r="B24" s="9">
        <v>1.921</v>
      </c>
    </row>
    <row r="25" spans="1:2" x14ac:dyDescent="0.25">
      <c r="A25" s="10">
        <v>24</v>
      </c>
      <c r="B25" s="9">
        <v>1.921333</v>
      </c>
    </row>
    <row r="26" spans="1:2" x14ac:dyDescent="0.25">
      <c r="A26" s="10">
        <v>25</v>
      </c>
      <c r="B26" s="9">
        <v>1.921667</v>
      </c>
    </row>
    <row r="27" spans="1:2" x14ac:dyDescent="0.25">
      <c r="A27" s="10">
        <v>26</v>
      </c>
      <c r="B27" s="9">
        <v>1.9219999999999999</v>
      </c>
    </row>
    <row r="28" spans="1:2" x14ac:dyDescent="0.25">
      <c r="A28" s="10">
        <v>27</v>
      </c>
      <c r="B28" s="9">
        <v>1.9223330000000001</v>
      </c>
    </row>
    <row r="29" spans="1:2" x14ac:dyDescent="0.25">
      <c r="A29" s="10">
        <v>28</v>
      </c>
      <c r="B29" s="9">
        <v>1.9226669999999999</v>
      </c>
    </row>
    <row r="30" spans="1:2" x14ac:dyDescent="0.25">
      <c r="A30" s="10">
        <v>29</v>
      </c>
      <c r="B30" s="9">
        <v>1.923</v>
      </c>
    </row>
    <row r="31" spans="1:2" x14ac:dyDescent="0.25">
      <c r="A31" s="10">
        <v>30</v>
      </c>
      <c r="B31" s="9">
        <v>1.923333</v>
      </c>
    </row>
    <row r="32" spans="1:2" x14ac:dyDescent="0.25">
      <c r="A32" s="10">
        <v>31</v>
      </c>
      <c r="B32" s="9">
        <v>1.923667</v>
      </c>
    </row>
    <row r="33" spans="1:2" x14ac:dyDescent="0.25">
      <c r="A33" s="10">
        <v>32</v>
      </c>
      <c r="B33" s="9">
        <v>1.9239999999999999</v>
      </c>
    </row>
    <row r="34" spans="1:2" x14ac:dyDescent="0.25">
      <c r="A34" s="10">
        <v>33</v>
      </c>
      <c r="B34" s="9">
        <v>1.9243330000000001</v>
      </c>
    </row>
    <row r="35" spans="1:2" x14ac:dyDescent="0.25">
      <c r="A35" s="10">
        <v>34</v>
      </c>
      <c r="B35" s="9">
        <v>1.9246669999999999</v>
      </c>
    </row>
    <row r="36" spans="1:2" x14ac:dyDescent="0.25">
      <c r="A36" s="10">
        <v>35</v>
      </c>
      <c r="B36" s="9">
        <v>1.925</v>
      </c>
    </row>
    <row r="37" spans="1:2" x14ac:dyDescent="0.25">
      <c r="A37" s="10">
        <v>36</v>
      </c>
      <c r="B37" s="9">
        <v>1.925333</v>
      </c>
    </row>
    <row r="38" spans="1:2" x14ac:dyDescent="0.25">
      <c r="A38" s="10">
        <v>37</v>
      </c>
      <c r="B38" s="9">
        <v>1.925667</v>
      </c>
    </row>
    <row r="39" spans="1:2" x14ac:dyDescent="0.25">
      <c r="A39" s="10">
        <v>38</v>
      </c>
      <c r="B39" s="9">
        <v>1.9259999999999999</v>
      </c>
    </row>
    <row r="40" spans="1:2" x14ac:dyDescent="0.25">
      <c r="A40" s="10">
        <v>39</v>
      </c>
      <c r="B40" s="9">
        <v>1.927044</v>
      </c>
    </row>
    <row r="41" spans="1:2" x14ac:dyDescent="0.25">
      <c r="A41" s="10">
        <v>40</v>
      </c>
      <c r="B41" s="9">
        <v>1.9280870000000001</v>
      </c>
    </row>
    <row r="42" spans="1:2" x14ac:dyDescent="0.25">
      <c r="A42" s="10">
        <v>41</v>
      </c>
      <c r="B42" s="9">
        <v>1.92913</v>
      </c>
    </row>
    <row r="43" spans="1:2" x14ac:dyDescent="0.25">
      <c r="A43" s="10">
        <v>42</v>
      </c>
      <c r="B43" s="9">
        <v>1.9301740000000001</v>
      </c>
    </row>
    <row r="44" spans="1:2" x14ac:dyDescent="0.25">
      <c r="A44" s="10">
        <v>43</v>
      </c>
      <c r="B44" s="9">
        <v>1.931217</v>
      </c>
    </row>
    <row r="45" spans="1:2" x14ac:dyDescent="0.25">
      <c r="A45" s="10">
        <v>44</v>
      </c>
      <c r="B45" s="9">
        <v>1.932261</v>
      </c>
    </row>
    <row r="46" spans="1:2" x14ac:dyDescent="0.25">
      <c r="A46" s="10">
        <v>45</v>
      </c>
      <c r="B46" s="9">
        <v>1.9333039999999999</v>
      </c>
    </row>
    <row r="47" spans="1:2" x14ac:dyDescent="0.25">
      <c r="A47" s="10">
        <v>46</v>
      </c>
      <c r="B47" s="9">
        <v>1.934348</v>
      </c>
    </row>
    <row r="48" spans="1:2" x14ac:dyDescent="0.25">
      <c r="A48" s="10">
        <v>47</v>
      </c>
      <c r="B48" s="9">
        <v>1.9353910000000001</v>
      </c>
    </row>
    <row r="49" spans="1:2" x14ac:dyDescent="0.25">
      <c r="A49" s="10">
        <v>48</v>
      </c>
      <c r="B49" s="9">
        <v>1.9364349999999999</v>
      </c>
    </row>
    <row r="50" spans="1:2" x14ac:dyDescent="0.25">
      <c r="A50" s="10">
        <v>49</v>
      </c>
      <c r="B50" s="9">
        <v>1.937478</v>
      </c>
    </row>
    <row r="51" spans="1:2" x14ac:dyDescent="0.25">
      <c r="A51" s="10">
        <v>50</v>
      </c>
      <c r="B51" s="9">
        <v>1.9385220000000001</v>
      </c>
    </row>
    <row r="52" spans="1:2" x14ac:dyDescent="0.25">
      <c r="A52" s="10">
        <v>51</v>
      </c>
      <c r="B52" s="9">
        <v>1.939565</v>
      </c>
    </row>
    <row r="53" spans="1:2" x14ac:dyDescent="0.25">
      <c r="A53" s="10">
        <v>52</v>
      </c>
      <c r="B53" s="9">
        <v>1.940609</v>
      </c>
    </row>
    <row r="54" spans="1:2" x14ac:dyDescent="0.25">
      <c r="A54" s="10">
        <v>53</v>
      </c>
      <c r="B54" s="9">
        <v>1.9416519999999999</v>
      </c>
    </row>
    <row r="55" spans="1:2" x14ac:dyDescent="0.25">
      <c r="A55" s="10">
        <v>54</v>
      </c>
      <c r="B55" s="9">
        <v>1.942696</v>
      </c>
    </row>
    <row r="56" spans="1:2" x14ac:dyDescent="0.25">
      <c r="A56" s="10">
        <v>55</v>
      </c>
      <c r="B56" s="9">
        <v>1.9437390000000001</v>
      </c>
    </row>
    <row r="57" spans="1:2" x14ac:dyDescent="0.25">
      <c r="A57" s="10">
        <v>56</v>
      </c>
      <c r="B57" s="9">
        <v>1.9447829999999999</v>
      </c>
    </row>
    <row r="58" spans="1:2" x14ac:dyDescent="0.25">
      <c r="A58" s="10">
        <v>57</v>
      </c>
      <c r="B58" s="9">
        <v>1.9458260000000001</v>
      </c>
    </row>
    <row r="59" spans="1:2" x14ac:dyDescent="0.25">
      <c r="A59" s="10">
        <v>58</v>
      </c>
      <c r="B59" s="9">
        <v>1.9468700000000001</v>
      </c>
    </row>
    <row r="60" spans="1:2" x14ac:dyDescent="0.25">
      <c r="A60" s="10">
        <v>59</v>
      </c>
      <c r="B60" s="9">
        <v>1.947913</v>
      </c>
    </row>
    <row r="61" spans="1:2" x14ac:dyDescent="0.25">
      <c r="A61" s="10">
        <v>60</v>
      </c>
      <c r="B61" s="9">
        <v>1.9489570000000001</v>
      </c>
    </row>
    <row r="62" spans="1:2" x14ac:dyDescent="0.25">
      <c r="A62" s="10">
        <v>61</v>
      </c>
      <c r="B62" s="9">
        <v>1.95</v>
      </c>
    </row>
    <row r="63" spans="1:2" x14ac:dyDescent="0.25">
      <c r="A63" s="10">
        <v>62</v>
      </c>
      <c r="B63" s="9">
        <v>1.95225</v>
      </c>
    </row>
    <row r="64" spans="1:2" x14ac:dyDescent="0.25">
      <c r="A64" s="10">
        <v>63</v>
      </c>
      <c r="B64" s="9">
        <v>1.9544999999999999</v>
      </c>
    </row>
    <row r="65" spans="1:2" x14ac:dyDescent="0.25">
      <c r="A65" s="10">
        <v>64</v>
      </c>
      <c r="B65" s="9">
        <v>1.95675</v>
      </c>
    </row>
    <row r="66" spans="1:2" x14ac:dyDescent="0.25">
      <c r="A66" s="10">
        <v>65</v>
      </c>
      <c r="B66" s="9">
        <v>1.9590000000000001</v>
      </c>
    </row>
    <row r="67" spans="1:2" x14ac:dyDescent="0.25">
      <c r="A67" s="10">
        <v>66</v>
      </c>
      <c r="B67" s="9">
        <v>1.9612499999999999</v>
      </c>
    </row>
    <row r="68" spans="1:2" x14ac:dyDescent="0.25">
      <c r="A68" s="10">
        <v>67</v>
      </c>
      <c r="B68" s="9">
        <v>1.9635</v>
      </c>
    </row>
    <row r="69" spans="1:2" x14ac:dyDescent="0.25">
      <c r="A69" s="10">
        <v>68</v>
      </c>
      <c r="B69" s="9">
        <v>1.9657500000000001</v>
      </c>
    </row>
    <row r="70" spans="1:2" x14ac:dyDescent="0.25">
      <c r="A70" s="10">
        <v>69</v>
      </c>
      <c r="B70" s="9">
        <v>1.968</v>
      </c>
    </row>
    <row r="71" spans="1:2" x14ac:dyDescent="0.25">
      <c r="A71" s="10">
        <v>70</v>
      </c>
      <c r="B71" s="9">
        <v>1.9702500000000001</v>
      </c>
    </row>
    <row r="72" spans="1:2" x14ac:dyDescent="0.25">
      <c r="A72" s="10">
        <v>71</v>
      </c>
      <c r="B72" s="9">
        <v>1.9724999999999999</v>
      </c>
    </row>
    <row r="73" spans="1:2" x14ac:dyDescent="0.25">
      <c r="A73" s="10">
        <v>72</v>
      </c>
      <c r="B73" s="9">
        <v>1.97475</v>
      </c>
    </row>
    <row r="74" spans="1:2" x14ac:dyDescent="0.25">
      <c r="A74" s="10">
        <v>73</v>
      </c>
      <c r="B74" s="9">
        <v>1.9770000000000001</v>
      </c>
    </row>
    <row r="75" spans="1:2" x14ac:dyDescent="0.25">
      <c r="A75" s="10">
        <v>74</v>
      </c>
      <c r="B75" s="9">
        <v>1.97925</v>
      </c>
    </row>
    <row r="76" spans="1:2" x14ac:dyDescent="0.25">
      <c r="A76" s="10">
        <v>75</v>
      </c>
      <c r="B76" s="9">
        <v>1.9815</v>
      </c>
    </row>
    <row r="77" spans="1:2" x14ac:dyDescent="0.25">
      <c r="A77" s="10">
        <v>76</v>
      </c>
      <c r="B77" s="9">
        <v>1.9837499999999999</v>
      </c>
    </row>
    <row r="78" spans="1:2" x14ac:dyDescent="0.25">
      <c r="A78" s="10">
        <v>77</v>
      </c>
      <c r="B78" s="9">
        <v>1.986</v>
      </c>
    </row>
    <row r="79" spans="1:2" x14ac:dyDescent="0.25">
      <c r="A79" s="10">
        <v>78</v>
      </c>
      <c r="B79" s="9">
        <v>1.9882500000000001</v>
      </c>
    </row>
    <row r="80" spans="1:2" x14ac:dyDescent="0.25">
      <c r="A80" s="10">
        <v>79</v>
      </c>
      <c r="B80" s="9">
        <v>1.9904999999999999</v>
      </c>
    </row>
    <row r="81" spans="1:2" x14ac:dyDescent="0.25">
      <c r="A81" s="10">
        <v>80</v>
      </c>
      <c r="B81" s="9">
        <v>1.99275</v>
      </c>
    </row>
    <row r="82" spans="1:2" x14ac:dyDescent="0.25">
      <c r="A82" s="10">
        <v>81</v>
      </c>
      <c r="B82" s="9">
        <v>1.9950000000000001</v>
      </c>
    </row>
    <row r="83" spans="1:2" x14ac:dyDescent="0.25">
      <c r="A83" s="10">
        <v>82</v>
      </c>
      <c r="B83" s="9">
        <v>1.9969049999999999</v>
      </c>
    </row>
    <row r="84" spans="1:2" x14ac:dyDescent="0.25">
      <c r="A84" s="10">
        <v>83</v>
      </c>
      <c r="B84" s="9">
        <v>1.99881</v>
      </c>
    </row>
    <row r="85" spans="1:2" x14ac:dyDescent="0.25">
      <c r="A85" s="10">
        <v>84</v>
      </c>
      <c r="B85" s="9">
        <v>2.0007139999999999</v>
      </c>
    </row>
    <row r="86" spans="1:2" x14ac:dyDescent="0.25">
      <c r="A86" s="10">
        <v>85</v>
      </c>
      <c r="B86" s="9">
        <v>2.0026190000000001</v>
      </c>
    </row>
    <row r="87" spans="1:2" x14ac:dyDescent="0.25">
      <c r="A87" s="10">
        <v>86</v>
      </c>
      <c r="B87" s="9">
        <v>2.004524</v>
      </c>
    </row>
    <row r="88" spans="1:2" x14ac:dyDescent="0.25">
      <c r="A88" s="10">
        <v>87</v>
      </c>
      <c r="B88" s="9">
        <v>2.0064289999999998</v>
      </c>
    </row>
    <row r="89" spans="1:2" x14ac:dyDescent="0.25">
      <c r="A89" s="10">
        <v>88</v>
      </c>
      <c r="B89" s="9">
        <v>2.0083329999999999</v>
      </c>
    </row>
    <row r="90" spans="1:2" x14ac:dyDescent="0.25">
      <c r="A90" s="10">
        <v>89</v>
      </c>
      <c r="B90" s="9">
        <v>2.0102380000000002</v>
      </c>
    </row>
    <row r="91" spans="1:2" x14ac:dyDescent="0.25">
      <c r="A91" s="10">
        <v>90</v>
      </c>
      <c r="B91" s="9">
        <v>2.012143</v>
      </c>
    </row>
    <row r="92" spans="1:2" x14ac:dyDescent="0.25">
      <c r="A92" s="10">
        <v>91</v>
      </c>
      <c r="B92" s="9">
        <v>2.0140479999999998</v>
      </c>
    </row>
    <row r="93" spans="1:2" x14ac:dyDescent="0.25">
      <c r="A93" s="10">
        <v>92</v>
      </c>
      <c r="B93" s="9">
        <v>2.015952</v>
      </c>
    </row>
    <row r="94" spans="1:2" x14ac:dyDescent="0.25">
      <c r="A94" s="10">
        <v>93</v>
      </c>
      <c r="B94" s="9">
        <v>2.0178569999999998</v>
      </c>
    </row>
    <row r="95" spans="1:2" x14ac:dyDescent="0.25">
      <c r="A95" s="10">
        <v>94</v>
      </c>
      <c r="B95" s="9">
        <v>2.0197620000000001</v>
      </c>
    </row>
    <row r="96" spans="1:2" x14ac:dyDescent="0.25">
      <c r="A96" s="10">
        <v>95</v>
      </c>
      <c r="B96" s="9">
        <v>2.0216669999999999</v>
      </c>
    </row>
    <row r="97" spans="1:2" x14ac:dyDescent="0.25">
      <c r="A97" s="10">
        <v>96</v>
      </c>
      <c r="B97" s="9">
        <v>2.023571</v>
      </c>
    </row>
    <row r="98" spans="1:2" x14ac:dyDescent="0.25">
      <c r="A98" s="10">
        <v>97</v>
      </c>
      <c r="B98" s="9">
        <v>2.0254759999999998</v>
      </c>
    </row>
    <row r="99" spans="1:2" x14ac:dyDescent="0.25">
      <c r="A99" s="10">
        <v>98</v>
      </c>
      <c r="B99" s="9">
        <v>2.0273810000000001</v>
      </c>
    </row>
    <row r="100" spans="1:2" x14ac:dyDescent="0.25">
      <c r="A100" s="10">
        <v>99</v>
      </c>
      <c r="B100" s="9">
        <v>2.0292859999999999</v>
      </c>
    </row>
    <row r="101" spans="1:2" x14ac:dyDescent="0.25">
      <c r="A101" s="10">
        <v>100</v>
      </c>
      <c r="B101" s="9">
        <v>2.0311910000000002</v>
      </c>
    </row>
    <row r="102" spans="1:2" x14ac:dyDescent="0.25">
      <c r="A102" s="10">
        <v>101</v>
      </c>
      <c r="B102" s="9">
        <v>2.0330949999999999</v>
      </c>
    </row>
    <row r="103" spans="1:2" x14ac:dyDescent="0.25">
      <c r="A103" s="10">
        <v>102</v>
      </c>
      <c r="B103" s="9">
        <v>2.0350000000000001</v>
      </c>
    </row>
    <row r="104" spans="1:2" x14ac:dyDescent="0.25">
      <c r="A104" s="10">
        <v>103</v>
      </c>
      <c r="B104" s="9">
        <v>2.036905</v>
      </c>
    </row>
    <row r="105" spans="1:2" x14ac:dyDescent="0.25">
      <c r="A105" s="10">
        <v>104</v>
      </c>
      <c r="B105" s="9">
        <v>2.0388099999999998</v>
      </c>
    </row>
    <row r="106" spans="1:2" x14ac:dyDescent="0.25">
      <c r="A106" s="10">
        <v>105</v>
      </c>
      <c r="B106" s="9">
        <v>2.0407139999999999</v>
      </c>
    </row>
    <row r="107" spans="1:2" x14ac:dyDescent="0.25">
      <c r="A107" s="10">
        <v>106</v>
      </c>
      <c r="B107" s="9">
        <v>2.0426190000000002</v>
      </c>
    </row>
    <row r="108" spans="1:2" x14ac:dyDescent="0.25">
      <c r="A108" s="10">
        <v>107</v>
      </c>
      <c r="B108" s="9">
        <v>2.044524</v>
      </c>
    </row>
    <row r="109" spans="1:2" x14ac:dyDescent="0.25">
      <c r="A109" s="10">
        <v>108</v>
      </c>
      <c r="B109" s="9">
        <v>2.0464289999999998</v>
      </c>
    </row>
    <row r="110" spans="1:2" x14ac:dyDescent="0.25">
      <c r="A110" s="10">
        <v>109</v>
      </c>
      <c r="B110" s="9">
        <v>2.048333</v>
      </c>
    </row>
    <row r="111" spans="1:2" x14ac:dyDescent="0.25">
      <c r="A111" s="10">
        <v>110</v>
      </c>
      <c r="B111" s="9">
        <v>2.0502379999999998</v>
      </c>
    </row>
    <row r="112" spans="1:2" x14ac:dyDescent="0.25">
      <c r="A112" s="10">
        <v>111</v>
      </c>
      <c r="B112" s="9">
        <v>2.0521430000000001</v>
      </c>
    </row>
    <row r="113" spans="1:2" x14ac:dyDescent="0.25">
      <c r="A113" s="10">
        <v>112</v>
      </c>
      <c r="B113" s="9">
        <v>2.0540479999999999</v>
      </c>
    </row>
    <row r="114" spans="1:2" x14ac:dyDescent="0.25">
      <c r="A114" s="10">
        <v>113</v>
      </c>
      <c r="B114" s="9">
        <v>2.0559530000000001</v>
      </c>
    </row>
    <row r="115" spans="1:2" x14ac:dyDescent="0.25">
      <c r="A115" s="10">
        <v>114</v>
      </c>
      <c r="B115" s="9">
        <v>2.0578569999999998</v>
      </c>
    </row>
    <row r="116" spans="1:2" x14ac:dyDescent="0.25">
      <c r="A116" s="10">
        <v>115</v>
      </c>
      <c r="B116" s="9">
        <v>2.0597620000000001</v>
      </c>
    </row>
    <row r="117" spans="1:2" x14ac:dyDescent="0.25">
      <c r="A117" s="10">
        <v>116</v>
      </c>
      <c r="B117" s="9">
        <v>2.0616669999999999</v>
      </c>
    </row>
    <row r="118" spans="1:2" x14ac:dyDescent="0.25">
      <c r="A118" s="10">
        <v>117</v>
      </c>
      <c r="B118" s="9">
        <v>2.063571</v>
      </c>
    </row>
    <row r="119" spans="1:2" x14ac:dyDescent="0.25">
      <c r="A119" s="10">
        <v>118</v>
      </c>
      <c r="B119" s="9">
        <v>2.0654759999999999</v>
      </c>
    </row>
    <row r="120" spans="1:2" x14ac:dyDescent="0.25">
      <c r="A120" s="10">
        <v>119</v>
      </c>
      <c r="B120" s="9">
        <v>2.0673810000000001</v>
      </c>
    </row>
    <row r="121" spans="1:2" x14ac:dyDescent="0.25">
      <c r="A121" s="10">
        <v>120</v>
      </c>
      <c r="B121" s="9">
        <v>2.069286</v>
      </c>
    </row>
    <row r="122" spans="1:2" x14ac:dyDescent="0.25">
      <c r="A122" s="10">
        <v>121</v>
      </c>
      <c r="B122" s="9">
        <v>2.0711909999999998</v>
      </c>
    </row>
    <row r="123" spans="1:2" x14ac:dyDescent="0.25">
      <c r="A123" s="10">
        <v>122</v>
      </c>
      <c r="B123" s="9">
        <v>2.0730949999999999</v>
      </c>
    </row>
    <row r="124" spans="1:2" x14ac:dyDescent="0.25">
      <c r="A124" s="10">
        <v>123</v>
      </c>
      <c r="B124" s="9">
        <v>2.0750000000000002</v>
      </c>
    </row>
    <row r="125" spans="1:2" x14ac:dyDescent="0.25">
      <c r="A125" s="10">
        <v>124</v>
      </c>
      <c r="B125" s="9">
        <v>2.0806819999999999</v>
      </c>
    </row>
    <row r="126" spans="1:2" x14ac:dyDescent="0.25">
      <c r="A126" s="10">
        <v>125</v>
      </c>
      <c r="B126" s="9">
        <v>2.0863640000000001</v>
      </c>
    </row>
    <row r="127" spans="1:2" x14ac:dyDescent="0.25">
      <c r="A127" s="10">
        <v>126</v>
      </c>
      <c r="B127" s="9">
        <v>2.0920450000000002</v>
      </c>
    </row>
    <row r="128" spans="1:2" x14ac:dyDescent="0.25">
      <c r="A128" s="10">
        <v>127</v>
      </c>
      <c r="B128" s="9">
        <v>2.0977269999999999</v>
      </c>
    </row>
    <row r="129" spans="1:2" x14ac:dyDescent="0.25">
      <c r="A129" s="10">
        <v>128</v>
      </c>
      <c r="B129" s="9">
        <v>2.1034090000000001</v>
      </c>
    </row>
    <row r="130" spans="1:2" x14ac:dyDescent="0.25">
      <c r="A130" s="10">
        <v>129</v>
      </c>
      <c r="B130" s="9">
        <v>2.1090909999999998</v>
      </c>
    </row>
    <row r="131" spans="1:2" x14ac:dyDescent="0.25">
      <c r="A131" s="10">
        <v>130</v>
      </c>
      <c r="B131" s="9">
        <v>2.114773</v>
      </c>
    </row>
    <row r="132" spans="1:2" x14ac:dyDescent="0.25">
      <c r="A132" s="10">
        <v>131</v>
      </c>
      <c r="B132" s="9">
        <v>2.1204550000000002</v>
      </c>
    </row>
    <row r="133" spans="1:2" x14ac:dyDescent="0.25">
      <c r="A133" s="10">
        <v>132</v>
      </c>
      <c r="B133" s="9">
        <v>2.1261359999999998</v>
      </c>
    </row>
    <row r="134" spans="1:2" x14ac:dyDescent="0.25">
      <c r="A134" s="10">
        <v>133</v>
      </c>
      <c r="B134" s="9">
        <v>2.131818</v>
      </c>
    </row>
    <row r="135" spans="1:2" x14ac:dyDescent="0.25">
      <c r="A135" s="10">
        <v>134</v>
      </c>
      <c r="B135" s="9">
        <v>2.1375000000000002</v>
      </c>
    </row>
    <row r="136" spans="1:2" x14ac:dyDescent="0.25">
      <c r="A136" s="10">
        <v>135</v>
      </c>
      <c r="B136" s="9">
        <v>2.1431819999999999</v>
      </c>
    </row>
    <row r="137" spans="1:2" x14ac:dyDescent="0.25">
      <c r="A137" s="10">
        <v>136</v>
      </c>
      <c r="B137" s="9">
        <v>2.1488640000000001</v>
      </c>
    </row>
    <row r="138" spans="1:2" x14ac:dyDescent="0.25">
      <c r="A138" s="10">
        <v>137</v>
      </c>
      <c r="B138" s="9">
        <v>2.1545450000000002</v>
      </c>
    </row>
    <row r="139" spans="1:2" x14ac:dyDescent="0.25">
      <c r="A139" s="10">
        <v>138</v>
      </c>
      <c r="B139" s="9">
        <v>2.1602269999999999</v>
      </c>
    </row>
    <row r="140" spans="1:2" x14ac:dyDescent="0.25">
      <c r="A140" s="10">
        <v>139</v>
      </c>
      <c r="B140" s="9">
        <v>2.1659090000000001</v>
      </c>
    </row>
    <row r="141" spans="1:2" x14ac:dyDescent="0.25">
      <c r="A141" s="10">
        <v>140</v>
      </c>
      <c r="B141" s="9">
        <v>2.1715909999999998</v>
      </c>
    </row>
    <row r="142" spans="1:2" x14ac:dyDescent="0.25">
      <c r="A142" s="10">
        <v>141</v>
      </c>
      <c r="B142" s="9">
        <v>2.177273</v>
      </c>
    </row>
    <row r="143" spans="1:2" x14ac:dyDescent="0.25">
      <c r="A143" s="10">
        <v>142</v>
      </c>
      <c r="B143" s="9">
        <v>2.1829550000000002</v>
      </c>
    </row>
    <row r="144" spans="1:2" x14ac:dyDescent="0.25">
      <c r="A144" s="10">
        <v>143</v>
      </c>
      <c r="B144" s="9">
        <v>2.1886359999999998</v>
      </c>
    </row>
    <row r="145" spans="1:2" x14ac:dyDescent="0.25">
      <c r="A145" s="10">
        <v>144</v>
      </c>
      <c r="B145" s="9">
        <v>2.194318</v>
      </c>
    </row>
    <row r="146" spans="1:2" x14ac:dyDescent="0.25">
      <c r="A146" s="10">
        <v>145</v>
      </c>
      <c r="B146" s="9">
        <v>2.2000000000000002</v>
      </c>
    </row>
    <row r="147" spans="1:2" x14ac:dyDescent="0.25">
      <c r="A147" s="10">
        <v>146</v>
      </c>
      <c r="B147" s="9">
        <v>2.2054550000000002</v>
      </c>
    </row>
    <row r="148" spans="1:2" x14ac:dyDescent="0.25">
      <c r="A148" s="10">
        <v>147</v>
      </c>
      <c r="B148" s="9">
        <v>2.210909</v>
      </c>
    </row>
    <row r="149" spans="1:2" x14ac:dyDescent="0.25">
      <c r="A149" s="10">
        <v>148</v>
      </c>
      <c r="B149" s="9">
        <v>2.216364</v>
      </c>
    </row>
    <row r="150" spans="1:2" x14ac:dyDescent="0.25">
      <c r="A150" s="10">
        <v>149</v>
      </c>
      <c r="B150" s="9">
        <v>2.2218179999999998</v>
      </c>
    </row>
    <row r="151" spans="1:2" x14ac:dyDescent="0.25">
      <c r="A151" s="10">
        <v>150</v>
      </c>
      <c r="B151" s="9">
        <v>2.2272729999999998</v>
      </c>
    </row>
    <row r="152" spans="1:2" x14ac:dyDescent="0.25">
      <c r="A152" s="10">
        <v>151</v>
      </c>
      <c r="B152" s="9">
        <v>2.2327270000000001</v>
      </c>
    </row>
    <row r="153" spans="1:2" x14ac:dyDescent="0.25">
      <c r="A153" s="10">
        <v>152</v>
      </c>
      <c r="B153" s="9">
        <v>2.2381820000000001</v>
      </c>
    </row>
    <row r="154" spans="1:2" x14ac:dyDescent="0.25">
      <c r="A154" s="10">
        <v>153</v>
      </c>
      <c r="B154" s="9">
        <v>2.243636</v>
      </c>
    </row>
    <row r="155" spans="1:2" x14ac:dyDescent="0.25">
      <c r="A155" s="10">
        <v>154</v>
      </c>
      <c r="B155" s="9">
        <v>2.249091</v>
      </c>
    </row>
    <row r="156" spans="1:2" x14ac:dyDescent="0.25">
      <c r="A156" s="10">
        <v>155</v>
      </c>
      <c r="B156" s="9">
        <v>2.2545449999999998</v>
      </c>
    </row>
    <row r="157" spans="1:2" x14ac:dyDescent="0.25">
      <c r="A157" s="10">
        <v>156</v>
      </c>
      <c r="B157" s="9">
        <v>2.2599999999999998</v>
      </c>
    </row>
    <row r="158" spans="1:2" x14ac:dyDescent="0.25">
      <c r="A158" s="10">
        <v>157</v>
      </c>
      <c r="B158" s="9">
        <v>2.2654550000000002</v>
      </c>
    </row>
    <row r="159" spans="1:2" x14ac:dyDescent="0.25">
      <c r="A159" s="10">
        <v>158</v>
      </c>
      <c r="B159" s="9">
        <v>2.2709090000000001</v>
      </c>
    </row>
    <row r="160" spans="1:2" x14ac:dyDescent="0.25">
      <c r="A160" s="10">
        <v>159</v>
      </c>
      <c r="B160" s="9">
        <v>2.2763640000000001</v>
      </c>
    </row>
    <row r="161" spans="1:2" x14ac:dyDescent="0.25">
      <c r="A161" s="10">
        <v>160</v>
      </c>
      <c r="B161" s="9">
        <v>2.2818179999999999</v>
      </c>
    </row>
    <row r="162" spans="1:2" x14ac:dyDescent="0.25">
      <c r="A162" s="10">
        <v>161</v>
      </c>
      <c r="B162" s="9">
        <v>2.2872729999999999</v>
      </c>
    </row>
    <row r="163" spans="1:2" x14ac:dyDescent="0.25">
      <c r="A163" s="10">
        <v>162</v>
      </c>
      <c r="B163" s="9">
        <v>2.2927270000000002</v>
      </c>
    </row>
    <row r="164" spans="1:2" x14ac:dyDescent="0.25">
      <c r="A164" s="10">
        <v>163</v>
      </c>
      <c r="B164" s="9">
        <v>2.2981820000000002</v>
      </c>
    </row>
    <row r="165" spans="1:2" x14ac:dyDescent="0.25">
      <c r="A165" s="10">
        <v>164</v>
      </c>
      <c r="B165" s="9">
        <v>2.303636</v>
      </c>
    </row>
    <row r="166" spans="1:2" x14ac:dyDescent="0.25">
      <c r="A166" s="10">
        <v>165</v>
      </c>
      <c r="B166" s="9">
        <v>2.309091</v>
      </c>
    </row>
    <row r="167" spans="1:2" x14ac:dyDescent="0.25">
      <c r="A167" s="10">
        <v>166</v>
      </c>
      <c r="B167" s="9">
        <v>2.3145449999999999</v>
      </c>
    </row>
    <row r="168" spans="1:2" x14ac:dyDescent="0.25">
      <c r="A168" s="10">
        <v>167</v>
      </c>
      <c r="B168" s="9">
        <v>2.3199999999999998</v>
      </c>
    </row>
    <row r="169" spans="1:2" x14ac:dyDescent="0.25">
      <c r="A169" s="10">
        <v>168</v>
      </c>
      <c r="B169" s="9">
        <v>2.32619</v>
      </c>
    </row>
    <row r="170" spans="1:2" x14ac:dyDescent="0.25">
      <c r="A170" s="10">
        <v>169</v>
      </c>
      <c r="B170" s="9">
        <v>2.3323809999999998</v>
      </c>
    </row>
    <row r="171" spans="1:2" x14ac:dyDescent="0.25">
      <c r="A171" s="10">
        <v>170</v>
      </c>
      <c r="B171" s="9">
        <v>2.3385720000000001</v>
      </c>
    </row>
    <row r="172" spans="1:2" x14ac:dyDescent="0.25">
      <c r="A172" s="10">
        <v>171</v>
      </c>
      <c r="B172" s="9">
        <v>2.3447619999999998</v>
      </c>
    </row>
    <row r="173" spans="1:2" x14ac:dyDescent="0.25">
      <c r="A173" s="10">
        <v>172</v>
      </c>
      <c r="B173" s="9">
        <v>2.3509519999999999</v>
      </c>
    </row>
    <row r="174" spans="1:2" x14ac:dyDescent="0.25">
      <c r="A174" s="10">
        <v>173</v>
      </c>
      <c r="B174" s="9">
        <v>2.3571430000000002</v>
      </c>
    </row>
    <row r="175" spans="1:2" x14ac:dyDescent="0.25">
      <c r="A175" s="10">
        <v>174</v>
      </c>
      <c r="B175" s="9">
        <v>2.3633329999999999</v>
      </c>
    </row>
    <row r="176" spans="1:2" x14ac:dyDescent="0.25">
      <c r="A176" s="10">
        <v>175</v>
      </c>
      <c r="B176" s="9">
        <v>2.3695240000000002</v>
      </c>
    </row>
    <row r="177" spans="1:2" x14ac:dyDescent="0.25">
      <c r="A177" s="10">
        <v>176</v>
      </c>
      <c r="B177" s="9">
        <v>2.3757139999999999</v>
      </c>
    </row>
    <row r="178" spans="1:2" x14ac:dyDescent="0.25">
      <c r="A178" s="10">
        <v>177</v>
      </c>
      <c r="B178" s="9">
        <v>2.3819050000000002</v>
      </c>
    </row>
    <row r="179" spans="1:2" x14ac:dyDescent="0.25">
      <c r="A179" s="10">
        <v>178</v>
      </c>
      <c r="B179" s="9">
        <v>2.3880949999999999</v>
      </c>
    </row>
    <row r="180" spans="1:2" x14ac:dyDescent="0.25">
      <c r="A180" s="10">
        <v>179</v>
      </c>
      <c r="B180" s="9">
        <v>2.3942860000000001</v>
      </c>
    </row>
    <row r="181" spans="1:2" x14ac:dyDescent="0.25">
      <c r="A181" s="10">
        <v>180</v>
      </c>
      <c r="B181" s="9">
        <v>2.4004759999999998</v>
      </c>
    </row>
    <row r="182" spans="1:2" x14ac:dyDescent="0.25">
      <c r="A182" s="10">
        <v>181</v>
      </c>
      <c r="B182" s="9">
        <v>2.4066670000000001</v>
      </c>
    </row>
    <row r="183" spans="1:2" x14ac:dyDescent="0.25">
      <c r="A183" s="10">
        <v>182</v>
      </c>
      <c r="B183" s="9">
        <v>2.4128569999999998</v>
      </c>
    </row>
    <row r="184" spans="1:2" x14ac:dyDescent="0.25">
      <c r="A184" s="10">
        <v>183</v>
      </c>
      <c r="B184" s="9">
        <v>2.4190480000000001</v>
      </c>
    </row>
    <row r="185" spans="1:2" x14ac:dyDescent="0.25">
      <c r="A185" s="10">
        <v>184</v>
      </c>
      <c r="B185" s="9">
        <v>2.4252379999999998</v>
      </c>
    </row>
    <row r="186" spans="1:2" x14ac:dyDescent="0.25">
      <c r="A186" s="10">
        <v>185</v>
      </c>
      <c r="B186" s="9">
        <v>2.4314290000000001</v>
      </c>
    </row>
    <row r="187" spans="1:2" x14ac:dyDescent="0.25">
      <c r="A187" s="10">
        <v>186</v>
      </c>
      <c r="B187" s="9">
        <v>2.4376190000000002</v>
      </c>
    </row>
    <row r="188" spans="1:2" x14ac:dyDescent="0.25">
      <c r="A188" s="10">
        <v>187</v>
      </c>
      <c r="B188" s="9">
        <v>2.44381</v>
      </c>
    </row>
    <row r="189" spans="1:2" x14ac:dyDescent="0.25">
      <c r="A189" s="10">
        <v>188</v>
      </c>
      <c r="B189" s="9">
        <v>2.4500000000000002</v>
      </c>
    </row>
    <row r="190" spans="1:2" x14ac:dyDescent="0.25">
      <c r="A190" s="10">
        <v>189</v>
      </c>
      <c r="B190" s="9">
        <v>2.4575</v>
      </c>
    </row>
    <row r="191" spans="1:2" x14ac:dyDescent="0.25">
      <c r="A191" s="10">
        <v>190</v>
      </c>
      <c r="B191" s="9">
        <v>2.4649999999999999</v>
      </c>
    </row>
    <row r="192" spans="1:2" x14ac:dyDescent="0.25">
      <c r="A192" s="10">
        <v>191</v>
      </c>
      <c r="B192" s="9">
        <v>2.4725000000000001</v>
      </c>
    </row>
    <row r="193" spans="1:2" x14ac:dyDescent="0.25">
      <c r="A193" s="10">
        <v>192</v>
      </c>
      <c r="B193" s="9">
        <v>2.48</v>
      </c>
    </row>
    <row r="194" spans="1:2" x14ac:dyDescent="0.25">
      <c r="A194" s="10">
        <v>193</v>
      </c>
      <c r="B194" s="9">
        <v>2.4874999999999998</v>
      </c>
    </row>
    <row r="195" spans="1:2" x14ac:dyDescent="0.25">
      <c r="A195" s="10">
        <v>194</v>
      </c>
      <c r="B195" s="9">
        <v>2.4950000000000001</v>
      </c>
    </row>
    <row r="196" spans="1:2" x14ac:dyDescent="0.25">
      <c r="A196" s="10">
        <v>195</v>
      </c>
      <c r="B196" s="9">
        <v>2.5024999999999999</v>
      </c>
    </row>
    <row r="197" spans="1:2" x14ac:dyDescent="0.25">
      <c r="A197" s="10">
        <v>196</v>
      </c>
      <c r="B197" s="9">
        <v>2.5099999999999998</v>
      </c>
    </row>
    <row r="198" spans="1:2" x14ac:dyDescent="0.25">
      <c r="A198" s="10">
        <v>197</v>
      </c>
      <c r="B198" s="9">
        <v>2.5175000000000001</v>
      </c>
    </row>
    <row r="199" spans="1:2" x14ac:dyDescent="0.25">
      <c r="A199" s="10">
        <v>198</v>
      </c>
      <c r="B199" s="9">
        <v>2.5249999999999999</v>
      </c>
    </row>
    <row r="200" spans="1:2" x14ac:dyDescent="0.25">
      <c r="A200" s="10">
        <v>199</v>
      </c>
      <c r="B200" s="9">
        <v>2.5325000000000002</v>
      </c>
    </row>
    <row r="201" spans="1:2" x14ac:dyDescent="0.25">
      <c r="A201" s="10">
        <v>200</v>
      </c>
      <c r="B201" s="9">
        <v>2.54</v>
      </c>
    </row>
    <row r="202" spans="1:2" x14ac:dyDescent="0.25">
      <c r="A202" s="10">
        <v>201</v>
      </c>
      <c r="B202" s="9">
        <v>2.5474999999999999</v>
      </c>
    </row>
    <row r="203" spans="1:2" x14ac:dyDescent="0.25">
      <c r="A203" s="10">
        <v>202</v>
      </c>
      <c r="B203" s="9">
        <v>2.5550000000000002</v>
      </c>
    </row>
    <row r="204" spans="1:2" x14ac:dyDescent="0.25">
      <c r="A204" s="10">
        <v>203</v>
      </c>
      <c r="B204" s="9">
        <v>2.5625</v>
      </c>
    </row>
    <row r="205" spans="1:2" x14ac:dyDescent="0.25">
      <c r="A205" s="10">
        <v>204</v>
      </c>
      <c r="B205" s="9">
        <v>2.57</v>
      </c>
    </row>
    <row r="206" spans="1:2" x14ac:dyDescent="0.25">
      <c r="A206" s="10">
        <v>205</v>
      </c>
      <c r="B206" s="9">
        <v>2.5775000000000001</v>
      </c>
    </row>
    <row r="207" spans="1:2" x14ac:dyDescent="0.25">
      <c r="A207" s="10">
        <v>206</v>
      </c>
      <c r="B207" s="9">
        <v>2.585</v>
      </c>
    </row>
    <row r="208" spans="1:2" x14ac:dyDescent="0.25">
      <c r="A208" s="10">
        <v>207</v>
      </c>
      <c r="B208" s="9">
        <v>2.5924999999999998</v>
      </c>
    </row>
    <row r="209" spans="1:2" x14ac:dyDescent="0.25">
      <c r="A209" s="10">
        <v>208</v>
      </c>
      <c r="B209" s="9">
        <v>2.6</v>
      </c>
    </row>
    <row r="210" spans="1:2" x14ac:dyDescent="0.25">
      <c r="A210" s="10">
        <v>209</v>
      </c>
      <c r="B210" s="9">
        <v>2.6059999999999999</v>
      </c>
    </row>
    <row r="211" spans="1:2" x14ac:dyDescent="0.25">
      <c r="A211" s="10">
        <v>210</v>
      </c>
      <c r="B211" s="9">
        <v>2.6120000000000001</v>
      </c>
    </row>
    <row r="212" spans="1:2" x14ac:dyDescent="0.25">
      <c r="A212" s="10">
        <v>211</v>
      </c>
      <c r="B212" s="9">
        <v>2.6179999999999999</v>
      </c>
    </row>
    <row r="213" spans="1:2" x14ac:dyDescent="0.25">
      <c r="A213" s="10">
        <v>212</v>
      </c>
      <c r="B213" s="9">
        <v>2.6240000000000001</v>
      </c>
    </row>
    <row r="214" spans="1:2" x14ac:dyDescent="0.25">
      <c r="A214" s="10">
        <v>213</v>
      </c>
      <c r="B214" s="9">
        <v>2.63</v>
      </c>
    </row>
    <row r="215" spans="1:2" x14ac:dyDescent="0.25">
      <c r="A215" s="10">
        <v>214</v>
      </c>
      <c r="B215" s="9">
        <v>2.6360000000000001</v>
      </c>
    </row>
    <row r="216" spans="1:2" x14ac:dyDescent="0.25">
      <c r="A216" s="10">
        <v>215</v>
      </c>
      <c r="B216" s="9">
        <v>2.6419999999999999</v>
      </c>
    </row>
    <row r="217" spans="1:2" x14ac:dyDescent="0.25">
      <c r="A217" s="10">
        <v>216</v>
      </c>
      <c r="B217" s="9">
        <v>2.6480000000000001</v>
      </c>
    </row>
    <row r="218" spans="1:2" x14ac:dyDescent="0.25">
      <c r="A218" s="10">
        <v>217</v>
      </c>
      <c r="B218" s="9">
        <v>2.6539999999999999</v>
      </c>
    </row>
    <row r="219" spans="1:2" x14ac:dyDescent="0.25">
      <c r="A219" s="10">
        <v>218</v>
      </c>
      <c r="B219" s="9">
        <v>2.66</v>
      </c>
    </row>
    <row r="220" spans="1:2" x14ac:dyDescent="0.25">
      <c r="A220" s="10">
        <v>219</v>
      </c>
      <c r="B220" s="9">
        <v>2.6659999999999999</v>
      </c>
    </row>
    <row r="221" spans="1:2" x14ac:dyDescent="0.25">
      <c r="A221" s="10">
        <v>220</v>
      </c>
      <c r="B221" s="9">
        <v>2.6720000000000002</v>
      </c>
    </row>
    <row r="222" spans="1:2" x14ac:dyDescent="0.25">
      <c r="A222" s="10">
        <v>221</v>
      </c>
      <c r="B222" s="9">
        <v>2.6779999999999999</v>
      </c>
    </row>
    <row r="223" spans="1:2" x14ac:dyDescent="0.25">
      <c r="A223" s="10">
        <v>222</v>
      </c>
      <c r="B223" s="9">
        <v>2.6840000000000002</v>
      </c>
    </row>
    <row r="224" spans="1:2" x14ac:dyDescent="0.25">
      <c r="A224" s="10">
        <v>223</v>
      </c>
      <c r="B224" s="9">
        <v>2.69</v>
      </c>
    </row>
    <row r="225" spans="1:2" x14ac:dyDescent="0.25">
      <c r="A225" s="10">
        <v>224</v>
      </c>
      <c r="B225" s="9">
        <v>2.6960000000000002</v>
      </c>
    </row>
    <row r="226" spans="1:2" x14ac:dyDescent="0.25">
      <c r="A226" s="10">
        <v>225</v>
      </c>
      <c r="B226" s="9">
        <v>2.702</v>
      </c>
    </row>
    <row r="227" spans="1:2" x14ac:dyDescent="0.25">
      <c r="A227" s="10">
        <v>226</v>
      </c>
      <c r="B227" s="9">
        <v>2.7080000000000002</v>
      </c>
    </row>
    <row r="228" spans="1:2" x14ac:dyDescent="0.25">
      <c r="A228" s="10">
        <v>227</v>
      </c>
      <c r="B228" s="9">
        <v>2.714</v>
      </c>
    </row>
    <row r="229" spans="1:2" x14ac:dyDescent="0.25">
      <c r="A229" s="10">
        <v>228</v>
      </c>
      <c r="B229" s="9">
        <v>2.72</v>
      </c>
    </row>
    <row r="230" spans="1:2" x14ac:dyDescent="0.25">
      <c r="A230" s="10">
        <v>229</v>
      </c>
      <c r="B230" s="9">
        <v>2.7250000000000001</v>
      </c>
    </row>
    <row r="231" spans="1:2" x14ac:dyDescent="0.25">
      <c r="A231" s="10">
        <v>230</v>
      </c>
      <c r="B231" s="9">
        <v>2.73</v>
      </c>
    </row>
    <row r="232" spans="1:2" x14ac:dyDescent="0.25">
      <c r="A232" s="10">
        <v>231</v>
      </c>
      <c r="B232" s="9">
        <v>2.7349999999999999</v>
      </c>
    </row>
    <row r="233" spans="1:2" x14ac:dyDescent="0.25">
      <c r="A233" s="10">
        <v>232</v>
      </c>
      <c r="B233" s="9">
        <v>2.74</v>
      </c>
    </row>
    <row r="234" spans="1:2" x14ac:dyDescent="0.25">
      <c r="A234" s="10">
        <v>233</v>
      </c>
      <c r="B234" s="9">
        <v>2.7450000000000001</v>
      </c>
    </row>
    <row r="235" spans="1:2" x14ac:dyDescent="0.25">
      <c r="A235" s="10">
        <v>234</v>
      </c>
      <c r="B235" s="9">
        <v>2.75</v>
      </c>
    </row>
    <row r="236" spans="1:2" x14ac:dyDescent="0.25">
      <c r="A236" s="10">
        <v>235</v>
      </c>
      <c r="B236" s="9">
        <v>2.7549999999999999</v>
      </c>
    </row>
    <row r="237" spans="1:2" x14ac:dyDescent="0.25">
      <c r="A237" s="10">
        <v>236</v>
      </c>
      <c r="B237" s="9">
        <v>2.76</v>
      </c>
    </row>
    <row r="238" spans="1:2" x14ac:dyDescent="0.25">
      <c r="A238" s="10">
        <v>237</v>
      </c>
      <c r="B238" s="9">
        <v>2.7650000000000001</v>
      </c>
    </row>
    <row r="239" spans="1:2" x14ac:dyDescent="0.25">
      <c r="A239" s="10">
        <v>238</v>
      </c>
      <c r="B239" s="9">
        <v>2.77</v>
      </c>
    </row>
    <row r="240" spans="1:2" x14ac:dyDescent="0.25">
      <c r="A240" s="10">
        <v>239</v>
      </c>
      <c r="B240" s="9">
        <v>2.7749999999999999</v>
      </c>
    </row>
    <row r="241" spans="1:2" x14ac:dyDescent="0.25">
      <c r="A241" s="10">
        <v>240</v>
      </c>
      <c r="B241" s="9">
        <v>2.78</v>
      </c>
    </row>
    <row r="242" spans="1:2" x14ac:dyDescent="0.25">
      <c r="A242" s="10">
        <v>241</v>
      </c>
      <c r="B242" s="9">
        <v>2.7850000000000001</v>
      </c>
    </row>
    <row r="243" spans="1:2" x14ac:dyDescent="0.25">
      <c r="A243" s="10">
        <v>242</v>
      </c>
      <c r="B243" s="9">
        <v>2.79</v>
      </c>
    </row>
    <row r="244" spans="1:2" x14ac:dyDescent="0.25">
      <c r="A244" s="10">
        <v>243</v>
      </c>
      <c r="B244" s="9">
        <v>2.7949999999999999</v>
      </c>
    </row>
    <row r="245" spans="1:2" x14ac:dyDescent="0.25">
      <c r="A245" s="10">
        <v>244</v>
      </c>
      <c r="B245" s="9">
        <v>2.8</v>
      </c>
    </row>
    <row r="246" spans="1:2" x14ac:dyDescent="0.25">
      <c r="A246" s="10">
        <v>245</v>
      </c>
      <c r="B246" s="9">
        <v>2.8050000000000002</v>
      </c>
    </row>
    <row r="247" spans="1:2" x14ac:dyDescent="0.25">
      <c r="A247" s="10">
        <v>246</v>
      </c>
      <c r="B247" s="9">
        <v>2.81</v>
      </c>
    </row>
    <row r="248" spans="1:2" x14ac:dyDescent="0.25">
      <c r="A248" s="10">
        <v>247</v>
      </c>
      <c r="B248" s="9">
        <v>2.8149999999999999</v>
      </c>
    </row>
    <row r="249" spans="1:2" x14ac:dyDescent="0.25">
      <c r="A249" s="10">
        <v>248</v>
      </c>
      <c r="B249" s="9">
        <v>2.82</v>
      </c>
    </row>
    <row r="250" spans="1:2" x14ac:dyDescent="0.25">
      <c r="A250" s="10">
        <v>249</v>
      </c>
      <c r="B250" s="9">
        <v>2.8250000000000002</v>
      </c>
    </row>
    <row r="251" spans="1:2" x14ac:dyDescent="0.25">
      <c r="A251" s="10">
        <v>250</v>
      </c>
      <c r="B251" s="9">
        <v>2.83</v>
      </c>
    </row>
    <row r="252" spans="1:2" x14ac:dyDescent="0.25">
      <c r="A252" s="10">
        <v>251</v>
      </c>
      <c r="B252" s="9">
        <v>2.835</v>
      </c>
    </row>
    <row r="253" spans="1:2" x14ac:dyDescent="0.25">
      <c r="A253" s="10">
        <v>252</v>
      </c>
      <c r="B253" s="9">
        <v>2.8415319999999999</v>
      </c>
    </row>
    <row r="254" spans="1:2" x14ac:dyDescent="0.25">
      <c r="A254" s="10">
        <v>253</v>
      </c>
      <c r="B254" s="9">
        <v>2.8480639999999999</v>
      </c>
    </row>
    <row r="255" spans="1:2" x14ac:dyDescent="0.25">
      <c r="A255" s="10">
        <v>254</v>
      </c>
      <c r="B255" s="9">
        <v>2.8545970000000001</v>
      </c>
    </row>
    <row r="256" spans="1:2" x14ac:dyDescent="0.25">
      <c r="A256" s="10">
        <v>255</v>
      </c>
      <c r="B256" s="9">
        <v>2.861129</v>
      </c>
    </row>
    <row r="257" spans="1:2" x14ac:dyDescent="0.25">
      <c r="A257" s="10">
        <v>256</v>
      </c>
      <c r="B257" s="9">
        <v>2.867661</v>
      </c>
    </row>
    <row r="258" spans="1:2" x14ac:dyDescent="0.25">
      <c r="A258" s="10">
        <v>257</v>
      </c>
      <c r="B258" s="9">
        <v>2.8741940000000001</v>
      </c>
    </row>
    <row r="259" spans="1:2" x14ac:dyDescent="0.25">
      <c r="A259" s="10">
        <v>258</v>
      </c>
      <c r="B259" s="9">
        <v>2.8807260000000001</v>
      </c>
    </row>
    <row r="260" spans="1:2" x14ac:dyDescent="0.25">
      <c r="A260" s="10">
        <v>259</v>
      </c>
      <c r="B260" s="9">
        <v>2.8872580000000001</v>
      </c>
    </row>
    <row r="261" spans="1:2" x14ac:dyDescent="0.25">
      <c r="A261" s="10">
        <v>260</v>
      </c>
      <c r="B261" s="9">
        <v>2.8937900000000001</v>
      </c>
    </row>
    <row r="262" spans="1:2" x14ac:dyDescent="0.25">
      <c r="A262" s="10">
        <v>261</v>
      </c>
      <c r="B262" s="9">
        <v>2.9003220000000001</v>
      </c>
    </row>
    <row r="263" spans="1:2" x14ac:dyDescent="0.25">
      <c r="A263" s="10">
        <v>262</v>
      </c>
      <c r="B263" s="9">
        <v>2.9068550000000002</v>
      </c>
    </row>
    <row r="264" spans="1:2" x14ac:dyDescent="0.25">
      <c r="A264" s="10">
        <v>263</v>
      </c>
      <c r="B264" s="9">
        <v>2.9133870000000002</v>
      </c>
    </row>
    <row r="265" spans="1:2" x14ac:dyDescent="0.25">
      <c r="A265" s="10">
        <v>264</v>
      </c>
      <c r="B265" s="9">
        <v>2.9199190000000002</v>
      </c>
    </row>
    <row r="266" spans="1:2" x14ac:dyDescent="0.25">
      <c r="A266" s="10">
        <v>265</v>
      </c>
      <c r="B266" s="9">
        <v>2.9264519999999998</v>
      </c>
    </row>
    <row r="267" spans="1:2" x14ac:dyDescent="0.25">
      <c r="A267" s="10">
        <v>266</v>
      </c>
      <c r="B267" s="9">
        <v>2.9329839999999998</v>
      </c>
    </row>
    <row r="268" spans="1:2" x14ac:dyDescent="0.25">
      <c r="A268" s="10">
        <v>267</v>
      </c>
      <c r="B268" s="9">
        <v>2.9395159999999998</v>
      </c>
    </row>
    <row r="269" spans="1:2" x14ac:dyDescent="0.25">
      <c r="A269" s="10">
        <v>268</v>
      </c>
      <c r="B269" s="9">
        <v>2.9460480000000002</v>
      </c>
    </row>
    <row r="270" spans="1:2" x14ac:dyDescent="0.25">
      <c r="A270" s="10">
        <v>269</v>
      </c>
      <c r="B270" s="9">
        <v>2.9525800000000002</v>
      </c>
    </row>
    <row r="271" spans="1:2" x14ac:dyDescent="0.25">
      <c r="A271" s="10">
        <v>270</v>
      </c>
      <c r="B271" s="9">
        <v>2.9591129999999999</v>
      </c>
    </row>
    <row r="272" spans="1:2" x14ac:dyDescent="0.25">
      <c r="A272" s="10">
        <v>271</v>
      </c>
      <c r="B272" s="9">
        <v>2.9656449999999999</v>
      </c>
    </row>
    <row r="273" spans="1:2" x14ac:dyDescent="0.25">
      <c r="A273" s="10">
        <v>272</v>
      </c>
      <c r="B273" s="9">
        <v>2.972178</v>
      </c>
    </row>
    <row r="274" spans="1:2" x14ac:dyDescent="0.25">
      <c r="A274" s="10">
        <v>273</v>
      </c>
      <c r="B274" s="9">
        <v>2.97871</v>
      </c>
    </row>
    <row r="275" spans="1:2" x14ac:dyDescent="0.25">
      <c r="A275" s="10">
        <v>274</v>
      </c>
      <c r="B275" s="9">
        <v>2.985242</v>
      </c>
    </row>
    <row r="276" spans="1:2" x14ac:dyDescent="0.25">
      <c r="A276" s="10">
        <v>275</v>
      </c>
      <c r="B276" s="9">
        <v>2.9917739999999999</v>
      </c>
    </row>
    <row r="277" spans="1:2" x14ac:dyDescent="0.25">
      <c r="A277" s="10">
        <v>276</v>
      </c>
      <c r="B277" s="9">
        <v>2.9983059999999999</v>
      </c>
    </row>
    <row r="278" spans="1:2" x14ac:dyDescent="0.25">
      <c r="A278" s="10">
        <v>277</v>
      </c>
      <c r="B278" s="9">
        <v>3.0048379999999999</v>
      </c>
    </row>
    <row r="279" spans="1:2" x14ac:dyDescent="0.25">
      <c r="A279" s="10">
        <v>278</v>
      </c>
      <c r="B279" s="9">
        <v>3.011371</v>
      </c>
    </row>
    <row r="280" spans="1:2" x14ac:dyDescent="0.25">
      <c r="A280" s="10">
        <v>279</v>
      </c>
      <c r="B280" s="9">
        <v>3.017903</v>
      </c>
    </row>
    <row r="281" spans="1:2" x14ac:dyDescent="0.25">
      <c r="A281" s="10">
        <v>280</v>
      </c>
      <c r="B281" s="9">
        <v>3.0244360000000001</v>
      </c>
    </row>
    <row r="282" spans="1:2" x14ac:dyDescent="0.25">
      <c r="A282" s="10">
        <v>281</v>
      </c>
      <c r="B282" s="9">
        <v>3.0309680000000001</v>
      </c>
    </row>
    <row r="283" spans="1:2" x14ac:dyDescent="0.25">
      <c r="A283" s="10">
        <v>282</v>
      </c>
      <c r="B283" s="9">
        <v>3.0375000000000001</v>
      </c>
    </row>
    <row r="284" spans="1:2" x14ac:dyDescent="0.25">
      <c r="A284" s="10">
        <v>283</v>
      </c>
      <c r="B284" s="9">
        <v>3.0440320000000001</v>
      </c>
    </row>
    <row r="285" spans="1:2" x14ac:dyDescent="0.25">
      <c r="A285" s="10">
        <v>284</v>
      </c>
      <c r="B285" s="9">
        <v>3.0505640000000001</v>
      </c>
    </row>
    <row r="286" spans="1:2" x14ac:dyDescent="0.25">
      <c r="A286" s="10">
        <v>285</v>
      </c>
      <c r="B286" s="9">
        <v>3.0570970000000002</v>
      </c>
    </row>
    <row r="287" spans="1:2" x14ac:dyDescent="0.25">
      <c r="A287" s="10">
        <v>286</v>
      </c>
      <c r="B287" s="9">
        <v>3.0636290000000002</v>
      </c>
    </row>
    <row r="288" spans="1:2" x14ac:dyDescent="0.25">
      <c r="A288" s="10">
        <v>287</v>
      </c>
      <c r="B288" s="9">
        <v>3.0701610000000001</v>
      </c>
    </row>
    <row r="289" spans="1:2" x14ac:dyDescent="0.25">
      <c r="A289" s="10">
        <v>288</v>
      </c>
      <c r="B289" s="9">
        <v>3.0766939999999998</v>
      </c>
    </row>
    <row r="290" spans="1:2" x14ac:dyDescent="0.25">
      <c r="A290" s="10">
        <v>289</v>
      </c>
      <c r="B290" s="9">
        <v>3.0832259999999998</v>
      </c>
    </row>
    <row r="291" spans="1:2" x14ac:dyDescent="0.25">
      <c r="A291" s="10">
        <v>290</v>
      </c>
      <c r="B291" s="9">
        <v>3.0897579999999998</v>
      </c>
    </row>
    <row r="292" spans="1:2" x14ac:dyDescent="0.25">
      <c r="A292" s="10">
        <v>291</v>
      </c>
      <c r="B292" s="9">
        <v>3.0962900000000002</v>
      </c>
    </row>
    <row r="293" spans="1:2" x14ac:dyDescent="0.25">
      <c r="A293" s="10">
        <v>292</v>
      </c>
      <c r="B293" s="9">
        <v>3.1028229999999999</v>
      </c>
    </row>
    <row r="294" spans="1:2" x14ac:dyDescent="0.25">
      <c r="A294" s="10">
        <v>293</v>
      </c>
      <c r="B294" s="9">
        <v>3.1093549999999999</v>
      </c>
    </row>
    <row r="295" spans="1:2" x14ac:dyDescent="0.25">
      <c r="A295" s="10">
        <v>294</v>
      </c>
      <c r="B295" s="9">
        <v>3.1158869999999999</v>
      </c>
    </row>
    <row r="296" spans="1:2" x14ac:dyDescent="0.25">
      <c r="A296" s="10">
        <v>295</v>
      </c>
      <c r="B296" s="9">
        <v>3.1224189999999998</v>
      </c>
    </row>
    <row r="297" spans="1:2" x14ac:dyDescent="0.25">
      <c r="A297" s="10">
        <v>296</v>
      </c>
      <c r="B297" s="9">
        <v>3.128952</v>
      </c>
    </row>
    <row r="298" spans="1:2" x14ac:dyDescent="0.25">
      <c r="A298" s="10">
        <v>297</v>
      </c>
      <c r="B298" s="9">
        <v>3.1354839999999999</v>
      </c>
    </row>
    <row r="299" spans="1:2" x14ac:dyDescent="0.25">
      <c r="A299" s="10">
        <v>298</v>
      </c>
      <c r="B299" s="9">
        <v>3.1420159999999999</v>
      </c>
    </row>
    <row r="300" spans="1:2" x14ac:dyDescent="0.25">
      <c r="A300" s="10">
        <v>299</v>
      </c>
      <c r="B300" s="9">
        <v>3.1485479999999999</v>
      </c>
    </row>
    <row r="301" spans="1:2" x14ac:dyDescent="0.25">
      <c r="A301" s="10">
        <v>300</v>
      </c>
      <c r="B301" s="9">
        <v>3.155081</v>
      </c>
    </row>
    <row r="302" spans="1:2" x14ac:dyDescent="0.25">
      <c r="A302" s="10">
        <v>301</v>
      </c>
      <c r="B302" s="9">
        <v>3.161613</v>
      </c>
    </row>
    <row r="303" spans="1:2" x14ac:dyDescent="0.25">
      <c r="A303" s="10">
        <v>302</v>
      </c>
      <c r="B303" s="9">
        <v>3.168145</v>
      </c>
    </row>
    <row r="304" spans="1:2" x14ac:dyDescent="0.25">
      <c r="A304" s="10">
        <v>303</v>
      </c>
      <c r="B304" s="9">
        <v>3.174677</v>
      </c>
    </row>
    <row r="305" spans="1:2" x14ac:dyDescent="0.25">
      <c r="A305" s="10">
        <v>304</v>
      </c>
      <c r="B305" s="9">
        <v>3.1812100000000001</v>
      </c>
    </row>
    <row r="306" spans="1:2" x14ac:dyDescent="0.25">
      <c r="A306" s="10">
        <v>305</v>
      </c>
      <c r="B306" s="9">
        <v>3.1877420000000001</v>
      </c>
    </row>
    <row r="307" spans="1:2" x14ac:dyDescent="0.25">
      <c r="A307" s="10">
        <v>306</v>
      </c>
      <c r="B307" s="9">
        <v>3.1942740000000001</v>
      </c>
    </row>
    <row r="308" spans="1:2" x14ac:dyDescent="0.25">
      <c r="A308" s="10">
        <v>307</v>
      </c>
      <c r="B308" s="9">
        <v>3.200806</v>
      </c>
    </row>
    <row r="309" spans="1:2" x14ac:dyDescent="0.25">
      <c r="A309" s="10">
        <v>308</v>
      </c>
      <c r="B309" s="9">
        <v>3.2073390000000002</v>
      </c>
    </row>
    <row r="310" spans="1:2" x14ac:dyDescent="0.25">
      <c r="A310" s="10">
        <v>309</v>
      </c>
      <c r="B310" s="9">
        <v>3.2138710000000001</v>
      </c>
    </row>
    <row r="311" spans="1:2" x14ac:dyDescent="0.25">
      <c r="A311" s="10">
        <v>310</v>
      </c>
      <c r="B311" s="9">
        <v>3.2204030000000001</v>
      </c>
    </row>
    <row r="312" spans="1:2" x14ac:dyDescent="0.25">
      <c r="A312" s="10">
        <v>311</v>
      </c>
      <c r="B312" s="9">
        <v>3.2269350000000001</v>
      </c>
    </row>
    <row r="313" spans="1:2" x14ac:dyDescent="0.25">
      <c r="A313" s="10">
        <v>312</v>
      </c>
      <c r="B313" s="9">
        <v>3.2334679999999998</v>
      </c>
    </row>
    <row r="314" spans="1:2" x14ac:dyDescent="0.25">
      <c r="A314" s="10">
        <v>313</v>
      </c>
      <c r="B314" s="9">
        <v>3.24</v>
      </c>
    </row>
    <row r="315" spans="1:2" x14ac:dyDescent="0.25">
      <c r="A315" s="10">
        <v>314</v>
      </c>
      <c r="B315" s="9">
        <v>3.2456450000000001</v>
      </c>
    </row>
    <row r="316" spans="1:2" x14ac:dyDescent="0.25">
      <c r="A316" s="10">
        <v>315</v>
      </c>
      <c r="B316" s="9">
        <v>3.25129</v>
      </c>
    </row>
    <row r="317" spans="1:2" x14ac:dyDescent="0.25">
      <c r="A317" s="10">
        <v>316</v>
      </c>
      <c r="B317" s="9">
        <v>3.2569360000000001</v>
      </c>
    </row>
    <row r="318" spans="1:2" x14ac:dyDescent="0.25">
      <c r="A318" s="10">
        <v>317</v>
      </c>
      <c r="B318" s="9">
        <v>3.262581</v>
      </c>
    </row>
    <row r="319" spans="1:2" x14ac:dyDescent="0.25">
      <c r="A319" s="10">
        <v>318</v>
      </c>
      <c r="B319" s="9">
        <v>3.2682259999999999</v>
      </c>
    </row>
    <row r="320" spans="1:2" x14ac:dyDescent="0.25">
      <c r="A320" s="10">
        <v>319</v>
      </c>
      <c r="B320" s="9">
        <v>3.2738710000000002</v>
      </c>
    </row>
    <row r="321" spans="1:2" x14ac:dyDescent="0.25">
      <c r="A321" s="10">
        <v>320</v>
      </c>
      <c r="B321" s="9">
        <v>3.2795160000000001</v>
      </c>
    </row>
    <row r="322" spans="1:2" x14ac:dyDescent="0.25">
      <c r="A322" s="10">
        <v>321</v>
      </c>
      <c r="B322" s="9">
        <v>3.285161</v>
      </c>
    </row>
    <row r="323" spans="1:2" x14ac:dyDescent="0.25">
      <c r="A323" s="10">
        <v>322</v>
      </c>
      <c r="B323" s="9">
        <v>3.290807</v>
      </c>
    </row>
    <row r="324" spans="1:2" x14ac:dyDescent="0.25">
      <c r="A324" s="10">
        <v>323</v>
      </c>
      <c r="B324" s="9">
        <v>3.2964519999999999</v>
      </c>
    </row>
    <row r="325" spans="1:2" x14ac:dyDescent="0.25">
      <c r="A325" s="10">
        <v>324</v>
      </c>
      <c r="B325" s="9">
        <v>3.3020969999999998</v>
      </c>
    </row>
    <row r="326" spans="1:2" x14ac:dyDescent="0.25">
      <c r="A326" s="10">
        <v>325</v>
      </c>
      <c r="B326" s="9">
        <v>3.3077420000000002</v>
      </c>
    </row>
    <row r="327" spans="1:2" x14ac:dyDescent="0.25">
      <c r="A327" s="10">
        <v>326</v>
      </c>
      <c r="B327" s="9">
        <v>3.3133870000000001</v>
      </c>
    </row>
    <row r="328" spans="1:2" x14ac:dyDescent="0.25">
      <c r="A328" s="10">
        <v>327</v>
      </c>
      <c r="B328" s="9">
        <v>3.319032</v>
      </c>
    </row>
    <row r="329" spans="1:2" x14ac:dyDescent="0.25">
      <c r="A329" s="10">
        <v>328</v>
      </c>
      <c r="B329" s="9">
        <v>3.3246769999999999</v>
      </c>
    </row>
    <row r="330" spans="1:2" x14ac:dyDescent="0.25">
      <c r="A330" s="10">
        <v>329</v>
      </c>
      <c r="B330" s="9">
        <v>3.3303229999999999</v>
      </c>
    </row>
    <row r="331" spans="1:2" x14ac:dyDescent="0.25">
      <c r="A331" s="10">
        <v>330</v>
      </c>
      <c r="B331" s="9">
        <v>3.3359679999999998</v>
      </c>
    </row>
    <row r="332" spans="1:2" x14ac:dyDescent="0.25">
      <c r="A332" s="10">
        <v>331</v>
      </c>
      <c r="B332" s="9">
        <v>3.3416130000000002</v>
      </c>
    </row>
    <row r="333" spans="1:2" x14ac:dyDescent="0.25">
      <c r="A333" s="10">
        <v>332</v>
      </c>
      <c r="B333" s="9">
        <v>3.3472580000000001</v>
      </c>
    </row>
    <row r="334" spans="1:2" x14ac:dyDescent="0.25">
      <c r="A334" s="10">
        <v>333</v>
      </c>
      <c r="B334" s="9">
        <v>3.352903</v>
      </c>
    </row>
    <row r="335" spans="1:2" x14ac:dyDescent="0.25">
      <c r="A335" s="10">
        <v>334</v>
      </c>
      <c r="B335" s="9">
        <v>3.3585479999999999</v>
      </c>
    </row>
    <row r="336" spans="1:2" x14ac:dyDescent="0.25">
      <c r="A336" s="10">
        <v>335</v>
      </c>
      <c r="B336" s="9">
        <v>3.3641930000000002</v>
      </c>
    </row>
    <row r="337" spans="1:2" x14ac:dyDescent="0.25">
      <c r="A337" s="10">
        <v>336</v>
      </c>
      <c r="B337" s="9">
        <v>3.3698389999999998</v>
      </c>
    </row>
    <row r="338" spans="1:2" x14ac:dyDescent="0.25">
      <c r="A338" s="10">
        <v>337</v>
      </c>
      <c r="B338" s="9">
        <v>3.3754840000000002</v>
      </c>
    </row>
    <row r="339" spans="1:2" x14ac:dyDescent="0.25">
      <c r="A339" s="10">
        <v>338</v>
      </c>
      <c r="B339" s="9">
        <v>3.3811290000000001</v>
      </c>
    </row>
    <row r="340" spans="1:2" x14ac:dyDescent="0.25">
      <c r="A340" s="10">
        <v>339</v>
      </c>
      <c r="B340" s="9">
        <v>3.386774</v>
      </c>
    </row>
    <row r="341" spans="1:2" x14ac:dyDescent="0.25">
      <c r="A341" s="10">
        <v>340</v>
      </c>
      <c r="B341" s="9">
        <v>3.3924189999999999</v>
      </c>
    </row>
    <row r="342" spans="1:2" x14ac:dyDescent="0.25">
      <c r="A342" s="10">
        <v>341</v>
      </c>
      <c r="B342" s="9">
        <v>3.3980649999999999</v>
      </c>
    </row>
    <row r="343" spans="1:2" x14ac:dyDescent="0.25">
      <c r="A343" s="10">
        <v>342</v>
      </c>
      <c r="B343" s="9">
        <v>3.4037099999999998</v>
      </c>
    </row>
    <row r="344" spans="1:2" x14ac:dyDescent="0.25">
      <c r="A344" s="10">
        <v>343</v>
      </c>
      <c r="B344" s="9">
        <v>3.4093550000000001</v>
      </c>
    </row>
    <row r="345" spans="1:2" x14ac:dyDescent="0.25">
      <c r="A345" s="10">
        <v>344</v>
      </c>
      <c r="B345" s="9">
        <v>3.415</v>
      </c>
    </row>
    <row r="346" spans="1:2" x14ac:dyDescent="0.25">
      <c r="A346" s="10">
        <v>345</v>
      </c>
      <c r="B346" s="9">
        <v>3.4206449999999999</v>
      </c>
    </row>
    <row r="347" spans="1:2" x14ac:dyDescent="0.25">
      <c r="A347" s="10">
        <v>346</v>
      </c>
      <c r="B347" s="9">
        <v>3.426291</v>
      </c>
    </row>
    <row r="348" spans="1:2" x14ac:dyDescent="0.25">
      <c r="A348" s="10">
        <v>347</v>
      </c>
      <c r="B348" s="9">
        <v>3.4319359999999999</v>
      </c>
    </row>
    <row r="349" spans="1:2" x14ac:dyDescent="0.25">
      <c r="A349" s="10">
        <v>348</v>
      </c>
      <c r="B349" s="9">
        <v>3.4375810000000002</v>
      </c>
    </row>
    <row r="350" spans="1:2" x14ac:dyDescent="0.25">
      <c r="A350" s="10">
        <v>349</v>
      </c>
      <c r="B350" s="9">
        <v>3.4432260000000001</v>
      </c>
    </row>
    <row r="351" spans="1:2" x14ac:dyDescent="0.25">
      <c r="A351" s="10">
        <v>350</v>
      </c>
      <c r="B351" s="9">
        <v>3.448871</v>
      </c>
    </row>
    <row r="352" spans="1:2" x14ac:dyDescent="0.25">
      <c r="A352" s="10">
        <v>351</v>
      </c>
      <c r="B352" s="9">
        <v>3.4545159999999999</v>
      </c>
    </row>
    <row r="353" spans="1:2" x14ac:dyDescent="0.25">
      <c r="A353" s="10">
        <v>352</v>
      </c>
      <c r="B353" s="9">
        <v>3.4601609999999998</v>
      </c>
    </row>
    <row r="354" spans="1:2" x14ac:dyDescent="0.25">
      <c r="A354" s="10">
        <v>353</v>
      </c>
      <c r="B354" s="9">
        <v>3.4658060000000002</v>
      </c>
    </row>
    <row r="355" spans="1:2" x14ac:dyDescent="0.25">
      <c r="A355" s="10">
        <v>354</v>
      </c>
      <c r="B355" s="9">
        <v>3.4714520000000002</v>
      </c>
    </row>
    <row r="356" spans="1:2" x14ac:dyDescent="0.25">
      <c r="A356" s="10">
        <v>355</v>
      </c>
      <c r="B356" s="9">
        <v>3.4770970000000001</v>
      </c>
    </row>
    <row r="357" spans="1:2" x14ac:dyDescent="0.25">
      <c r="A357" s="10">
        <v>356</v>
      </c>
      <c r="B357" s="9">
        <v>3.482742</v>
      </c>
    </row>
    <row r="358" spans="1:2" x14ac:dyDescent="0.25">
      <c r="A358" s="10">
        <v>357</v>
      </c>
      <c r="B358" s="9">
        <v>3.4883869999999999</v>
      </c>
    </row>
    <row r="359" spans="1:2" x14ac:dyDescent="0.25">
      <c r="A359" s="10">
        <v>358</v>
      </c>
      <c r="B359" s="9">
        <v>3.4940319999999998</v>
      </c>
    </row>
    <row r="360" spans="1:2" x14ac:dyDescent="0.25">
      <c r="A360" s="10">
        <v>359</v>
      </c>
      <c r="B360" s="9">
        <v>3.4996770000000001</v>
      </c>
    </row>
    <row r="361" spans="1:2" x14ac:dyDescent="0.25">
      <c r="A361" s="10">
        <v>360</v>
      </c>
      <c r="B361" s="9">
        <v>3.5053230000000002</v>
      </c>
    </row>
    <row r="362" spans="1:2" x14ac:dyDescent="0.25">
      <c r="A362" s="10">
        <v>361</v>
      </c>
      <c r="B362" s="9">
        <v>3.5109680000000001</v>
      </c>
    </row>
    <row r="363" spans="1:2" x14ac:dyDescent="0.25">
      <c r="A363" s="10">
        <v>362</v>
      </c>
      <c r="B363" s="9">
        <v>3.516613</v>
      </c>
    </row>
    <row r="364" spans="1:2" x14ac:dyDescent="0.25">
      <c r="A364" s="10">
        <v>363</v>
      </c>
      <c r="B364" s="9">
        <v>3.5222579999999999</v>
      </c>
    </row>
    <row r="365" spans="1:2" x14ac:dyDescent="0.25">
      <c r="A365" s="10">
        <v>364</v>
      </c>
      <c r="B365" s="9">
        <v>3.5279029999999998</v>
      </c>
    </row>
    <row r="366" spans="1:2" x14ac:dyDescent="0.25">
      <c r="A366" s="10">
        <v>365</v>
      </c>
      <c r="B366" s="9">
        <v>3.5335480000000001</v>
      </c>
    </row>
    <row r="367" spans="1:2" x14ac:dyDescent="0.25">
      <c r="A367" s="10">
        <v>366</v>
      </c>
      <c r="B367" s="9">
        <v>3.5391940000000002</v>
      </c>
    </row>
    <row r="368" spans="1:2" x14ac:dyDescent="0.25">
      <c r="A368" s="10">
        <v>367</v>
      </c>
      <c r="B368" s="9">
        <v>3.5448390000000001</v>
      </c>
    </row>
    <row r="369" spans="1:2" x14ac:dyDescent="0.25">
      <c r="A369" s="10">
        <v>368</v>
      </c>
      <c r="B369" s="9">
        <v>3.550484</v>
      </c>
    </row>
    <row r="370" spans="1:2" x14ac:dyDescent="0.25">
      <c r="A370" s="10">
        <v>369</v>
      </c>
      <c r="B370" s="9">
        <v>3.5561289999999999</v>
      </c>
    </row>
    <row r="371" spans="1:2" x14ac:dyDescent="0.25">
      <c r="A371" s="10">
        <v>370</v>
      </c>
      <c r="B371" s="9">
        <v>3.5617740000000002</v>
      </c>
    </row>
    <row r="372" spans="1:2" x14ac:dyDescent="0.25">
      <c r="A372" s="10">
        <v>371</v>
      </c>
      <c r="B372" s="9">
        <v>3.5674190000000001</v>
      </c>
    </row>
    <row r="373" spans="1:2" x14ac:dyDescent="0.25">
      <c r="A373" s="10">
        <v>372</v>
      </c>
      <c r="B373" s="9">
        <v>3.5730650000000002</v>
      </c>
    </row>
    <row r="374" spans="1:2" x14ac:dyDescent="0.25">
      <c r="A374" s="10">
        <v>373</v>
      </c>
      <c r="B374" s="9">
        <v>3.5787100000000001</v>
      </c>
    </row>
    <row r="375" spans="1:2" x14ac:dyDescent="0.25">
      <c r="A375" s="10">
        <v>374</v>
      </c>
      <c r="B375" s="9">
        <v>3.584355</v>
      </c>
    </row>
    <row r="376" spans="1:2" x14ac:dyDescent="0.25">
      <c r="A376" s="10">
        <v>375</v>
      </c>
      <c r="B376" s="9">
        <v>3.59</v>
      </c>
    </row>
    <row r="377" spans="1:2" x14ac:dyDescent="0.25">
      <c r="A377" s="10">
        <v>376</v>
      </c>
      <c r="B377" s="9">
        <v>3.595615</v>
      </c>
    </row>
    <row r="378" spans="1:2" x14ac:dyDescent="0.25">
      <c r="A378" s="10">
        <v>377</v>
      </c>
      <c r="B378" s="9">
        <v>3.6012309999999998</v>
      </c>
    </row>
    <row r="379" spans="1:2" x14ac:dyDescent="0.25">
      <c r="A379" s="10">
        <v>378</v>
      </c>
      <c r="B379" s="9">
        <v>3.606846</v>
      </c>
    </row>
    <row r="380" spans="1:2" x14ac:dyDescent="0.25">
      <c r="A380" s="10">
        <v>379</v>
      </c>
      <c r="B380" s="9">
        <v>3.6124610000000001</v>
      </c>
    </row>
    <row r="381" spans="1:2" x14ac:dyDescent="0.25">
      <c r="A381" s="10">
        <v>380</v>
      </c>
      <c r="B381" s="9">
        <v>3.618077</v>
      </c>
    </row>
    <row r="382" spans="1:2" x14ac:dyDescent="0.25">
      <c r="A382" s="10">
        <v>381</v>
      </c>
      <c r="B382" s="9">
        <v>3.6236920000000001</v>
      </c>
    </row>
    <row r="383" spans="1:2" x14ac:dyDescent="0.25">
      <c r="A383" s="10">
        <v>382</v>
      </c>
      <c r="B383" s="9">
        <v>3.629308</v>
      </c>
    </row>
    <row r="384" spans="1:2" x14ac:dyDescent="0.25">
      <c r="A384" s="10">
        <v>383</v>
      </c>
      <c r="B384" s="9">
        <v>3.6349230000000001</v>
      </c>
    </row>
    <row r="385" spans="1:2" x14ac:dyDescent="0.25">
      <c r="A385" s="10">
        <v>384</v>
      </c>
      <c r="B385" s="9">
        <v>3.6405379999999998</v>
      </c>
    </row>
    <row r="386" spans="1:2" x14ac:dyDescent="0.25">
      <c r="A386" s="10">
        <v>385</v>
      </c>
      <c r="B386" s="9">
        <v>3.6461540000000001</v>
      </c>
    </row>
    <row r="387" spans="1:2" x14ac:dyDescent="0.25">
      <c r="A387" s="10">
        <v>386</v>
      </c>
      <c r="B387" s="9">
        <v>3.6517689999999998</v>
      </c>
    </row>
    <row r="388" spans="1:2" x14ac:dyDescent="0.25">
      <c r="A388" s="10">
        <v>387</v>
      </c>
      <c r="B388" s="9">
        <v>3.657384</v>
      </c>
    </row>
    <row r="389" spans="1:2" x14ac:dyDescent="0.25">
      <c r="A389" s="10">
        <v>388</v>
      </c>
      <c r="B389" s="9">
        <v>3.6629999999999998</v>
      </c>
    </row>
    <row r="390" spans="1:2" x14ac:dyDescent="0.25">
      <c r="A390" s="10">
        <v>389</v>
      </c>
      <c r="B390" s="9">
        <v>3.668615</v>
      </c>
    </row>
    <row r="391" spans="1:2" x14ac:dyDescent="0.25">
      <c r="A391" s="10">
        <v>390</v>
      </c>
      <c r="B391" s="9">
        <v>3.6742309999999998</v>
      </c>
    </row>
    <row r="392" spans="1:2" x14ac:dyDescent="0.25">
      <c r="A392" s="10">
        <v>391</v>
      </c>
      <c r="B392" s="9">
        <v>3.679846</v>
      </c>
    </row>
    <row r="393" spans="1:2" x14ac:dyDescent="0.25">
      <c r="A393" s="10">
        <v>392</v>
      </c>
      <c r="B393" s="9">
        <v>3.6854610000000001</v>
      </c>
    </row>
    <row r="394" spans="1:2" x14ac:dyDescent="0.25">
      <c r="A394" s="10">
        <v>393</v>
      </c>
      <c r="B394" s="9">
        <v>3.6910769999999999</v>
      </c>
    </row>
    <row r="395" spans="1:2" x14ac:dyDescent="0.25">
      <c r="A395" s="10">
        <v>394</v>
      </c>
      <c r="B395" s="9">
        <v>3.6966920000000001</v>
      </c>
    </row>
    <row r="396" spans="1:2" x14ac:dyDescent="0.25">
      <c r="A396" s="10">
        <v>395</v>
      </c>
      <c r="B396" s="9">
        <v>3.7023069999999998</v>
      </c>
    </row>
    <row r="397" spans="1:2" x14ac:dyDescent="0.25">
      <c r="A397" s="10">
        <v>396</v>
      </c>
      <c r="B397" s="9">
        <v>3.7079230000000001</v>
      </c>
    </row>
    <row r="398" spans="1:2" x14ac:dyDescent="0.25">
      <c r="A398" s="10">
        <v>397</v>
      </c>
      <c r="B398" s="9">
        <v>3.7135379999999998</v>
      </c>
    </row>
    <row r="399" spans="1:2" x14ac:dyDescent="0.25">
      <c r="A399" s="10">
        <v>398</v>
      </c>
      <c r="B399" s="9">
        <v>3.7191540000000001</v>
      </c>
    </row>
    <row r="400" spans="1:2" x14ac:dyDescent="0.25">
      <c r="A400" s="10">
        <v>399</v>
      </c>
      <c r="B400" s="9">
        <v>3.7247690000000002</v>
      </c>
    </row>
    <row r="401" spans="1:2" x14ac:dyDescent="0.25">
      <c r="A401" s="10">
        <v>400</v>
      </c>
      <c r="B401" s="9">
        <v>3.7303839999999999</v>
      </c>
    </row>
    <row r="402" spans="1:2" x14ac:dyDescent="0.25">
      <c r="A402" s="10">
        <v>401</v>
      </c>
      <c r="B402" s="9">
        <v>3.7360000000000002</v>
      </c>
    </row>
    <row r="403" spans="1:2" x14ac:dyDescent="0.25">
      <c r="A403" s="10">
        <v>402</v>
      </c>
      <c r="B403" s="9">
        <v>3.7416149999999999</v>
      </c>
    </row>
    <row r="404" spans="1:2" x14ac:dyDescent="0.25">
      <c r="A404" s="10">
        <v>403</v>
      </c>
      <c r="B404" s="9">
        <v>3.7472310000000002</v>
      </c>
    </row>
    <row r="405" spans="1:2" x14ac:dyDescent="0.25">
      <c r="A405" s="10">
        <v>404</v>
      </c>
      <c r="B405" s="9">
        <v>3.7528459999999999</v>
      </c>
    </row>
    <row r="406" spans="1:2" x14ac:dyDescent="0.25">
      <c r="A406" s="10">
        <v>405</v>
      </c>
      <c r="B406" s="9">
        <v>3.7584610000000001</v>
      </c>
    </row>
    <row r="407" spans="1:2" x14ac:dyDescent="0.25">
      <c r="A407" s="10">
        <v>406</v>
      </c>
      <c r="B407" s="9">
        <v>3.7640769999999999</v>
      </c>
    </row>
    <row r="408" spans="1:2" x14ac:dyDescent="0.25">
      <c r="A408" s="10">
        <v>407</v>
      </c>
      <c r="B408" s="9">
        <v>3.769692</v>
      </c>
    </row>
    <row r="409" spans="1:2" x14ac:dyDescent="0.25">
      <c r="A409" s="10">
        <v>408</v>
      </c>
      <c r="B409" s="9">
        <v>3.7753070000000002</v>
      </c>
    </row>
    <row r="410" spans="1:2" x14ac:dyDescent="0.25">
      <c r="A410" s="10">
        <v>409</v>
      </c>
      <c r="B410" s="9">
        <v>3.780923</v>
      </c>
    </row>
    <row r="411" spans="1:2" x14ac:dyDescent="0.25">
      <c r="A411" s="10">
        <v>410</v>
      </c>
      <c r="B411" s="9">
        <v>3.7865380000000002</v>
      </c>
    </row>
    <row r="412" spans="1:2" x14ac:dyDescent="0.25">
      <c r="A412" s="10">
        <v>411</v>
      </c>
      <c r="B412" s="9">
        <v>3.792154</v>
      </c>
    </row>
    <row r="413" spans="1:2" x14ac:dyDescent="0.25">
      <c r="A413" s="10">
        <v>412</v>
      </c>
      <c r="B413" s="9">
        <v>3.7977690000000002</v>
      </c>
    </row>
    <row r="414" spans="1:2" x14ac:dyDescent="0.25">
      <c r="A414" s="10">
        <v>413</v>
      </c>
      <c r="B414" s="9">
        <v>3.803385</v>
      </c>
    </row>
    <row r="415" spans="1:2" x14ac:dyDescent="0.25">
      <c r="A415" s="10">
        <v>414</v>
      </c>
      <c r="B415" s="9">
        <v>3.8090000000000002</v>
      </c>
    </row>
    <row r="416" spans="1:2" x14ac:dyDescent="0.25">
      <c r="A416" s="10">
        <v>415</v>
      </c>
      <c r="B416" s="9">
        <v>3.8146149999999999</v>
      </c>
    </row>
    <row r="417" spans="1:2" x14ac:dyDescent="0.25">
      <c r="A417" s="10">
        <v>416</v>
      </c>
      <c r="B417" s="9">
        <v>3.82023</v>
      </c>
    </row>
    <row r="418" spans="1:2" x14ac:dyDescent="0.25">
      <c r="A418" s="10">
        <v>417</v>
      </c>
      <c r="B418" s="9">
        <v>3.8258459999999999</v>
      </c>
    </row>
    <row r="419" spans="1:2" x14ac:dyDescent="0.25">
      <c r="A419" s="10">
        <v>418</v>
      </c>
      <c r="B419" s="9">
        <v>3.831461</v>
      </c>
    </row>
    <row r="420" spans="1:2" x14ac:dyDescent="0.25">
      <c r="A420" s="10">
        <v>419</v>
      </c>
      <c r="B420" s="9">
        <v>3.8370769999999998</v>
      </c>
    </row>
    <row r="421" spans="1:2" x14ac:dyDescent="0.25">
      <c r="A421" s="10">
        <v>420</v>
      </c>
      <c r="B421" s="9">
        <v>3.842692</v>
      </c>
    </row>
    <row r="422" spans="1:2" x14ac:dyDescent="0.25">
      <c r="A422" s="10">
        <v>421</v>
      </c>
      <c r="B422" s="9">
        <v>3.8483079999999998</v>
      </c>
    </row>
    <row r="423" spans="1:2" x14ac:dyDescent="0.25">
      <c r="A423" s="10">
        <v>422</v>
      </c>
      <c r="B423" s="9">
        <v>3.853923</v>
      </c>
    </row>
    <row r="424" spans="1:2" x14ac:dyDescent="0.25">
      <c r="A424" s="10">
        <v>423</v>
      </c>
      <c r="B424" s="9">
        <v>3.8595380000000001</v>
      </c>
    </row>
    <row r="425" spans="1:2" x14ac:dyDescent="0.25">
      <c r="A425" s="10">
        <v>424</v>
      </c>
      <c r="B425" s="9">
        <v>3.865154</v>
      </c>
    </row>
    <row r="426" spans="1:2" x14ac:dyDescent="0.25">
      <c r="A426" s="10">
        <v>425</v>
      </c>
      <c r="B426" s="9">
        <v>3.8707690000000001</v>
      </c>
    </row>
    <row r="427" spans="1:2" x14ac:dyDescent="0.25">
      <c r="A427" s="10">
        <v>426</v>
      </c>
      <c r="B427" s="9">
        <v>3.8763839999999998</v>
      </c>
    </row>
    <row r="428" spans="1:2" x14ac:dyDescent="0.25">
      <c r="A428" s="10">
        <v>427</v>
      </c>
      <c r="B428" s="9">
        <v>3.8820000000000001</v>
      </c>
    </row>
    <row r="429" spans="1:2" x14ac:dyDescent="0.25">
      <c r="A429" s="10">
        <v>428</v>
      </c>
      <c r="B429" s="9">
        <v>3.8876149999999998</v>
      </c>
    </row>
    <row r="430" spans="1:2" x14ac:dyDescent="0.25">
      <c r="A430" s="10">
        <v>429</v>
      </c>
      <c r="B430" s="9">
        <v>3.8932310000000001</v>
      </c>
    </row>
    <row r="431" spans="1:2" x14ac:dyDescent="0.25">
      <c r="A431" s="10">
        <v>430</v>
      </c>
      <c r="B431" s="9">
        <v>3.8988459999999998</v>
      </c>
    </row>
    <row r="432" spans="1:2" x14ac:dyDescent="0.25">
      <c r="A432" s="10">
        <v>431</v>
      </c>
      <c r="B432" s="9">
        <v>3.904461</v>
      </c>
    </row>
    <row r="433" spans="1:2" x14ac:dyDescent="0.25">
      <c r="A433" s="10">
        <v>432</v>
      </c>
      <c r="B433" s="9">
        <v>3.9100769999999998</v>
      </c>
    </row>
    <row r="434" spans="1:2" x14ac:dyDescent="0.25">
      <c r="A434" s="10">
        <v>433</v>
      </c>
      <c r="B434" s="9">
        <v>3.915692</v>
      </c>
    </row>
    <row r="435" spans="1:2" x14ac:dyDescent="0.25">
      <c r="A435" s="10">
        <v>434</v>
      </c>
      <c r="B435" s="9">
        <v>3.9213079999999998</v>
      </c>
    </row>
    <row r="436" spans="1:2" x14ac:dyDescent="0.25">
      <c r="A436" s="10">
        <v>435</v>
      </c>
      <c r="B436" s="9">
        <v>3.9269229999999999</v>
      </c>
    </row>
    <row r="437" spans="1:2" x14ac:dyDescent="0.25">
      <c r="A437" s="10">
        <v>436</v>
      </c>
      <c r="B437" s="9">
        <v>3.9325380000000001</v>
      </c>
    </row>
    <row r="438" spans="1:2" x14ac:dyDescent="0.25">
      <c r="A438" s="10">
        <v>437</v>
      </c>
      <c r="B438" s="9">
        <v>3.9381539999999999</v>
      </c>
    </row>
    <row r="439" spans="1:2" x14ac:dyDescent="0.25">
      <c r="A439" s="10">
        <v>438</v>
      </c>
      <c r="B439" s="9">
        <v>3.9437690000000001</v>
      </c>
    </row>
    <row r="440" spans="1:2" x14ac:dyDescent="0.25">
      <c r="A440" s="10">
        <v>439</v>
      </c>
      <c r="B440" s="9">
        <v>3.9493839999999998</v>
      </c>
    </row>
    <row r="441" spans="1:2" x14ac:dyDescent="0.25">
      <c r="A441" s="10">
        <v>440</v>
      </c>
      <c r="B441" s="9">
        <v>3.9550000000000001</v>
      </c>
    </row>
    <row r="442" spans="1:2" x14ac:dyDescent="0.25">
      <c r="A442" s="10">
        <v>441</v>
      </c>
      <c r="B442" s="9">
        <v>3.9584670000000002</v>
      </c>
    </row>
    <row r="443" spans="1:2" x14ac:dyDescent="0.25">
      <c r="A443" s="10">
        <v>442</v>
      </c>
      <c r="B443" s="9">
        <v>3.9619360000000001</v>
      </c>
    </row>
    <row r="444" spans="1:2" x14ac:dyDescent="0.25">
      <c r="A444" s="10">
        <v>443</v>
      </c>
      <c r="B444" s="9">
        <v>3.9654029999999998</v>
      </c>
    </row>
    <row r="445" spans="1:2" x14ac:dyDescent="0.25">
      <c r="A445" s="10">
        <v>444</v>
      </c>
      <c r="B445" s="9">
        <v>3.968871</v>
      </c>
    </row>
    <row r="446" spans="1:2" x14ac:dyDescent="0.25">
      <c r="A446" s="10">
        <v>445</v>
      </c>
      <c r="B446" s="9">
        <v>3.9723389999999998</v>
      </c>
    </row>
    <row r="447" spans="1:2" x14ac:dyDescent="0.25">
      <c r="A447" s="10">
        <v>446</v>
      </c>
      <c r="B447" s="9">
        <v>3.975806</v>
      </c>
    </row>
    <row r="448" spans="1:2" x14ac:dyDescent="0.25">
      <c r="A448" s="10">
        <v>447</v>
      </c>
      <c r="B448" s="9">
        <v>3.9792740000000002</v>
      </c>
    </row>
    <row r="449" spans="1:2" x14ac:dyDescent="0.25">
      <c r="A449" s="10">
        <v>448</v>
      </c>
      <c r="B449" s="9">
        <v>3.982742</v>
      </c>
    </row>
    <row r="450" spans="1:2" x14ac:dyDescent="0.25">
      <c r="A450" s="10">
        <v>449</v>
      </c>
      <c r="B450" s="9">
        <v>3.9862090000000001</v>
      </c>
    </row>
    <row r="451" spans="1:2" x14ac:dyDescent="0.25">
      <c r="A451" s="10">
        <v>450</v>
      </c>
      <c r="B451" s="9">
        <v>3.9896769999999999</v>
      </c>
    </row>
    <row r="452" spans="1:2" x14ac:dyDescent="0.25">
      <c r="A452" s="10">
        <v>451</v>
      </c>
      <c r="B452" s="9">
        <v>3.9931450000000002</v>
      </c>
    </row>
    <row r="453" spans="1:2" x14ac:dyDescent="0.25">
      <c r="A453" s="10">
        <v>452</v>
      </c>
      <c r="B453" s="9">
        <v>3.996613</v>
      </c>
    </row>
    <row r="454" spans="1:2" x14ac:dyDescent="0.25">
      <c r="A454" s="10">
        <v>453</v>
      </c>
      <c r="B454" s="9">
        <v>4.0000809999999998</v>
      </c>
    </row>
    <row r="455" spans="1:2" x14ac:dyDescent="0.25">
      <c r="A455" s="10">
        <v>454</v>
      </c>
      <c r="B455" s="9">
        <v>4.0035480000000003</v>
      </c>
    </row>
    <row r="456" spans="1:2" x14ac:dyDescent="0.25">
      <c r="A456" s="10">
        <v>455</v>
      </c>
      <c r="B456" s="9">
        <v>4.0070160000000001</v>
      </c>
    </row>
    <row r="457" spans="1:2" x14ac:dyDescent="0.25">
      <c r="A457" s="10">
        <v>456</v>
      </c>
      <c r="B457" s="9">
        <v>4.0104839999999999</v>
      </c>
    </row>
    <row r="458" spans="1:2" x14ac:dyDescent="0.25">
      <c r="A458" s="10">
        <v>457</v>
      </c>
      <c r="B458" s="9">
        <v>4.0139509999999996</v>
      </c>
    </row>
    <row r="459" spans="1:2" x14ac:dyDescent="0.25">
      <c r="A459" s="10">
        <v>458</v>
      </c>
      <c r="B459" s="9">
        <v>4.0174190000000003</v>
      </c>
    </row>
    <row r="460" spans="1:2" x14ac:dyDescent="0.25">
      <c r="A460" s="10">
        <v>459</v>
      </c>
      <c r="B460" s="9">
        <v>4.0208870000000001</v>
      </c>
    </row>
    <row r="461" spans="1:2" x14ac:dyDescent="0.25">
      <c r="A461" s="10">
        <v>460</v>
      </c>
      <c r="B461" s="9">
        <v>4.0243549999999999</v>
      </c>
    </row>
    <row r="462" spans="1:2" x14ac:dyDescent="0.25">
      <c r="A462" s="10">
        <v>461</v>
      </c>
      <c r="B462" s="9">
        <v>4.0278219999999996</v>
      </c>
    </row>
    <row r="463" spans="1:2" x14ac:dyDescent="0.25">
      <c r="A463" s="10">
        <v>462</v>
      </c>
      <c r="B463" s="9">
        <v>4.0312900000000003</v>
      </c>
    </row>
    <row r="464" spans="1:2" x14ac:dyDescent="0.25">
      <c r="A464" s="10">
        <v>463</v>
      </c>
      <c r="B464" s="9">
        <v>4.0347580000000001</v>
      </c>
    </row>
    <row r="465" spans="1:2" x14ac:dyDescent="0.25">
      <c r="A465" s="10">
        <v>464</v>
      </c>
      <c r="B465" s="9">
        <v>4.0382259999999999</v>
      </c>
    </row>
    <row r="466" spans="1:2" x14ac:dyDescent="0.25">
      <c r="A466" s="10">
        <v>465</v>
      </c>
      <c r="B466" s="9">
        <v>4.0416939999999997</v>
      </c>
    </row>
    <row r="467" spans="1:2" x14ac:dyDescent="0.25">
      <c r="A467" s="10">
        <v>466</v>
      </c>
      <c r="B467" s="9">
        <v>4.0451610000000002</v>
      </c>
    </row>
    <row r="468" spans="1:2" x14ac:dyDescent="0.25">
      <c r="A468" s="10">
        <v>467</v>
      </c>
      <c r="B468" s="9">
        <v>4.048629</v>
      </c>
    </row>
    <row r="469" spans="1:2" x14ac:dyDescent="0.25">
      <c r="A469" s="10">
        <v>468</v>
      </c>
      <c r="B469" s="9">
        <v>4.0520969999999998</v>
      </c>
    </row>
    <row r="470" spans="1:2" x14ac:dyDescent="0.25">
      <c r="A470" s="10">
        <v>469</v>
      </c>
      <c r="B470" s="9">
        <v>4.0555640000000004</v>
      </c>
    </row>
    <row r="471" spans="1:2" x14ac:dyDescent="0.25">
      <c r="A471" s="10">
        <v>470</v>
      </c>
      <c r="B471" s="9">
        <v>4.0590320000000002</v>
      </c>
    </row>
    <row r="472" spans="1:2" x14ac:dyDescent="0.25">
      <c r="A472" s="10">
        <v>471</v>
      </c>
      <c r="B472" s="9">
        <v>4.0625</v>
      </c>
    </row>
    <row r="473" spans="1:2" x14ac:dyDescent="0.25">
      <c r="A473" s="10">
        <v>472</v>
      </c>
      <c r="B473" s="9">
        <v>4.0659679999999998</v>
      </c>
    </row>
    <row r="474" spans="1:2" x14ac:dyDescent="0.25">
      <c r="A474" s="10">
        <v>473</v>
      </c>
      <c r="B474" s="9">
        <v>4.0694359999999996</v>
      </c>
    </row>
    <row r="475" spans="1:2" x14ac:dyDescent="0.25">
      <c r="A475" s="10">
        <v>474</v>
      </c>
      <c r="B475" s="9">
        <v>4.0729030000000002</v>
      </c>
    </row>
    <row r="476" spans="1:2" x14ac:dyDescent="0.25">
      <c r="A476" s="10">
        <v>475</v>
      </c>
      <c r="B476" s="9">
        <v>4.076371</v>
      </c>
    </row>
    <row r="477" spans="1:2" x14ac:dyDescent="0.25">
      <c r="A477" s="10">
        <v>476</v>
      </c>
      <c r="B477" s="9">
        <v>4.0798389999999998</v>
      </c>
    </row>
    <row r="478" spans="1:2" x14ac:dyDescent="0.25">
      <c r="A478" s="10">
        <v>477</v>
      </c>
      <c r="B478" s="9">
        <v>4.0833060000000003</v>
      </c>
    </row>
    <row r="479" spans="1:2" x14ac:dyDescent="0.25">
      <c r="A479" s="10">
        <v>478</v>
      </c>
      <c r="B479" s="9">
        <v>4.0867740000000001</v>
      </c>
    </row>
    <row r="480" spans="1:2" x14ac:dyDescent="0.25">
      <c r="A480" s="10">
        <v>479</v>
      </c>
      <c r="B480" s="9">
        <v>4.0902419999999999</v>
      </c>
    </row>
    <row r="481" spans="1:2" x14ac:dyDescent="0.25">
      <c r="A481" s="10">
        <v>480</v>
      </c>
      <c r="B481" s="9">
        <v>4.0937089999999996</v>
      </c>
    </row>
    <row r="482" spans="1:2" x14ac:dyDescent="0.25">
      <c r="A482" s="10">
        <v>481</v>
      </c>
      <c r="B482" s="9">
        <v>4.0971780000000004</v>
      </c>
    </row>
    <row r="483" spans="1:2" x14ac:dyDescent="0.25">
      <c r="A483" s="10">
        <v>482</v>
      </c>
      <c r="B483" s="9">
        <v>4.1006450000000001</v>
      </c>
    </row>
    <row r="484" spans="1:2" x14ac:dyDescent="0.25">
      <c r="A484" s="10">
        <v>483</v>
      </c>
      <c r="B484" s="9">
        <v>4.1041129999999999</v>
      </c>
    </row>
    <row r="485" spans="1:2" x14ac:dyDescent="0.25">
      <c r="A485" s="10">
        <v>484</v>
      </c>
      <c r="B485" s="9">
        <v>4.1075809999999997</v>
      </c>
    </row>
    <row r="486" spans="1:2" x14ac:dyDescent="0.25">
      <c r="A486" s="10">
        <v>485</v>
      </c>
      <c r="B486" s="9">
        <v>4.1110480000000003</v>
      </c>
    </row>
    <row r="487" spans="1:2" x14ac:dyDescent="0.25">
      <c r="A487" s="10">
        <v>486</v>
      </c>
      <c r="B487" s="9">
        <v>4.1145160000000001</v>
      </c>
    </row>
    <row r="488" spans="1:2" x14ac:dyDescent="0.25">
      <c r="A488" s="10">
        <v>487</v>
      </c>
      <c r="B488" s="9">
        <v>4.1179839999999999</v>
      </c>
    </row>
    <row r="489" spans="1:2" x14ac:dyDescent="0.25">
      <c r="A489" s="10">
        <v>488</v>
      </c>
      <c r="B489" s="9">
        <v>4.1214510000000004</v>
      </c>
    </row>
    <row r="490" spans="1:2" x14ac:dyDescent="0.25">
      <c r="A490" s="10">
        <v>489</v>
      </c>
      <c r="B490" s="9">
        <v>4.1249190000000002</v>
      </c>
    </row>
    <row r="491" spans="1:2" x14ac:dyDescent="0.25">
      <c r="A491" s="10">
        <v>490</v>
      </c>
      <c r="B491" s="9">
        <v>4.128387</v>
      </c>
    </row>
    <row r="492" spans="1:2" x14ac:dyDescent="0.25">
      <c r="A492" s="10">
        <v>491</v>
      </c>
      <c r="B492" s="9">
        <v>4.1318549999999998</v>
      </c>
    </row>
    <row r="493" spans="1:2" x14ac:dyDescent="0.25">
      <c r="A493" s="10">
        <v>492</v>
      </c>
      <c r="B493" s="9">
        <v>4.1353229999999996</v>
      </c>
    </row>
    <row r="494" spans="1:2" x14ac:dyDescent="0.25">
      <c r="A494" s="10">
        <v>493</v>
      </c>
      <c r="B494" s="9">
        <v>4.1387900000000002</v>
      </c>
    </row>
    <row r="495" spans="1:2" x14ac:dyDescent="0.25">
      <c r="A495" s="10">
        <v>494</v>
      </c>
      <c r="B495" s="9">
        <v>4.142258</v>
      </c>
    </row>
    <row r="496" spans="1:2" x14ac:dyDescent="0.25">
      <c r="A496" s="10">
        <v>495</v>
      </c>
      <c r="B496" s="9">
        <v>4.1457259999999998</v>
      </c>
    </row>
    <row r="497" spans="1:2" x14ac:dyDescent="0.25">
      <c r="A497" s="10">
        <v>496</v>
      </c>
      <c r="B497" s="9">
        <v>4.1491939999999996</v>
      </c>
    </row>
    <row r="498" spans="1:2" x14ac:dyDescent="0.25">
      <c r="A498" s="10">
        <v>497</v>
      </c>
      <c r="B498" s="9">
        <v>4.1526610000000002</v>
      </c>
    </row>
    <row r="499" spans="1:2" x14ac:dyDescent="0.25">
      <c r="A499" s="10">
        <v>498</v>
      </c>
      <c r="B499" s="9">
        <v>4.156129</v>
      </c>
    </row>
    <row r="500" spans="1:2" x14ac:dyDescent="0.25">
      <c r="A500" s="10">
        <v>499</v>
      </c>
      <c r="B500" s="9">
        <v>4.1595969999999998</v>
      </c>
    </row>
    <row r="501" spans="1:2" x14ac:dyDescent="0.25">
      <c r="A501" s="10">
        <v>500</v>
      </c>
      <c r="B501" s="9">
        <v>4.1630640000000003</v>
      </c>
    </row>
    <row r="502" spans="1:2" x14ac:dyDescent="0.25">
      <c r="A502" s="10">
        <v>501</v>
      </c>
      <c r="B502" s="9">
        <v>4.1665330000000003</v>
      </c>
    </row>
    <row r="503" spans="1:2" x14ac:dyDescent="0.25">
      <c r="A503" s="10">
        <v>502</v>
      </c>
      <c r="B503" s="9">
        <v>4.17</v>
      </c>
    </row>
    <row r="504" spans="1:2" x14ac:dyDescent="0.25">
      <c r="A504" s="10">
        <v>503</v>
      </c>
      <c r="B504" s="9">
        <v>4.1745239999999999</v>
      </c>
    </row>
    <row r="505" spans="1:2" x14ac:dyDescent="0.25">
      <c r="A505" s="10">
        <v>504</v>
      </c>
      <c r="B505" s="9">
        <v>4.1790479999999999</v>
      </c>
    </row>
    <row r="506" spans="1:2" x14ac:dyDescent="0.25">
      <c r="A506" s="10">
        <v>505</v>
      </c>
      <c r="B506" s="9">
        <v>4.1835709999999997</v>
      </c>
    </row>
    <row r="507" spans="1:2" x14ac:dyDescent="0.25">
      <c r="A507" s="10">
        <v>506</v>
      </c>
      <c r="B507" s="9">
        <v>4.1880949999999997</v>
      </c>
    </row>
    <row r="508" spans="1:2" x14ac:dyDescent="0.25">
      <c r="A508" s="10">
        <v>507</v>
      </c>
      <c r="B508" s="9">
        <v>4.1926189999999997</v>
      </c>
    </row>
    <row r="509" spans="1:2" x14ac:dyDescent="0.25">
      <c r="A509" s="10">
        <v>508</v>
      </c>
      <c r="B509" s="9">
        <v>4.1971429999999996</v>
      </c>
    </row>
    <row r="510" spans="1:2" x14ac:dyDescent="0.25">
      <c r="A510" s="10">
        <v>509</v>
      </c>
      <c r="B510" s="9">
        <v>4.2016669999999996</v>
      </c>
    </row>
    <row r="511" spans="1:2" x14ac:dyDescent="0.25">
      <c r="A511" s="10">
        <v>510</v>
      </c>
      <c r="B511" s="9">
        <v>4.2061909999999996</v>
      </c>
    </row>
    <row r="512" spans="1:2" x14ac:dyDescent="0.25">
      <c r="A512" s="10">
        <v>511</v>
      </c>
      <c r="B512" s="9">
        <v>4.2107140000000003</v>
      </c>
    </row>
    <row r="513" spans="1:2" x14ac:dyDescent="0.25">
      <c r="A513" s="10">
        <v>512</v>
      </c>
      <c r="B513" s="9">
        <v>4.2152380000000003</v>
      </c>
    </row>
    <row r="514" spans="1:2" x14ac:dyDescent="0.25">
      <c r="A514" s="10">
        <v>513</v>
      </c>
      <c r="B514" s="9">
        <v>4.2197620000000002</v>
      </c>
    </row>
    <row r="515" spans="1:2" x14ac:dyDescent="0.25">
      <c r="A515" s="10">
        <v>514</v>
      </c>
      <c r="B515" s="9">
        <v>4.2242860000000002</v>
      </c>
    </row>
    <row r="516" spans="1:2" x14ac:dyDescent="0.25">
      <c r="A516" s="10">
        <v>515</v>
      </c>
      <c r="B516" s="9">
        <v>4.228809</v>
      </c>
    </row>
    <row r="517" spans="1:2" x14ac:dyDescent="0.25">
      <c r="A517" s="10">
        <v>516</v>
      </c>
      <c r="B517" s="9">
        <v>4.2333340000000002</v>
      </c>
    </row>
    <row r="518" spans="1:2" x14ac:dyDescent="0.25">
      <c r="A518" s="10">
        <v>517</v>
      </c>
      <c r="B518" s="9">
        <v>4.237857</v>
      </c>
    </row>
    <row r="519" spans="1:2" x14ac:dyDescent="0.25">
      <c r="A519" s="10">
        <v>518</v>
      </c>
      <c r="B519" s="9">
        <v>4.242381</v>
      </c>
    </row>
    <row r="520" spans="1:2" x14ac:dyDescent="0.25">
      <c r="A520" s="10">
        <v>519</v>
      </c>
      <c r="B520" s="9">
        <v>4.2469049999999999</v>
      </c>
    </row>
    <row r="521" spans="1:2" x14ac:dyDescent="0.25">
      <c r="A521" s="10">
        <v>520</v>
      </c>
      <c r="B521" s="9">
        <v>4.2514289999999999</v>
      </c>
    </row>
    <row r="522" spans="1:2" x14ac:dyDescent="0.25">
      <c r="A522" s="10">
        <v>521</v>
      </c>
      <c r="B522" s="9">
        <v>4.2559519999999997</v>
      </c>
    </row>
    <row r="523" spans="1:2" x14ac:dyDescent="0.25">
      <c r="A523" s="10">
        <v>522</v>
      </c>
      <c r="B523" s="9">
        <v>4.2604759999999997</v>
      </c>
    </row>
    <row r="524" spans="1:2" x14ac:dyDescent="0.25">
      <c r="A524" s="10">
        <v>523</v>
      </c>
      <c r="B524" s="9">
        <v>4.2649999999999997</v>
      </c>
    </row>
    <row r="525" spans="1:2" x14ac:dyDescent="0.25">
      <c r="A525" s="10">
        <v>524</v>
      </c>
      <c r="B525" s="9">
        <v>4.2695239999999997</v>
      </c>
    </row>
    <row r="526" spans="1:2" x14ac:dyDescent="0.25">
      <c r="A526" s="10">
        <v>525</v>
      </c>
      <c r="B526" s="9">
        <v>4.2740479999999996</v>
      </c>
    </row>
    <row r="527" spans="1:2" x14ac:dyDescent="0.25">
      <c r="A527" s="10">
        <v>526</v>
      </c>
      <c r="B527" s="9">
        <v>4.2785710000000003</v>
      </c>
    </row>
    <row r="528" spans="1:2" x14ac:dyDescent="0.25">
      <c r="A528" s="10">
        <v>527</v>
      </c>
      <c r="B528" s="9">
        <v>4.2830950000000003</v>
      </c>
    </row>
    <row r="529" spans="1:2" x14ac:dyDescent="0.25">
      <c r="A529" s="10">
        <v>528</v>
      </c>
      <c r="B529" s="9">
        <v>4.2876190000000003</v>
      </c>
    </row>
    <row r="530" spans="1:2" x14ac:dyDescent="0.25">
      <c r="A530" s="10">
        <v>529</v>
      </c>
      <c r="B530" s="9">
        <v>4.2921430000000003</v>
      </c>
    </row>
    <row r="531" spans="1:2" x14ac:dyDescent="0.25">
      <c r="A531" s="10">
        <v>530</v>
      </c>
      <c r="B531" s="9">
        <v>4.2966670000000002</v>
      </c>
    </row>
    <row r="532" spans="1:2" x14ac:dyDescent="0.25">
      <c r="A532" s="10">
        <v>531</v>
      </c>
      <c r="B532" s="9">
        <v>4.3011900000000001</v>
      </c>
    </row>
    <row r="533" spans="1:2" x14ac:dyDescent="0.25">
      <c r="A533" s="10">
        <v>532</v>
      </c>
      <c r="B533" s="9">
        <v>4.305714</v>
      </c>
    </row>
    <row r="534" spans="1:2" x14ac:dyDescent="0.25">
      <c r="A534" s="10">
        <v>533</v>
      </c>
      <c r="B534" s="9">
        <v>4.310238</v>
      </c>
    </row>
    <row r="535" spans="1:2" x14ac:dyDescent="0.25">
      <c r="A535" s="10">
        <v>534</v>
      </c>
      <c r="B535" s="9">
        <v>4.314762</v>
      </c>
    </row>
    <row r="536" spans="1:2" x14ac:dyDescent="0.25">
      <c r="A536" s="10">
        <v>535</v>
      </c>
      <c r="B536" s="9">
        <v>4.3192849999999998</v>
      </c>
    </row>
    <row r="537" spans="1:2" x14ac:dyDescent="0.25">
      <c r="A537" s="10">
        <v>536</v>
      </c>
      <c r="B537" s="9">
        <v>4.3238099999999999</v>
      </c>
    </row>
    <row r="538" spans="1:2" x14ac:dyDescent="0.25">
      <c r="A538" s="10">
        <v>537</v>
      </c>
      <c r="B538" s="9">
        <v>4.3283329999999998</v>
      </c>
    </row>
    <row r="539" spans="1:2" x14ac:dyDescent="0.25">
      <c r="A539" s="10">
        <v>538</v>
      </c>
      <c r="B539" s="9">
        <v>4.3328569999999997</v>
      </c>
    </row>
    <row r="540" spans="1:2" x14ac:dyDescent="0.25">
      <c r="A540" s="10">
        <v>539</v>
      </c>
      <c r="B540" s="9">
        <v>4.3373809999999997</v>
      </c>
    </row>
    <row r="541" spans="1:2" x14ac:dyDescent="0.25">
      <c r="A541" s="10">
        <v>540</v>
      </c>
      <c r="B541" s="9">
        <v>4.3419049999999997</v>
      </c>
    </row>
    <row r="542" spans="1:2" x14ac:dyDescent="0.25">
      <c r="A542" s="10">
        <v>541</v>
      </c>
      <c r="B542" s="9">
        <v>4.3464280000000004</v>
      </c>
    </row>
    <row r="543" spans="1:2" x14ac:dyDescent="0.25">
      <c r="A543" s="10">
        <v>542</v>
      </c>
      <c r="B543" s="9">
        <v>4.3509520000000004</v>
      </c>
    </row>
    <row r="544" spans="1:2" x14ac:dyDescent="0.25">
      <c r="A544" s="10">
        <v>543</v>
      </c>
      <c r="B544" s="9">
        <v>4.3554760000000003</v>
      </c>
    </row>
    <row r="545" spans="1:2" x14ac:dyDescent="0.25">
      <c r="A545" s="10">
        <v>544</v>
      </c>
      <c r="B545" s="9">
        <v>4.3600000000000003</v>
      </c>
    </row>
    <row r="546" spans="1:2" x14ac:dyDescent="0.25">
      <c r="A546" s="10">
        <v>545</v>
      </c>
      <c r="B546" s="9">
        <v>4.3645240000000003</v>
      </c>
    </row>
    <row r="547" spans="1:2" x14ac:dyDescent="0.25">
      <c r="A547" s="10">
        <v>546</v>
      </c>
      <c r="B547" s="9">
        <v>4.3690480000000003</v>
      </c>
    </row>
    <row r="548" spans="1:2" x14ac:dyDescent="0.25">
      <c r="A548" s="10">
        <v>547</v>
      </c>
      <c r="B548" s="9">
        <v>4.3735710000000001</v>
      </c>
    </row>
    <row r="549" spans="1:2" x14ac:dyDescent="0.25">
      <c r="A549" s="10">
        <v>548</v>
      </c>
      <c r="B549" s="9">
        <v>4.3780950000000001</v>
      </c>
    </row>
    <row r="550" spans="1:2" x14ac:dyDescent="0.25">
      <c r="A550" s="10">
        <v>549</v>
      </c>
      <c r="B550" s="9">
        <v>4.382619</v>
      </c>
    </row>
    <row r="551" spans="1:2" x14ac:dyDescent="0.25">
      <c r="A551" s="10">
        <v>550</v>
      </c>
      <c r="B551" s="9">
        <v>4.387143</v>
      </c>
    </row>
    <row r="552" spans="1:2" x14ac:dyDescent="0.25">
      <c r="A552" s="10">
        <v>551</v>
      </c>
      <c r="B552" s="9">
        <v>4.3916659999999998</v>
      </c>
    </row>
    <row r="553" spans="1:2" x14ac:dyDescent="0.25">
      <c r="A553" s="10">
        <v>552</v>
      </c>
      <c r="B553" s="9">
        <v>4.396191</v>
      </c>
    </row>
    <row r="554" spans="1:2" x14ac:dyDescent="0.25">
      <c r="A554" s="10">
        <v>553</v>
      </c>
      <c r="B554" s="9">
        <v>4.4007139999999998</v>
      </c>
    </row>
    <row r="555" spans="1:2" x14ac:dyDescent="0.25">
      <c r="A555" s="10">
        <v>554</v>
      </c>
      <c r="B555" s="9">
        <v>4.4052379999999998</v>
      </c>
    </row>
    <row r="556" spans="1:2" x14ac:dyDescent="0.25">
      <c r="A556" s="10">
        <v>555</v>
      </c>
      <c r="B556" s="9">
        <v>4.4097619999999997</v>
      </c>
    </row>
    <row r="557" spans="1:2" x14ac:dyDescent="0.25">
      <c r="A557" s="10">
        <v>556</v>
      </c>
      <c r="B557" s="9">
        <v>4.4142859999999997</v>
      </c>
    </row>
    <row r="558" spans="1:2" x14ac:dyDescent="0.25">
      <c r="A558" s="10">
        <v>557</v>
      </c>
      <c r="B558" s="9">
        <v>4.4188090000000004</v>
      </c>
    </row>
    <row r="559" spans="1:2" x14ac:dyDescent="0.25">
      <c r="A559" s="10">
        <v>558</v>
      </c>
      <c r="B559" s="9">
        <v>4.4233330000000004</v>
      </c>
    </row>
    <row r="560" spans="1:2" x14ac:dyDescent="0.25">
      <c r="A560" s="10">
        <v>559</v>
      </c>
      <c r="B560" s="9">
        <v>4.4278570000000004</v>
      </c>
    </row>
    <row r="561" spans="1:2" x14ac:dyDescent="0.25">
      <c r="A561" s="10">
        <v>560</v>
      </c>
      <c r="B561" s="9">
        <v>4.4323810000000003</v>
      </c>
    </row>
    <row r="562" spans="1:2" x14ac:dyDescent="0.25">
      <c r="A562" s="10">
        <v>561</v>
      </c>
      <c r="B562" s="9">
        <v>4.4369050000000003</v>
      </c>
    </row>
    <row r="563" spans="1:2" x14ac:dyDescent="0.25">
      <c r="A563" s="10">
        <v>562</v>
      </c>
      <c r="B563" s="9">
        <v>4.4414280000000002</v>
      </c>
    </row>
    <row r="564" spans="1:2" x14ac:dyDescent="0.25">
      <c r="A564" s="10">
        <v>563</v>
      </c>
      <c r="B564" s="9">
        <v>4.4459520000000001</v>
      </c>
    </row>
    <row r="565" spans="1:2" x14ac:dyDescent="0.25">
      <c r="A565" s="10">
        <v>564</v>
      </c>
      <c r="B565" s="9">
        <v>4.4504760000000001</v>
      </c>
    </row>
    <row r="566" spans="1:2" x14ac:dyDescent="0.25">
      <c r="A566" s="10">
        <v>565</v>
      </c>
      <c r="B566" s="9">
        <v>4.4550000000000001</v>
      </c>
    </row>
    <row r="567" spans="1:2" x14ac:dyDescent="0.25">
      <c r="A567" s="10">
        <v>566</v>
      </c>
      <c r="B567" s="9">
        <v>4.4586889999999997</v>
      </c>
    </row>
    <row r="568" spans="1:2" x14ac:dyDescent="0.25">
      <c r="A568" s="10">
        <v>567</v>
      </c>
      <c r="B568" s="9">
        <v>4.462377</v>
      </c>
    </row>
    <row r="569" spans="1:2" x14ac:dyDescent="0.25">
      <c r="A569" s="10">
        <v>568</v>
      </c>
      <c r="B569" s="9">
        <v>4.4660650000000004</v>
      </c>
    </row>
    <row r="570" spans="1:2" x14ac:dyDescent="0.25">
      <c r="A570" s="10">
        <v>569</v>
      </c>
      <c r="B570" s="9">
        <v>4.469754</v>
      </c>
    </row>
    <row r="571" spans="1:2" x14ac:dyDescent="0.25">
      <c r="A571" s="10">
        <v>570</v>
      </c>
      <c r="B571" s="9">
        <v>4.4734429999999996</v>
      </c>
    </row>
    <row r="572" spans="1:2" x14ac:dyDescent="0.25">
      <c r="A572" s="10">
        <v>571</v>
      </c>
      <c r="B572" s="9">
        <v>4.477131</v>
      </c>
    </row>
    <row r="573" spans="1:2" x14ac:dyDescent="0.25">
      <c r="A573" s="10">
        <v>572</v>
      </c>
      <c r="B573" s="9">
        <v>4.4808199999999996</v>
      </c>
    </row>
    <row r="574" spans="1:2" x14ac:dyDescent="0.25">
      <c r="A574" s="10">
        <v>573</v>
      </c>
      <c r="B574" s="9">
        <v>4.4845079999999999</v>
      </c>
    </row>
    <row r="575" spans="1:2" x14ac:dyDescent="0.25">
      <c r="A575" s="10">
        <v>574</v>
      </c>
      <c r="B575" s="9">
        <v>4.4881960000000003</v>
      </c>
    </row>
    <row r="576" spans="1:2" x14ac:dyDescent="0.25">
      <c r="A576" s="10">
        <v>575</v>
      </c>
      <c r="B576" s="9">
        <v>4.4918849999999999</v>
      </c>
    </row>
    <row r="577" spans="1:2" x14ac:dyDescent="0.25">
      <c r="A577" s="10">
        <v>576</v>
      </c>
      <c r="B577" s="9">
        <v>4.4955740000000004</v>
      </c>
    </row>
    <row r="578" spans="1:2" x14ac:dyDescent="0.25">
      <c r="A578" s="10">
        <v>577</v>
      </c>
      <c r="B578" s="9">
        <v>4.4992619999999999</v>
      </c>
    </row>
    <row r="579" spans="1:2" x14ac:dyDescent="0.25">
      <c r="A579" s="10">
        <v>578</v>
      </c>
      <c r="B579" s="9">
        <v>4.5029510000000004</v>
      </c>
    </row>
    <row r="580" spans="1:2" x14ac:dyDescent="0.25">
      <c r="A580" s="10">
        <v>579</v>
      </c>
      <c r="B580" s="9">
        <v>4.5066389999999998</v>
      </c>
    </row>
    <row r="581" spans="1:2" x14ac:dyDescent="0.25">
      <c r="A581" s="10">
        <v>580</v>
      </c>
      <c r="B581" s="9">
        <v>4.5103280000000003</v>
      </c>
    </row>
    <row r="582" spans="1:2" x14ac:dyDescent="0.25">
      <c r="A582" s="10">
        <v>581</v>
      </c>
      <c r="B582" s="9">
        <v>4.5140159999999998</v>
      </c>
    </row>
    <row r="583" spans="1:2" x14ac:dyDescent="0.25">
      <c r="A583" s="10">
        <v>582</v>
      </c>
      <c r="B583" s="9">
        <v>4.5177050000000003</v>
      </c>
    </row>
    <row r="584" spans="1:2" x14ac:dyDescent="0.25">
      <c r="A584" s="10">
        <v>583</v>
      </c>
      <c r="B584" s="9">
        <v>4.5213929999999998</v>
      </c>
    </row>
    <row r="585" spans="1:2" x14ac:dyDescent="0.25">
      <c r="A585" s="10">
        <v>584</v>
      </c>
      <c r="B585" s="9">
        <v>4.5250820000000003</v>
      </c>
    </row>
    <row r="586" spans="1:2" x14ac:dyDescent="0.25">
      <c r="A586" s="10">
        <v>585</v>
      </c>
      <c r="B586" s="9">
        <v>4.5287699999999997</v>
      </c>
    </row>
    <row r="587" spans="1:2" x14ac:dyDescent="0.25">
      <c r="A587" s="10">
        <v>586</v>
      </c>
      <c r="B587" s="9">
        <v>4.5324590000000002</v>
      </c>
    </row>
    <row r="588" spans="1:2" x14ac:dyDescent="0.25">
      <c r="A588" s="10">
        <v>587</v>
      </c>
      <c r="B588" s="9">
        <v>4.5361469999999997</v>
      </c>
    </row>
    <row r="589" spans="1:2" x14ac:dyDescent="0.25">
      <c r="A589" s="10">
        <v>588</v>
      </c>
      <c r="B589" s="9">
        <v>4.5398360000000002</v>
      </c>
    </row>
    <row r="590" spans="1:2" x14ac:dyDescent="0.25">
      <c r="A590" s="10">
        <v>589</v>
      </c>
      <c r="B590" s="9">
        <v>4.5435249999999998</v>
      </c>
    </row>
    <row r="591" spans="1:2" x14ac:dyDescent="0.25">
      <c r="A591" s="10">
        <v>590</v>
      </c>
      <c r="B591" s="9">
        <v>4.5472130000000002</v>
      </c>
    </row>
    <row r="592" spans="1:2" x14ac:dyDescent="0.25">
      <c r="A592" s="10">
        <v>591</v>
      </c>
      <c r="B592" s="9">
        <v>4.5509009999999996</v>
      </c>
    </row>
    <row r="593" spans="1:2" x14ac:dyDescent="0.25">
      <c r="A593" s="10">
        <v>592</v>
      </c>
      <c r="B593" s="9">
        <v>4.5545900000000001</v>
      </c>
    </row>
    <row r="594" spans="1:2" x14ac:dyDescent="0.25">
      <c r="A594" s="10">
        <v>593</v>
      </c>
      <c r="B594" s="9">
        <v>4.5582789999999997</v>
      </c>
    </row>
    <row r="595" spans="1:2" x14ac:dyDescent="0.25">
      <c r="A595" s="10">
        <v>594</v>
      </c>
      <c r="B595" s="9">
        <v>4.5619670000000001</v>
      </c>
    </row>
    <row r="596" spans="1:2" x14ac:dyDescent="0.25">
      <c r="A596" s="10">
        <v>595</v>
      </c>
      <c r="B596" s="9">
        <v>4.5656559999999997</v>
      </c>
    </row>
    <row r="597" spans="1:2" x14ac:dyDescent="0.25">
      <c r="A597" s="10">
        <v>596</v>
      </c>
      <c r="B597" s="9">
        <v>4.5693440000000001</v>
      </c>
    </row>
    <row r="598" spans="1:2" x14ac:dyDescent="0.25">
      <c r="A598" s="10">
        <v>597</v>
      </c>
      <c r="B598" s="9">
        <v>4.5730320000000004</v>
      </c>
    </row>
    <row r="599" spans="1:2" x14ac:dyDescent="0.25">
      <c r="A599" s="10">
        <v>598</v>
      </c>
      <c r="B599" s="9">
        <v>4.576721</v>
      </c>
    </row>
    <row r="600" spans="1:2" x14ac:dyDescent="0.25">
      <c r="A600" s="10">
        <v>599</v>
      </c>
      <c r="B600" s="9">
        <v>4.5804099999999996</v>
      </c>
    </row>
    <row r="601" spans="1:2" x14ac:dyDescent="0.25">
      <c r="A601" s="10">
        <v>600</v>
      </c>
      <c r="B601" s="9">
        <v>4.584098</v>
      </c>
    </row>
    <row r="602" spans="1:2" x14ac:dyDescent="0.25">
      <c r="A602" s="10">
        <v>601</v>
      </c>
      <c r="B602" s="9">
        <v>4.5877869999999996</v>
      </c>
    </row>
    <row r="603" spans="1:2" x14ac:dyDescent="0.25">
      <c r="A603" s="10">
        <v>602</v>
      </c>
      <c r="B603" s="9">
        <v>4.591475</v>
      </c>
    </row>
    <row r="604" spans="1:2" x14ac:dyDescent="0.25">
      <c r="A604" s="10">
        <v>603</v>
      </c>
      <c r="B604" s="9">
        <v>4.5951639999999996</v>
      </c>
    </row>
    <row r="605" spans="1:2" x14ac:dyDescent="0.25">
      <c r="A605" s="10">
        <v>604</v>
      </c>
      <c r="B605" s="9">
        <v>4.5988519999999999</v>
      </c>
    </row>
    <row r="606" spans="1:2" x14ac:dyDescent="0.25">
      <c r="A606" s="10">
        <v>605</v>
      </c>
      <c r="B606" s="9">
        <v>4.6025410000000004</v>
      </c>
    </row>
    <row r="607" spans="1:2" x14ac:dyDescent="0.25">
      <c r="A607" s="10">
        <v>606</v>
      </c>
      <c r="B607" s="9">
        <v>4.6062289999999999</v>
      </c>
    </row>
    <row r="608" spans="1:2" x14ac:dyDescent="0.25">
      <c r="A608" s="10">
        <v>607</v>
      </c>
      <c r="B608" s="9">
        <v>4.6099180000000004</v>
      </c>
    </row>
    <row r="609" spans="1:2" x14ac:dyDescent="0.25">
      <c r="A609" s="10">
        <v>608</v>
      </c>
      <c r="B609" s="9">
        <v>4.6136059999999999</v>
      </c>
    </row>
    <row r="610" spans="1:2" x14ac:dyDescent="0.25">
      <c r="A610" s="10">
        <v>609</v>
      </c>
      <c r="B610" s="9">
        <v>4.6172950000000004</v>
      </c>
    </row>
    <row r="611" spans="1:2" x14ac:dyDescent="0.25">
      <c r="A611" s="10">
        <v>610</v>
      </c>
      <c r="B611" s="9">
        <v>4.6209829999999998</v>
      </c>
    </row>
    <row r="612" spans="1:2" x14ac:dyDescent="0.25">
      <c r="A612" s="10">
        <v>611</v>
      </c>
      <c r="B612" s="9">
        <v>4.6246720000000003</v>
      </c>
    </row>
    <row r="613" spans="1:2" x14ac:dyDescent="0.25">
      <c r="A613" s="10">
        <v>612</v>
      </c>
      <c r="B613" s="9">
        <v>4.6283609999999999</v>
      </c>
    </row>
    <row r="614" spans="1:2" x14ac:dyDescent="0.25">
      <c r="A614" s="10">
        <v>613</v>
      </c>
      <c r="B614" s="9">
        <v>4.6320490000000003</v>
      </c>
    </row>
    <row r="615" spans="1:2" x14ac:dyDescent="0.25">
      <c r="A615" s="10">
        <v>614</v>
      </c>
      <c r="B615" s="9">
        <v>4.6357369999999998</v>
      </c>
    </row>
    <row r="616" spans="1:2" x14ac:dyDescent="0.25">
      <c r="A616" s="10">
        <v>615</v>
      </c>
      <c r="B616" s="9">
        <v>4.6394260000000003</v>
      </c>
    </row>
    <row r="617" spans="1:2" x14ac:dyDescent="0.25">
      <c r="A617" s="10">
        <v>616</v>
      </c>
      <c r="B617" s="9">
        <v>4.6431149999999999</v>
      </c>
    </row>
    <row r="618" spans="1:2" x14ac:dyDescent="0.25">
      <c r="A618" s="10">
        <v>617</v>
      </c>
      <c r="B618" s="9">
        <v>4.6468030000000002</v>
      </c>
    </row>
    <row r="619" spans="1:2" x14ac:dyDescent="0.25">
      <c r="A619" s="10">
        <v>618</v>
      </c>
      <c r="B619" s="9">
        <v>4.6504919999999998</v>
      </c>
    </row>
    <row r="620" spans="1:2" x14ac:dyDescent="0.25">
      <c r="A620" s="10">
        <v>619</v>
      </c>
      <c r="B620" s="9">
        <v>4.6541800000000002</v>
      </c>
    </row>
    <row r="621" spans="1:2" x14ac:dyDescent="0.25">
      <c r="A621" s="10">
        <v>620</v>
      </c>
      <c r="B621" s="9">
        <v>4.6578679999999997</v>
      </c>
    </row>
    <row r="622" spans="1:2" x14ac:dyDescent="0.25">
      <c r="A622" s="10">
        <v>621</v>
      </c>
      <c r="B622" s="9">
        <v>4.6615570000000002</v>
      </c>
    </row>
    <row r="623" spans="1:2" x14ac:dyDescent="0.25">
      <c r="A623" s="10">
        <v>622</v>
      </c>
      <c r="B623" s="9">
        <v>4.6652459999999998</v>
      </c>
    </row>
    <row r="624" spans="1:2" x14ac:dyDescent="0.25">
      <c r="A624" s="10">
        <v>623</v>
      </c>
      <c r="B624" s="9">
        <v>4.6689340000000001</v>
      </c>
    </row>
    <row r="625" spans="1:2" x14ac:dyDescent="0.25">
      <c r="A625" s="10">
        <v>624</v>
      </c>
      <c r="B625" s="9">
        <v>4.6726229999999997</v>
      </c>
    </row>
    <row r="626" spans="1:2" x14ac:dyDescent="0.25">
      <c r="A626" s="10">
        <v>625</v>
      </c>
      <c r="B626" s="9">
        <v>4.6763110000000001</v>
      </c>
    </row>
    <row r="627" spans="1:2" x14ac:dyDescent="0.25">
      <c r="A627" s="10">
        <v>626</v>
      </c>
      <c r="B627" s="9">
        <v>4.68</v>
      </c>
    </row>
    <row r="628" spans="1:2" x14ac:dyDescent="0.25">
      <c r="A628" s="10">
        <v>627</v>
      </c>
      <c r="B628" s="9">
        <v>4.6834369999999996</v>
      </c>
    </row>
    <row r="629" spans="1:2" x14ac:dyDescent="0.25">
      <c r="A629" s="10">
        <v>628</v>
      </c>
      <c r="B629" s="9">
        <v>4.6868749999999997</v>
      </c>
    </row>
    <row r="630" spans="1:2" x14ac:dyDescent="0.25">
      <c r="A630" s="10">
        <v>629</v>
      </c>
      <c r="B630" s="9">
        <v>4.6903119999999996</v>
      </c>
    </row>
    <row r="631" spans="1:2" x14ac:dyDescent="0.25">
      <c r="A631" s="10">
        <v>630</v>
      </c>
      <c r="B631" s="9">
        <v>4.6937499999999996</v>
      </c>
    </row>
    <row r="632" spans="1:2" x14ac:dyDescent="0.25">
      <c r="A632" s="10">
        <v>631</v>
      </c>
      <c r="B632" s="9">
        <v>4.6971869999999996</v>
      </c>
    </row>
    <row r="633" spans="1:2" x14ac:dyDescent="0.25">
      <c r="A633" s="10">
        <v>632</v>
      </c>
      <c r="B633" s="9">
        <v>4.7006240000000004</v>
      </c>
    </row>
    <row r="634" spans="1:2" x14ac:dyDescent="0.25">
      <c r="A634" s="10">
        <v>633</v>
      </c>
      <c r="B634" s="9">
        <v>4.7040620000000004</v>
      </c>
    </row>
    <row r="635" spans="1:2" x14ac:dyDescent="0.25">
      <c r="A635" s="10">
        <v>634</v>
      </c>
      <c r="B635" s="9">
        <v>4.7074999999999996</v>
      </c>
    </row>
    <row r="636" spans="1:2" x14ac:dyDescent="0.25">
      <c r="A636" s="10">
        <v>635</v>
      </c>
      <c r="B636" s="9">
        <v>4.7109379999999996</v>
      </c>
    </row>
    <row r="637" spans="1:2" x14ac:dyDescent="0.25">
      <c r="A637" s="10">
        <v>636</v>
      </c>
      <c r="B637" s="9">
        <v>4.7143750000000004</v>
      </c>
    </row>
    <row r="638" spans="1:2" x14ac:dyDescent="0.25">
      <c r="A638" s="10">
        <v>637</v>
      </c>
      <c r="B638" s="9">
        <v>4.7178129999999996</v>
      </c>
    </row>
    <row r="639" spans="1:2" x14ac:dyDescent="0.25">
      <c r="A639" s="10">
        <v>638</v>
      </c>
      <c r="B639" s="9">
        <v>4.7212500000000004</v>
      </c>
    </row>
    <row r="640" spans="1:2" x14ac:dyDescent="0.25">
      <c r="A640" s="10">
        <v>639</v>
      </c>
      <c r="B640" s="9">
        <v>4.7246880000000004</v>
      </c>
    </row>
    <row r="641" spans="1:2" x14ac:dyDescent="0.25">
      <c r="A641" s="10">
        <v>640</v>
      </c>
      <c r="B641" s="9">
        <v>4.7281250000000004</v>
      </c>
    </row>
    <row r="642" spans="1:2" x14ac:dyDescent="0.25">
      <c r="A642" s="10">
        <v>641</v>
      </c>
      <c r="B642" s="9">
        <v>4.7315630000000004</v>
      </c>
    </row>
    <row r="643" spans="1:2" x14ac:dyDescent="0.25">
      <c r="A643" s="10">
        <v>642</v>
      </c>
      <c r="B643" s="9">
        <v>4.7350000000000003</v>
      </c>
    </row>
    <row r="644" spans="1:2" x14ac:dyDescent="0.25">
      <c r="A644" s="10">
        <v>643</v>
      </c>
      <c r="B644" s="9">
        <v>4.7384380000000004</v>
      </c>
    </row>
    <row r="645" spans="1:2" x14ac:dyDescent="0.25">
      <c r="A645" s="10">
        <v>644</v>
      </c>
      <c r="B645" s="9">
        <v>4.7418750000000003</v>
      </c>
    </row>
    <row r="646" spans="1:2" x14ac:dyDescent="0.25">
      <c r="A646" s="10">
        <v>645</v>
      </c>
      <c r="B646" s="9">
        <v>4.7453130000000003</v>
      </c>
    </row>
    <row r="647" spans="1:2" x14ac:dyDescent="0.25">
      <c r="A647" s="10">
        <v>646</v>
      </c>
      <c r="B647" s="9">
        <v>4.7487500000000002</v>
      </c>
    </row>
    <row r="648" spans="1:2" x14ac:dyDescent="0.25">
      <c r="A648" s="10">
        <v>647</v>
      </c>
      <c r="B648" s="9">
        <v>4.7521880000000003</v>
      </c>
    </row>
    <row r="649" spans="1:2" x14ac:dyDescent="0.25">
      <c r="A649" s="10">
        <v>648</v>
      </c>
      <c r="B649" s="9">
        <v>4.7556250000000002</v>
      </c>
    </row>
    <row r="650" spans="1:2" x14ac:dyDescent="0.25">
      <c r="A650" s="10">
        <v>649</v>
      </c>
      <c r="B650" s="9">
        <v>4.7590620000000001</v>
      </c>
    </row>
    <row r="651" spans="1:2" x14ac:dyDescent="0.25">
      <c r="A651" s="10">
        <v>650</v>
      </c>
      <c r="B651" s="9">
        <v>4.7625000000000002</v>
      </c>
    </row>
    <row r="652" spans="1:2" x14ac:dyDescent="0.25">
      <c r="A652" s="10">
        <v>651</v>
      </c>
      <c r="B652" s="9">
        <v>4.7659370000000001</v>
      </c>
    </row>
    <row r="653" spans="1:2" x14ac:dyDescent="0.25">
      <c r="A653" s="10">
        <v>652</v>
      </c>
      <c r="B653" s="9">
        <v>4.7693750000000001</v>
      </c>
    </row>
    <row r="654" spans="1:2" x14ac:dyDescent="0.25">
      <c r="A654" s="10">
        <v>653</v>
      </c>
      <c r="B654" s="9">
        <v>4.7728120000000001</v>
      </c>
    </row>
    <row r="655" spans="1:2" x14ac:dyDescent="0.25">
      <c r="A655" s="10">
        <v>654</v>
      </c>
      <c r="B655" s="9">
        <v>4.7762500000000001</v>
      </c>
    </row>
    <row r="656" spans="1:2" x14ac:dyDescent="0.25">
      <c r="A656" s="10">
        <v>655</v>
      </c>
      <c r="B656" s="9">
        <v>4.779687</v>
      </c>
    </row>
    <row r="657" spans="1:2" x14ac:dyDescent="0.25">
      <c r="A657" s="10">
        <v>656</v>
      </c>
      <c r="B657" s="9">
        <v>4.7831250000000001</v>
      </c>
    </row>
    <row r="658" spans="1:2" x14ac:dyDescent="0.25">
      <c r="A658" s="10">
        <v>657</v>
      </c>
      <c r="B658" s="9">
        <v>4.786562</v>
      </c>
    </row>
    <row r="659" spans="1:2" x14ac:dyDescent="0.25">
      <c r="A659" s="10">
        <v>658</v>
      </c>
      <c r="B659" s="9">
        <v>4.79</v>
      </c>
    </row>
    <row r="660" spans="1:2" x14ac:dyDescent="0.25">
      <c r="A660" s="10">
        <v>659</v>
      </c>
      <c r="B660" s="9">
        <v>4.7934369999999999</v>
      </c>
    </row>
    <row r="661" spans="1:2" x14ac:dyDescent="0.25">
      <c r="A661" s="10">
        <v>660</v>
      </c>
      <c r="B661" s="9">
        <v>4.796875</v>
      </c>
    </row>
    <row r="662" spans="1:2" x14ac:dyDescent="0.25">
      <c r="A662" s="10">
        <v>661</v>
      </c>
      <c r="B662" s="9">
        <v>4.8003130000000001</v>
      </c>
    </row>
    <row r="663" spans="1:2" x14ac:dyDescent="0.25">
      <c r="A663" s="10">
        <v>662</v>
      </c>
      <c r="B663" s="9">
        <v>4.80375</v>
      </c>
    </row>
    <row r="664" spans="1:2" x14ac:dyDescent="0.25">
      <c r="A664" s="10">
        <v>663</v>
      </c>
      <c r="B664" s="9">
        <v>4.807188</v>
      </c>
    </row>
    <row r="665" spans="1:2" x14ac:dyDescent="0.25">
      <c r="A665" s="10">
        <v>664</v>
      </c>
      <c r="B665" s="9">
        <v>4.8106249999999999</v>
      </c>
    </row>
    <row r="666" spans="1:2" x14ac:dyDescent="0.25">
      <c r="A666" s="10">
        <v>665</v>
      </c>
      <c r="B666" s="9">
        <v>4.8140619999999998</v>
      </c>
    </row>
    <row r="667" spans="1:2" x14ac:dyDescent="0.25">
      <c r="A667" s="10">
        <v>666</v>
      </c>
      <c r="B667" s="9">
        <v>4.8174999999999999</v>
      </c>
    </row>
    <row r="668" spans="1:2" x14ac:dyDescent="0.25">
      <c r="A668" s="10">
        <v>667</v>
      </c>
      <c r="B668" s="9">
        <v>4.8209369999999998</v>
      </c>
    </row>
    <row r="669" spans="1:2" x14ac:dyDescent="0.25">
      <c r="A669" s="10">
        <v>668</v>
      </c>
      <c r="B669" s="9">
        <v>4.8243749999999999</v>
      </c>
    </row>
    <row r="670" spans="1:2" x14ac:dyDescent="0.25">
      <c r="A670" s="10">
        <v>669</v>
      </c>
      <c r="B670" s="9">
        <v>4.8278119999999998</v>
      </c>
    </row>
    <row r="671" spans="1:2" x14ac:dyDescent="0.25">
      <c r="A671" s="10">
        <v>670</v>
      </c>
      <c r="B671" s="9">
        <v>4.8312499999999998</v>
      </c>
    </row>
    <row r="672" spans="1:2" x14ac:dyDescent="0.25">
      <c r="A672" s="10">
        <v>671</v>
      </c>
      <c r="B672" s="9">
        <v>4.8346869999999997</v>
      </c>
    </row>
    <row r="673" spans="1:2" x14ac:dyDescent="0.25">
      <c r="A673" s="10">
        <v>672</v>
      </c>
      <c r="B673" s="9">
        <v>4.8381249999999998</v>
      </c>
    </row>
    <row r="674" spans="1:2" x14ac:dyDescent="0.25">
      <c r="A674" s="10">
        <v>673</v>
      </c>
      <c r="B674" s="9">
        <v>4.8415619999999997</v>
      </c>
    </row>
    <row r="675" spans="1:2" x14ac:dyDescent="0.25">
      <c r="A675" s="10">
        <v>674</v>
      </c>
      <c r="B675" s="9">
        <v>4.8449999999999998</v>
      </c>
    </row>
    <row r="676" spans="1:2" x14ac:dyDescent="0.25">
      <c r="A676" s="10">
        <v>675</v>
      </c>
      <c r="B676" s="9">
        <v>4.8484369999999997</v>
      </c>
    </row>
    <row r="677" spans="1:2" x14ac:dyDescent="0.25">
      <c r="A677" s="10">
        <v>676</v>
      </c>
      <c r="B677" s="9">
        <v>4.8518749999999997</v>
      </c>
    </row>
    <row r="678" spans="1:2" x14ac:dyDescent="0.25">
      <c r="A678" s="10">
        <v>677</v>
      </c>
      <c r="B678" s="9">
        <v>4.8553119999999996</v>
      </c>
    </row>
    <row r="679" spans="1:2" x14ac:dyDescent="0.25">
      <c r="A679" s="10">
        <v>678</v>
      </c>
      <c r="B679" s="9">
        <v>4.8587499999999997</v>
      </c>
    </row>
    <row r="680" spans="1:2" x14ac:dyDescent="0.25">
      <c r="A680" s="10">
        <v>679</v>
      </c>
      <c r="B680" s="9">
        <v>4.8621869999999996</v>
      </c>
    </row>
    <row r="681" spans="1:2" x14ac:dyDescent="0.25">
      <c r="A681" s="10">
        <v>680</v>
      </c>
      <c r="B681" s="9">
        <v>4.8656249999999996</v>
      </c>
    </row>
    <row r="682" spans="1:2" x14ac:dyDescent="0.25">
      <c r="A682" s="10">
        <v>681</v>
      </c>
      <c r="B682" s="9">
        <v>4.8690619999999996</v>
      </c>
    </row>
    <row r="683" spans="1:2" x14ac:dyDescent="0.25">
      <c r="A683" s="10">
        <v>682</v>
      </c>
      <c r="B683" s="9">
        <v>4.8724999999999996</v>
      </c>
    </row>
    <row r="684" spans="1:2" x14ac:dyDescent="0.25">
      <c r="A684" s="10">
        <v>683</v>
      </c>
      <c r="B684" s="9">
        <v>4.8759370000000004</v>
      </c>
    </row>
    <row r="685" spans="1:2" x14ac:dyDescent="0.25">
      <c r="A685" s="10">
        <v>684</v>
      </c>
      <c r="B685" s="9">
        <v>4.8793749999999996</v>
      </c>
    </row>
    <row r="686" spans="1:2" x14ac:dyDescent="0.25">
      <c r="A686" s="10">
        <v>685</v>
      </c>
      <c r="B686" s="9">
        <v>4.8828129999999996</v>
      </c>
    </row>
    <row r="687" spans="1:2" x14ac:dyDescent="0.25">
      <c r="A687" s="10">
        <v>686</v>
      </c>
      <c r="B687" s="9">
        <v>4.8862500000000004</v>
      </c>
    </row>
    <row r="688" spans="1:2" x14ac:dyDescent="0.25">
      <c r="A688" s="10">
        <v>687</v>
      </c>
      <c r="B688" s="9">
        <v>4.8896879999999996</v>
      </c>
    </row>
    <row r="689" spans="1:2" x14ac:dyDescent="0.25">
      <c r="A689" s="10">
        <v>688</v>
      </c>
      <c r="B689" s="9">
        <v>4.8931250000000004</v>
      </c>
    </row>
    <row r="690" spans="1:2" x14ac:dyDescent="0.25">
      <c r="A690" s="10">
        <v>689</v>
      </c>
      <c r="B690" s="9">
        <v>4.8965630000000004</v>
      </c>
    </row>
    <row r="691" spans="1:2" x14ac:dyDescent="0.25">
      <c r="A691" s="10">
        <v>690</v>
      </c>
      <c r="B691" s="9">
        <v>4.9000000000000004</v>
      </c>
    </row>
    <row r="692" spans="1:2" x14ac:dyDescent="0.25">
      <c r="A692" s="10">
        <v>691</v>
      </c>
      <c r="B692" s="9">
        <v>4.9026230000000002</v>
      </c>
    </row>
    <row r="693" spans="1:2" x14ac:dyDescent="0.25">
      <c r="A693" s="10">
        <v>692</v>
      </c>
      <c r="B693" s="9">
        <v>4.905246</v>
      </c>
    </row>
    <row r="694" spans="1:2" x14ac:dyDescent="0.25">
      <c r="A694" s="10">
        <v>693</v>
      </c>
      <c r="B694" s="9">
        <v>4.9078689999999998</v>
      </c>
    </row>
    <row r="695" spans="1:2" x14ac:dyDescent="0.25">
      <c r="A695" s="10">
        <v>694</v>
      </c>
      <c r="B695" s="9">
        <v>4.9104919999999996</v>
      </c>
    </row>
    <row r="696" spans="1:2" x14ac:dyDescent="0.25">
      <c r="A696" s="10">
        <v>695</v>
      </c>
      <c r="B696" s="9">
        <v>4.9131150000000003</v>
      </c>
    </row>
    <row r="697" spans="1:2" x14ac:dyDescent="0.25">
      <c r="A697" s="10">
        <v>696</v>
      </c>
      <c r="B697" s="9">
        <v>4.9157380000000002</v>
      </c>
    </row>
    <row r="698" spans="1:2" x14ac:dyDescent="0.25">
      <c r="A698" s="10">
        <v>697</v>
      </c>
      <c r="B698" s="9">
        <v>4.918361</v>
      </c>
    </row>
    <row r="699" spans="1:2" x14ac:dyDescent="0.25">
      <c r="A699" s="10">
        <v>698</v>
      </c>
      <c r="B699" s="9">
        <v>4.9209839999999998</v>
      </c>
    </row>
    <row r="700" spans="1:2" x14ac:dyDescent="0.25">
      <c r="A700" s="10">
        <v>699</v>
      </c>
      <c r="B700" s="9">
        <v>4.9236069999999996</v>
      </c>
    </row>
    <row r="701" spans="1:2" x14ac:dyDescent="0.25">
      <c r="A701" s="10">
        <v>700</v>
      </c>
      <c r="B701" s="9">
        <v>4.9262290000000002</v>
      </c>
    </row>
    <row r="702" spans="1:2" x14ac:dyDescent="0.25">
      <c r="A702" s="10">
        <v>701</v>
      </c>
      <c r="B702" s="9">
        <v>4.9288530000000002</v>
      </c>
    </row>
    <row r="703" spans="1:2" x14ac:dyDescent="0.25">
      <c r="A703" s="10">
        <v>702</v>
      </c>
      <c r="B703" s="9">
        <v>4.931476</v>
      </c>
    </row>
    <row r="704" spans="1:2" x14ac:dyDescent="0.25">
      <c r="A704" s="10">
        <v>703</v>
      </c>
      <c r="B704" s="9">
        <v>4.9340979999999997</v>
      </c>
    </row>
    <row r="705" spans="1:2" x14ac:dyDescent="0.25">
      <c r="A705" s="10">
        <v>704</v>
      </c>
      <c r="B705" s="9">
        <v>4.9367210000000004</v>
      </c>
    </row>
    <row r="706" spans="1:2" x14ac:dyDescent="0.25">
      <c r="A706" s="10">
        <v>705</v>
      </c>
      <c r="B706" s="9">
        <v>4.9393440000000002</v>
      </c>
    </row>
    <row r="707" spans="1:2" x14ac:dyDescent="0.25">
      <c r="A707" s="10">
        <v>706</v>
      </c>
      <c r="B707" s="9">
        <v>4.941967</v>
      </c>
    </row>
    <row r="708" spans="1:2" x14ac:dyDescent="0.25">
      <c r="A708" s="10">
        <v>707</v>
      </c>
      <c r="B708" s="9">
        <v>4.944591</v>
      </c>
    </row>
    <row r="709" spans="1:2" x14ac:dyDescent="0.25">
      <c r="A709" s="10">
        <v>708</v>
      </c>
      <c r="B709" s="9">
        <v>4.9472129999999996</v>
      </c>
    </row>
    <row r="710" spans="1:2" x14ac:dyDescent="0.25">
      <c r="A710" s="10">
        <v>709</v>
      </c>
      <c r="B710" s="9">
        <v>4.9498360000000003</v>
      </c>
    </row>
    <row r="711" spans="1:2" x14ac:dyDescent="0.25">
      <c r="A711" s="10">
        <v>710</v>
      </c>
      <c r="B711" s="9">
        <v>4.9524590000000002</v>
      </c>
    </row>
    <row r="712" spans="1:2" x14ac:dyDescent="0.25">
      <c r="A712" s="10">
        <v>711</v>
      </c>
      <c r="B712" s="9">
        <v>4.955082</v>
      </c>
    </row>
    <row r="713" spans="1:2" x14ac:dyDescent="0.25">
      <c r="A713" s="10">
        <v>712</v>
      </c>
      <c r="B713" s="9">
        <v>4.9577049999999998</v>
      </c>
    </row>
    <row r="714" spans="1:2" x14ac:dyDescent="0.25">
      <c r="A714" s="10">
        <v>713</v>
      </c>
      <c r="B714" s="9">
        <v>4.9603279999999996</v>
      </c>
    </row>
    <row r="715" spans="1:2" x14ac:dyDescent="0.25">
      <c r="A715" s="10">
        <v>714</v>
      </c>
      <c r="B715" s="9">
        <v>4.9629510000000003</v>
      </c>
    </row>
    <row r="716" spans="1:2" x14ac:dyDescent="0.25">
      <c r="A716" s="10">
        <v>715</v>
      </c>
      <c r="B716" s="9">
        <v>4.9655740000000002</v>
      </c>
    </row>
    <row r="717" spans="1:2" x14ac:dyDescent="0.25">
      <c r="A717" s="10">
        <v>716</v>
      </c>
      <c r="B717" s="9">
        <v>4.968197</v>
      </c>
    </row>
    <row r="718" spans="1:2" x14ac:dyDescent="0.25">
      <c r="A718" s="10">
        <v>717</v>
      </c>
      <c r="B718" s="9">
        <v>4.9708189999999997</v>
      </c>
    </row>
    <row r="719" spans="1:2" x14ac:dyDescent="0.25">
      <c r="A719" s="10">
        <v>718</v>
      </c>
      <c r="B719" s="9">
        <v>4.9734429999999996</v>
      </c>
    </row>
    <row r="720" spans="1:2" x14ac:dyDescent="0.25">
      <c r="A720" s="10">
        <v>719</v>
      </c>
      <c r="B720" s="9">
        <v>4.9760660000000003</v>
      </c>
    </row>
    <row r="721" spans="1:2" x14ac:dyDescent="0.25">
      <c r="A721" s="10">
        <v>720</v>
      </c>
      <c r="B721" s="9">
        <v>4.9786890000000001</v>
      </c>
    </row>
    <row r="722" spans="1:2" x14ac:dyDescent="0.25">
      <c r="A722" s="10">
        <v>721</v>
      </c>
      <c r="B722" s="9">
        <v>4.981312</v>
      </c>
    </row>
    <row r="723" spans="1:2" x14ac:dyDescent="0.25">
      <c r="A723" s="10">
        <v>722</v>
      </c>
      <c r="B723" s="9">
        <v>4.9839339999999996</v>
      </c>
    </row>
    <row r="724" spans="1:2" x14ac:dyDescent="0.25">
      <c r="A724" s="10">
        <v>723</v>
      </c>
      <c r="B724" s="9">
        <v>4.9865570000000004</v>
      </c>
    </row>
    <row r="725" spans="1:2" x14ac:dyDescent="0.25">
      <c r="A725" s="10">
        <v>724</v>
      </c>
      <c r="B725" s="9">
        <v>4.9891810000000003</v>
      </c>
    </row>
    <row r="726" spans="1:2" x14ac:dyDescent="0.25">
      <c r="A726" s="10">
        <v>725</v>
      </c>
      <c r="B726" s="9">
        <v>4.991803</v>
      </c>
    </row>
    <row r="727" spans="1:2" x14ac:dyDescent="0.25">
      <c r="A727" s="10">
        <v>726</v>
      </c>
      <c r="B727" s="9">
        <v>4.9944259999999998</v>
      </c>
    </row>
    <row r="728" spans="1:2" x14ac:dyDescent="0.25">
      <c r="A728" s="10">
        <v>727</v>
      </c>
      <c r="B728" s="9">
        <v>4.9970489999999996</v>
      </c>
    </row>
    <row r="729" spans="1:2" x14ac:dyDescent="0.25">
      <c r="A729" s="10">
        <v>728</v>
      </c>
      <c r="B729" s="9">
        <v>4.9996720000000003</v>
      </c>
    </row>
    <row r="730" spans="1:2" x14ac:dyDescent="0.25">
      <c r="A730" s="10">
        <v>729</v>
      </c>
      <c r="B730" s="9">
        <v>5.0022950000000002</v>
      </c>
    </row>
    <row r="731" spans="1:2" x14ac:dyDescent="0.25">
      <c r="A731" s="10">
        <v>730</v>
      </c>
      <c r="B731" s="9">
        <v>5.004918</v>
      </c>
    </row>
    <row r="732" spans="1:2" x14ac:dyDescent="0.25">
      <c r="A732" s="10">
        <v>731</v>
      </c>
      <c r="B732" s="9">
        <v>5.0075409999999998</v>
      </c>
    </row>
    <row r="733" spans="1:2" x14ac:dyDescent="0.25">
      <c r="A733" s="10">
        <v>732</v>
      </c>
      <c r="B733" s="9">
        <v>5.0101639999999996</v>
      </c>
    </row>
    <row r="734" spans="1:2" x14ac:dyDescent="0.25">
      <c r="A734" s="10">
        <v>733</v>
      </c>
      <c r="B734" s="9">
        <v>5.0127870000000003</v>
      </c>
    </row>
    <row r="735" spans="1:2" x14ac:dyDescent="0.25">
      <c r="A735" s="10">
        <v>734</v>
      </c>
      <c r="B735" s="9">
        <v>5.0154100000000001</v>
      </c>
    </row>
    <row r="736" spans="1:2" x14ac:dyDescent="0.25">
      <c r="A736" s="10">
        <v>735</v>
      </c>
      <c r="B736" s="9">
        <v>5.018033</v>
      </c>
    </row>
    <row r="737" spans="1:2" x14ac:dyDescent="0.25">
      <c r="A737" s="10">
        <v>736</v>
      </c>
      <c r="B737" s="9">
        <v>5.0206559999999998</v>
      </c>
    </row>
    <row r="738" spans="1:2" x14ac:dyDescent="0.25">
      <c r="A738" s="10">
        <v>737</v>
      </c>
      <c r="B738" s="9">
        <v>5.0232789999999996</v>
      </c>
    </row>
    <row r="739" spans="1:2" x14ac:dyDescent="0.25">
      <c r="A739" s="10">
        <v>738</v>
      </c>
      <c r="B739" s="9">
        <v>5.0259020000000003</v>
      </c>
    </row>
    <row r="740" spans="1:2" x14ac:dyDescent="0.25">
      <c r="A740" s="10">
        <v>739</v>
      </c>
      <c r="B740" s="9">
        <v>5.028524</v>
      </c>
    </row>
    <row r="741" spans="1:2" x14ac:dyDescent="0.25">
      <c r="A741" s="10">
        <v>740</v>
      </c>
      <c r="B741" s="9">
        <v>5.0311469999999998</v>
      </c>
    </row>
    <row r="742" spans="1:2" x14ac:dyDescent="0.25">
      <c r="A742" s="10">
        <v>741</v>
      </c>
      <c r="B742" s="9">
        <v>5.0337709999999998</v>
      </c>
    </row>
    <row r="743" spans="1:2" x14ac:dyDescent="0.25">
      <c r="A743" s="10">
        <v>742</v>
      </c>
      <c r="B743" s="9">
        <v>5.0363930000000003</v>
      </c>
    </row>
    <row r="744" spans="1:2" x14ac:dyDescent="0.25">
      <c r="A744" s="10">
        <v>743</v>
      </c>
      <c r="B744" s="9">
        <v>5.0390160000000002</v>
      </c>
    </row>
    <row r="745" spans="1:2" x14ac:dyDescent="0.25">
      <c r="A745" s="10">
        <v>744</v>
      </c>
      <c r="B745" s="9">
        <v>5.041639</v>
      </c>
    </row>
    <row r="746" spans="1:2" x14ac:dyDescent="0.25">
      <c r="A746" s="10">
        <v>745</v>
      </c>
      <c r="B746" s="9">
        <v>5.0442619999999998</v>
      </c>
    </row>
    <row r="747" spans="1:2" x14ac:dyDescent="0.25">
      <c r="A747" s="10">
        <v>746</v>
      </c>
      <c r="B747" s="9">
        <v>5.0468849999999996</v>
      </c>
    </row>
    <row r="748" spans="1:2" x14ac:dyDescent="0.25">
      <c r="A748" s="10">
        <v>747</v>
      </c>
      <c r="B748" s="9">
        <v>5.0495080000000003</v>
      </c>
    </row>
    <row r="749" spans="1:2" x14ac:dyDescent="0.25">
      <c r="A749" s="10">
        <v>748</v>
      </c>
      <c r="B749" s="9">
        <v>5.0521310000000001</v>
      </c>
    </row>
    <row r="750" spans="1:2" x14ac:dyDescent="0.25">
      <c r="A750" s="10">
        <v>749</v>
      </c>
      <c r="B750" s="9">
        <v>5.054754</v>
      </c>
    </row>
    <row r="751" spans="1:2" x14ac:dyDescent="0.25">
      <c r="A751" s="10">
        <v>750</v>
      </c>
      <c r="B751" s="9">
        <v>5.0573769999999998</v>
      </c>
    </row>
    <row r="752" spans="1:2" x14ac:dyDescent="0.25">
      <c r="A752" s="10">
        <v>751</v>
      </c>
      <c r="B752" s="9">
        <v>5.0599999999999996</v>
      </c>
    </row>
    <row r="753" spans="1:2" x14ac:dyDescent="0.25">
      <c r="A753" s="10">
        <v>752</v>
      </c>
      <c r="B753" s="9">
        <v>5.0639339999999997</v>
      </c>
    </row>
    <row r="754" spans="1:2" x14ac:dyDescent="0.25">
      <c r="A754" s="10">
        <v>753</v>
      </c>
      <c r="B754" s="9">
        <v>5.067869</v>
      </c>
    </row>
    <row r="755" spans="1:2" x14ac:dyDescent="0.25">
      <c r="A755" s="10">
        <v>754</v>
      </c>
      <c r="B755" s="9">
        <v>5.0718030000000001</v>
      </c>
    </row>
    <row r="756" spans="1:2" x14ac:dyDescent="0.25">
      <c r="A756" s="10">
        <v>755</v>
      </c>
      <c r="B756" s="9">
        <v>5.0757380000000003</v>
      </c>
    </row>
    <row r="757" spans="1:2" x14ac:dyDescent="0.25">
      <c r="A757" s="10">
        <v>756</v>
      </c>
      <c r="B757" s="9">
        <v>5.0796720000000004</v>
      </c>
    </row>
    <row r="758" spans="1:2" x14ac:dyDescent="0.25">
      <c r="A758" s="10">
        <v>757</v>
      </c>
      <c r="B758" s="9">
        <v>5.0836069999999998</v>
      </c>
    </row>
    <row r="759" spans="1:2" x14ac:dyDescent="0.25">
      <c r="A759" s="10">
        <v>758</v>
      </c>
      <c r="B759" s="9">
        <v>5.0875409999999999</v>
      </c>
    </row>
    <row r="760" spans="1:2" x14ac:dyDescent="0.25">
      <c r="A760" s="10">
        <v>759</v>
      </c>
      <c r="B760" s="9">
        <v>5.091475</v>
      </c>
    </row>
    <row r="761" spans="1:2" x14ac:dyDescent="0.25">
      <c r="A761" s="10">
        <v>760</v>
      </c>
      <c r="B761" s="9">
        <v>5.0954100000000002</v>
      </c>
    </row>
    <row r="762" spans="1:2" x14ac:dyDescent="0.25">
      <c r="A762" s="10">
        <v>761</v>
      </c>
      <c r="B762" s="9">
        <v>5.0993440000000003</v>
      </c>
    </row>
    <row r="763" spans="1:2" x14ac:dyDescent="0.25">
      <c r="A763" s="10">
        <v>762</v>
      </c>
      <c r="B763" s="9">
        <v>5.1032789999999997</v>
      </c>
    </row>
    <row r="764" spans="1:2" x14ac:dyDescent="0.25">
      <c r="A764" s="10">
        <v>763</v>
      </c>
      <c r="B764" s="9">
        <v>5.1072129999999998</v>
      </c>
    </row>
    <row r="765" spans="1:2" x14ac:dyDescent="0.25">
      <c r="A765" s="10">
        <v>764</v>
      </c>
      <c r="B765" s="9">
        <v>5.111148</v>
      </c>
    </row>
    <row r="766" spans="1:2" x14ac:dyDescent="0.25">
      <c r="A766" s="10">
        <v>765</v>
      </c>
      <c r="B766" s="9">
        <v>5.1150820000000001</v>
      </c>
    </row>
    <row r="767" spans="1:2" x14ac:dyDescent="0.25">
      <c r="A767" s="10">
        <v>766</v>
      </c>
      <c r="B767" s="9">
        <v>5.1190170000000004</v>
      </c>
    </row>
    <row r="768" spans="1:2" x14ac:dyDescent="0.25">
      <c r="A768" s="10">
        <v>767</v>
      </c>
      <c r="B768" s="9">
        <v>5.1229509999999996</v>
      </c>
    </row>
    <row r="769" spans="1:2" x14ac:dyDescent="0.25">
      <c r="A769" s="10">
        <v>768</v>
      </c>
      <c r="B769" s="9">
        <v>5.1268849999999997</v>
      </c>
    </row>
    <row r="770" spans="1:2" x14ac:dyDescent="0.25">
      <c r="A770" s="10">
        <v>769</v>
      </c>
      <c r="B770" s="9">
        <v>5.1308199999999999</v>
      </c>
    </row>
    <row r="771" spans="1:2" x14ac:dyDescent="0.25">
      <c r="A771" s="10">
        <v>770</v>
      </c>
      <c r="B771" s="9">
        <v>5.134754</v>
      </c>
    </row>
    <row r="772" spans="1:2" x14ac:dyDescent="0.25">
      <c r="A772" s="10">
        <v>771</v>
      </c>
      <c r="B772" s="9">
        <v>5.1386890000000003</v>
      </c>
    </row>
    <row r="773" spans="1:2" x14ac:dyDescent="0.25">
      <c r="A773" s="10">
        <v>772</v>
      </c>
      <c r="B773" s="9">
        <v>5.1426230000000004</v>
      </c>
    </row>
    <row r="774" spans="1:2" x14ac:dyDescent="0.25">
      <c r="A774" s="10">
        <v>773</v>
      </c>
      <c r="B774" s="9">
        <v>5.1465569999999996</v>
      </c>
    </row>
    <row r="775" spans="1:2" x14ac:dyDescent="0.25">
      <c r="A775" s="10">
        <v>774</v>
      </c>
      <c r="B775" s="9">
        <v>5.1504919999999998</v>
      </c>
    </row>
    <row r="776" spans="1:2" x14ac:dyDescent="0.25">
      <c r="A776" s="10">
        <v>775</v>
      </c>
      <c r="B776" s="9">
        <v>5.1544270000000001</v>
      </c>
    </row>
    <row r="777" spans="1:2" x14ac:dyDescent="0.25">
      <c r="A777" s="10">
        <v>776</v>
      </c>
      <c r="B777" s="9">
        <v>5.1583600000000001</v>
      </c>
    </row>
    <row r="778" spans="1:2" x14ac:dyDescent="0.25">
      <c r="A778" s="10">
        <v>777</v>
      </c>
      <c r="B778" s="9">
        <v>5.1622950000000003</v>
      </c>
    </row>
    <row r="779" spans="1:2" x14ac:dyDescent="0.25">
      <c r="A779" s="10">
        <v>778</v>
      </c>
      <c r="B779" s="9">
        <v>5.1662290000000004</v>
      </c>
    </row>
    <row r="780" spans="1:2" x14ac:dyDescent="0.25">
      <c r="A780" s="10">
        <v>779</v>
      </c>
      <c r="B780" s="9">
        <v>5.1701639999999998</v>
      </c>
    </row>
    <row r="781" spans="1:2" x14ac:dyDescent="0.25">
      <c r="A781" s="10">
        <v>780</v>
      </c>
      <c r="B781" s="9">
        <v>5.1740979999999999</v>
      </c>
    </row>
    <row r="782" spans="1:2" x14ac:dyDescent="0.25">
      <c r="A782" s="10">
        <v>781</v>
      </c>
      <c r="B782" s="9">
        <v>5.1780330000000001</v>
      </c>
    </row>
    <row r="783" spans="1:2" x14ac:dyDescent="0.25">
      <c r="A783" s="10">
        <v>782</v>
      </c>
      <c r="B783" s="9">
        <v>5.1819670000000002</v>
      </c>
    </row>
    <row r="784" spans="1:2" x14ac:dyDescent="0.25">
      <c r="A784" s="10">
        <v>783</v>
      </c>
      <c r="B784" s="9">
        <v>5.1859019999999996</v>
      </c>
    </row>
    <row r="785" spans="1:2" x14ac:dyDescent="0.25">
      <c r="A785" s="10">
        <v>784</v>
      </c>
      <c r="B785" s="9">
        <v>5.1898369999999998</v>
      </c>
    </row>
    <row r="786" spans="1:2" x14ac:dyDescent="0.25">
      <c r="A786" s="10">
        <v>785</v>
      </c>
      <c r="B786" s="9">
        <v>5.1937699999999998</v>
      </c>
    </row>
    <row r="787" spans="1:2" x14ac:dyDescent="0.25">
      <c r="A787" s="10">
        <v>786</v>
      </c>
      <c r="B787" s="9">
        <v>5.197705</v>
      </c>
    </row>
    <row r="788" spans="1:2" x14ac:dyDescent="0.25">
      <c r="A788" s="10">
        <v>787</v>
      </c>
      <c r="B788" s="9">
        <v>5.2016390000000001</v>
      </c>
    </row>
    <row r="789" spans="1:2" x14ac:dyDescent="0.25">
      <c r="A789" s="10">
        <v>788</v>
      </c>
      <c r="B789" s="9">
        <v>5.2055740000000004</v>
      </c>
    </row>
    <row r="790" spans="1:2" x14ac:dyDescent="0.25">
      <c r="A790" s="10">
        <v>789</v>
      </c>
      <c r="B790" s="9">
        <v>5.2095079999999996</v>
      </c>
    </row>
    <row r="791" spans="1:2" x14ac:dyDescent="0.25">
      <c r="A791" s="10">
        <v>790</v>
      </c>
      <c r="B791" s="9">
        <v>5.2134429999999998</v>
      </c>
    </row>
    <row r="792" spans="1:2" x14ac:dyDescent="0.25">
      <c r="A792" s="10">
        <v>791</v>
      </c>
      <c r="B792" s="9">
        <v>5.2173769999999999</v>
      </c>
    </row>
    <row r="793" spans="1:2" x14ac:dyDescent="0.25">
      <c r="A793" s="10">
        <v>792</v>
      </c>
      <c r="B793" s="9">
        <v>5.2213120000000002</v>
      </c>
    </row>
    <row r="794" spans="1:2" x14ac:dyDescent="0.25">
      <c r="A794" s="10">
        <v>793</v>
      </c>
      <c r="B794" s="9">
        <v>5.2252460000000003</v>
      </c>
    </row>
    <row r="795" spans="1:2" x14ac:dyDescent="0.25">
      <c r="A795" s="10">
        <v>794</v>
      </c>
      <c r="B795" s="9">
        <v>5.2291800000000004</v>
      </c>
    </row>
    <row r="796" spans="1:2" x14ac:dyDescent="0.25">
      <c r="A796" s="10">
        <v>795</v>
      </c>
      <c r="B796" s="9">
        <v>5.2331149999999997</v>
      </c>
    </row>
    <row r="797" spans="1:2" x14ac:dyDescent="0.25">
      <c r="A797" s="10">
        <v>796</v>
      </c>
      <c r="B797" s="9">
        <v>5.2370489999999998</v>
      </c>
    </row>
    <row r="798" spans="1:2" x14ac:dyDescent="0.25">
      <c r="A798" s="10">
        <v>797</v>
      </c>
      <c r="B798" s="9">
        <v>5.2409840000000001</v>
      </c>
    </row>
    <row r="799" spans="1:2" x14ac:dyDescent="0.25">
      <c r="A799" s="10">
        <v>798</v>
      </c>
      <c r="B799" s="9">
        <v>5.2449180000000002</v>
      </c>
    </row>
    <row r="800" spans="1:2" x14ac:dyDescent="0.25">
      <c r="A800" s="10">
        <v>799</v>
      </c>
      <c r="B800" s="9">
        <v>5.2488530000000004</v>
      </c>
    </row>
    <row r="801" spans="1:2" x14ac:dyDescent="0.25">
      <c r="A801" s="10">
        <v>800</v>
      </c>
      <c r="B801" s="9">
        <v>5.2527869999999997</v>
      </c>
    </row>
    <row r="802" spans="1:2" x14ac:dyDescent="0.25">
      <c r="A802" s="10">
        <v>801</v>
      </c>
      <c r="B802" s="9">
        <v>5.2567209999999998</v>
      </c>
    </row>
    <row r="803" spans="1:2" x14ac:dyDescent="0.25">
      <c r="A803" s="10">
        <v>802</v>
      </c>
      <c r="B803" s="9">
        <v>5.260656</v>
      </c>
    </row>
    <row r="804" spans="1:2" x14ac:dyDescent="0.25">
      <c r="A804" s="10">
        <v>803</v>
      </c>
      <c r="B804" s="9">
        <v>5.2645900000000001</v>
      </c>
    </row>
    <row r="805" spans="1:2" x14ac:dyDescent="0.25">
      <c r="A805" s="10">
        <v>804</v>
      </c>
      <c r="B805" s="9">
        <v>5.2685250000000003</v>
      </c>
    </row>
    <row r="806" spans="1:2" x14ac:dyDescent="0.25">
      <c r="A806" s="10">
        <v>805</v>
      </c>
      <c r="B806" s="9">
        <v>5.2724589999999996</v>
      </c>
    </row>
    <row r="807" spans="1:2" x14ac:dyDescent="0.25">
      <c r="A807" s="10">
        <v>806</v>
      </c>
      <c r="B807" s="9">
        <v>5.2763939999999998</v>
      </c>
    </row>
    <row r="808" spans="1:2" x14ac:dyDescent="0.25">
      <c r="A808" s="10">
        <v>807</v>
      </c>
      <c r="B808" s="9">
        <v>5.2803279999999999</v>
      </c>
    </row>
    <row r="809" spans="1:2" x14ac:dyDescent="0.25">
      <c r="A809" s="10">
        <v>808</v>
      </c>
      <c r="B809" s="9">
        <v>5.2842630000000002</v>
      </c>
    </row>
    <row r="810" spans="1:2" x14ac:dyDescent="0.25">
      <c r="A810" s="10">
        <v>809</v>
      </c>
      <c r="B810" s="9">
        <v>5.2881970000000003</v>
      </c>
    </row>
    <row r="811" spans="1:2" x14ac:dyDescent="0.25">
      <c r="A811" s="10">
        <v>810</v>
      </c>
      <c r="B811" s="9">
        <v>5.2921310000000004</v>
      </c>
    </row>
    <row r="812" spans="1:2" x14ac:dyDescent="0.25">
      <c r="A812" s="10">
        <v>811</v>
      </c>
      <c r="B812" s="9">
        <v>5.2960659999999997</v>
      </c>
    </row>
    <row r="813" spans="1:2" x14ac:dyDescent="0.25">
      <c r="A813" s="10">
        <v>812</v>
      </c>
      <c r="B813" s="9">
        <v>5.3</v>
      </c>
    </row>
    <row r="814" spans="1:2" x14ac:dyDescent="0.25">
      <c r="A814" s="10">
        <v>813</v>
      </c>
      <c r="B814" s="9">
        <v>5.3012699999999997</v>
      </c>
    </row>
    <row r="815" spans="1:2" x14ac:dyDescent="0.25">
      <c r="A815" s="10">
        <v>814</v>
      </c>
      <c r="B815" s="9">
        <v>5.3025399999999996</v>
      </c>
    </row>
    <row r="816" spans="1:2" x14ac:dyDescent="0.25">
      <c r="A816" s="10">
        <v>815</v>
      </c>
      <c r="B816" s="9">
        <v>5.3038100000000004</v>
      </c>
    </row>
    <row r="817" spans="1:2" x14ac:dyDescent="0.25">
      <c r="A817" s="10">
        <v>816</v>
      </c>
      <c r="B817" s="9">
        <v>5.3050790000000001</v>
      </c>
    </row>
    <row r="818" spans="1:2" x14ac:dyDescent="0.25">
      <c r="A818" s="10">
        <v>817</v>
      </c>
      <c r="B818" s="9">
        <v>5.306349</v>
      </c>
    </row>
    <row r="819" spans="1:2" x14ac:dyDescent="0.25">
      <c r="A819" s="10">
        <v>818</v>
      </c>
      <c r="B819" s="9">
        <v>5.3076189999999999</v>
      </c>
    </row>
    <row r="820" spans="1:2" x14ac:dyDescent="0.25">
      <c r="A820" s="10">
        <v>819</v>
      </c>
      <c r="B820" s="9">
        <v>5.3088889999999997</v>
      </c>
    </row>
    <row r="821" spans="1:2" x14ac:dyDescent="0.25">
      <c r="A821" s="10">
        <v>820</v>
      </c>
      <c r="B821" s="9">
        <v>5.3101589999999996</v>
      </c>
    </row>
    <row r="822" spans="1:2" x14ac:dyDescent="0.25">
      <c r="A822" s="10">
        <v>821</v>
      </c>
      <c r="B822" s="9">
        <v>5.3114290000000004</v>
      </c>
    </row>
    <row r="823" spans="1:2" x14ac:dyDescent="0.25">
      <c r="A823" s="10">
        <v>822</v>
      </c>
      <c r="B823" s="9">
        <v>5.3126980000000001</v>
      </c>
    </row>
    <row r="824" spans="1:2" x14ac:dyDescent="0.25">
      <c r="A824" s="10">
        <v>823</v>
      </c>
      <c r="B824" s="9">
        <v>5.313968</v>
      </c>
    </row>
    <row r="825" spans="1:2" x14ac:dyDescent="0.25">
      <c r="A825" s="10">
        <v>824</v>
      </c>
      <c r="B825" s="9">
        <v>5.3152379999999999</v>
      </c>
    </row>
    <row r="826" spans="1:2" x14ac:dyDescent="0.25">
      <c r="A826" s="10">
        <v>825</v>
      </c>
      <c r="B826" s="9">
        <v>5.3165079999999998</v>
      </c>
    </row>
    <row r="827" spans="1:2" x14ac:dyDescent="0.25">
      <c r="A827" s="10">
        <v>826</v>
      </c>
      <c r="B827" s="9">
        <v>5.3177779999999997</v>
      </c>
    </row>
    <row r="828" spans="1:2" x14ac:dyDescent="0.25">
      <c r="A828" s="10">
        <v>827</v>
      </c>
      <c r="B828" s="9">
        <v>5.3190470000000003</v>
      </c>
    </row>
    <row r="829" spans="1:2" x14ac:dyDescent="0.25">
      <c r="A829" s="10">
        <v>828</v>
      </c>
      <c r="B829" s="9">
        <v>5.3203170000000002</v>
      </c>
    </row>
    <row r="830" spans="1:2" x14ac:dyDescent="0.25">
      <c r="A830" s="10">
        <v>829</v>
      </c>
      <c r="B830" s="9">
        <v>5.3215880000000002</v>
      </c>
    </row>
    <row r="831" spans="1:2" x14ac:dyDescent="0.25">
      <c r="A831" s="10">
        <v>830</v>
      </c>
      <c r="B831" s="9">
        <v>5.3228569999999999</v>
      </c>
    </row>
    <row r="832" spans="1:2" x14ac:dyDescent="0.25">
      <c r="A832" s="10">
        <v>831</v>
      </c>
      <c r="B832" s="9">
        <v>5.3241269999999998</v>
      </c>
    </row>
    <row r="833" spans="1:2" x14ac:dyDescent="0.25">
      <c r="A833" s="10">
        <v>832</v>
      </c>
      <c r="B833" s="9">
        <v>5.3253969999999997</v>
      </c>
    </row>
    <row r="834" spans="1:2" x14ac:dyDescent="0.25">
      <c r="A834" s="10">
        <v>833</v>
      </c>
      <c r="B834" s="9">
        <v>5.3266669999999996</v>
      </c>
    </row>
    <row r="835" spans="1:2" x14ac:dyDescent="0.25">
      <c r="A835" s="10">
        <v>834</v>
      </c>
      <c r="B835" s="9">
        <v>5.3279370000000004</v>
      </c>
    </row>
    <row r="836" spans="1:2" x14ac:dyDescent="0.25">
      <c r="A836" s="10">
        <v>835</v>
      </c>
      <c r="B836" s="9">
        <v>5.3292060000000001</v>
      </c>
    </row>
    <row r="837" spans="1:2" x14ac:dyDescent="0.25">
      <c r="A837" s="10">
        <v>836</v>
      </c>
      <c r="B837" s="9">
        <v>5.330476</v>
      </c>
    </row>
    <row r="838" spans="1:2" x14ac:dyDescent="0.25">
      <c r="A838" s="10">
        <v>837</v>
      </c>
      <c r="B838" s="9">
        <v>5.3317459999999999</v>
      </c>
    </row>
    <row r="839" spans="1:2" x14ac:dyDescent="0.25">
      <c r="A839" s="10">
        <v>838</v>
      </c>
      <c r="B839" s="9">
        <v>5.3330159999999998</v>
      </c>
    </row>
    <row r="840" spans="1:2" x14ac:dyDescent="0.25">
      <c r="A840" s="10">
        <v>839</v>
      </c>
      <c r="B840" s="9">
        <v>5.3342859999999996</v>
      </c>
    </row>
    <row r="841" spans="1:2" x14ac:dyDescent="0.25">
      <c r="A841" s="10">
        <v>840</v>
      </c>
      <c r="B841" s="9">
        <v>5.3355560000000004</v>
      </c>
    </row>
    <row r="842" spans="1:2" x14ac:dyDescent="0.25">
      <c r="A842" s="10">
        <v>841</v>
      </c>
      <c r="B842" s="9">
        <v>5.3368250000000002</v>
      </c>
    </row>
    <row r="843" spans="1:2" x14ac:dyDescent="0.25">
      <c r="A843" s="10">
        <v>842</v>
      </c>
      <c r="B843" s="9">
        <v>5.338095</v>
      </c>
    </row>
    <row r="844" spans="1:2" x14ac:dyDescent="0.25">
      <c r="A844" s="10">
        <v>843</v>
      </c>
      <c r="B844" s="9">
        <v>5.3393649999999999</v>
      </c>
    </row>
    <row r="845" spans="1:2" x14ac:dyDescent="0.25">
      <c r="A845" s="10">
        <v>844</v>
      </c>
      <c r="B845" s="9">
        <v>5.3406349999999998</v>
      </c>
    </row>
    <row r="846" spans="1:2" x14ac:dyDescent="0.25">
      <c r="A846" s="10">
        <v>845</v>
      </c>
      <c r="B846" s="9">
        <v>5.3419049999999997</v>
      </c>
    </row>
    <row r="847" spans="1:2" x14ac:dyDescent="0.25">
      <c r="A847" s="10">
        <v>846</v>
      </c>
      <c r="B847" s="9">
        <v>5.3431740000000003</v>
      </c>
    </row>
    <row r="848" spans="1:2" x14ac:dyDescent="0.25">
      <c r="A848" s="10">
        <v>847</v>
      </c>
      <c r="B848" s="9">
        <v>5.3444440000000002</v>
      </c>
    </row>
    <row r="849" spans="1:2" x14ac:dyDescent="0.25">
      <c r="A849" s="10">
        <v>848</v>
      </c>
      <c r="B849" s="9">
        <v>5.3457140000000001</v>
      </c>
    </row>
    <row r="850" spans="1:2" x14ac:dyDescent="0.25">
      <c r="A850" s="10">
        <v>849</v>
      </c>
      <c r="B850" s="9">
        <v>5.346984</v>
      </c>
    </row>
    <row r="851" spans="1:2" x14ac:dyDescent="0.25">
      <c r="A851" s="10">
        <v>850</v>
      </c>
      <c r="B851" s="9">
        <v>5.3482539999999998</v>
      </c>
    </row>
    <row r="852" spans="1:2" x14ac:dyDescent="0.25">
      <c r="A852" s="10">
        <v>851</v>
      </c>
      <c r="B852" s="9">
        <v>5.3495239999999997</v>
      </c>
    </row>
    <row r="853" spans="1:2" x14ac:dyDescent="0.25">
      <c r="A853" s="10">
        <v>852</v>
      </c>
      <c r="B853" s="9">
        <v>5.3507939999999996</v>
      </c>
    </row>
    <row r="854" spans="1:2" x14ac:dyDescent="0.25">
      <c r="A854" s="10">
        <v>853</v>
      </c>
      <c r="B854" s="9">
        <v>5.3520630000000002</v>
      </c>
    </row>
    <row r="855" spans="1:2" x14ac:dyDescent="0.25">
      <c r="A855" s="10">
        <v>854</v>
      </c>
      <c r="B855" s="9">
        <v>5.3533330000000001</v>
      </c>
    </row>
    <row r="856" spans="1:2" x14ac:dyDescent="0.25">
      <c r="A856" s="10">
        <v>855</v>
      </c>
      <c r="B856" s="9">
        <v>5.354603</v>
      </c>
    </row>
    <row r="857" spans="1:2" x14ac:dyDescent="0.25">
      <c r="A857" s="10">
        <v>856</v>
      </c>
      <c r="B857" s="9">
        <v>5.3558729999999999</v>
      </c>
    </row>
    <row r="858" spans="1:2" x14ac:dyDescent="0.25">
      <c r="A858" s="10">
        <v>857</v>
      </c>
      <c r="B858" s="9">
        <v>5.3571429999999998</v>
      </c>
    </row>
    <row r="859" spans="1:2" x14ac:dyDescent="0.25">
      <c r="A859" s="10">
        <v>858</v>
      </c>
      <c r="B859" s="9">
        <v>5.3584129999999996</v>
      </c>
    </row>
    <row r="860" spans="1:2" x14ac:dyDescent="0.25">
      <c r="A860" s="10">
        <v>859</v>
      </c>
      <c r="B860" s="9">
        <v>5.3596830000000004</v>
      </c>
    </row>
    <row r="861" spans="1:2" x14ac:dyDescent="0.25">
      <c r="A861" s="10">
        <v>860</v>
      </c>
      <c r="B861" s="9">
        <v>5.3609520000000002</v>
      </c>
    </row>
    <row r="862" spans="1:2" x14ac:dyDescent="0.25">
      <c r="A862" s="10">
        <v>861</v>
      </c>
      <c r="B862" s="9">
        <v>5.362222</v>
      </c>
    </row>
    <row r="863" spans="1:2" x14ac:dyDescent="0.25">
      <c r="A863" s="10">
        <v>862</v>
      </c>
      <c r="B863" s="9">
        <v>5.3634919999999999</v>
      </c>
    </row>
    <row r="864" spans="1:2" x14ac:dyDescent="0.25">
      <c r="A864" s="10">
        <v>863</v>
      </c>
      <c r="B864" s="9">
        <v>5.3647619999999998</v>
      </c>
    </row>
    <row r="865" spans="1:2" x14ac:dyDescent="0.25">
      <c r="A865" s="10">
        <v>864</v>
      </c>
      <c r="B865" s="9">
        <v>5.3660319999999997</v>
      </c>
    </row>
    <row r="866" spans="1:2" x14ac:dyDescent="0.25">
      <c r="A866" s="10">
        <v>865</v>
      </c>
      <c r="B866" s="9">
        <v>5.3673010000000003</v>
      </c>
    </row>
    <row r="867" spans="1:2" x14ac:dyDescent="0.25">
      <c r="A867" s="10">
        <v>866</v>
      </c>
      <c r="B867" s="9">
        <v>5.3685710000000002</v>
      </c>
    </row>
    <row r="868" spans="1:2" x14ac:dyDescent="0.25">
      <c r="A868" s="10">
        <v>867</v>
      </c>
      <c r="B868" s="9">
        <v>5.3698410000000001</v>
      </c>
    </row>
    <row r="869" spans="1:2" x14ac:dyDescent="0.25">
      <c r="A869" s="10">
        <v>868</v>
      </c>
      <c r="B869" s="9">
        <v>5.371111</v>
      </c>
    </row>
    <row r="870" spans="1:2" x14ac:dyDescent="0.25">
      <c r="A870" s="10">
        <v>869</v>
      </c>
      <c r="B870" s="9">
        <v>5.3723809999999999</v>
      </c>
    </row>
    <row r="871" spans="1:2" x14ac:dyDescent="0.25">
      <c r="A871" s="10">
        <v>870</v>
      </c>
      <c r="B871" s="9">
        <v>5.3736509999999997</v>
      </c>
    </row>
    <row r="872" spans="1:2" x14ac:dyDescent="0.25">
      <c r="A872" s="10">
        <v>871</v>
      </c>
      <c r="B872" s="9">
        <v>5.3749209999999996</v>
      </c>
    </row>
    <row r="873" spans="1:2" x14ac:dyDescent="0.25">
      <c r="A873" s="10">
        <v>872</v>
      </c>
      <c r="B873" s="9">
        <v>5.3761900000000002</v>
      </c>
    </row>
    <row r="874" spans="1:2" x14ac:dyDescent="0.25">
      <c r="A874" s="10">
        <v>873</v>
      </c>
      <c r="B874" s="9">
        <v>5.3774600000000001</v>
      </c>
    </row>
    <row r="875" spans="1:2" x14ac:dyDescent="0.25">
      <c r="A875" s="10">
        <v>874</v>
      </c>
      <c r="B875" s="9">
        <v>5.37873</v>
      </c>
    </row>
    <row r="876" spans="1:2" x14ac:dyDescent="0.25">
      <c r="A876" s="10">
        <v>875</v>
      </c>
      <c r="B876" s="9">
        <v>5.38</v>
      </c>
    </row>
    <row r="877" spans="1:2" x14ac:dyDescent="0.25">
      <c r="A877" s="10">
        <v>876</v>
      </c>
      <c r="B877" s="9">
        <v>5.3819699999999999</v>
      </c>
    </row>
    <row r="878" spans="1:2" x14ac:dyDescent="0.25">
      <c r="A878" s="10">
        <v>877</v>
      </c>
      <c r="B878" s="9">
        <v>5.3839399999999999</v>
      </c>
    </row>
    <row r="879" spans="1:2" x14ac:dyDescent="0.25">
      <c r="A879" s="10">
        <v>878</v>
      </c>
      <c r="B879" s="9">
        <v>5.3859089999999998</v>
      </c>
    </row>
    <row r="880" spans="1:2" x14ac:dyDescent="0.25">
      <c r="A880" s="10">
        <v>879</v>
      </c>
      <c r="B880" s="9">
        <v>5.3878789999999999</v>
      </c>
    </row>
    <row r="881" spans="1:2" x14ac:dyDescent="0.25">
      <c r="A881" s="10">
        <v>880</v>
      </c>
      <c r="B881" s="9">
        <v>5.3898489999999999</v>
      </c>
    </row>
    <row r="882" spans="1:2" x14ac:dyDescent="0.25">
      <c r="A882" s="10">
        <v>881</v>
      </c>
      <c r="B882" s="9">
        <v>5.3918189999999999</v>
      </c>
    </row>
    <row r="883" spans="1:2" x14ac:dyDescent="0.25">
      <c r="A883" s="10">
        <v>882</v>
      </c>
      <c r="B883" s="9">
        <v>5.3937879999999998</v>
      </c>
    </row>
    <row r="884" spans="1:2" x14ac:dyDescent="0.25">
      <c r="A884" s="10">
        <v>883</v>
      </c>
      <c r="B884" s="9">
        <v>5.3957579999999998</v>
      </c>
    </row>
    <row r="885" spans="1:2" x14ac:dyDescent="0.25">
      <c r="A885" s="10">
        <v>884</v>
      </c>
      <c r="B885" s="9">
        <v>5.3977269999999997</v>
      </c>
    </row>
    <row r="886" spans="1:2" x14ac:dyDescent="0.25">
      <c r="A886" s="10">
        <v>885</v>
      </c>
      <c r="B886" s="9">
        <v>5.3996969999999997</v>
      </c>
    </row>
    <row r="887" spans="1:2" x14ac:dyDescent="0.25">
      <c r="A887" s="10">
        <v>886</v>
      </c>
      <c r="B887" s="9">
        <v>5.4016669999999998</v>
      </c>
    </row>
    <row r="888" spans="1:2" x14ac:dyDescent="0.25">
      <c r="A888" s="10">
        <v>887</v>
      </c>
      <c r="B888" s="9">
        <v>5.4036359999999997</v>
      </c>
    </row>
    <row r="889" spans="1:2" x14ac:dyDescent="0.25">
      <c r="A889" s="10">
        <v>888</v>
      </c>
      <c r="B889" s="9">
        <v>5.4056059999999997</v>
      </c>
    </row>
    <row r="890" spans="1:2" x14ac:dyDescent="0.25">
      <c r="A890" s="10">
        <v>889</v>
      </c>
      <c r="B890" s="9">
        <v>5.4075759999999997</v>
      </c>
    </row>
    <row r="891" spans="1:2" x14ac:dyDescent="0.25">
      <c r="A891" s="10">
        <v>890</v>
      </c>
      <c r="B891" s="9">
        <v>5.4095459999999997</v>
      </c>
    </row>
    <row r="892" spans="1:2" x14ac:dyDescent="0.25">
      <c r="A892" s="10">
        <v>891</v>
      </c>
      <c r="B892" s="9">
        <v>5.4115149999999996</v>
      </c>
    </row>
    <row r="893" spans="1:2" x14ac:dyDescent="0.25">
      <c r="A893" s="10">
        <v>892</v>
      </c>
      <c r="B893" s="9">
        <v>5.4134849999999997</v>
      </c>
    </row>
    <row r="894" spans="1:2" x14ac:dyDescent="0.25">
      <c r="A894" s="10">
        <v>893</v>
      </c>
      <c r="B894" s="9">
        <v>5.4154549999999997</v>
      </c>
    </row>
    <row r="895" spans="1:2" x14ac:dyDescent="0.25">
      <c r="A895" s="10">
        <v>894</v>
      </c>
      <c r="B895" s="9">
        <v>5.4174239999999996</v>
      </c>
    </row>
    <row r="896" spans="1:2" x14ac:dyDescent="0.25">
      <c r="A896" s="10">
        <v>895</v>
      </c>
      <c r="B896" s="9">
        <v>5.4193939999999996</v>
      </c>
    </row>
    <row r="897" spans="1:2" x14ac:dyDescent="0.25">
      <c r="A897" s="10">
        <v>896</v>
      </c>
      <c r="B897" s="9">
        <v>5.4213639999999996</v>
      </c>
    </row>
    <row r="898" spans="1:2" x14ac:dyDescent="0.25">
      <c r="A898" s="10">
        <v>897</v>
      </c>
      <c r="B898" s="9">
        <v>5.4233339999999997</v>
      </c>
    </row>
    <row r="899" spans="1:2" x14ac:dyDescent="0.25">
      <c r="A899" s="10">
        <v>898</v>
      </c>
      <c r="B899" s="9">
        <v>5.4253030000000004</v>
      </c>
    </row>
    <row r="900" spans="1:2" x14ac:dyDescent="0.25">
      <c r="A900" s="10">
        <v>899</v>
      </c>
      <c r="B900" s="9">
        <v>5.4272729999999996</v>
      </c>
    </row>
    <row r="901" spans="1:2" x14ac:dyDescent="0.25">
      <c r="A901" s="10">
        <v>900</v>
      </c>
      <c r="B901" s="9">
        <v>5.4292429999999996</v>
      </c>
    </row>
    <row r="902" spans="1:2" x14ac:dyDescent="0.25">
      <c r="A902" s="10">
        <v>901</v>
      </c>
      <c r="B902" s="9">
        <v>5.4312120000000004</v>
      </c>
    </row>
    <row r="903" spans="1:2" x14ac:dyDescent="0.25">
      <c r="A903" s="10">
        <v>902</v>
      </c>
      <c r="B903" s="9">
        <v>5.4331820000000004</v>
      </c>
    </row>
    <row r="904" spans="1:2" x14ac:dyDescent="0.25">
      <c r="A904" s="10">
        <v>903</v>
      </c>
      <c r="B904" s="9">
        <v>5.4351520000000004</v>
      </c>
    </row>
    <row r="905" spans="1:2" x14ac:dyDescent="0.25">
      <c r="A905" s="10">
        <v>904</v>
      </c>
      <c r="B905" s="9">
        <v>5.4371210000000003</v>
      </c>
    </row>
    <row r="906" spans="1:2" x14ac:dyDescent="0.25">
      <c r="A906" s="10">
        <v>905</v>
      </c>
      <c r="B906" s="9">
        <v>5.4390910000000003</v>
      </c>
    </row>
    <row r="907" spans="1:2" x14ac:dyDescent="0.25">
      <c r="A907" s="10">
        <v>906</v>
      </c>
      <c r="B907" s="9">
        <v>5.4410610000000004</v>
      </c>
    </row>
    <row r="908" spans="1:2" x14ac:dyDescent="0.25">
      <c r="A908" s="10">
        <v>907</v>
      </c>
      <c r="B908" s="9">
        <v>5.4430300000000003</v>
      </c>
    </row>
    <row r="909" spans="1:2" x14ac:dyDescent="0.25">
      <c r="A909" s="10">
        <v>908</v>
      </c>
      <c r="B909" s="9">
        <v>5.4450000000000003</v>
      </c>
    </row>
    <row r="910" spans="1:2" x14ac:dyDescent="0.25">
      <c r="A910" s="10">
        <v>909</v>
      </c>
      <c r="B910" s="9">
        <v>5.4469700000000003</v>
      </c>
    </row>
    <row r="911" spans="1:2" x14ac:dyDescent="0.25">
      <c r="A911" s="10">
        <v>910</v>
      </c>
      <c r="B911" s="9">
        <v>5.4489390000000002</v>
      </c>
    </row>
    <row r="912" spans="1:2" x14ac:dyDescent="0.25">
      <c r="A912" s="10">
        <v>911</v>
      </c>
      <c r="B912" s="9">
        <v>5.4509090000000002</v>
      </c>
    </row>
    <row r="913" spans="1:2" x14ac:dyDescent="0.25">
      <c r="A913" s="10">
        <v>912</v>
      </c>
      <c r="B913" s="9">
        <v>5.4528790000000003</v>
      </c>
    </row>
    <row r="914" spans="1:2" x14ac:dyDescent="0.25">
      <c r="A914" s="10">
        <v>913</v>
      </c>
      <c r="B914" s="9">
        <v>5.4548490000000003</v>
      </c>
    </row>
    <row r="915" spans="1:2" x14ac:dyDescent="0.25">
      <c r="A915" s="10">
        <v>914</v>
      </c>
      <c r="B915" s="9">
        <v>5.4568190000000003</v>
      </c>
    </row>
    <row r="916" spans="1:2" x14ac:dyDescent="0.25">
      <c r="A916" s="10">
        <v>915</v>
      </c>
      <c r="B916" s="9">
        <v>5.4587880000000002</v>
      </c>
    </row>
    <row r="917" spans="1:2" x14ac:dyDescent="0.25">
      <c r="A917" s="10">
        <v>916</v>
      </c>
      <c r="B917" s="9">
        <v>5.4607580000000002</v>
      </c>
    </row>
    <row r="918" spans="1:2" x14ac:dyDescent="0.25">
      <c r="A918" s="10">
        <v>917</v>
      </c>
      <c r="B918" s="9">
        <v>5.4627280000000003</v>
      </c>
    </row>
    <row r="919" spans="1:2" x14ac:dyDescent="0.25">
      <c r="A919" s="10">
        <v>918</v>
      </c>
      <c r="B919" s="9">
        <v>5.4646970000000001</v>
      </c>
    </row>
    <row r="920" spans="1:2" x14ac:dyDescent="0.25">
      <c r="A920" s="10">
        <v>919</v>
      </c>
      <c r="B920" s="9">
        <v>5.4666670000000002</v>
      </c>
    </row>
    <row r="921" spans="1:2" x14ac:dyDescent="0.25">
      <c r="A921" s="10">
        <v>920</v>
      </c>
      <c r="B921" s="9">
        <v>5.4686370000000002</v>
      </c>
    </row>
    <row r="922" spans="1:2" x14ac:dyDescent="0.25">
      <c r="A922" s="10">
        <v>921</v>
      </c>
      <c r="B922" s="9">
        <v>5.4706060000000001</v>
      </c>
    </row>
    <row r="923" spans="1:2" x14ac:dyDescent="0.25">
      <c r="A923" s="10">
        <v>922</v>
      </c>
      <c r="B923" s="9">
        <v>5.4725760000000001</v>
      </c>
    </row>
    <row r="924" spans="1:2" x14ac:dyDescent="0.25">
      <c r="A924" s="10">
        <v>923</v>
      </c>
      <c r="B924" s="9">
        <v>5.474545</v>
      </c>
    </row>
    <row r="925" spans="1:2" x14ac:dyDescent="0.25">
      <c r="A925" s="10">
        <v>924</v>
      </c>
      <c r="B925" s="9">
        <v>5.476515</v>
      </c>
    </row>
    <row r="926" spans="1:2" x14ac:dyDescent="0.25">
      <c r="A926" s="10">
        <v>925</v>
      </c>
      <c r="B926" s="9">
        <v>5.478485</v>
      </c>
    </row>
    <row r="927" spans="1:2" x14ac:dyDescent="0.25">
      <c r="A927" s="10">
        <v>926</v>
      </c>
      <c r="B927" s="9">
        <v>5.4804550000000001</v>
      </c>
    </row>
    <row r="928" spans="1:2" x14ac:dyDescent="0.25">
      <c r="A928" s="10">
        <v>927</v>
      </c>
      <c r="B928" s="9">
        <v>5.4824250000000001</v>
      </c>
    </row>
    <row r="929" spans="1:2" x14ac:dyDescent="0.25">
      <c r="A929" s="10">
        <v>928</v>
      </c>
      <c r="B929" s="9">
        <v>5.484394</v>
      </c>
    </row>
    <row r="930" spans="1:2" x14ac:dyDescent="0.25">
      <c r="A930" s="10">
        <v>929</v>
      </c>
      <c r="B930" s="9">
        <v>5.486364</v>
      </c>
    </row>
    <row r="931" spans="1:2" x14ac:dyDescent="0.25">
      <c r="A931" s="10">
        <v>930</v>
      </c>
      <c r="B931" s="9">
        <v>5.488334</v>
      </c>
    </row>
    <row r="932" spans="1:2" x14ac:dyDescent="0.25">
      <c r="A932" s="10">
        <v>931</v>
      </c>
      <c r="B932" s="9">
        <v>5.4903029999999999</v>
      </c>
    </row>
    <row r="933" spans="1:2" x14ac:dyDescent="0.25">
      <c r="A933" s="10">
        <v>932</v>
      </c>
      <c r="B933" s="9">
        <v>5.492273</v>
      </c>
    </row>
    <row r="934" spans="1:2" x14ac:dyDescent="0.25">
      <c r="A934" s="10">
        <v>933</v>
      </c>
      <c r="B934" s="9">
        <v>5.494243</v>
      </c>
    </row>
    <row r="935" spans="1:2" x14ac:dyDescent="0.25">
      <c r="A935" s="10">
        <v>934</v>
      </c>
      <c r="B935" s="9">
        <v>5.4962119999999999</v>
      </c>
    </row>
    <row r="936" spans="1:2" x14ac:dyDescent="0.25">
      <c r="A936" s="10">
        <v>935</v>
      </c>
      <c r="B936" s="9">
        <v>5.4981819999999999</v>
      </c>
    </row>
    <row r="937" spans="1:2" x14ac:dyDescent="0.25">
      <c r="A937" s="10">
        <v>936</v>
      </c>
      <c r="B937" s="9">
        <v>5.5001519999999999</v>
      </c>
    </row>
    <row r="938" spans="1:2" x14ac:dyDescent="0.25">
      <c r="A938" s="10">
        <v>937</v>
      </c>
      <c r="B938" s="9">
        <v>5.5021209999999998</v>
      </c>
    </row>
    <row r="939" spans="1:2" x14ac:dyDescent="0.25">
      <c r="A939" s="10">
        <v>938</v>
      </c>
      <c r="B939" s="9">
        <v>5.5040909999999998</v>
      </c>
    </row>
    <row r="940" spans="1:2" x14ac:dyDescent="0.25">
      <c r="A940" s="10">
        <v>939</v>
      </c>
      <c r="B940" s="9">
        <v>5.5060609999999999</v>
      </c>
    </row>
    <row r="941" spans="1:2" x14ac:dyDescent="0.25">
      <c r="A941" s="10">
        <v>940</v>
      </c>
      <c r="B941" s="9">
        <v>5.5080299999999998</v>
      </c>
    </row>
    <row r="942" spans="1:2" x14ac:dyDescent="0.25">
      <c r="A942" s="10">
        <v>941</v>
      </c>
      <c r="B942" s="9">
        <v>5.51</v>
      </c>
    </row>
    <row r="943" spans="1:2" x14ac:dyDescent="0.25">
      <c r="A943" s="10">
        <v>942</v>
      </c>
      <c r="B943" s="9">
        <v>5.5117190000000003</v>
      </c>
    </row>
    <row r="944" spans="1:2" x14ac:dyDescent="0.25">
      <c r="A944" s="10">
        <v>943</v>
      </c>
      <c r="B944" s="9">
        <v>5.5134379999999998</v>
      </c>
    </row>
    <row r="945" spans="1:2" x14ac:dyDescent="0.25">
      <c r="A945" s="10">
        <v>944</v>
      </c>
      <c r="B945" s="9">
        <v>5.5151570000000003</v>
      </c>
    </row>
    <row r="946" spans="1:2" x14ac:dyDescent="0.25">
      <c r="A946" s="10">
        <v>945</v>
      </c>
      <c r="B946" s="9">
        <v>5.5168749999999998</v>
      </c>
    </row>
    <row r="947" spans="1:2" x14ac:dyDescent="0.25">
      <c r="A947" s="10">
        <v>946</v>
      </c>
      <c r="B947" s="9">
        <v>5.5185940000000002</v>
      </c>
    </row>
    <row r="948" spans="1:2" x14ac:dyDescent="0.25">
      <c r="A948" s="10">
        <v>947</v>
      </c>
      <c r="B948" s="9">
        <v>5.5203129999999998</v>
      </c>
    </row>
    <row r="949" spans="1:2" x14ac:dyDescent="0.25">
      <c r="A949" s="10">
        <v>948</v>
      </c>
      <c r="B949" s="9">
        <v>5.5220320000000003</v>
      </c>
    </row>
    <row r="950" spans="1:2" x14ac:dyDescent="0.25">
      <c r="A950" s="10">
        <v>949</v>
      </c>
      <c r="B950" s="9">
        <v>5.5237499999999997</v>
      </c>
    </row>
    <row r="951" spans="1:2" x14ac:dyDescent="0.25">
      <c r="A951" s="10">
        <v>950</v>
      </c>
      <c r="B951" s="9">
        <v>5.5254690000000002</v>
      </c>
    </row>
    <row r="952" spans="1:2" x14ac:dyDescent="0.25">
      <c r="A952" s="10">
        <v>951</v>
      </c>
      <c r="B952" s="9">
        <v>5.5271879999999998</v>
      </c>
    </row>
    <row r="953" spans="1:2" x14ac:dyDescent="0.25">
      <c r="A953" s="10">
        <v>952</v>
      </c>
      <c r="B953" s="9">
        <v>5.5289060000000001</v>
      </c>
    </row>
    <row r="954" spans="1:2" x14ac:dyDescent="0.25">
      <c r="A954" s="10">
        <v>953</v>
      </c>
      <c r="B954" s="9">
        <v>5.5306249999999997</v>
      </c>
    </row>
    <row r="955" spans="1:2" x14ac:dyDescent="0.25">
      <c r="A955" s="10">
        <v>954</v>
      </c>
      <c r="B955" s="9">
        <v>5.5323440000000002</v>
      </c>
    </row>
    <row r="956" spans="1:2" x14ac:dyDescent="0.25">
      <c r="A956" s="10">
        <v>955</v>
      </c>
      <c r="B956" s="9">
        <v>5.5340629999999997</v>
      </c>
    </row>
    <row r="957" spans="1:2" x14ac:dyDescent="0.25">
      <c r="A957" s="10">
        <v>956</v>
      </c>
      <c r="B957" s="9">
        <v>5.5357810000000001</v>
      </c>
    </row>
    <row r="958" spans="1:2" x14ac:dyDescent="0.25">
      <c r="A958" s="10">
        <v>957</v>
      </c>
      <c r="B958" s="9">
        <v>5.5374999999999996</v>
      </c>
    </row>
    <row r="959" spans="1:2" x14ac:dyDescent="0.25">
      <c r="A959" s="10">
        <v>958</v>
      </c>
      <c r="B959" s="9">
        <v>5.5392190000000001</v>
      </c>
    </row>
    <row r="960" spans="1:2" x14ac:dyDescent="0.25">
      <c r="A960" s="10">
        <v>959</v>
      </c>
      <c r="B960" s="9">
        <v>5.5409369999999996</v>
      </c>
    </row>
    <row r="961" spans="1:2" x14ac:dyDescent="0.25">
      <c r="A961" s="10">
        <v>960</v>
      </c>
      <c r="B961" s="9">
        <v>5.542656</v>
      </c>
    </row>
    <row r="962" spans="1:2" x14ac:dyDescent="0.25">
      <c r="A962" s="10">
        <v>961</v>
      </c>
      <c r="B962" s="9">
        <v>5.5443749999999996</v>
      </c>
    </row>
    <row r="963" spans="1:2" x14ac:dyDescent="0.25">
      <c r="A963" s="10">
        <v>962</v>
      </c>
      <c r="B963" s="9">
        <v>5.5460940000000001</v>
      </c>
    </row>
    <row r="964" spans="1:2" x14ac:dyDescent="0.25">
      <c r="A964" s="10">
        <v>963</v>
      </c>
      <c r="B964" s="9">
        <v>5.5478120000000004</v>
      </c>
    </row>
    <row r="965" spans="1:2" x14ac:dyDescent="0.25">
      <c r="A965" s="10">
        <v>964</v>
      </c>
      <c r="B965" s="9">
        <v>5.549531</v>
      </c>
    </row>
    <row r="966" spans="1:2" x14ac:dyDescent="0.25">
      <c r="A966" s="10">
        <v>965</v>
      </c>
      <c r="B966" s="9">
        <v>5.5512499999999996</v>
      </c>
    </row>
    <row r="967" spans="1:2" x14ac:dyDescent="0.25">
      <c r="A967" s="10">
        <v>966</v>
      </c>
      <c r="B967" s="9">
        <v>5.552969</v>
      </c>
    </row>
    <row r="968" spans="1:2" x14ac:dyDescent="0.25">
      <c r="A968" s="10">
        <v>967</v>
      </c>
      <c r="B968" s="9">
        <v>5.5546879999999996</v>
      </c>
    </row>
    <row r="969" spans="1:2" x14ac:dyDescent="0.25">
      <c r="A969" s="10">
        <v>968</v>
      </c>
      <c r="B969" s="9">
        <v>5.556406</v>
      </c>
    </row>
    <row r="970" spans="1:2" x14ac:dyDescent="0.25">
      <c r="A970" s="10">
        <v>969</v>
      </c>
      <c r="B970" s="9">
        <v>5.5581250000000004</v>
      </c>
    </row>
    <row r="971" spans="1:2" x14ac:dyDescent="0.25">
      <c r="A971" s="10">
        <v>970</v>
      </c>
      <c r="B971" s="9">
        <v>5.559844</v>
      </c>
    </row>
    <row r="972" spans="1:2" x14ac:dyDescent="0.25">
      <c r="A972" s="10">
        <v>971</v>
      </c>
      <c r="B972" s="9">
        <v>5.5615629999999996</v>
      </c>
    </row>
    <row r="973" spans="1:2" x14ac:dyDescent="0.25">
      <c r="A973" s="10">
        <v>972</v>
      </c>
      <c r="B973" s="9">
        <v>5.5632809999999999</v>
      </c>
    </row>
    <row r="974" spans="1:2" x14ac:dyDescent="0.25">
      <c r="A974" s="10">
        <v>973</v>
      </c>
      <c r="B974" s="9">
        <v>5.5650000000000004</v>
      </c>
    </row>
    <row r="975" spans="1:2" x14ac:dyDescent="0.25">
      <c r="A975" s="10">
        <v>974</v>
      </c>
      <c r="B975" s="9">
        <v>5.566719</v>
      </c>
    </row>
    <row r="976" spans="1:2" x14ac:dyDescent="0.25">
      <c r="A976" s="10">
        <v>975</v>
      </c>
      <c r="B976" s="9">
        <v>5.5684380000000004</v>
      </c>
    </row>
    <row r="977" spans="1:2" x14ac:dyDescent="0.25">
      <c r="A977" s="10">
        <v>976</v>
      </c>
      <c r="B977" s="9">
        <v>5.5701559999999999</v>
      </c>
    </row>
    <row r="978" spans="1:2" x14ac:dyDescent="0.25">
      <c r="A978" s="10">
        <v>977</v>
      </c>
      <c r="B978" s="9">
        <v>5.5718750000000004</v>
      </c>
    </row>
    <row r="979" spans="1:2" x14ac:dyDescent="0.25">
      <c r="A979" s="10">
        <v>978</v>
      </c>
      <c r="B979" s="9">
        <v>5.5735939999999999</v>
      </c>
    </row>
    <row r="980" spans="1:2" x14ac:dyDescent="0.25">
      <c r="A980" s="10">
        <v>979</v>
      </c>
      <c r="B980" s="9">
        <v>5.5753130000000004</v>
      </c>
    </row>
    <row r="981" spans="1:2" x14ac:dyDescent="0.25">
      <c r="A981" s="10">
        <v>980</v>
      </c>
      <c r="B981" s="9">
        <v>5.5770309999999998</v>
      </c>
    </row>
    <row r="982" spans="1:2" x14ac:dyDescent="0.25">
      <c r="A982" s="10">
        <v>981</v>
      </c>
      <c r="B982" s="9">
        <v>5.5787500000000003</v>
      </c>
    </row>
    <row r="983" spans="1:2" x14ac:dyDescent="0.25">
      <c r="A983" s="10">
        <v>982</v>
      </c>
      <c r="B983" s="9">
        <v>5.5804689999999999</v>
      </c>
    </row>
    <row r="984" spans="1:2" x14ac:dyDescent="0.25">
      <c r="A984" s="10">
        <v>983</v>
      </c>
      <c r="B984" s="9">
        <v>5.5821880000000004</v>
      </c>
    </row>
    <row r="985" spans="1:2" x14ac:dyDescent="0.25">
      <c r="A985" s="10">
        <v>984</v>
      </c>
      <c r="B985" s="9">
        <v>5.5839059999999998</v>
      </c>
    </row>
    <row r="986" spans="1:2" x14ac:dyDescent="0.25">
      <c r="A986" s="10">
        <v>985</v>
      </c>
      <c r="B986" s="9">
        <v>5.5856250000000003</v>
      </c>
    </row>
    <row r="987" spans="1:2" x14ac:dyDescent="0.25">
      <c r="A987" s="10">
        <v>986</v>
      </c>
      <c r="B987" s="9">
        <v>5.5873439999999999</v>
      </c>
    </row>
    <row r="988" spans="1:2" x14ac:dyDescent="0.25">
      <c r="A988" s="10">
        <v>987</v>
      </c>
      <c r="B988" s="9">
        <v>5.5890630000000003</v>
      </c>
    </row>
    <row r="989" spans="1:2" x14ac:dyDescent="0.25">
      <c r="A989" s="10">
        <v>988</v>
      </c>
      <c r="B989" s="9">
        <v>5.5907809999999998</v>
      </c>
    </row>
    <row r="990" spans="1:2" x14ac:dyDescent="0.25">
      <c r="A990" s="10">
        <v>989</v>
      </c>
      <c r="B990" s="9">
        <v>5.5925000000000002</v>
      </c>
    </row>
    <row r="991" spans="1:2" x14ac:dyDescent="0.25">
      <c r="A991" s="10">
        <v>990</v>
      </c>
      <c r="B991" s="9">
        <v>5.5942189999999998</v>
      </c>
    </row>
    <row r="992" spans="1:2" x14ac:dyDescent="0.25">
      <c r="A992" s="10">
        <v>991</v>
      </c>
      <c r="B992" s="9">
        <v>5.5959380000000003</v>
      </c>
    </row>
    <row r="993" spans="1:2" x14ac:dyDescent="0.25">
      <c r="A993" s="10">
        <v>992</v>
      </c>
      <c r="B993" s="9">
        <v>5.5976559999999997</v>
      </c>
    </row>
    <row r="994" spans="1:2" x14ac:dyDescent="0.25">
      <c r="A994" s="10">
        <v>993</v>
      </c>
      <c r="B994" s="9">
        <v>5.5993750000000002</v>
      </c>
    </row>
    <row r="995" spans="1:2" x14ac:dyDescent="0.25">
      <c r="A995" s="10">
        <v>994</v>
      </c>
      <c r="B995" s="9">
        <v>5.6010939999999998</v>
      </c>
    </row>
    <row r="996" spans="1:2" x14ac:dyDescent="0.25">
      <c r="A996" s="10">
        <v>995</v>
      </c>
      <c r="B996" s="9">
        <v>5.6028130000000003</v>
      </c>
    </row>
    <row r="997" spans="1:2" x14ac:dyDescent="0.25">
      <c r="A997" s="10">
        <v>996</v>
      </c>
      <c r="B997" s="9">
        <v>5.6045309999999997</v>
      </c>
    </row>
    <row r="998" spans="1:2" x14ac:dyDescent="0.25">
      <c r="A998" s="10">
        <v>997</v>
      </c>
      <c r="B998" s="9">
        <v>5.6062500000000002</v>
      </c>
    </row>
    <row r="999" spans="1:2" x14ac:dyDescent="0.25">
      <c r="A999" s="10">
        <v>998</v>
      </c>
      <c r="B999" s="9">
        <v>5.6079689999999998</v>
      </c>
    </row>
    <row r="1000" spans="1:2" x14ac:dyDescent="0.25">
      <c r="A1000" s="10">
        <v>999</v>
      </c>
      <c r="B1000" s="9">
        <v>5.6096870000000001</v>
      </c>
    </row>
    <row r="1001" spans="1:2" x14ac:dyDescent="0.25">
      <c r="A1001" s="10">
        <v>1000</v>
      </c>
      <c r="B1001" s="9">
        <v>5.6114059999999997</v>
      </c>
    </row>
    <row r="1002" spans="1:2" x14ac:dyDescent="0.25">
      <c r="A1002" s="10">
        <v>1001</v>
      </c>
      <c r="B1002" s="9">
        <v>5.6131250000000001</v>
      </c>
    </row>
    <row r="1003" spans="1:2" x14ac:dyDescent="0.25">
      <c r="A1003" s="10">
        <v>1002</v>
      </c>
      <c r="B1003" s="9">
        <v>5.6148439999999997</v>
      </c>
    </row>
    <row r="1004" spans="1:2" x14ac:dyDescent="0.25">
      <c r="A1004" s="10">
        <v>1003</v>
      </c>
      <c r="B1004" s="9">
        <v>5.6165620000000001</v>
      </c>
    </row>
    <row r="1005" spans="1:2" x14ac:dyDescent="0.25">
      <c r="A1005" s="10">
        <v>1004</v>
      </c>
      <c r="B1005" s="9">
        <v>5.6182809999999996</v>
      </c>
    </row>
    <row r="1006" spans="1:2" x14ac:dyDescent="0.25">
      <c r="A1006" s="10">
        <v>1005</v>
      </c>
      <c r="B1006" s="9">
        <v>5.62</v>
      </c>
    </row>
    <row r="1007" spans="1:2" x14ac:dyDescent="0.25">
      <c r="A1007" s="10">
        <v>1006</v>
      </c>
      <c r="B1007" s="9">
        <v>5.622458</v>
      </c>
    </row>
    <row r="1008" spans="1:2" x14ac:dyDescent="0.25">
      <c r="A1008" s="10">
        <v>1007</v>
      </c>
      <c r="B1008" s="9">
        <v>5.6249180000000001</v>
      </c>
    </row>
    <row r="1009" spans="1:2" x14ac:dyDescent="0.25">
      <c r="A1009" s="10">
        <v>1008</v>
      </c>
      <c r="B1009" s="9">
        <v>5.6273770000000001</v>
      </c>
    </row>
    <row r="1010" spans="1:2" x14ac:dyDescent="0.25">
      <c r="A1010" s="10">
        <v>1009</v>
      </c>
      <c r="B1010" s="9">
        <v>5.6298360000000001</v>
      </c>
    </row>
    <row r="1011" spans="1:2" x14ac:dyDescent="0.25">
      <c r="A1011" s="10">
        <v>1010</v>
      </c>
      <c r="B1011" s="9">
        <v>5.6322950000000001</v>
      </c>
    </row>
    <row r="1012" spans="1:2" x14ac:dyDescent="0.25">
      <c r="A1012" s="10">
        <v>1011</v>
      </c>
      <c r="B1012" s="9">
        <v>5.634754</v>
      </c>
    </row>
    <row r="1013" spans="1:2" x14ac:dyDescent="0.25">
      <c r="A1013" s="10">
        <v>1012</v>
      </c>
      <c r="B1013" s="9">
        <v>5.637213</v>
      </c>
    </row>
    <row r="1014" spans="1:2" x14ac:dyDescent="0.25">
      <c r="A1014" s="10">
        <v>1013</v>
      </c>
      <c r="B1014" s="9">
        <v>5.639672</v>
      </c>
    </row>
    <row r="1015" spans="1:2" x14ac:dyDescent="0.25">
      <c r="A1015" s="10">
        <v>1014</v>
      </c>
      <c r="B1015" s="9">
        <v>5.642131</v>
      </c>
    </row>
    <row r="1016" spans="1:2" x14ac:dyDescent="0.25">
      <c r="A1016" s="10">
        <v>1015</v>
      </c>
      <c r="B1016" s="9">
        <v>5.64459</v>
      </c>
    </row>
    <row r="1017" spans="1:2" x14ac:dyDescent="0.25">
      <c r="A1017" s="10">
        <v>1016</v>
      </c>
      <c r="B1017" s="9">
        <v>5.647049</v>
      </c>
    </row>
    <row r="1018" spans="1:2" x14ac:dyDescent="0.25">
      <c r="A1018" s="10">
        <v>1017</v>
      </c>
      <c r="B1018" s="9">
        <v>5.649508</v>
      </c>
    </row>
    <row r="1019" spans="1:2" x14ac:dyDescent="0.25">
      <c r="A1019" s="10">
        <v>1018</v>
      </c>
      <c r="B1019" s="9">
        <v>5.651967</v>
      </c>
    </row>
    <row r="1020" spans="1:2" x14ac:dyDescent="0.25">
      <c r="A1020" s="10">
        <v>1019</v>
      </c>
      <c r="B1020" s="9">
        <v>5.654426</v>
      </c>
    </row>
    <row r="1021" spans="1:2" x14ac:dyDescent="0.25">
      <c r="A1021" s="10">
        <v>1020</v>
      </c>
      <c r="B1021" s="9">
        <v>5.6568849999999999</v>
      </c>
    </row>
    <row r="1022" spans="1:2" x14ac:dyDescent="0.25">
      <c r="A1022" s="10">
        <v>1021</v>
      </c>
      <c r="B1022" s="9">
        <v>5.6593439999999999</v>
      </c>
    </row>
    <row r="1023" spans="1:2" x14ac:dyDescent="0.25">
      <c r="A1023" s="10">
        <v>1022</v>
      </c>
      <c r="B1023" s="9">
        <v>5.6618029999999999</v>
      </c>
    </row>
    <row r="1024" spans="1:2" x14ac:dyDescent="0.25">
      <c r="A1024" s="10">
        <v>1023</v>
      </c>
      <c r="B1024" s="9">
        <v>5.6642619999999999</v>
      </c>
    </row>
    <row r="1025" spans="1:2" x14ac:dyDescent="0.25">
      <c r="A1025" s="10">
        <v>1024</v>
      </c>
      <c r="B1025" s="9">
        <v>5.6667209999999999</v>
      </c>
    </row>
    <row r="1026" spans="1:2" x14ac:dyDescent="0.25">
      <c r="A1026" s="10">
        <v>1025</v>
      </c>
      <c r="B1026" s="9">
        <v>5.6691799999999999</v>
      </c>
    </row>
    <row r="1027" spans="1:2" x14ac:dyDescent="0.25">
      <c r="A1027" s="10">
        <v>1026</v>
      </c>
      <c r="B1027" s="9">
        <v>5.6716389999999999</v>
      </c>
    </row>
    <row r="1028" spans="1:2" x14ac:dyDescent="0.25">
      <c r="A1028" s="10">
        <v>1027</v>
      </c>
      <c r="B1028" s="9">
        <v>5.6740979999999999</v>
      </c>
    </row>
    <row r="1029" spans="1:2" x14ac:dyDescent="0.25">
      <c r="A1029" s="10">
        <v>1028</v>
      </c>
      <c r="B1029" s="9">
        <v>5.6765569999999999</v>
      </c>
    </row>
    <row r="1030" spans="1:2" x14ac:dyDescent="0.25">
      <c r="A1030" s="10">
        <v>1029</v>
      </c>
      <c r="B1030" s="9">
        <v>5.6790159999999998</v>
      </c>
    </row>
    <row r="1031" spans="1:2" x14ac:dyDescent="0.25">
      <c r="A1031" s="10">
        <v>1030</v>
      </c>
      <c r="B1031" s="9">
        <v>5.6814749999999998</v>
      </c>
    </row>
    <row r="1032" spans="1:2" x14ac:dyDescent="0.25">
      <c r="A1032" s="10">
        <v>1031</v>
      </c>
      <c r="B1032" s="9">
        <v>5.6839339999999998</v>
      </c>
    </row>
    <row r="1033" spans="1:2" x14ac:dyDescent="0.25">
      <c r="A1033" s="10">
        <v>1032</v>
      </c>
      <c r="B1033" s="9">
        <v>5.6863929999999998</v>
      </c>
    </row>
    <row r="1034" spans="1:2" x14ac:dyDescent="0.25">
      <c r="A1034" s="10">
        <v>1033</v>
      </c>
      <c r="B1034" s="9">
        <v>5.6888519999999998</v>
      </c>
    </row>
    <row r="1035" spans="1:2" x14ac:dyDescent="0.25">
      <c r="A1035" s="10">
        <v>1034</v>
      </c>
      <c r="B1035" s="9">
        <v>5.6913109999999998</v>
      </c>
    </row>
    <row r="1036" spans="1:2" x14ac:dyDescent="0.25">
      <c r="A1036" s="10">
        <v>1035</v>
      </c>
      <c r="B1036" s="9">
        <v>5.6937699999999998</v>
      </c>
    </row>
    <row r="1037" spans="1:2" x14ac:dyDescent="0.25">
      <c r="A1037" s="10">
        <v>1036</v>
      </c>
      <c r="B1037" s="9">
        <v>5.6962289999999998</v>
      </c>
    </row>
    <row r="1038" spans="1:2" x14ac:dyDescent="0.25">
      <c r="A1038" s="10">
        <v>1037</v>
      </c>
      <c r="B1038" s="9">
        <v>5.6986889999999999</v>
      </c>
    </row>
    <row r="1039" spans="1:2" x14ac:dyDescent="0.25">
      <c r="A1039" s="10">
        <v>1038</v>
      </c>
      <c r="B1039" s="9">
        <v>5.7011469999999997</v>
      </c>
    </row>
    <row r="1040" spans="1:2" x14ac:dyDescent="0.25">
      <c r="A1040" s="10">
        <v>1039</v>
      </c>
      <c r="B1040" s="9">
        <v>5.7036069999999999</v>
      </c>
    </row>
    <row r="1041" spans="1:2" x14ac:dyDescent="0.25">
      <c r="A1041" s="10">
        <v>1040</v>
      </c>
      <c r="B1041" s="9">
        <v>5.7060649999999997</v>
      </c>
    </row>
    <row r="1042" spans="1:2" x14ac:dyDescent="0.25">
      <c r="A1042" s="10">
        <v>1041</v>
      </c>
      <c r="B1042" s="9">
        <v>5.7085249999999998</v>
      </c>
    </row>
    <row r="1043" spans="1:2" x14ac:dyDescent="0.25">
      <c r="A1043" s="10">
        <v>1042</v>
      </c>
      <c r="B1043" s="9">
        <v>5.7109829999999997</v>
      </c>
    </row>
    <row r="1044" spans="1:2" x14ac:dyDescent="0.25">
      <c r="A1044" s="10">
        <v>1043</v>
      </c>
      <c r="B1044" s="9">
        <v>5.7134429999999998</v>
      </c>
    </row>
    <row r="1045" spans="1:2" x14ac:dyDescent="0.25">
      <c r="A1045" s="10">
        <v>1044</v>
      </c>
      <c r="B1045" s="9">
        <v>5.7159009999999997</v>
      </c>
    </row>
    <row r="1046" spans="1:2" x14ac:dyDescent="0.25">
      <c r="A1046" s="10">
        <v>1045</v>
      </c>
      <c r="B1046" s="9">
        <v>5.7183599999999997</v>
      </c>
    </row>
    <row r="1047" spans="1:2" x14ac:dyDescent="0.25">
      <c r="A1047" s="10">
        <v>1046</v>
      </c>
      <c r="B1047" s="9">
        <v>5.7208189999999997</v>
      </c>
    </row>
    <row r="1048" spans="1:2" x14ac:dyDescent="0.25">
      <c r="A1048" s="10">
        <v>1047</v>
      </c>
      <c r="B1048" s="9">
        <v>5.7232789999999998</v>
      </c>
    </row>
    <row r="1049" spans="1:2" x14ac:dyDescent="0.25">
      <c r="A1049" s="10">
        <v>1048</v>
      </c>
      <c r="B1049" s="9">
        <v>5.7257379999999998</v>
      </c>
    </row>
    <row r="1050" spans="1:2" x14ac:dyDescent="0.25">
      <c r="A1050" s="10">
        <v>1049</v>
      </c>
      <c r="B1050" s="9">
        <v>5.7281969999999998</v>
      </c>
    </row>
    <row r="1051" spans="1:2" x14ac:dyDescent="0.25">
      <c r="A1051" s="10">
        <v>1050</v>
      </c>
      <c r="B1051" s="9">
        <v>5.7306559999999998</v>
      </c>
    </row>
    <row r="1052" spans="1:2" x14ac:dyDescent="0.25">
      <c r="A1052" s="10">
        <v>1051</v>
      </c>
      <c r="B1052" s="9">
        <v>5.7331139999999996</v>
      </c>
    </row>
    <row r="1053" spans="1:2" x14ac:dyDescent="0.25">
      <c r="A1053" s="10">
        <v>1052</v>
      </c>
      <c r="B1053" s="9">
        <v>5.7355739999999997</v>
      </c>
    </row>
    <row r="1054" spans="1:2" x14ac:dyDescent="0.25">
      <c r="A1054" s="10">
        <v>1053</v>
      </c>
      <c r="B1054" s="9">
        <v>5.7380319999999996</v>
      </c>
    </row>
    <row r="1055" spans="1:2" x14ac:dyDescent="0.25">
      <c r="A1055" s="10">
        <v>1054</v>
      </c>
      <c r="B1055" s="9">
        <v>5.7404919999999997</v>
      </c>
    </row>
    <row r="1056" spans="1:2" x14ac:dyDescent="0.25">
      <c r="A1056" s="10">
        <v>1055</v>
      </c>
      <c r="B1056" s="9">
        <v>5.7429500000000004</v>
      </c>
    </row>
    <row r="1057" spans="1:2" x14ac:dyDescent="0.25">
      <c r="A1057" s="10">
        <v>1056</v>
      </c>
      <c r="B1057" s="9">
        <v>5.7454099999999997</v>
      </c>
    </row>
    <row r="1058" spans="1:2" x14ac:dyDescent="0.25">
      <c r="A1058" s="10">
        <v>1057</v>
      </c>
      <c r="B1058" s="9">
        <v>5.7478689999999997</v>
      </c>
    </row>
    <row r="1059" spans="1:2" x14ac:dyDescent="0.25">
      <c r="A1059" s="10">
        <v>1058</v>
      </c>
      <c r="B1059" s="9">
        <v>5.7503279999999997</v>
      </c>
    </row>
    <row r="1060" spans="1:2" x14ac:dyDescent="0.25">
      <c r="A1060" s="10">
        <v>1059</v>
      </c>
      <c r="B1060" s="9">
        <v>5.7527869999999997</v>
      </c>
    </row>
    <row r="1061" spans="1:2" x14ac:dyDescent="0.25">
      <c r="A1061" s="10">
        <v>1060</v>
      </c>
      <c r="B1061" s="9">
        <v>5.7552459999999996</v>
      </c>
    </row>
    <row r="1062" spans="1:2" x14ac:dyDescent="0.25">
      <c r="A1062" s="10">
        <v>1061</v>
      </c>
      <c r="B1062" s="9">
        <v>5.7577049999999996</v>
      </c>
    </row>
    <row r="1063" spans="1:2" x14ac:dyDescent="0.25">
      <c r="A1063" s="10">
        <v>1062</v>
      </c>
      <c r="B1063" s="9">
        <v>5.7601639999999996</v>
      </c>
    </row>
    <row r="1064" spans="1:2" x14ac:dyDescent="0.25">
      <c r="A1064" s="10">
        <v>1063</v>
      </c>
      <c r="B1064" s="9">
        <v>5.7626229999999996</v>
      </c>
    </row>
    <row r="1065" spans="1:2" x14ac:dyDescent="0.25">
      <c r="A1065" s="10">
        <v>1064</v>
      </c>
      <c r="B1065" s="9">
        <v>5.7650819999999996</v>
      </c>
    </row>
    <row r="1066" spans="1:2" x14ac:dyDescent="0.25">
      <c r="A1066" s="10">
        <v>1065</v>
      </c>
      <c r="B1066" s="9">
        <v>5.7675409999999996</v>
      </c>
    </row>
    <row r="1067" spans="1:2" x14ac:dyDescent="0.25">
      <c r="A1067" s="10">
        <v>1066</v>
      </c>
      <c r="B1067" s="9">
        <v>5.77</v>
      </c>
    </row>
    <row r="1068" spans="1:2" x14ac:dyDescent="0.25">
      <c r="A1068" s="10">
        <v>1067</v>
      </c>
      <c r="B1068" s="9">
        <v>5.7713109999999999</v>
      </c>
    </row>
    <row r="1069" spans="1:2" x14ac:dyDescent="0.25">
      <c r="A1069" s="10">
        <v>1068</v>
      </c>
      <c r="B1069" s="9">
        <v>5.7726230000000003</v>
      </c>
    </row>
    <row r="1070" spans="1:2" x14ac:dyDescent="0.25">
      <c r="A1070" s="10">
        <v>1069</v>
      </c>
      <c r="B1070" s="9">
        <v>5.7739339999999997</v>
      </c>
    </row>
    <row r="1071" spans="1:2" x14ac:dyDescent="0.25">
      <c r="A1071" s="10">
        <v>1070</v>
      </c>
      <c r="B1071" s="9">
        <v>5.7752460000000001</v>
      </c>
    </row>
    <row r="1072" spans="1:2" x14ac:dyDescent="0.25">
      <c r="A1072" s="10">
        <v>1071</v>
      </c>
      <c r="B1072" s="9">
        <v>5.7765570000000004</v>
      </c>
    </row>
    <row r="1073" spans="1:2" x14ac:dyDescent="0.25">
      <c r="A1073" s="10">
        <v>1072</v>
      </c>
      <c r="B1073" s="9">
        <v>5.7778679999999998</v>
      </c>
    </row>
    <row r="1074" spans="1:2" x14ac:dyDescent="0.25">
      <c r="A1074" s="10">
        <v>1073</v>
      </c>
      <c r="B1074" s="9">
        <v>5.7791800000000002</v>
      </c>
    </row>
    <row r="1075" spans="1:2" x14ac:dyDescent="0.25">
      <c r="A1075" s="10">
        <v>1074</v>
      </c>
      <c r="B1075" s="9">
        <v>5.7804909999999996</v>
      </c>
    </row>
    <row r="1076" spans="1:2" x14ac:dyDescent="0.25">
      <c r="A1076" s="10">
        <v>1075</v>
      </c>
      <c r="B1076" s="9">
        <v>5.781803</v>
      </c>
    </row>
    <row r="1077" spans="1:2" x14ac:dyDescent="0.25">
      <c r="A1077" s="10">
        <v>1076</v>
      </c>
      <c r="B1077" s="9">
        <v>5.7831140000000003</v>
      </c>
    </row>
    <row r="1078" spans="1:2" x14ac:dyDescent="0.25">
      <c r="A1078" s="10">
        <v>1077</v>
      </c>
      <c r="B1078" s="9">
        <v>5.7844259999999998</v>
      </c>
    </row>
    <row r="1079" spans="1:2" x14ac:dyDescent="0.25">
      <c r="A1079" s="10">
        <v>1078</v>
      </c>
      <c r="B1079" s="9">
        <v>5.7857380000000003</v>
      </c>
    </row>
    <row r="1080" spans="1:2" x14ac:dyDescent="0.25">
      <c r="A1080" s="10">
        <v>1079</v>
      </c>
      <c r="B1080" s="9">
        <v>5.7870489999999997</v>
      </c>
    </row>
    <row r="1081" spans="1:2" x14ac:dyDescent="0.25">
      <c r="A1081" s="10">
        <v>1080</v>
      </c>
      <c r="B1081" s="9">
        <v>5.7883610000000001</v>
      </c>
    </row>
    <row r="1082" spans="1:2" x14ac:dyDescent="0.25">
      <c r="A1082" s="10">
        <v>1081</v>
      </c>
      <c r="B1082" s="9">
        <v>5.7896720000000004</v>
      </c>
    </row>
    <row r="1083" spans="1:2" x14ac:dyDescent="0.25">
      <c r="A1083" s="10">
        <v>1082</v>
      </c>
      <c r="B1083" s="9">
        <v>5.7909829999999998</v>
      </c>
    </row>
    <row r="1084" spans="1:2" x14ac:dyDescent="0.25">
      <c r="A1084" s="10">
        <v>1083</v>
      </c>
      <c r="B1084" s="9">
        <v>5.7922950000000002</v>
      </c>
    </row>
    <row r="1085" spans="1:2" x14ac:dyDescent="0.25">
      <c r="A1085" s="10">
        <v>1084</v>
      </c>
      <c r="B1085" s="9">
        <v>5.7936059999999996</v>
      </c>
    </row>
    <row r="1086" spans="1:2" x14ac:dyDescent="0.25">
      <c r="A1086" s="10">
        <v>1085</v>
      </c>
      <c r="B1086" s="9">
        <v>5.794918</v>
      </c>
    </row>
    <row r="1087" spans="1:2" x14ac:dyDescent="0.25">
      <c r="A1087" s="10">
        <v>1086</v>
      </c>
      <c r="B1087" s="9">
        <v>5.7962290000000003</v>
      </c>
    </row>
    <row r="1088" spans="1:2" x14ac:dyDescent="0.25">
      <c r="A1088" s="10">
        <v>1087</v>
      </c>
      <c r="B1088" s="9">
        <v>5.7975409999999998</v>
      </c>
    </row>
    <row r="1089" spans="1:2" x14ac:dyDescent="0.25">
      <c r="A1089" s="10">
        <v>1088</v>
      </c>
      <c r="B1089" s="9">
        <v>5.7988520000000001</v>
      </c>
    </row>
    <row r="1090" spans="1:2" x14ac:dyDescent="0.25">
      <c r="A1090" s="10">
        <v>1089</v>
      </c>
      <c r="B1090" s="9">
        <v>5.8001639999999997</v>
      </c>
    </row>
    <row r="1091" spans="1:2" x14ac:dyDescent="0.25">
      <c r="A1091" s="10">
        <v>1090</v>
      </c>
      <c r="B1091" s="9">
        <v>5.8014749999999999</v>
      </c>
    </row>
    <row r="1092" spans="1:2" x14ac:dyDescent="0.25">
      <c r="A1092" s="10">
        <v>1091</v>
      </c>
      <c r="B1092" s="9">
        <v>5.8027870000000004</v>
      </c>
    </row>
    <row r="1093" spans="1:2" x14ac:dyDescent="0.25">
      <c r="A1093" s="10">
        <v>1092</v>
      </c>
      <c r="B1093" s="9">
        <v>5.8040979999999998</v>
      </c>
    </row>
    <row r="1094" spans="1:2" x14ac:dyDescent="0.25">
      <c r="A1094" s="10">
        <v>1093</v>
      </c>
      <c r="B1094" s="9">
        <v>5.805409</v>
      </c>
    </row>
    <row r="1095" spans="1:2" x14ac:dyDescent="0.25">
      <c r="A1095" s="10">
        <v>1094</v>
      </c>
      <c r="B1095" s="9">
        <v>5.8067209999999996</v>
      </c>
    </row>
    <row r="1096" spans="1:2" x14ac:dyDescent="0.25">
      <c r="A1096" s="10">
        <v>1095</v>
      </c>
      <c r="B1096" s="9">
        <v>5.808033</v>
      </c>
    </row>
    <row r="1097" spans="1:2" x14ac:dyDescent="0.25">
      <c r="A1097" s="10">
        <v>1096</v>
      </c>
      <c r="B1097" s="9">
        <v>5.8093440000000003</v>
      </c>
    </row>
    <row r="1098" spans="1:2" x14ac:dyDescent="0.25">
      <c r="A1098" s="10">
        <v>1097</v>
      </c>
      <c r="B1098" s="9">
        <v>5.8106559999999998</v>
      </c>
    </row>
    <row r="1099" spans="1:2" x14ac:dyDescent="0.25">
      <c r="A1099" s="10">
        <v>1098</v>
      </c>
      <c r="B1099" s="9">
        <v>5.8119670000000001</v>
      </c>
    </row>
    <row r="1100" spans="1:2" x14ac:dyDescent="0.25">
      <c r="A1100" s="10">
        <v>1099</v>
      </c>
      <c r="B1100" s="9">
        <v>5.8132780000000004</v>
      </c>
    </row>
    <row r="1101" spans="1:2" x14ac:dyDescent="0.25">
      <c r="A1101" s="10">
        <v>1100</v>
      </c>
      <c r="B1101" s="9">
        <v>5.8145899999999999</v>
      </c>
    </row>
    <row r="1102" spans="1:2" x14ac:dyDescent="0.25">
      <c r="A1102" s="10">
        <v>1101</v>
      </c>
      <c r="B1102" s="9">
        <v>5.8159010000000002</v>
      </c>
    </row>
    <row r="1103" spans="1:2" x14ac:dyDescent="0.25">
      <c r="A1103" s="10">
        <v>1102</v>
      </c>
      <c r="B1103" s="9">
        <v>5.8172129999999997</v>
      </c>
    </row>
    <row r="1104" spans="1:2" x14ac:dyDescent="0.25">
      <c r="A1104" s="10">
        <v>1103</v>
      </c>
      <c r="B1104" s="9">
        <v>5.818524</v>
      </c>
    </row>
    <row r="1105" spans="1:2" x14ac:dyDescent="0.25">
      <c r="A1105" s="10">
        <v>1104</v>
      </c>
      <c r="B1105" s="9">
        <v>5.8198359999999996</v>
      </c>
    </row>
    <row r="1106" spans="1:2" x14ac:dyDescent="0.25">
      <c r="A1106" s="10">
        <v>1105</v>
      </c>
      <c r="B1106" s="9">
        <v>5.8211469999999998</v>
      </c>
    </row>
    <row r="1107" spans="1:2" x14ac:dyDescent="0.25">
      <c r="A1107" s="10">
        <v>1106</v>
      </c>
      <c r="B1107" s="9">
        <v>5.8224590000000003</v>
      </c>
    </row>
    <row r="1108" spans="1:2" x14ac:dyDescent="0.25">
      <c r="A1108" s="10">
        <v>1107</v>
      </c>
      <c r="B1108" s="9">
        <v>5.8237699999999997</v>
      </c>
    </row>
    <row r="1109" spans="1:2" x14ac:dyDescent="0.25">
      <c r="A1109" s="10">
        <v>1108</v>
      </c>
      <c r="B1109" s="9">
        <v>5.8250820000000001</v>
      </c>
    </row>
    <row r="1110" spans="1:2" x14ac:dyDescent="0.25">
      <c r="A1110" s="10">
        <v>1109</v>
      </c>
      <c r="B1110" s="9">
        <v>5.8263930000000004</v>
      </c>
    </row>
    <row r="1111" spans="1:2" x14ac:dyDescent="0.25">
      <c r="A1111" s="10">
        <v>1110</v>
      </c>
      <c r="B1111" s="9">
        <v>5.8277039999999998</v>
      </c>
    </row>
    <row r="1112" spans="1:2" x14ac:dyDescent="0.25">
      <c r="A1112" s="10">
        <v>1111</v>
      </c>
      <c r="B1112" s="9">
        <v>5.8290160000000002</v>
      </c>
    </row>
    <row r="1113" spans="1:2" x14ac:dyDescent="0.25">
      <c r="A1113" s="10">
        <v>1112</v>
      </c>
      <c r="B1113" s="9">
        <v>5.8303279999999997</v>
      </c>
    </row>
    <row r="1114" spans="1:2" x14ac:dyDescent="0.25">
      <c r="A1114" s="10">
        <v>1113</v>
      </c>
      <c r="B1114" s="9">
        <v>5.831639</v>
      </c>
    </row>
    <row r="1115" spans="1:2" x14ac:dyDescent="0.25">
      <c r="A1115" s="10">
        <v>1114</v>
      </c>
      <c r="B1115" s="9">
        <v>5.8329510000000004</v>
      </c>
    </row>
    <row r="1116" spans="1:2" x14ac:dyDescent="0.25">
      <c r="A1116" s="10">
        <v>1115</v>
      </c>
      <c r="B1116" s="9">
        <v>5.8342619999999998</v>
      </c>
    </row>
    <row r="1117" spans="1:2" x14ac:dyDescent="0.25">
      <c r="A1117" s="10">
        <v>1116</v>
      </c>
      <c r="B1117" s="9">
        <v>5.8355730000000001</v>
      </c>
    </row>
    <row r="1118" spans="1:2" x14ac:dyDescent="0.25">
      <c r="A1118" s="10">
        <v>1117</v>
      </c>
      <c r="B1118" s="9">
        <v>5.8368849999999997</v>
      </c>
    </row>
    <row r="1119" spans="1:2" x14ac:dyDescent="0.25">
      <c r="A1119" s="10">
        <v>1118</v>
      </c>
      <c r="B1119" s="9">
        <v>5.8381959999999999</v>
      </c>
    </row>
    <row r="1120" spans="1:2" x14ac:dyDescent="0.25">
      <c r="A1120" s="10">
        <v>1119</v>
      </c>
      <c r="B1120" s="9">
        <v>5.8395080000000004</v>
      </c>
    </row>
    <row r="1121" spans="1:2" x14ac:dyDescent="0.25">
      <c r="A1121" s="10">
        <v>1120</v>
      </c>
      <c r="B1121" s="9">
        <v>5.8408189999999998</v>
      </c>
    </row>
    <row r="1122" spans="1:2" x14ac:dyDescent="0.25">
      <c r="A1122" s="10">
        <v>1121</v>
      </c>
      <c r="B1122" s="9">
        <v>5.8421310000000002</v>
      </c>
    </row>
    <row r="1123" spans="1:2" x14ac:dyDescent="0.25">
      <c r="A1123" s="10">
        <v>1122</v>
      </c>
      <c r="B1123" s="9">
        <v>5.8434419999999996</v>
      </c>
    </row>
    <row r="1124" spans="1:2" x14ac:dyDescent="0.25">
      <c r="A1124" s="10">
        <v>1123</v>
      </c>
      <c r="B1124" s="9">
        <v>5.844754</v>
      </c>
    </row>
    <row r="1125" spans="1:2" x14ac:dyDescent="0.25">
      <c r="A1125" s="10">
        <v>1124</v>
      </c>
      <c r="B1125" s="9">
        <v>5.8460650000000003</v>
      </c>
    </row>
    <row r="1126" spans="1:2" x14ac:dyDescent="0.25">
      <c r="A1126" s="10">
        <v>1125</v>
      </c>
      <c r="B1126" s="9">
        <v>5.8473769999999998</v>
      </c>
    </row>
    <row r="1127" spans="1:2" x14ac:dyDescent="0.25">
      <c r="A1127" s="10">
        <v>1126</v>
      </c>
      <c r="B1127" s="9">
        <v>5.8486880000000001</v>
      </c>
    </row>
    <row r="1128" spans="1:2" x14ac:dyDescent="0.25">
      <c r="A1128" s="10">
        <v>1127</v>
      </c>
      <c r="B1128" s="9">
        <v>5.85</v>
      </c>
    </row>
    <row r="1129" spans="1:2" x14ac:dyDescent="0.25">
      <c r="A1129" s="10">
        <v>1128</v>
      </c>
      <c r="B1129" s="9">
        <v>5.8519699999999997</v>
      </c>
    </row>
    <row r="1130" spans="1:2" x14ac:dyDescent="0.25">
      <c r="A1130" s="10">
        <v>1129</v>
      </c>
      <c r="B1130" s="9">
        <v>5.8539389999999996</v>
      </c>
    </row>
    <row r="1131" spans="1:2" x14ac:dyDescent="0.25">
      <c r="A1131" s="10">
        <v>1130</v>
      </c>
      <c r="B1131" s="9">
        <v>5.8559089999999996</v>
      </c>
    </row>
    <row r="1132" spans="1:2" x14ac:dyDescent="0.25">
      <c r="A1132" s="10">
        <v>1131</v>
      </c>
      <c r="B1132" s="9">
        <v>5.8578789999999996</v>
      </c>
    </row>
    <row r="1133" spans="1:2" x14ac:dyDescent="0.25">
      <c r="A1133" s="10">
        <v>1132</v>
      </c>
      <c r="B1133" s="9">
        <v>5.8598480000000004</v>
      </c>
    </row>
    <row r="1134" spans="1:2" x14ac:dyDescent="0.25">
      <c r="A1134" s="10">
        <v>1133</v>
      </c>
      <c r="B1134" s="9">
        <v>5.8618180000000004</v>
      </c>
    </row>
    <row r="1135" spans="1:2" x14ac:dyDescent="0.25">
      <c r="A1135" s="10">
        <v>1134</v>
      </c>
      <c r="B1135" s="9">
        <v>5.8637879999999996</v>
      </c>
    </row>
    <row r="1136" spans="1:2" x14ac:dyDescent="0.25">
      <c r="A1136" s="10">
        <v>1135</v>
      </c>
      <c r="B1136" s="9">
        <v>5.8657570000000003</v>
      </c>
    </row>
    <row r="1137" spans="1:2" x14ac:dyDescent="0.25">
      <c r="A1137" s="10">
        <v>1136</v>
      </c>
      <c r="B1137" s="9">
        <v>5.8677270000000004</v>
      </c>
    </row>
    <row r="1138" spans="1:2" x14ac:dyDescent="0.25">
      <c r="A1138" s="10">
        <v>1137</v>
      </c>
      <c r="B1138" s="9">
        <v>5.8696970000000004</v>
      </c>
    </row>
    <row r="1139" spans="1:2" x14ac:dyDescent="0.25">
      <c r="A1139" s="10">
        <v>1138</v>
      </c>
      <c r="B1139" s="9">
        <v>5.8716670000000004</v>
      </c>
    </row>
    <row r="1140" spans="1:2" x14ac:dyDescent="0.25">
      <c r="A1140" s="10">
        <v>1139</v>
      </c>
      <c r="B1140" s="9">
        <v>5.8736360000000003</v>
      </c>
    </row>
    <row r="1141" spans="1:2" x14ac:dyDescent="0.25">
      <c r="A1141" s="10">
        <v>1140</v>
      </c>
      <c r="B1141" s="9">
        <v>5.8756060000000003</v>
      </c>
    </row>
    <row r="1142" spans="1:2" x14ac:dyDescent="0.25">
      <c r="A1142" s="10">
        <v>1141</v>
      </c>
      <c r="B1142" s="9">
        <v>5.8775760000000004</v>
      </c>
    </row>
    <row r="1143" spans="1:2" x14ac:dyDescent="0.25">
      <c r="A1143" s="10">
        <v>1142</v>
      </c>
      <c r="B1143" s="9">
        <v>5.8795450000000002</v>
      </c>
    </row>
    <row r="1144" spans="1:2" x14ac:dyDescent="0.25">
      <c r="A1144" s="10">
        <v>1143</v>
      </c>
      <c r="B1144" s="9">
        <v>5.8815150000000003</v>
      </c>
    </row>
    <row r="1145" spans="1:2" x14ac:dyDescent="0.25">
      <c r="A1145" s="10">
        <v>1144</v>
      </c>
      <c r="B1145" s="9">
        <v>5.8834850000000003</v>
      </c>
    </row>
    <row r="1146" spans="1:2" x14ac:dyDescent="0.25">
      <c r="A1146" s="10">
        <v>1145</v>
      </c>
      <c r="B1146" s="9">
        <v>5.8854540000000002</v>
      </c>
    </row>
    <row r="1147" spans="1:2" x14ac:dyDescent="0.25">
      <c r="A1147" s="10">
        <v>1146</v>
      </c>
      <c r="B1147" s="9">
        <v>5.8874240000000002</v>
      </c>
    </row>
    <row r="1148" spans="1:2" x14ac:dyDescent="0.25">
      <c r="A1148" s="10">
        <v>1147</v>
      </c>
      <c r="B1148" s="9">
        <v>5.8893940000000002</v>
      </c>
    </row>
    <row r="1149" spans="1:2" x14ac:dyDescent="0.25">
      <c r="A1149" s="10">
        <v>1148</v>
      </c>
      <c r="B1149" s="9">
        <v>5.8913640000000003</v>
      </c>
    </row>
    <row r="1150" spans="1:2" x14ac:dyDescent="0.25">
      <c r="A1150" s="10">
        <v>1149</v>
      </c>
      <c r="B1150" s="9">
        <v>5.8933330000000002</v>
      </c>
    </row>
    <row r="1151" spans="1:2" x14ac:dyDescent="0.25">
      <c r="A1151" s="10">
        <v>1150</v>
      </c>
      <c r="B1151" s="9">
        <v>5.8953030000000002</v>
      </c>
    </row>
    <row r="1152" spans="1:2" x14ac:dyDescent="0.25">
      <c r="A1152" s="10">
        <v>1151</v>
      </c>
      <c r="B1152" s="9">
        <v>5.8972730000000002</v>
      </c>
    </row>
    <row r="1153" spans="1:2" x14ac:dyDescent="0.25">
      <c r="A1153" s="10">
        <v>1152</v>
      </c>
      <c r="B1153" s="9">
        <v>5.8992420000000001</v>
      </c>
    </row>
    <row r="1154" spans="1:2" x14ac:dyDescent="0.25">
      <c r="A1154" s="10">
        <v>1153</v>
      </c>
      <c r="B1154" s="9">
        <v>5.9012120000000001</v>
      </c>
    </row>
    <row r="1155" spans="1:2" x14ac:dyDescent="0.25">
      <c r="A1155" s="10">
        <v>1154</v>
      </c>
      <c r="B1155" s="9">
        <v>5.9031820000000002</v>
      </c>
    </row>
    <row r="1156" spans="1:2" x14ac:dyDescent="0.25">
      <c r="A1156" s="10">
        <v>1155</v>
      </c>
      <c r="B1156" s="9">
        <v>5.905151</v>
      </c>
    </row>
    <row r="1157" spans="1:2" x14ac:dyDescent="0.25">
      <c r="A1157" s="10">
        <v>1156</v>
      </c>
      <c r="B1157" s="9">
        <v>5.9071210000000001</v>
      </c>
    </row>
    <row r="1158" spans="1:2" x14ac:dyDescent="0.25">
      <c r="A1158" s="10">
        <v>1157</v>
      </c>
      <c r="B1158" s="9">
        <v>5.9090910000000001</v>
      </c>
    </row>
    <row r="1159" spans="1:2" x14ac:dyDescent="0.25">
      <c r="A1159" s="10">
        <v>1158</v>
      </c>
      <c r="B1159" s="9">
        <v>5.91106</v>
      </c>
    </row>
    <row r="1160" spans="1:2" x14ac:dyDescent="0.25">
      <c r="A1160" s="10">
        <v>1159</v>
      </c>
      <c r="B1160" s="9">
        <v>5.9130310000000001</v>
      </c>
    </row>
    <row r="1161" spans="1:2" x14ac:dyDescent="0.25">
      <c r="A1161" s="10">
        <v>1160</v>
      </c>
      <c r="B1161" s="9">
        <v>5.915</v>
      </c>
    </row>
    <row r="1162" spans="1:2" x14ac:dyDescent="0.25">
      <c r="A1162" s="10">
        <v>1161</v>
      </c>
      <c r="B1162" s="9">
        <v>5.9169700000000001</v>
      </c>
    </row>
    <row r="1163" spans="1:2" x14ac:dyDescent="0.25">
      <c r="A1163" s="10">
        <v>1162</v>
      </c>
      <c r="B1163" s="9">
        <v>5.9189400000000001</v>
      </c>
    </row>
    <row r="1164" spans="1:2" x14ac:dyDescent="0.25">
      <c r="A1164" s="10">
        <v>1163</v>
      </c>
      <c r="B1164" s="9">
        <v>5.920909</v>
      </c>
    </row>
    <row r="1165" spans="1:2" x14ac:dyDescent="0.25">
      <c r="A1165" s="10">
        <v>1164</v>
      </c>
      <c r="B1165" s="9">
        <v>5.922879</v>
      </c>
    </row>
    <row r="1166" spans="1:2" x14ac:dyDescent="0.25">
      <c r="A1166" s="10">
        <v>1165</v>
      </c>
      <c r="B1166" s="9">
        <v>5.924849</v>
      </c>
    </row>
    <row r="1167" spans="1:2" x14ac:dyDescent="0.25">
      <c r="A1167" s="10">
        <v>1166</v>
      </c>
      <c r="B1167" s="9">
        <v>5.9268179999999999</v>
      </c>
    </row>
    <row r="1168" spans="1:2" x14ac:dyDescent="0.25">
      <c r="A1168" s="10">
        <v>1167</v>
      </c>
      <c r="B1168" s="9">
        <v>5.9287879999999999</v>
      </c>
    </row>
    <row r="1169" spans="1:2" x14ac:dyDescent="0.25">
      <c r="A1169" s="10">
        <v>1168</v>
      </c>
      <c r="B1169" s="9">
        <v>5.930758</v>
      </c>
    </row>
    <row r="1170" spans="1:2" x14ac:dyDescent="0.25">
      <c r="A1170" s="10">
        <v>1169</v>
      </c>
      <c r="B1170" s="9">
        <v>5.9327269999999999</v>
      </c>
    </row>
    <row r="1171" spans="1:2" x14ac:dyDescent="0.25">
      <c r="A1171" s="10">
        <v>1170</v>
      </c>
      <c r="B1171" s="9">
        <v>5.9346969999999999</v>
      </c>
    </row>
    <row r="1172" spans="1:2" x14ac:dyDescent="0.25">
      <c r="A1172" s="10">
        <v>1171</v>
      </c>
      <c r="B1172" s="9">
        <v>5.9366659999999998</v>
      </c>
    </row>
    <row r="1173" spans="1:2" x14ac:dyDescent="0.25">
      <c r="A1173" s="10">
        <v>1172</v>
      </c>
      <c r="B1173" s="9">
        <v>5.9386359999999998</v>
      </c>
    </row>
    <row r="1174" spans="1:2" x14ac:dyDescent="0.25">
      <c r="A1174" s="10">
        <v>1173</v>
      </c>
      <c r="B1174" s="9">
        <v>5.9406059999999998</v>
      </c>
    </row>
    <row r="1175" spans="1:2" x14ac:dyDescent="0.25">
      <c r="A1175" s="10">
        <v>1174</v>
      </c>
      <c r="B1175" s="9">
        <v>5.9425749999999997</v>
      </c>
    </row>
    <row r="1176" spans="1:2" x14ac:dyDescent="0.25">
      <c r="A1176" s="10">
        <v>1175</v>
      </c>
      <c r="B1176" s="9">
        <v>5.9445459999999999</v>
      </c>
    </row>
    <row r="1177" spans="1:2" x14ac:dyDescent="0.25">
      <c r="A1177" s="10">
        <v>1176</v>
      </c>
      <c r="B1177" s="9">
        <v>5.9465149999999998</v>
      </c>
    </row>
    <row r="1178" spans="1:2" x14ac:dyDescent="0.25">
      <c r="A1178" s="10">
        <v>1177</v>
      </c>
      <c r="B1178" s="9">
        <v>5.9484849999999998</v>
      </c>
    </row>
    <row r="1179" spans="1:2" x14ac:dyDescent="0.25">
      <c r="A1179" s="10">
        <v>1178</v>
      </c>
      <c r="B1179" s="9">
        <v>5.9504549999999998</v>
      </c>
    </row>
    <row r="1180" spans="1:2" x14ac:dyDescent="0.25">
      <c r="A1180" s="10">
        <v>1179</v>
      </c>
      <c r="B1180" s="9">
        <v>5.9524239999999997</v>
      </c>
    </row>
    <row r="1181" spans="1:2" x14ac:dyDescent="0.25">
      <c r="A1181" s="10">
        <v>1180</v>
      </c>
      <c r="B1181" s="9">
        <v>5.9543939999999997</v>
      </c>
    </row>
    <row r="1182" spans="1:2" x14ac:dyDescent="0.25">
      <c r="A1182" s="10">
        <v>1181</v>
      </c>
      <c r="B1182" s="9">
        <v>5.9563639999999998</v>
      </c>
    </row>
    <row r="1183" spans="1:2" x14ac:dyDescent="0.25">
      <c r="A1183" s="10">
        <v>1182</v>
      </c>
      <c r="B1183" s="9">
        <v>5.9583329999999997</v>
      </c>
    </row>
    <row r="1184" spans="1:2" x14ac:dyDescent="0.25">
      <c r="A1184" s="10">
        <v>1183</v>
      </c>
      <c r="B1184" s="9">
        <v>5.9603029999999997</v>
      </c>
    </row>
    <row r="1185" spans="1:2" x14ac:dyDescent="0.25">
      <c r="A1185" s="10">
        <v>1184</v>
      </c>
      <c r="B1185" s="9">
        <v>5.9622729999999997</v>
      </c>
    </row>
    <row r="1186" spans="1:2" x14ac:dyDescent="0.25">
      <c r="A1186" s="10">
        <v>1185</v>
      </c>
      <c r="B1186" s="9">
        <v>5.9642419999999996</v>
      </c>
    </row>
    <row r="1187" spans="1:2" x14ac:dyDescent="0.25">
      <c r="A1187" s="10">
        <v>1186</v>
      </c>
      <c r="B1187" s="9">
        <v>5.9662119999999996</v>
      </c>
    </row>
    <row r="1188" spans="1:2" x14ac:dyDescent="0.25">
      <c r="A1188" s="10">
        <v>1187</v>
      </c>
      <c r="B1188" s="9">
        <v>5.9681819999999997</v>
      </c>
    </row>
    <row r="1189" spans="1:2" x14ac:dyDescent="0.25">
      <c r="A1189" s="10">
        <v>1188</v>
      </c>
      <c r="B1189" s="9">
        <v>5.9701519999999997</v>
      </c>
    </row>
    <row r="1190" spans="1:2" x14ac:dyDescent="0.25">
      <c r="A1190" s="10">
        <v>1189</v>
      </c>
      <c r="B1190" s="9">
        <v>5.9721209999999996</v>
      </c>
    </row>
    <row r="1191" spans="1:2" x14ac:dyDescent="0.25">
      <c r="A1191" s="10">
        <v>1190</v>
      </c>
      <c r="B1191" s="9">
        <v>5.9740909999999996</v>
      </c>
    </row>
    <row r="1192" spans="1:2" x14ac:dyDescent="0.25">
      <c r="A1192" s="10">
        <v>1191</v>
      </c>
      <c r="B1192" s="9">
        <v>5.9760609999999996</v>
      </c>
    </row>
    <row r="1193" spans="1:2" x14ac:dyDescent="0.25">
      <c r="A1193" s="10">
        <v>1192</v>
      </c>
      <c r="B1193" s="9">
        <v>5.9780300000000004</v>
      </c>
    </row>
    <row r="1194" spans="1:2" x14ac:dyDescent="0.25">
      <c r="A1194" s="10">
        <v>1193</v>
      </c>
      <c r="B1194" s="9">
        <v>5.98</v>
      </c>
    </row>
    <row r="1195" spans="1:2" x14ac:dyDescent="0.25">
      <c r="A1195" s="10">
        <v>1194</v>
      </c>
      <c r="B1195" s="9">
        <v>5.9809229999999998</v>
      </c>
    </row>
    <row r="1196" spans="1:2" x14ac:dyDescent="0.25">
      <c r="A1196" s="10">
        <v>1195</v>
      </c>
      <c r="B1196" s="9">
        <v>5.981846</v>
      </c>
    </row>
    <row r="1197" spans="1:2" x14ac:dyDescent="0.25">
      <c r="A1197" s="10">
        <v>1196</v>
      </c>
      <c r="B1197" s="9">
        <v>5.9827690000000002</v>
      </c>
    </row>
    <row r="1198" spans="1:2" x14ac:dyDescent="0.25">
      <c r="A1198" s="10">
        <v>1197</v>
      </c>
      <c r="B1198" s="9">
        <v>5.9836919999999996</v>
      </c>
    </row>
    <row r="1199" spans="1:2" x14ac:dyDescent="0.25">
      <c r="A1199" s="10">
        <v>1198</v>
      </c>
      <c r="B1199" s="9">
        <v>5.9846149999999998</v>
      </c>
    </row>
    <row r="1200" spans="1:2" x14ac:dyDescent="0.25">
      <c r="A1200" s="10">
        <v>1199</v>
      </c>
      <c r="B1200" s="9">
        <v>5.985538</v>
      </c>
    </row>
    <row r="1201" spans="1:2" x14ac:dyDescent="0.25">
      <c r="A1201" s="10">
        <v>1200</v>
      </c>
      <c r="B1201" s="9">
        <v>5.9864620000000004</v>
      </c>
    </row>
    <row r="1202" spans="1:2" x14ac:dyDescent="0.25">
      <c r="A1202" s="10">
        <v>1201</v>
      </c>
      <c r="B1202" s="9">
        <v>5.9873849999999997</v>
      </c>
    </row>
    <row r="1203" spans="1:2" x14ac:dyDescent="0.25">
      <c r="A1203" s="10">
        <v>1202</v>
      </c>
      <c r="B1203" s="9">
        <v>5.988308</v>
      </c>
    </row>
    <row r="1204" spans="1:2" x14ac:dyDescent="0.25">
      <c r="A1204" s="10">
        <v>1203</v>
      </c>
      <c r="B1204" s="9">
        <v>5.9892310000000002</v>
      </c>
    </row>
    <row r="1205" spans="1:2" x14ac:dyDescent="0.25">
      <c r="A1205" s="10">
        <v>1204</v>
      </c>
      <c r="B1205" s="9">
        <v>5.9901540000000004</v>
      </c>
    </row>
    <row r="1206" spans="1:2" x14ac:dyDescent="0.25">
      <c r="A1206" s="10">
        <v>1205</v>
      </c>
      <c r="B1206" s="9">
        <v>5.9910769999999998</v>
      </c>
    </row>
    <row r="1207" spans="1:2" x14ac:dyDescent="0.25">
      <c r="A1207" s="10">
        <v>1206</v>
      </c>
      <c r="B1207" s="9">
        <v>5.992</v>
      </c>
    </row>
    <row r="1208" spans="1:2" x14ac:dyDescent="0.25">
      <c r="A1208" s="10">
        <v>1207</v>
      </c>
      <c r="B1208" s="9">
        <v>5.9929230000000002</v>
      </c>
    </row>
    <row r="1209" spans="1:2" x14ac:dyDescent="0.25">
      <c r="A1209" s="10">
        <v>1208</v>
      </c>
      <c r="B1209" s="9">
        <v>5.9938459999999996</v>
      </c>
    </row>
    <row r="1210" spans="1:2" x14ac:dyDescent="0.25">
      <c r="A1210" s="10">
        <v>1209</v>
      </c>
      <c r="B1210" s="9">
        <v>5.9947689999999998</v>
      </c>
    </row>
    <row r="1211" spans="1:2" x14ac:dyDescent="0.25">
      <c r="A1211" s="10">
        <v>1210</v>
      </c>
      <c r="B1211" s="9">
        <v>5.995692</v>
      </c>
    </row>
    <row r="1212" spans="1:2" x14ac:dyDescent="0.25">
      <c r="A1212" s="10">
        <v>1211</v>
      </c>
      <c r="B1212" s="9">
        <v>5.9966150000000003</v>
      </c>
    </row>
    <row r="1213" spans="1:2" x14ac:dyDescent="0.25">
      <c r="A1213" s="10">
        <v>1212</v>
      </c>
      <c r="B1213" s="9">
        <v>5.9975389999999997</v>
      </c>
    </row>
    <row r="1214" spans="1:2" x14ac:dyDescent="0.25">
      <c r="A1214" s="10">
        <v>1213</v>
      </c>
      <c r="B1214" s="9">
        <v>5.998462</v>
      </c>
    </row>
    <row r="1215" spans="1:2" x14ac:dyDescent="0.25">
      <c r="A1215" s="10">
        <v>1214</v>
      </c>
      <c r="B1215" s="9">
        <v>5.9993850000000002</v>
      </c>
    </row>
    <row r="1216" spans="1:2" x14ac:dyDescent="0.25">
      <c r="A1216" s="10">
        <v>1215</v>
      </c>
      <c r="B1216" s="9">
        <v>6.0003080000000004</v>
      </c>
    </row>
    <row r="1217" spans="1:2" x14ac:dyDescent="0.25">
      <c r="A1217" s="10">
        <v>1216</v>
      </c>
      <c r="B1217" s="9">
        <v>6.0012309999999998</v>
      </c>
    </row>
    <row r="1218" spans="1:2" x14ac:dyDescent="0.25">
      <c r="A1218" s="10">
        <v>1217</v>
      </c>
      <c r="B1218" s="9">
        <v>6.002154</v>
      </c>
    </row>
    <row r="1219" spans="1:2" x14ac:dyDescent="0.25">
      <c r="A1219" s="10">
        <v>1218</v>
      </c>
      <c r="B1219" s="9">
        <v>6.0030770000000002</v>
      </c>
    </row>
    <row r="1220" spans="1:2" x14ac:dyDescent="0.25">
      <c r="A1220" s="10">
        <v>1219</v>
      </c>
      <c r="B1220" s="9">
        <v>6.0039999999999996</v>
      </c>
    </row>
    <row r="1221" spans="1:2" x14ac:dyDescent="0.25">
      <c r="A1221" s="10">
        <v>1220</v>
      </c>
      <c r="B1221" s="9">
        <v>6.0049229999999998</v>
      </c>
    </row>
    <row r="1222" spans="1:2" x14ac:dyDescent="0.25">
      <c r="A1222" s="10">
        <v>1221</v>
      </c>
      <c r="B1222" s="9">
        <v>6.005846</v>
      </c>
    </row>
    <row r="1223" spans="1:2" x14ac:dyDescent="0.25">
      <c r="A1223" s="10">
        <v>1222</v>
      </c>
      <c r="B1223" s="9">
        <v>6.0067690000000002</v>
      </c>
    </row>
    <row r="1224" spans="1:2" x14ac:dyDescent="0.25">
      <c r="A1224" s="10">
        <v>1223</v>
      </c>
      <c r="B1224" s="9">
        <v>6.0076919999999996</v>
      </c>
    </row>
    <row r="1225" spans="1:2" x14ac:dyDescent="0.25">
      <c r="A1225" s="10">
        <v>1224</v>
      </c>
      <c r="B1225" s="9">
        <v>6.0086149999999998</v>
      </c>
    </row>
    <row r="1226" spans="1:2" x14ac:dyDescent="0.25">
      <c r="A1226" s="10">
        <v>1225</v>
      </c>
      <c r="B1226" s="9">
        <v>6.0095390000000002</v>
      </c>
    </row>
    <row r="1227" spans="1:2" x14ac:dyDescent="0.25">
      <c r="A1227" s="10">
        <v>1226</v>
      </c>
      <c r="B1227" s="9">
        <v>6.0104620000000004</v>
      </c>
    </row>
    <row r="1228" spans="1:2" x14ac:dyDescent="0.25">
      <c r="A1228" s="10">
        <v>1227</v>
      </c>
      <c r="B1228" s="9">
        <v>6.0113849999999998</v>
      </c>
    </row>
    <row r="1229" spans="1:2" x14ac:dyDescent="0.25">
      <c r="A1229" s="10">
        <v>1228</v>
      </c>
      <c r="B1229" s="9">
        <v>6.012308</v>
      </c>
    </row>
    <row r="1230" spans="1:2" x14ac:dyDescent="0.25">
      <c r="A1230" s="10">
        <v>1229</v>
      </c>
      <c r="B1230" s="9">
        <v>6.0132310000000002</v>
      </c>
    </row>
    <row r="1231" spans="1:2" x14ac:dyDescent="0.25">
      <c r="A1231" s="10">
        <v>1230</v>
      </c>
      <c r="B1231" s="9">
        <v>6.0141540000000004</v>
      </c>
    </row>
    <row r="1232" spans="1:2" x14ac:dyDescent="0.25">
      <c r="A1232" s="10">
        <v>1231</v>
      </c>
      <c r="B1232" s="9">
        <v>6.0150769999999998</v>
      </c>
    </row>
    <row r="1233" spans="1:2" x14ac:dyDescent="0.25">
      <c r="A1233" s="10">
        <v>1232</v>
      </c>
      <c r="B1233" s="9">
        <v>6.016</v>
      </c>
    </row>
    <row r="1234" spans="1:2" x14ac:dyDescent="0.25">
      <c r="A1234" s="10">
        <v>1233</v>
      </c>
      <c r="B1234" s="9">
        <v>6.0169230000000002</v>
      </c>
    </row>
    <row r="1235" spans="1:2" x14ac:dyDescent="0.25">
      <c r="A1235" s="10">
        <v>1234</v>
      </c>
      <c r="B1235" s="9">
        <v>6.0178459999999996</v>
      </c>
    </row>
    <row r="1236" spans="1:2" x14ac:dyDescent="0.25">
      <c r="A1236" s="10">
        <v>1235</v>
      </c>
      <c r="B1236" s="9">
        <v>6.0187689999999998</v>
      </c>
    </row>
    <row r="1237" spans="1:2" x14ac:dyDescent="0.25">
      <c r="A1237" s="10">
        <v>1236</v>
      </c>
      <c r="B1237" s="9">
        <v>6.019692</v>
      </c>
    </row>
    <row r="1238" spans="1:2" x14ac:dyDescent="0.25">
      <c r="A1238" s="10">
        <v>1237</v>
      </c>
      <c r="B1238" s="9">
        <v>6.0206160000000004</v>
      </c>
    </row>
    <row r="1239" spans="1:2" x14ac:dyDescent="0.25">
      <c r="A1239" s="10">
        <v>1238</v>
      </c>
      <c r="B1239" s="9">
        <v>6.0215389999999998</v>
      </c>
    </row>
    <row r="1240" spans="1:2" x14ac:dyDescent="0.25">
      <c r="A1240" s="10">
        <v>1239</v>
      </c>
      <c r="B1240" s="9">
        <v>6.0224609999999998</v>
      </c>
    </row>
    <row r="1241" spans="1:2" x14ac:dyDescent="0.25">
      <c r="A1241" s="10">
        <v>1240</v>
      </c>
      <c r="B1241" s="9">
        <v>6.0233850000000002</v>
      </c>
    </row>
    <row r="1242" spans="1:2" x14ac:dyDescent="0.25">
      <c r="A1242" s="10">
        <v>1241</v>
      </c>
      <c r="B1242" s="9">
        <v>6.0243080000000004</v>
      </c>
    </row>
    <row r="1243" spans="1:2" x14ac:dyDescent="0.25">
      <c r="A1243" s="10">
        <v>1242</v>
      </c>
      <c r="B1243" s="9">
        <v>6.0252309999999998</v>
      </c>
    </row>
    <row r="1244" spans="1:2" x14ac:dyDescent="0.25">
      <c r="A1244" s="10">
        <v>1243</v>
      </c>
      <c r="B1244" s="9">
        <v>6.026154</v>
      </c>
    </row>
    <row r="1245" spans="1:2" x14ac:dyDescent="0.25">
      <c r="A1245" s="10">
        <v>1244</v>
      </c>
      <c r="B1245" s="9">
        <v>6.0270770000000002</v>
      </c>
    </row>
    <row r="1246" spans="1:2" x14ac:dyDescent="0.25">
      <c r="A1246" s="10">
        <v>1245</v>
      </c>
      <c r="B1246" s="9">
        <v>6.0279999999999996</v>
      </c>
    </row>
    <row r="1247" spans="1:2" x14ac:dyDescent="0.25">
      <c r="A1247" s="10">
        <v>1246</v>
      </c>
      <c r="B1247" s="9">
        <v>6.0289229999999998</v>
      </c>
    </row>
    <row r="1248" spans="1:2" x14ac:dyDescent="0.25">
      <c r="A1248" s="10">
        <v>1247</v>
      </c>
      <c r="B1248" s="9">
        <v>6.029846</v>
      </c>
    </row>
    <row r="1249" spans="1:2" x14ac:dyDescent="0.25">
      <c r="A1249" s="10">
        <v>1248</v>
      </c>
      <c r="B1249" s="9">
        <v>6.0307690000000003</v>
      </c>
    </row>
    <row r="1250" spans="1:2" x14ac:dyDescent="0.25">
      <c r="A1250" s="10">
        <v>1249</v>
      </c>
      <c r="B1250" s="9">
        <v>6.0316929999999997</v>
      </c>
    </row>
    <row r="1251" spans="1:2" x14ac:dyDescent="0.25">
      <c r="A1251" s="10">
        <v>1250</v>
      </c>
      <c r="B1251" s="9">
        <v>6.032616</v>
      </c>
    </row>
    <row r="1252" spans="1:2" x14ac:dyDescent="0.25">
      <c r="A1252" s="10">
        <v>1251</v>
      </c>
      <c r="B1252" s="9">
        <v>6.0335380000000001</v>
      </c>
    </row>
    <row r="1253" spans="1:2" x14ac:dyDescent="0.25">
      <c r="A1253" s="10">
        <v>1252</v>
      </c>
      <c r="B1253" s="9">
        <v>6.0344610000000003</v>
      </c>
    </row>
    <row r="1254" spans="1:2" x14ac:dyDescent="0.25">
      <c r="A1254" s="10">
        <v>1253</v>
      </c>
      <c r="B1254" s="9">
        <v>6.0353849999999998</v>
      </c>
    </row>
    <row r="1255" spans="1:2" x14ac:dyDescent="0.25">
      <c r="A1255" s="10">
        <v>1254</v>
      </c>
      <c r="B1255" s="9">
        <v>6.036308</v>
      </c>
    </row>
    <row r="1256" spans="1:2" x14ac:dyDescent="0.25">
      <c r="A1256" s="10">
        <v>1255</v>
      </c>
      <c r="B1256" s="9">
        <v>6.0372310000000002</v>
      </c>
    </row>
    <row r="1257" spans="1:2" x14ac:dyDescent="0.25">
      <c r="A1257" s="10">
        <v>1256</v>
      </c>
      <c r="B1257" s="9">
        <v>6.0381539999999996</v>
      </c>
    </row>
    <row r="1258" spans="1:2" x14ac:dyDescent="0.25">
      <c r="A1258" s="10">
        <v>1257</v>
      </c>
      <c r="B1258" s="9">
        <v>6.0390769999999998</v>
      </c>
    </row>
    <row r="1259" spans="1:2" x14ac:dyDescent="0.25">
      <c r="A1259" s="10">
        <v>1258</v>
      </c>
      <c r="B1259" s="9">
        <v>6.04</v>
      </c>
    </row>
    <row r="1260" spans="1:2" x14ac:dyDescent="0.25">
      <c r="A1260" s="10">
        <v>1259</v>
      </c>
      <c r="B1260" s="9">
        <v>6.0415570000000001</v>
      </c>
    </row>
    <row r="1261" spans="1:2" x14ac:dyDescent="0.25">
      <c r="A1261" s="10">
        <v>1260</v>
      </c>
      <c r="B1261" s="9">
        <v>6.0431150000000002</v>
      </c>
    </row>
    <row r="1262" spans="1:2" x14ac:dyDescent="0.25">
      <c r="A1262" s="10">
        <v>1261</v>
      </c>
      <c r="B1262" s="9">
        <v>6.0446720000000003</v>
      </c>
    </row>
    <row r="1263" spans="1:2" x14ac:dyDescent="0.25">
      <c r="A1263" s="10">
        <v>1262</v>
      </c>
      <c r="B1263" s="9">
        <v>6.0462290000000003</v>
      </c>
    </row>
    <row r="1264" spans="1:2" x14ac:dyDescent="0.25">
      <c r="A1264" s="10">
        <v>1263</v>
      </c>
      <c r="B1264" s="9">
        <v>6.0477869999999996</v>
      </c>
    </row>
    <row r="1265" spans="1:2" x14ac:dyDescent="0.25">
      <c r="A1265" s="10">
        <v>1264</v>
      </c>
      <c r="B1265" s="9">
        <v>6.0493439999999996</v>
      </c>
    </row>
    <row r="1266" spans="1:2" x14ac:dyDescent="0.25">
      <c r="A1266" s="10">
        <v>1265</v>
      </c>
      <c r="B1266" s="9">
        <v>6.0509009999999996</v>
      </c>
    </row>
    <row r="1267" spans="1:2" x14ac:dyDescent="0.25">
      <c r="A1267" s="10">
        <v>1266</v>
      </c>
      <c r="B1267" s="9">
        <v>6.0524589999999998</v>
      </c>
    </row>
    <row r="1268" spans="1:2" x14ac:dyDescent="0.25">
      <c r="A1268" s="10">
        <v>1267</v>
      </c>
      <c r="B1268" s="9">
        <v>6.054017</v>
      </c>
    </row>
    <row r="1269" spans="1:2" x14ac:dyDescent="0.25">
      <c r="A1269" s="10">
        <v>1268</v>
      </c>
      <c r="B1269" s="9">
        <v>6.055574</v>
      </c>
    </row>
    <row r="1270" spans="1:2" x14ac:dyDescent="0.25">
      <c r="A1270" s="10">
        <v>1269</v>
      </c>
      <c r="B1270" s="9">
        <v>6.057131</v>
      </c>
    </row>
    <row r="1271" spans="1:2" x14ac:dyDescent="0.25">
      <c r="A1271" s="10">
        <v>1270</v>
      </c>
      <c r="B1271" s="9">
        <v>6.0586890000000002</v>
      </c>
    </row>
    <row r="1272" spans="1:2" x14ac:dyDescent="0.25">
      <c r="A1272" s="10">
        <v>1271</v>
      </c>
      <c r="B1272" s="9">
        <v>6.0602460000000002</v>
      </c>
    </row>
    <row r="1273" spans="1:2" x14ac:dyDescent="0.25">
      <c r="A1273" s="10">
        <v>1272</v>
      </c>
      <c r="B1273" s="9">
        <v>6.0618030000000003</v>
      </c>
    </row>
    <row r="1274" spans="1:2" x14ac:dyDescent="0.25">
      <c r="A1274" s="10">
        <v>1273</v>
      </c>
      <c r="B1274" s="9">
        <v>6.0633609999999996</v>
      </c>
    </row>
    <row r="1275" spans="1:2" x14ac:dyDescent="0.25">
      <c r="A1275" s="10">
        <v>1274</v>
      </c>
      <c r="B1275" s="9">
        <v>6.0649179999999996</v>
      </c>
    </row>
    <row r="1276" spans="1:2" x14ac:dyDescent="0.25">
      <c r="A1276" s="10">
        <v>1275</v>
      </c>
      <c r="B1276" s="9">
        <v>6.0664749999999996</v>
      </c>
    </row>
    <row r="1277" spans="1:2" x14ac:dyDescent="0.25">
      <c r="A1277" s="10">
        <v>1276</v>
      </c>
      <c r="B1277" s="9">
        <v>6.0680329999999998</v>
      </c>
    </row>
    <row r="1278" spans="1:2" x14ac:dyDescent="0.25">
      <c r="A1278" s="10">
        <v>1277</v>
      </c>
      <c r="B1278" s="9">
        <v>6.0695899999999998</v>
      </c>
    </row>
    <row r="1279" spans="1:2" x14ac:dyDescent="0.25">
      <c r="A1279" s="10">
        <v>1278</v>
      </c>
      <c r="B1279" s="9">
        <v>6.0711469999999998</v>
      </c>
    </row>
    <row r="1280" spans="1:2" x14ac:dyDescent="0.25">
      <c r="A1280" s="10">
        <v>1279</v>
      </c>
      <c r="B1280" s="9">
        <v>6.072705</v>
      </c>
    </row>
    <row r="1281" spans="1:2" x14ac:dyDescent="0.25">
      <c r="A1281" s="10">
        <v>1280</v>
      </c>
      <c r="B1281" s="9">
        <v>6.0742630000000002</v>
      </c>
    </row>
    <row r="1282" spans="1:2" x14ac:dyDescent="0.25">
      <c r="A1282" s="10">
        <v>1281</v>
      </c>
      <c r="B1282" s="9">
        <v>6.0758200000000002</v>
      </c>
    </row>
    <row r="1283" spans="1:2" x14ac:dyDescent="0.25">
      <c r="A1283" s="10">
        <v>1282</v>
      </c>
      <c r="B1283" s="9">
        <v>6.0773770000000003</v>
      </c>
    </row>
    <row r="1284" spans="1:2" x14ac:dyDescent="0.25">
      <c r="A1284" s="10">
        <v>1283</v>
      </c>
      <c r="B1284" s="9">
        <v>6.0789350000000004</v>
      </c>
    </row>
    <row r="1285" spans="1:2" x14ac:dyDescent="0.25">
      <c r="A1285" s="10">
        <v>1284</v>
      </c>
      <c r="B1285" s="9">
        <v>6.0804919999999996</v>
      </c>
    </row>
    <row r="1286" spans="1:2" x14ac:dyDescent="0.25">
      <c r="A1286" s="10">
        <v>1285</v>
      </c>
      <c r="B1286" s="9">
        <v>6.0820489999999996</v>
      </c>
    </row>
    <row r="1287" spans="1:2" x14ac:dyDescent="0.25">
      <c r="A1287" s="10">
        <v>1286</v>
      </c>
      <c r="B1287" s="9">
        <v>6.0836069999999998</v>
      </c>
    </row>
    <row r="1288" spans="1:2" x14ac:dyDescent="0.25">
      <c r="A1288" s="10">
        <v>1287</v>
      </c>
      <c r="B1288" s="9">
        <v>6.0851639999999998</v>
      </c>
    </row>
    <row r="1289" spans="1:2" x14ac:dyDescent="0.25">
      <c r="A1289" s="10">
        <v>1288</v>
      </c>
      <c r="B1289" s="9">
        <v>6.0867209999999998</v>
      </c>
    </row>
    <row r="1290" spans="1:2" x14ac:dyDescent="0.25">
      <c r="A1290" s="10">
        <v>1289</v>
      </c>
      <c r="B1290" s="9">
        <v>6.088279</v>
      </c>
    </row>
    <row r="1291" spans="1:2" x14ac:dyDescent="0.25">
      <c r="A1291" s="10">
        <v>1290</v>
      </c>
      <c r="B1291" s="9">
        <v>6.089836</v>
      </c>
    </row>
    <row r="1292" spans="1:2" x14ac:dyDescent="0.25">
      <c r="A1292" s="10">
        <v>1291</v>
      </c>
      <c r="B1292" s="9">
        <v>6.0913930000000001</v>
      </c>
    </row>
    <row r="1293" spans="1:2" x14ac:dyDescent="0.25">
      <c r="A1293" s="10">
        <v>1292</v>
      </c>
      <c r="B1293" s="9">
        <v>6.0929510000000002</v>
      </c>
    </row>
    <row r="1294" spans="1:2" x14ac:dyDescent="0.25">
      <c r="A1294" s="10">
        <v>1293</v>
      </c>
      <c r="B1294" s="9">
        <v>6.0945080000000003</v>
      </c>
    </row>
    <row r="1295" spans="1:2" x14ac:dyDescent="0.25">
      <c r="A1295" s="10">
        <v>1294</v>
      </c>
      <c r="B1295" s="9">
        <v>6.0960660000000004</v>
      </c>
    </row>
    <row r="1296" spans="1:2" x14ac:dyDescent="0.25">
      <c r="A1296" s="10">
        <v>1295</v>
      </c>
      <c r="B1296" s="9">
        <v>6.0976229999999996</v>
      </c>
    </row>
    <row r="1297" spans="1:2" x14ac:dyDescent="0.25">
      <c r="A1297" s="10">
        <v>1296</v>
      </c>
      <c r="B1297" s="9">
        <v>6.0991799999999996</v>
      </c>
    </row>
    <row r="1298" spans="1:2" x14ac:dyDescent="0.25">
      <c r="A1298" s="10">
        <v>1297</v>
      </c>
      <c r="B1298" s="9">
        <v>6.1007379999999998</v>
      </c>
    </row>
    <row r="1299" spans="1:2" x14ac:dyDescent="0.25">
      <c r="A1299" s="10">
        <v>1298</v>
      </c>
      <c r="B1299" s="9">
        <v>6.1022949999999998</v>
      </c>
    </row>
    <row r="1300" spans="1:2" x14ac:dyDescent="0.25">
      <c r="A1300" s="10">
        <v>1299</v>
      </c>
      <c r="B1300" s="9">
        <v>6.1038519999999998</v>
      </c>
    </row>
    <row r="1301" spans="1:2" x14ac:dyDescent="0.25">
      <c r="A1301" s="10">
        <v>1300</v>
      </c>
      <c r="B1301" s="9">
        <v>6.10541</v>
      </c>
    </row>
    <row r="1302" spans="1:2" x14ac:dyDescent="0.25">
      <c r="A1302" s="10">
        <v>1301</v>
      </c>
      <c r="B1302" s="9">
        <v>6.106967</v>
      </c>
    </row>
    <row r="1303" spans="1:2" x14ac:dyDescent="0.25">
      <c r="A1303" s="10">
        <v>1302</v>
      </c>
      <c r="B1303" s="9">
        <v>6.1085240000000001</v>
      </c>
    </row>
    <row r="1304" spans="1:2" x14ac:dyDescent="0.25">
      <c r="A1304" s="10">
        <v>1303</v>
      </c>
      <c r="B1304" s="9">
        <v>6.1100820000000002</v>
      </c>
    </row>
    <row r="1305" spans="1:2" x14ac:dyDescent="0.25">
      <c r="A1305" s="10">
        <v>1304</v>
      </c>
      <c r="B1305" s="9">
        <v>6.1116390000000003</v>
      </c>
    </row>
    <row r="1306" spans="1:2" x14ac:dyDescent="0.25">
      <c r="A1306" s="10">
        <v>1305</v>
      </c>
      <c r="B1306" s="9">
        <v>6.1131970000000004</v>
      </c>
    </row>
    <row r="1307" spans="1:2" x14ac:dyDescent="0.25">
      <c r="A1307" s="10">
        <v>1306</v>
      </c>
      <c r="B1307" s="9">
        <v>6.1147539999999996</v>
      </c>
    </row>
    <row r="1308" spans="1:2" x14ac:dyDescent="0.25">
      <c r="A1308" s="10">
        <v>1307</v>
      </c>
      <c r="B1308" s="9">
        <v>6.1163119999999997</v>
      </c>
    </row>
    <row r="1309" spans="1:2" x14ac:dyDescent="0.25">
      <c r="A1309" s="10">
        <v>1308</v>
      </c>
      <c r="B1309" s="9">
        <v>6.1178689999999998</v>
      </c>
    </row>
    <row r="1310" spans="1:2" x14ac:dyDescent="0.25">
      <c r="A1310" s="10">
        <v>1309</v>
      </c>
      <c r="B1310" s="9">
        <v>6.1194259999999998</v>
      </c>
    </row>
    <row r="1311" spans="1:2" x14ac:dyDescent="0.25">
      <c r="A1311" s="10">
        <v>1310</v>
      </c>
      <c r="B1311" s="9">
        <v>6.120984</v>
      </c>
    </row>
    <row r="1312" spans="1:2" x14ac:dyDescent="0.25">
      <c r="A1312" s="10">
        <v>1311</v>
      </c>
      <c r="B1312" s="9">
        <v>6.122541</v>
      </c>
    </row>
    <row r="1313" spans="1:2" x14ac:dyDescent="0.25">
      <c r="A1313" s="10">
        <v>1312</v>
      </c>
      <c r="B1313" s="9">
        <v>6.1240990000000002</v>
      </c>
    </row>
    <row r="1314" spans="1:2" x14ac:dyDescent="0.25">
      <c r="A1314" s="10">
        <v>1313</v>
      </c>
      <c r="B1314" s="9">
        <v>6.1256560000000002</v>
      </c>
    </row>
    <row r="1315" spans="1:2" x14ac:dyDescent="0.25">
      <c r="A1315" s="10">
        <v>1314</v>
      </c>
      <c r="B1315" s="9">
        <v>6.1272130000000002</v>
      </c>
    </row>
    <row r="1316" spans="1:2" x14ac:dyDescent="0.25">
      <c r="A1316" s="10">
        <v>1315</v>
      </c>
      <c r="B1316" s="9">
        <v>6.1287710000000004</v>
      </c>
    </row>
    <row r="1317" spans="1:2" x14ac:dyDescent="0.25">
      <c r="A1317" s="10">
        <v>1316</v>
      </c>
      <c r="B1317" s="9">
        <v>6.1303280000000004</v>
      </c>
    </row>
    <row r="1318" spans="1:2" x14ac:dyDescent="0.25">
      <c r="A1318" s="10">
        <v>1317</v>
      </c>
      <c r="B1318" s="9">
        <v>6.1318859999999997</v>
      </c>
    </row>
    <row r="1319" spans="1:2" x14ac:dyDescent="0.25">
      <c r="A1319" s="10">
        <v>1318</v>
      </c>
      <c r="B1319" s="9">
        <v>6.1334429999999998</v>
      </c>
    </row>
    <row r="1320" spans="1:2" x14ac:dyDescent="0.25">
      <c r="A1320" s="10">
        <v>1319</v>
      </c>
      <c r="B1320" s="9">
        <v>6.1349999999999998</v>
      </c>
    </row>
    <row r="1321" spans="1:2" x14ac:dyDescent="0.25">
      <c r="A1321" s="10">
        <v>1320</v>
      </c>
      <c r="B1321" s="9">
        <v>6.136558</v>
      </c>
    </row>
    <row r="1322" spans="1:2" x14ac:dyDescent="0.25">
      <c r="A1322" s="10">
        <v>1321</v>
      </c>
      <c r="B1322" s="9">
        <v>6.138115</v>
      </c>
    </row>
    <row r="1323" spans="1:2" x14ac:dyDescent="0.25">
      <c r="A1323" s="10">
        <v>1322</v>
      </c>
      <c r="B1323" s="9">
        <v>6.139672</v>
      </c>
    </row>
    <row r="1324" spans="1:2" x14ac:dyDescent="0.25">
      <c r="A1324" s="10">
        <v>1323</v>
      </c>
      <c r="B1324" s="9">
        <v>6.1412300000000002</v>
      </c>
    </row>
    <row r="1325" spans="1:2" x14ac:dyDescent="0.25">
      <c r="A1325" s="10">
        <v>1324</v>
      </c>
      <c r="B1325" s="9">
        <v>6.1427870000000002</v>
      </c>
    </row>
    <row r="1326" spans="1:2" x14ac:dyDescent="0.25">
      <c r="A1326" s="10">
        <v>1325</v>
      </c>
      <c r="B1326" s="9">
        <v>6.1443440000000002</v>
      </c>
    </row>
    <row r="1327" spans="1:2" x14ac:dyDescent="0.25">
      <c r="A1327" s="10">
        <v>1326</v>
      </c>
      <c r="B1327" s="9">
        <v>6.1459020000000004</v>
      </c>
    </row>
    <row r="1328" spans="1:2" x14ac:dyDescent="0.25">
      <c r="A1328" s="10">
        <v>1327</v>
      </c>
      <c r="B1328" s="9">
        <v>6.1474589999999996</v>
      </c>
    </row>
    <row r="1329" spans="1:2" x14ac:dyDescent="0.25">
      <c r="A1329" s="10">
        <v>1328</v>
      </c>
      <c r="B1329" s="9">
        <v>6.1490159999999996</v>
      </c>
    </row>
    <row r="1330" spans="1:2" x14ac:dyDescent="0.25">
      <c r="A1330" s="10">
        <v>1329</v>
      </c>
      <c r="B1330" s="9">
        <v>6.1505739999999998</v>
      </c>
    </row>
    <row r="1331" spans="1:2" x14ac:dyDescent="0.25">
      <c r="A1331" s="10">
        <v>1330</v>
      </c>
      <c r="B1331" s="9">
        <v>6.1521309999999998</v>
      </c>
    </row>
    <row r="1332" spans="1:2" x14ac:dyDescent="0.25">
      <c r="A1332" s="10">
        <v>1331</v>
      </c>
      <c r="B1332" s="9">
        <v>6.1536879999999998</v>
      </c>
    </row>
    <row r="1333" spans="1:2" x14ac:dyDescent="0.25">
      <c r="A1333" s="10">
        <v>1332</v>
      </c>
      <c r="B1333" s="9">
        <v>6.155246</v>
      </c>
    </row>
    <row r="1334" spans="1:2" x14ac:dyDescent="0.25">
      <c r="A1334" s="10">
        <v>1333</v>
      </c>
      <c r="B1334" s="9">
        <v>6.156803</v>
      </c>
    </row>
    <row r="1335" spans="1:2" x14ac:dyDescent="0.25">
      <c r="A1335" s="10">
        <v>1334</v>
      </c>
      <c r="B1335" s="9">
        <v>6.1583600000000001</v>
      </c>
    </row>
    <row r="1336" spans="1:2" x14ac:dyDescent="0.25">
      <c r="A1336" s="10">
        <v>1335</v>
      </c>
      <c r="B1336" s="9">
        <v>6.1599180000000002</v>
      </c>
    </row>
    <row r="1337" spans="1:2" x14ac:dyDescent="0.25">
      <c r="A1337" s="10">
        <v>1336</v>
      </c>
      <c r="B1337" s="9">
        <v>6.1614750000000003</v>
      </c>
    </row>
    <row r="1338" spans="1:2" x14ac:dyDescent="0.25">
      <c r="A1338" s="10">
        <v>1337</v>
      </c>
      <c r="B1338" s="9">
        <v>6.1630330000000004</v>
      </c>
    </row>
    <row r="1339" spans="1:2" x14ac:dyDescent="0.25">
      <c r="A1339" s="10">
        <v>1338</v>
      </c>
      <c r="B1339" s="9">
        <v>6.1645899999999996</v>
      </c>
    </row>
    <row r="1340" spans="1:2" x14ac:dyDescent="0.25">
      <c r="A1340" s="10">
        <v>1339</v>
      </c>
      <c r="B1340" s="9">
        <v>6.1661479999999997</v>
      </c>
    </row>
    <row r="1341" spans="1:2" x14ac:dyDescent="0.25">
      <c r="A1341" s="10">
        <v>1340</v>
      </c>
      <c r="B1341" s="9">
        <v>6.1677049999999998</v>
      </c>
    </row>
    <row r="1342" spans="1:2" x14ac:dyDescent="0.25">
      <c r="A1342" s="10">
        <v>1341</v>
      </c>
      <c r="B1342" s="9">
        <v>6.1692619999999998</v>
      </c>
    </row>
    <row r="1343" spans="1:2" x14ac:dyDescent="0.25">
      <c r="A1343" s="10">
        <v>1342</v>
      </c>
      <c r="B1343" s="9">
        <v>6.17082</v>
      </c>
    </row>
    <row r="1344" spans="1:2" x14ac:dyDescent="0.25">
      <c r="A1344" s="10">
        <v>1343</v>
      </c>
      <c r="B1344" s="9">
        <v>6.172377</v>
      </c>
    </row>
    <row r="1345" spans="1:2" x14ac:dyDescent="0.25">
      <c r="A1345" s="10">
        <v>1344</v>
      </c>
      <c r="B1345" s="9">
        <v>6.173934</v>
      </c>
    </row>
    <row r="1346" spans="1:2" x14ac:dyDescent="0.25">
      <c r="A1346" s="10">
        <v>1345</v>
      </c>
      <c r="B1346" s="9">
        <v>6.1754920000000002</v>
      </c>
    </row>
    <row r="1347" spans="1:2" x14ac:dyDescent="0.25">
      <c r="A1347" s="10">
        <v>1346</v>
      </c>
      <c r="B1347" s="9">
        <v>6.1770490000000002</v>
      </c>
    </row>
    <row r="1348" spans="1:2" x14ac:dyDescent="0.25">
      <c r="A1348" s="10">
        <v>1347</v>
      </c>
      <c r="B1348" s="9">
        <v>6.1786070000000004</v>
      </c>
    </row>
    <row r="1349" spans="1:2" x14ac:dyDescent="0.25">
      <c r="A1349" s="10">
        <v>1348</v>
      </c>
      <c r="B1349" s="9">
        <v>6.1801640000000004</v>
      </c>
    </row>
    <row r="1350" spans="1:2" x14ac:dyDescent="0.25">
      <c r="A1350" s="10">
        <v>1349</v>
      </c>
      <c r="B1350" s="9">
        <v>6.1817219999999997</v>
      </c>
    </row>
    <row r="1351" spans="1:2" x14ac:dyDescent="0.25">
      <c r="A1351" s="10">
        <v>1350</v>
      </c>
      <c r="B1351" s="9">
        <v>6.1832789999999997</v>
      </c>
    </row>
    <row r="1352" spans="1:2" x14ac:dyDescent="0.25">
      <c r="A1352" s="10">
        <v>1351</v>
      </c>
      <c r="B1352" s="9">
        <v>6.1848359999999998</v>
      </c>
    </row>
    <row r="1353" spans="1:2" x14ac:dyDescent="0.25">
      <c r="A1353" s="10">
        <v>1352</v>
      </c>
      <c r="B1353" s="9">
        <v>6.1863939999999999</v>
      </c>
    </row>
    <row r="1354" spans="1:2" x14ac:dyDescent="0.25">
      <c r="A1354" s="10">
        <v>1353</v>
      </c>
      <c r="B1354" s="9">
        <v>6.187951</v>
      </c>
    </row>
    <row r="1355" spans="1:2" x14ac:dyDescent="0.25">
      <c r="A1355" s="10">
        <v>1354</v>
      </c>
      <c r="B1355" s="9">
        <v>6.189508</v>
      </c>
    </row>
    <row r="1356" spans="1:2" x14ac:dyDescent="0.25">
      <c r="A1356" s="10">
        <v>1355</v>
      </c>
      <c r="B1356" s="9">
        <v>6.1910660000000002</v>
      </c>
    </row>
    <row r="1357" spans="1:2" x14ac:dyDescent="0.25">
      <c r="A1357" s="10">
        <v>1356</v>
      </c>
      <c r="B1357" s="9">
        <v>6.1926230000000002</v>
      </c>
    </row>
    <row r="1358" spans="1:2" x14ac:dyDescent="0.25">
      <c r="A1358" s="10">
        <v>1357</v>
      </c>
      <c r="B1358" s="9">
        <v>6.1941800000000002</v>
      </c>
    </row>
    <row r="1359" spans="1:2" x14ac:dyDescent="0.25">
      <c r="A1359" s="10">
        <v>1358</v>
      </c>
      <c r="B1359" s="9">
        <v>6.1957380000000004</v>
      </c>
    </row>
    <row r="1360" spans="1:2" x14ac:dyDescent="0.25">
      <c r="A1360" s="10">
        <v>1359</v>
      </c>
      <c r="B1360" s="9">
        <v>6.1972950000000004</v>
      </c>
    </row>
    <row r="1361" spans="1:2" x14ac:dyDescent="0.25">
      <c r="A1361" s="10">
        <v>1360</v>
      </c>
      <c r="B1361" s="9">
        <v>6.1988529999999997</v>
      </c>
    </row>
    <row r="1362" spans="1:2" x14ac:dyDescent="0.25">
      <c r="A1362" s="10">
        <v>1361</v>
      </c>
      <c r="B1362" s="9">
        <v>6.2004099999999998</v>
      </c>
    </row>
    <row r="1363" spans="1:2" x14ac:dyDescent="0.25">
      <c r="A1363" s="10">
        <v>1362</v>
      </c>
      <c r="B1363" s="9">
        <v>6.2019669999999998</v>
      </c>
    </row>
    <row r="1364" spans="1:2" x14ac:dyDescent="0.25">
      <c r="A1364" s="10">
        <v>1363</v>
      </c>
      <c r="B1364" s="9">
        <v>6.203525</v>
      </c>
    </row>
    <row r="1365" spans="1:2" x14ac:dyDescent="0.25">
      <c r="A1365" s="10">
        <v>1364</v>
      </c>
      <c r="B1365" s="9">
        <v>6.205082</v>
      </c>
    </row>
    <row r="1366" spans="1:2" x14ac:dyDescent="0.25">
      <c r="A1366" s="10">
        <v>1365</v>
      </c>
      <c r="B1366" s="9">
        <v>6.206639</v>
      </c>
    </row>
    <row r="1367" spans="1:2" x14ac:dyDescent="0.25">
      <c r="A1367" s="10">
        <v>1366</v>
      </c>
      <c r="B1367" s="9">
        <v>6.2081970000000002</v>
      </c>
    </row>
    <row r="1368" spans="1:2" x14ac:dyDescent="0.25">
      <c r="A1368" s="10">
        <v>1367</v>
      </c>
      <c r="B1368" s="9">
        <v>6.2097540000000002</v>
      </c>
    </row>
    <row r="1369" spans="1:2" x14ac:dyDescent="0.25">
      <c r="A1369" s="10">
        <v>1368</v>
      </c>
      <c r="B1369" s="9">
        <v>6.2113110000000002</v>
      </c>
    </row>
    <row r="1370" spans="1:2" x14ac:dyDescent="0.25">
      <c r="A1370" s="10">
        <v>1369</v>
      </c>
      <c r="B1370" s="9">
        <v>6.2128690000000004</v>
      </c>
    </row>
    <row r="1371" spans="1:2" x14ac:dyDescent="0.25">
      <c r="A1371" s="10">
        <v>1370</v>
      </c>
      <c r="B1371" s="9">
        <v>6.2144259999999996</v>
      </c>
    </row>
    <row r="1372" spans="1:2" x14ac:dyDescent="0.25">
      <c r="A1372" s="10">
        <v>1371</v>
      </c>
      <c r="B1372" s="9">
        <v>6.2159829999999996</v>
      </c>
    </row>
    <row r="1373" spans="1:2" x14ac:dyDescent="0.25">
      <c r="A1373" s="10">
        <v>1372</v>
      </c>
      <c r="B1373" s="9">
        <v>6.2175409999999998</v>
      </c>
    </row>
    <row r="1374" spans="1:2" x14ac:dyDescent="0.25">
      <c r="A1374" s="10">
        <v>1373</v>
      </c>
      <c r="B1374" s="9">
        <v>6.2190989999999999</v>
      </c>
    </row>
    <row r="1375" spans="1:2" x14ac:dyDescent="0.25">
      <c r="A1375" s="10">
        <v>1374</v>
      </c>
      <c r="B1375" s="9">
        <v>6.220656</v>
      </c>
    </row>
    <row r="1376" spans="1:2" x14ac:dyDescent="0.25">
      <c r="A1376" s="10">
        <v>1375</v>
      </c>
      <c r="B1376" s="9">
        <v>6.222213</v>
      </c>
    </row>
    <row r="1377" spans="1:2" x14ac:dyDescent="0.25">
      <c r="A1377" s="10">
        <v>1376</v>
      </c>
      <c r="B1377" s="9">
        <v>6.2237710000000002</v>
      </c>
    </row>
    <row r="1378" spans="1:2" x14ac:dyDescent="0.25">
      <c r="A1378" s="10">
        <v>1377</v>
      </c>
      <c r="B1378" s="9">
        <v>6.2253280000000002</v>
      </c>
    </row>
    <row r="1379" spans="1:2" x14ac:dyDescent="0.25">
      <c r="A1379" s="10">
        <v>1378</v>
      </c>
      <c r="B1379" s="9">
        <v>6.2268850000000002</v>
      </c>
    </row>
    <row r="1380" spans="1:2" x14ac:dyDescent="0.25">
      <c r="A1380" s="10">
        <v>1379</v>
      </c>
      <c r="B1380" s="9">
        <v>6.2284430000000004</v>
      </c>
    </row>
    <row r="1381" spans="1:2" x14ac:dyDescent="0.25">
      <c r="A1381" s="10">
        <v>1380</v>
      </c>
      <c r="B1381" s="9">
        <v>6.23</v>
      </c>
    </row>
    <row r="1382" spans="1:2" x14ac:dyDescent="0.25">
      <c r="A1382" s="10">
        <v>1381</v>
      </c>
      <c r="B1382" s="9">
        <v>6.2311719999999999</v>
      </c>
    </row>
    <row r="1383" spans="1:2" x14ac:dyDescent="0.25">
      <c r="A1383" s="10">
        <v>1382</v>
      </c>
      <c r="B1383" s="9">
        <v>6.2323440000000003</v>
      </c>
    </row>
    <row r="1384" spans="1:2" x14ac:dyDescent="0.25">
      <c r="A1384" s="10">
        <v>1383</v>
      </c>
      <c r="B1384" s="9">
        <v>6.2335159999999998</v>
      </c>
    </row>
    <row r="1385" spans="1:2" x14ac:dyDescent="0.25">
      <c r="A1385" s="10">
        <v>1384</v>
      </c>
      <c r="B1385" s="9">
        <v>6.2346880000000002</v>
      </c>
    </row>
    <row r="1386" spans="1:2" x14ac:dyDescent="0.25">
      <c r="A1386" s="10">
        <v>1385</v>
      </c>
      <c r="B1386" s="9">
        <v>6.2358589999999996</v>
      </c>
    </row>
    <row r="1387" spans="1:2" x14ac:dyDescent="0.25">
      <c r="A1387" s="10">
        <v>1386</v>
      </c>
      <c r="B1387" s="9">
        <v>6.237031</v>
      </c>
    </row>
    <row r="1388" spans="1:2" x14ac:dyDescent="0.25">
      <c r="A1388" s="10">
        <v>1387</v>
      </c>
      <c r="B1388" s="9">
        <v>6.2382030000000004</v>
      </c>
    </row>
    <row r="1389" spans="1:2" x14ac:dyDescent="0.25">
      <c r="A1389" s="10">
        <v>1388</v>
      </c>
      <c r="B1389" s="9">
        <v>6.2393749999999999</v>
      </c>
    </row>
    <row r="1390" spans="1:2" x14ac:dyDescent="0.25">
      <c r="A1390" s="10">
        <v>1389</v>
      </c>
      <c r="B1390" s="9">
        <v>6.2405470000000003</v>
      </c>
    </row>
    <row r="1391" spans="1:2" x14ac:dyDescent="0.25">
      <c r="A1391" s="10">
        <v>1390</v>
      </c>
      <c r="B1391" s="9">
        <v>6.2417189999999998</v>
      </c>
    </row>
    <row r="1392" spans="1:2" x14ac:dyDescent="0.25">
      <c r="A1392" s="10">
        <v>1391</v>
      </c>
      <c r="B1392" s="9">
        <v>6.2428910000000002</v>
      </c>
    </row>
    <row r="1393" spans="1:2" x14ac:dyDescent="0.25">
      <c r="A1393" s="10">
        <v>1392</v>
      </c>
      <c r="B1393" s="9">
        <v>6.2440619999999996</v>
      </c>
    </row>
    <row r="1394" spans="1:2" x14ac:dyDescent="0.25">
      <c r="A1394" s="10">
        <v>1393</v>
      </c>
      <c r="B1394" s="9">
        <v>6.245234</v>
      </c>
    </row>
    <row r="1395" spans="1:2" x14ac:dyDescent="0.25">
      <c r="A1395" s="10">
        <v>1394</v>
      </c>
      <c r="B1395" s="9">
        <v>6.2464069999999996</v>
      </c>
    </row>
    <row r="1396" spans="1:2" x14ac:dyDescent="0.25">
      <c r="A1396" s="10">
        <v>1395</v>
      </c>
      <c r="B1396" s="9">
        <v>6.2475779999999999</v>
      </c>
    </row>
    <row r="1397" spans="1:2" x14ac:dyDescent="0.25">
      <c r="A1397" s="10">
        <v>1396</v>
      </c>
      <c r="B1397" s="9">
        <v>6.2487500000000002</v>
      </c>
    </row>
    <row r="1398" spans="1:2" x14ac:dyDescent="0.25">
      <c r="A1398" s="10">
        <v>1397</v>
      </c>
      <c r="B1398" s="9">
        <v>6.2499219999999998</v>
      </c>
    </row>
    <row r="1399" spans="1:2" x14ac:dyDescent="0.25">
      <c r="A1399" s="10">
        <v>1398</v>
      </c>
      <c r="B1399" s="9">
        <v>6.2510940000000002</v>
      </c>
    </row>
    <row r="1400" spans="1:2" x14ac:dyDescent="0.25">
      <c r="A1400" s="10">
        <v>1399</v>
      </c>
      <c r="B1400" s="9">
        <v>6.2522659999999997</v>
      </c>
    </row>
    <row r="1401" spans="1:2" x14ac:dyDescent="0.25">
      <c r="A1401" s="10">
        <v>1400</v>
      </c>
      <c r="B1401" s="9">
        <v>6.2534380000000001</v>
      </c>
    </row>
    <row r="1402" spans="1:2" x14ac:dyDescent="0.25">
      <c r="A1402" s="10">
        <v>1401</v>
      </c>
      <c r="B1402" s="9">
        <v>6.2546099999999996</v>
      </c>
    </row>
    <row r="1403" spans="1:2" x14ac:dyDescent="0.25">
      <c r="A1403" s="10">
        <v>1402</v>
      </c>
      <c r="B1403" s="9">
        <v>6.2557809999999998</v>
      </c>
    </row>
    <row r="1404" spans="1:2" x14ac:dyDescent="0.25">
      <c r="A1404" s="10">
        <v>1403</v>
      </c>
      <c r="B1404" s="9">
        <v>6.2569530000000002</v>
      </c>
    </row>
    <row r="1405" spans="1:2" x14ac:dyDescent="0.25">
      <c r="A1405" s="10">
        <v>1404</v>
      </c>
      <c r="B1405" s="9">
        <v>6.2581249999999997</v>
      </c>
    </row>
    <row r="1406" spans="1:2" x14ac:dyDescent="0.25">
      <c r="A1406" s="10">
        <v>1405</v>
      </c>
      <c r="B1406" s="9">
        <v>6.2592970000000001</v>
      </c>
    </row>
    <row r="1407" spans="1:2" x14ac:dyDescent="0.25">
      <c r="A1407" s="10">
        <v>1406</v>
      </c>
      <c r="B1407" s="9">
        <v>6.2604689999999996</v>
      </c>
    </row>
    <row r="1408" spans="1:2" x14ac:dyDescent="0.25">
      <c r="A1408" s="10">
        <v>1407</v>
      </c>
      <c r="B1408" s="9">
        <v>6.261641</v>
      </c>
    </row>
    <row r="1409" spans="1:2" x14ac:dyDescent="0.25">
      <c r="A1409" s="10">
        <v>1408</v>
      </c>
      <c r="B1409" s="9">
        <v>6.2628130000000004</v>
      </c>
    </row>
    <row r="1410" spans="1:2" x14ac:dyDescent="0.25">
      <c r="A1410" s="10">
        <v>1409</v>
      </c>
      <c r="B1410" s="9">
        <v>6.2639849999999999</v>
      </c>
    </row>
    <row r="1411" spans="1:2" x14ac:dyDescent="0.25">
      <c r="A1411" s="10">
        <v>1410</v>
      </c>
      <c r="B1411" s="9">
        <v>6.2651560000000002</v>
      </c>
    </row>
    <row r="1412" spans="1:2" x14ac:dyDescent="0.25">
      <c r="A1412" s="10">
        <v>1411</v>
      </c>
      <c r="B1412" s="9">
        <v>6.2663279999999997</v>
      </c>
    </row>
    <row r="1413" spans="1:2" x14ac:dyDescent="0.25">
      <c r="A1413" s="10">
        <v>1412</v>
      </c>
      <c r="B1413" s="9">
        <v>6.2675000000000001</v>
      </c>
    </row>
    <row r="1414" spans="1:2" x14ac:dyDescent="0.25">
      <c r="A1414" s="10">
        <v>1413</v>
      </c>
      <c r="B1414" s="9">
        <v>6.2686719999999996</v>
      </c>
    </row>
    <row r="1415" spans="1:2" x14ac:dyDescent="0.25">
      <c r="A1415" s="10">
        <v>1414</v>
      </c>
      <c r="B1415" s="9">
        <v>6.269844</v>
      </c>
    </row>
    <row r="1416" spans="1:2" x14ac:dyDescent="0.25">
      <c r="A1416" s="10">
        <v>1415</v>
      </c>
      <c r="B1416" s="9">
        <v>6.2710160000000004</v>
      </c>
    </row>
    <row r="1417" spans="1:2" x14ac:dyDescent="0.25">
      <c r="A1417" s="10">
        <v>1416</v>
      </c>
      <c r="B1417" s="9">
        <v>6.2721879999999999</v>
      </c>
    </row>
    <row r="1418" spans="1:2" x14ac:dyDescent="0.25">
      <c r="A1418" s="10">
        <v>1417</v>
      </c>
      <c r="B1418" s="9">
        <v>6.2733590000000001</v>
      </c>
    </row>
    <row r="1419" spans="1:2" x14ac:dyDescent="0.25">
      <c r="A1419" s="10">
        <v>1418</v>
      </c>
      <c r="B1419" s="9">
        <v>6.2745309999999996</v>
      </c>
    </row>
    <row r="1420" spans="1:2" x14ac:dyDescent="0.25">
      <c r="A1420" s="10">
        <v>1419</v>
      </c>
      <c r="B1420" s="9">
        <v>6.275703</v>
      </c>
    </row>
    <row r="1421" spans="1:2" x14ac:dyDescent="0.25">
      <c r="A1421" s="10">
        <v>1420</v>
      </c>
      <c r="B1421" s="9">
        <v>6.2768750000000004</v>
      </c>
    </row>
    <row r="1422" spans="1:2" x14ac:dyDescent="0.25">
      <c r="A1422" s="10">
        <v>1421</v>
      </c>
      <c r="B1422" s="9">
        <v>6.2780469999999999</v>
      </c>
    </row>
    <row r="1423" spans="1:2" x14ac:dyDescent="0.25">
      <c r="A1423" s="10">
        <v>1422</v>
      </c>
      <c r="B1423" s="9">
        <v>6.2792190000000003</v>
      </c>
    </row>
    <row r="1424" spans="1:2" x14ac:dyDescent="0.25">
      <c r="A1424" s="10">
        <v>1423</v>
      </c>
      <c r="B1424" s="9">
        <v>6.2803909999999998</v>
      </c>
    </row>
    <row r="1425" spans="1:2" x14ac:dyDescent="0.25">
      <c r="A1425" s="10">
        <v>1424</v>
      </c>
      <c r="B1425" s="9">
        <v>6.2815630000000002</v>
      </c>
    </row>
    <row r="1426" spans="1:2" x14ac:dyDescent="0.25">
      <c r="A1426" s="10">
        <v>1425</v>
      </c>
      <c r="B1426" s="9">
        <v>6.2827339999999996</v>
      </c>
    </row>
    <row r="1427" spans="1:2" x14ac:dyDescent="0.25">
      <c r="A1427" s="10">
        <v>1426</v>
      </c>
      <c r="B1427" s="9">
        <v>6.283906</v>
      </c>
    </row>
    <row r="1428" spans="1:2" x14ac:dyDescent="0.25">
      <c r="A1428" s="10">
        <v>1427</v>
      </c>
      <c r="B1428" s="9">
        <v>6.2850780000000004</v>
      </c>
    </row>
    <row r="1429" spans="1:2" x14ac:dyDescent="0.25">
      <c r="A1429" s="10">
        <v>1428</v>
      </c>
      <c r="B1429" s="9">
        <v>6.2862499999999999</v>
      </c>
    </row>
    <row r="1430" spans="1:2" x14ac:dyDescent="0.25">
      <c r="A1430" s="10">
        <v>1429</v>
      </c>
      <c r="B1430" s="9">
        <v>6.2874220000000003</v>
      </c>
    </row>
    <row r="1431" spans="1:2" x14ac:dyDescent="0.25">
      <c r="A1431" s="10">
        <v>1430</v>
      </c>
      <c r="B1431" s="9">
        <v>6.2885939999999998</v>
      </c>
    </row>
    <row r="1432" spans="1:2" x14ac:dyDescent="0.25">
      <c r="A1432" s="10">
        <v>1431</v>
      </c>
      <c r="B1432" s="9">
        <v>6.2897660000000002</v>
      </c>
    </row>
    <row r="1433" spans="1:2" x14ac:dyDescent="0.25">
      <c r="A1433" s="10">
        <v>1432</v>
      </c>
      <c r="B1433" s="9">
        <v>6.2909369999999996</v>
      </c>
    </row>
    <row r="1434" spans="1:2" x14ac:dyDescent="0.25">
      <c r="A1434" s="10">
        <v>1433</v>
      </c>
      <c r="B1434" s="9">
        <v>6.292109</v>
      </c>
    </row>
    <row r="1435" spans="1:2" x14ac:dyDescent="0.25">
      <c r="A1435" s="10">
        <v>1434</v>
      </c>
      <c r="B1435" s="9">
        <v>6.2932819999999996</v>
      </c>
    </row>
    <row r="1436" spans="1:2" x14ac:dyDescent="0.25">
      <c r="A1436" s="10">
        <v>1435</v>
      </c>
      <c r="B1436" s="9">
        <v>6.2944529999999999</v>
      </c>
    </row>
    <row r="1437" spans="1:2" x14ac:dyDescent="0.25">
      <c r="A1437" s="10">
        <v>1436</v>
      </c>
      <c r="B1437" s="9">
        <v>6.2956250000000002</v>
      </c>
    </row>
    <row r="1438" spans="1:2" x14ac:dyDescent="0.25">
      <c r="A1438" s="10">
        <v>1437</v>
      </c>
      <c r="B1438" s="9">
        <v>6.2967969999999998</v>
      </c>
    </row>
    <row r="1439" spans="1:2" x14ac:dyDescent="0.25">
      <c r="A1439" s="10">
        <v>1438</v>
      </c>
      <c r="B1439" s="9">
        <v>6.2979690000000002</v>
      </c>
    </row>
    <row r="1440" spans="1:2" x14ac:dyDescent="0.25">
      <c r="A1440" s="10">
        <v>1439</v>
      </c>
      <c r="B1440" s="9">
        <v>6.2991409999999997</v>
      </c>
    </row>
    <row r="1441" spans="1:2" x14ac:dyDescent="0.25">
      <c r="A1441" s="10">
        <v>1440</v>
      </c>
      <c r="B1441" s="9">
        <v>6.3003130000000001</v>
      </c>
    </row>
    <row r="1442" spans="1:2" x14ac:dyDescent="0.25">
      <c r="A1442" s="10">
        <v>1441</v>
      </c>
      <c r="B1442" s="9">
        <v>6.3014849999999996</v>
      </c>
    </row>
    <row r="1443" spans="1:2" x14ac:dyDescent="0.25">
      <c r="A1443" s="10">
        <v>1442</v>
      </c>
      <c r="B1443" s="9">
        <v>6.3026559999999998</v>
      </c>
    </row>
    <row r="1444" spans="1:2" x14ac:dyDescent="0.25">
      <c r="A1444" s="10">
        <v>1443</v>
      </c>
      <c r="B1444" s="9">
        <v>6.3038280000000002</v>
      </c>
    </row>
    <row r="1445" spans="1:2" x14ac:dyDescent="0.25">
      <c r="A1445" s="10">
        <v>1444</v>
      </c>
      <c r="B1445" s="9">
        <v>6.3049999999999997</v>
      </c>
    </row>
    <row r="1446" spans="1:2" x14ac:dyDescent="0.25">
      <c r="A1446" s="10">
        <v>1445</v>
      </c>
      <c r="B1446" s="9">
        <v>6.3061720000000001</v>
      </c>
    </row>
    <row r="1447" spans="1:2" x14ac:dyDescent="0.25">
      <c r="A1447" s="10">
        <v>1446</v>
      </c>
      <c r="B1447" s="9">
        <v>6.3073439999999996</v>
      </c>
    </row>
    <row r="1448" spans="1:2" x14ac:dyDescent="0.25">
      <c r="A1448" s="10">
        <v>1447</v>
      </c>
      <c r="B1448" s="9">
        <v>6.308516</v>
      </c>
    </row>
    <row r="1449" spans="1:2" x14ac:dyDescent="0.25">
      <c r="A1449" s="10">
        <v>1448</v>
      </c>
      <c r="B1449" s="9">
        <v>6.3096880000000004</v>
      </c>
    </row>
    <row r="1450" spans="1:2" x14ac:dyDescent="0.25">
      <c r="A1450" s="10">
        <v>1449</v>
      </c>
      <c r="B1450" s="9">
        <v>6.3108599999999999</v>
      </c>
    </row>
    <row r="1451" spans="1:2" x14ac:dyDescent="0.25">
      <c r="A1451" s="10">
        <v>1450</v>
      </c>
      <c r="B1451" s="9">
        <v>6.3120310000000002</v>
      </c>
    </row>
    <row r="1452" spans="1:2" x14ac:dyDescent="0.25">
      <c r="A1452" s="10">
        <v>1451</v>
      </c>
      <c r="B1452" s="9">
        <v>6.3132029999999997</v>
      </c>
    </row>
    <row r="1453" spans="1:2" x14ac:dyDescent="0.25">
      <c r="A1453" s="10">
        <v>1452</v>
      </c>
      <c r="B1453" s="9">
        <v>6.3143750000000001</v>
      </c>
    </row>
    <row r="1454" spans="1:2" x14ac:dyDescent="0.25">
      <c r="A1454" s="10">
        <v>1453</v>
      </c>
      <c r="B1454" s="9">
        <v>6.3155469999999996</v>
      </c>
    </row>
    <row r="1455" spans="1:2" x14ac:dyDescent="0.25">
      <c r="A1455" s="10">
        <v>1454</v>
      </c>
      <c r="B1455" s="9">
        <v>6.316719</v>
      </c>
    </row>
    <row r="1456" spans="1:2" x14ac:dyDescent="0.25">
      <c r="A1456" s="10">
        <v>1455</v>
      </c>
      <c r="B1456" s="9">
        <v>6.3178910000000004</v>
      </c>
    </row>
    <row r="1457" spans="1:2" x14ac:dyDescent="0.25">
      <c r="A1457" s="10">
        <v>1456</v>
      </c>
      <c r="B1457" s="9">
        <v>6.3190629999999999</v>
      </c>
    </row>
    <row r="1458" spans="1:2" x14ac:dyDescent="0.25">
      <c r="A1458" s="10">
        <v>1457</v>
      </c>
      <c r="B1458" s="9">
        <v>6.3202340000000001</v>
      </c>
    </row>
    <row r="1459" spans="1:2" x14ac:dyDescent="0.25">
      <c r="A1459" s="10">
        <v>1458</v>
      </c>
      <c r="B1459" s="9">
        <v>6.3214059999999996</v>
      </c>
    </row>
    <row r="1460" spans="1:2" x14ac:dyDescent="0.25">
      <c r="A1460" s="10">
        <v>1459</v>
      </c>
      <c r="B1460" s="9">
        <v>6.322578</v>
      </c>
    </row>
    <row r="1461" spans="1:2" x14ac:dyDescent="0.25">
      <c r="A1461" s="10">
        <v>1460</v>
      </c>
      <c r="B1461" s="9">
        <v>6.3237500000000004</v>
      </c>
    </row>
    <row r="1462" spans="1:2" x14ac:dyDescent="0.25">
      <c r="A1462" s="10">
        <v>1461</v>
      </c>
      <c r="B1462" s="9">
        <v>6.3249219999999999</v>
      </c>
    </row>
    <row r="1463" spans="1:2" x14ac:dyDescent="0.25">
      <c r="A1463" s="10">
        <v>1462</v>
      </c>
      <c r="B1463" s="9">
        <v>6.3260940000000003</v>
      </c>
    </row>
    <row r="1464" spans="1:2" x14ac:dyDescent="0.25">
      <c r="A1464" s="10">
        <v>1463</v>
      </c>
      <c r="B1464" s="9">
        <v>6.3272659999999998</v>
      </c>
    </row>
    <row r="1465" spans="1:2" x14ac:dyDescent="0.25">
      <c r="A1465" s="10">
        <v>1464</v>
      </c>
      <c r="B1465" s="9">
        <v>6.3284380000000002</v>
      </c>
    </row>
    <row r="1466" spans="1:2" x14ac:dyDescent="0.25">
      <c r="A1466" s="10">
        <v>1465</v>
      </c>
      <c r="B1466" s="9">
        <v>6.3296089999999996</v>
      </c>
    </row>
    <row r="1467" spans="1:2" x14ac:dyDescent="0.25">
      <c r="A1467" s="10">
        <v>1466</v>
      </c>
      <c r="B1467" s="9">
        <v>6.330781</v>
      </c>
    </row>
    <row r="1468" spans="1:2" x14ac:dyDescent="0.25">
      <c r="A1468" s="10">
        <v>1467</v>
      </c>
      <c r="B1468" s="9">
        <v>6.3319530000000004</v>
      </c>
    </row>
    <row r="1469" spans="1:2" x14ac:dyDescent="0.25">
      <c r="A1469" s="10">
        <v>1468</v>
      </c>
      <c r="B1469" s="9">
        <v>6.3331249999999999</v>
      </c>
    </row>
    <row r="1470" spans="1:2" x14ac:dyDescent="0.25">
      <c r="A1470" s="10">
        <v>1469</v>
      </c>
      <c r="B1470" s="9">
        <v>6.3342970000000003</v>
      </c>
    </row>
    <row r="1471" spans="1:2" x14ac:dyDescent="0.25">
      <c r="A1471" s="10">
        <v>1470</v>
      </c>
      <c r="B1471" s="9">
        <v>6.3354689999999998</v>
      </c>
    </row>
    <row r="1472" spans="1:2" x14ac:dyDescent="0.25">
      <c r="A1472" s="10">
        <v>1471</v>
      </c>
      <c r="B1472" s="9">
        <v>6.3366410000000002</v>
      </c>
    </row>
    <row r="1473" spans="1:2" x14ac:dyDescent="0.25">
      <c r="A1473" s="10">
        <v>1472</v>
      </c>
      <c r="B1473" s="9">
        <v>6.3378119999999996</v>
      </c>
    </row>
    <row r="1474" spans="1:2" x14ac:dyDescent="0.25">
      <c r="A1474" s="10">
        <v>1473</v>
      </c>
      <c r="B1474" s="9">
        <v>6.338984</v>
      </c>
    </row>
    <row r="1475" spans="1:2" x14ac:dyDescent="0.25">
      <c r="A1475" s="10">
        <v>1474</v>
      </c>
      <c r="B1475" s="9">
        <v>6.3401569999999996</v>
      </c>
    </row>
    <row r="1476" spans="1:2" x14ac:dyDescent="0.25">
      <c r="A1476" s="10">
        <v>1475</v>
      </c>
      <c r="B1476" s="9">
        <v>6.3413279999999999</v>
      </c>
    </row>
    <row r="1477" spans="1:2" x14ac:dyDescent="0.25">
      <c r="A1477" s="10">
        <v>1476</v>
      </c>
      <c r="B1477" s="9">
        <v>6.3425000000000002</v>
      </c>
    </row>
    <row r="1478" spans="1:2" x14ac:dyDescent="0.25">
      <c r="A1478" s="10">
        <v>1477</v>
      </c>
      <c r="B1478" s="9">
        <v>6.3436719999999998</v>
      </c>
    </row>
    <row r="1479" spans="1:2" x14ac:dyDescent="0.25">
      <c r="A1479" s="10">
        <v>1478</v>
      </c>
      <c r="B1479" s="9">
        <v>6.3448440000000002</v>
      </c>
    </row>
    <row r="1480" spans="1:2" x14ac:dyDescent="0.25">
      <c r="A1480" s="10">
        <v>1479</v>
      </c>
      <c r="B1480" s="9">
        <v>6.3460159999999997</v>
      </c>
    </row>
    <row r="1481" spans="1:2" x14ac:dyDescent="0.25">
      <c r="A1481" s="10">
        <v>1480</v>
      </c>
      <c r="B1481" s="9">
        <v>6.3471880000000001</v>
      </c>
    </row>
    <row r="1482" spans="1:2" x14ac:dyDescent="0.25">
      <c r="A1482" s="10">
        <v>1481</v>
      </c>
      <c r="B1482" s="9">
        <v>6.3483599999999996</v>
      </c>
    </row>
    <row r="1483" spans="1:2" x14ac:dyDescent="0.25">
      <c r="A1483" s="10">
        <v>1482</v>
      </c>
      <c r="B1483" s="9">
        <v>6.3495309999999998</v>
      </c>
    </row>
    <row r="1484" spans="1:2" x14ac:dyDescent="0.25">
      <c r="A1484" s="10">
        <v>1483</v>
      </c>
      <c r="B1484" s="9">
        <v>6.3507030000000002</v>
      </c>
    </row>
    <row r="1485" spans="1:2" x14ac:dyDescent="0.25">
      <c r="A1485" s="10">
        <v>1484</v>
      </c>
      <c r="B1485" s="9">
        <v>6.3518749999999997</v>
      </c>
    </row>
    <row r="1486" spans="1:2" x14ac:dyDescent="0.25">
      <c r="A1486" s="10">
        <v>1485</v>
      </c>
      <c r="B1486" s="9">
        <v>6.3530470000000001</v>
      </c>
    </row>
    <row r="1487" spans="1:2" x14ac:dyDescent="0.25">
      <c r="A1487" s="10">
        <v>1486</v>
      </c>
      <c r="B1487" s="9">
        <v>6.3542189999999996</v>
      </c>
    </row>
    <row r="1488" spans="1:2" x14ac:dyDescent="0.25">
      <c r="A1488" s="10">
        <v>1487</v>
      </c>
      <c r="B1488" s="9">
        <v>6.355391</v>
      </c>
    </row>
    <row r="1489" spans="1:2" x14ac:dyDescent="0.25">
      <c r="A1489" s="10">
        <v>1488</v>
      </c>
      <c r="B1489" s="9">
        <v>6.3565630000000004</v>
      </c>
    </row>
    <row r="1490" spans="1:2" x14ac:dyDescent="0.25">
      <c r="A1490" s="10">
        <v>1489</v>
      </c>
      <c r="B1490" s="9">
        <v>6.3577349999999999</v>
      </c>
    </row>
    <row r="1491" spans="1:2" x14ac:dyDescent="0.25">
      <c r="A1491" s="10">
        <v>1490</v>
      </c>
      <c r="B1491" s="9">
        <v>6.3589060000000002</v>
      </c>
    </row>
    <row r="1492" spans="1:2" x14ac:dyDescent="0.25">
      <c r="A1492" s="10">
        <v>1491</v>
      </c>
      <c r="B1492" s="9">
        <v>6.3600779999999997</v>
      </c>
    </row>
    <row r="1493" spans="1:2" x14ac:dyDescent="0.25">
      <c r="A1493" s="10">
        <v>1492</v>
      </c>
      <c r="B1493" s="9">
        <v>6.3612500000000001</v>
      </c>
    </row>
    <row r="1494" spans="1:2" x14ac:dyDescent="0.25">
      <c r="A1494" s="10">
        <v>1493</v>
      </c>
      <c r="B1494" s="9">
        <v>6.3624219999999996</v>
      </c>
    </row>
    <row r="1495" spans="1:2" x14ac:dyDescent="0.25">
      <c r="A1495" s="10">
        <v>1494</v>
      </c>
      <c r="B1495" s="9">
        <v>6.363594</v>
      </c>
    </row>
    <row r="1496" spans="1:2" x14ac:dyDescent="0.25">
      <c r="A1496" s="10">
        <v>1495</v>
      </c>
      <c r="B1496" s="9">
        <v>6.3647660000000004</v>
      </c>
    </row>
    <row r="1497" spans="1:2" x14ac:dyDescent="0.25">
      <c r="A1497" s="10">
        <v>1496</v>
      </c>
      <c r="B1497" s="9">
        <v>6.3659379999999999</v>
      </c>
    </row>
    <row r="1498" spans="1:2" x14ac:dyDescent="0.25">
      <c r="A1498" s="10">
        <v>1497</v>
      </c>
      <c r="B1498" s="9">
        <v>6.3671090000000001</v>
      </c>
    </row>
    <row r="1499" spans="1:2" x14ac:dyDescent="0.25">
      <c r="A1499" s="10">
        <v>1498</v>
      </c>
      <c r="B1499" s="9">
        <v>6.3682809999999996</v>
      </c>
    </row>
    <row r="1500" spans="1:2" x14ac:dyDescent="0.25">
      <c r="A1500" s="10">
        <v>1499</v>
      </c>
      <c r="B1500" s="9">
        <v>6.369453</v>
      </c>
    </row>
    <row r="1501" spans="1:2" x14ac:dyDescent="0.25">
      <c r="A1501" s="10">
        <v>1500</v>
      </c>
      <c r="B1501" s="9">
        <v>6.3706250000000004</v>
      </c>
    </row>
    <row r="1502" spans="1:2" x14ac:dyDescent="0.25">
      <c r="A1502" s="10">
        <v>1501</v>
      </c>
      <c r="B1502" s="9">
        <v>6.3717969999999999</v>
      </c>
    </row>
    <row r="1503" spans="1:2" x14ac:dyDescent="0.25">
      <c r="A1503" s="10">
        <v>1502</v>
      </c>
      <c r="B1503" s="9">
        <v>6.3729690000000003</v>
      </c>
    </row>
    <row r="1504" spans="1:2" x14ac:dyDescent="0.25">
      <c r="A1504" s="10">
        <v>1503</v>
      </c>
      <c r="B1504" s="9">
        <v>6.3741409999999998</v>
      </c>
    </row>
    <row r="1505" spans="1:2" x14ac:dyDescent="0.25">
      <c r="A1505" s="10">
        <v>1504</v>
      </c>
      <c r="B1505" s="9">
        <v>6.3753130000000002</v>
      </c>
    </row>
    <row r="1506" spans="1:2" x14ac:dyDescent="0.25">
      <c r="A1506" s="10">
        <v>1505</v>
      </c>
      <c r="B1506" s="9">
        <v>6.3764839999999996</v>
      </c>
    </row>
    <row r="1507" spans="1:2" x14ac:dyDescent="0.25">
      <c r="A1507" s="10">
        <v>1506</v>
      </c>
      <c r="B1507" s="9">
        <v>6.377656</v>
      </c>
    </row>
    <row r="1508" spans="1:2" x14ac:dyDescent="0.25">
      <c r="A1508" s="10">
        <v>1507</v>
      </c>
      <c r="B1508" s="9">
        <v>6.3788280000000004</v>
      </c>
    </row>
    <row r="1509" spans="1:2" x14ac:dyDescent="0.25">
      <c r="A1509" s="10">
        <v>1508</v>
      </c>
      <c r="B1509" s="9">
        <v>6.38</v>
      </c>
    </row>
    <row r="1510" spans="1:2" x14ac:dyDescent="0.25">
      <c r="A1510" s="10">
        <v>1509</v>
      </c>
      <c r="B1510" s="9">
        <v>6.3812350000000002</v>
      </c>
    </row>
    <row r="1511" spans="1:2" x14ac:dyDescent="0.25">
      <c r="A1511" s="10">
        <v>1510</v>
      </c>
      <c r="B1511" s="9">
        <v>6.3824699999999996</v>
      </c>
    </row>
    <row r="1512" spans="1:2" x14ac:dyDescent="0.25">
      <c r="A1512" s="10">
        <v>1511</v>
      </c>
      <c r="B1512" s="9">
        <v>6.3837060000000001</v>
      </c>
    </row>
    <row r="1513" spans="1:2" x14ac:dyDescent="0.25">
      <c r="A1513" s="10">
        <v>1512</v>
      </c>
      <c r="B1513" s="9">
        <v>6.3849410000000004</v>
      </c>
    </row>
    <row r="1514" spans="1:2" x14ac:dyDescent="0.25">
      <c r="A1514" s="10">
        <v>1513</v>
      </c>
      <c r="B1514" s="9">
        <v>6.3861759999999999</v>
      </c>
    </row>
    <row r="1515" spans="1:2" x14ac:dyDescent="0.25">
      <c r="A1515" s="10">
        <v>1514</v>
      </c>
      <c r="B1515" s="9">
        <v>6.3874110000000002</v>
      </c>
    </row>
    <row r="1516" spans="1:2" x14ac:dyDescent="0.25">
      <c r="A1516" s="10">
        <v>1515</v>
      </c>
      <c r="B1516" s="9">
        <v>6.3886459999999996</v>
      </c>
    </row>
    <row r="1517" spans="1:2" x14ac:dyDescent="0.25">
      <c r="A1517" s="10">
        <v>1516</v>
      </c>
      <c r="B1517" s="9">
        <v>6.3898809999999999</v>
      </c>
    </row>
    <row r="1518" spans="1:2" x14ac:dyDescent="0.25">
      <c r="A1518" s="10">
        <v>1517</v>
      </c>
      <c r="B1518" s="9">
        <v>6.3911160000000002</v>
      </c>
    </row>
    <row r="1519" spans="1:2" x14ac:dyDescent="0.25">
      <c r="A1519" s="10">
        <v>1518</v>
      </c>
      <c r="B1519" s="9">
        <v>6.3923509999999997</v>
      </c>
    </row>
    <row r="1520" spans="1:2" x14ac:dyDescent="0.25">
      <c r="A1520" s="10">
        <v>1519</v>
      </c>
      <c r="B1520" s="9">
        <v>6.393586</v>
      </c>
    </row>
    <row r="1521" spans="1:2" x14ac:dyDescent="0.25">
      <c r="A1521" s="10">
        <v>1520</v>
      </c>
      <c r="B1521" s="9">
        <v>6.3948210000000003</v>
      </c>
    </row>
    <row r="1522" spans="1:2" x14ac:dyDescent="0.25">
      <c r="A1522" s="10">
        <v>1521</v>
      </c>
      <c r="B1522" s="9">
        <v>6.3960559999999997</v>
      </c>
    </row>
    <row r="1523" spans="1:2" x14ac:dyDescent="0.25">
      <c r="A1523" s="10">
        <v>1522</v>
      </c>
      <c r="B1523" s="9">
        <v>6.3972910000000001</v>
      </c>
    </row>
    <row r="1524" spans="1:2" x14ac:dyDescent="0.25">
      <c r="A1524" s="10">
        <v>1523</v>
      </c>
      <c r="B1524" s="9">
        <v>6.3985260000000004</v>
      </c>
    </row>
    <row r="1525" spans="1:2" x14ac:dyDescent="0.25">
      <c r="A1525" s="10">
        <v>1524</v>
      </c>
      <c r="B1525" s="9">
        <v>6.3997609999999998</v>
      </c>
    </row>
    <row r="1526" spans="1:2" x14ac:dyDescent="0.25">
      <c r="A1526" s="10">
        <v>1525</v>
      </c>
      <c r="B1526" s="9">
        <v>6.4009960000000001</v>
      </c>
    </row>
    <row r="1527" spans="1:2" x14ac:dyDescent="0.25">
      <c r="A1527" s="10">
        <v>1526</v>
      </c>
      <c r="B1527" s="9">
        <v>6.4022309999999996</v>
      </c>
    </row>
    <row r="1528" spans="1:2" x14ac:dyDescent="0.25">
      <c r="A1528" s="10">
        <v>1527</v>
      </c>
      <c r="B1528" s="9">
        <v>6.4034659999999999</v>
      </c>
    </row>
    <row r="1529" spans="1:2" x14ac:dyDescent="0.25">
      <c r="A1529" s="10">
        <v>1528</v>
      </c>
      <c r="B1529" s="9">
        <v>6.4047010000000002</v>
      </c>
    </row>
    <row r="1530" spans="1:2" x14ac:dyDescent="0.25">
      <c r="A1530" s="10">
        <v>1529</v>
      </c>
      <c r="B1530" s="9">
        <v>6.4059359999999996</v>
      </c>
    </row>
    <row r="1531" spans="1:2" x14ac:dyDescent="0.25">
      <c r="A1531" s="10">
        <v>1530</v>
      </c>
      <c r="B1531" s="9">
        <v>6.4071720000000001</v>
      </c>
    </row>
    <row r="1532" spans="1:2" x14ac:dyDescent="0.25">
      <c r="A1532" s="10">
        <v>1531</v>
      </c>
      <c r="B1532" s="9">
        <v>6.4084070000000004</v>
      </c>
    </row>
    <row r="1533" spans="1:2" x14ac:dyDescent="0.25">
      <c r="A1533" s="10">
        <v>1532</v>
      </c>
      <c r="B1533" s="9">
        <v>6.4096419999999998</v>
      </c>
    </row>
    <row r="1534" spans="1:2" x14ac:dyDescent="0.25">
      <c r="A1534" s="10">
        <v>1533</v>
      </c>
      <c r="B1534" s="9">
        <v>6.4108770000000002</v>
      </c>
    </row>
    <row r="1535" spans="1:2" x14ac:dyDescent="0.25">
      <c r="A1535" s="10">
        <v>1534</v>
      </c>
      <c r="B1535" s="9">
        <v>6.4121119999999996</v>
      </c>
    </row>
    <row r="1536" spans="1:2" x14ac:dyDescent="0.25">
      <c r="A1536" s="10">
        <v>1535</v>
      </c>
      <c r="B1536" s="9">
        <v>6.4133469999999999</v>
      </c>
    </row>
    <row r="1537" spans="1:2" x14ac:dyDescent="0.25">
      <c r="A1537" s="10">
        <v>1536</v>
      </c>
      <c r="B1537" s="9">
        <v>6.4145820000000002</v>
      </c>
    </row>
    <row r="1538" spans="1:2" x14ac:dyDescent="0.25">
      <c r="A1538" s="10">
        <v>1537</v>
      </c>
      <c r="B1538" s="9">
        <v>6.4158169999999997</v>
      </c>
    </row>
    <row r="1539" spans="1:2" x14ac:dyDescent="0.25">
      <c r="A1539" s="10">
        <v>1538</v>
      </c>
      <c r="B1539" s="9">
        <v>6.417052</v>
      </c>
    </row>
    <row r="1540" spans="1:2" x14ac:dyDescent="0.25">
      <c r="A1540" s="10">
        <v>1539</v>
      </c>
      <c r="B1540" s="9">
        <v>6.4182870000000003</v>
      </c>
    </row>
    <row r="1541" spans="1:2" x14ac:dyDescent="0.25">
      <c r="A1541" s="10">
        <v>1540</v>
      </c>
      <c r="B1541" s="9">
        <v>6.4195219999999997</v>
      </c>
    </row>
    <row r="1542" spans="1:2" x14ac:dyDescent="0.25">
      <c r="A1542" s="10">
        <v>1541</v>
      </c>
      <c r="B1542" s="9">
        <v>6.420757</v>
      </c>
    </row>
    <row r="1543" spans="1:2" x14ac:dyDescent="0.25">
      <c r="A1543" s="10">
        <v>1542</v>
      </c>
      <c r="B1543" s="9">
        <v>6.4219920000000004</v>
      </c>
    </row>
    <row r="1544" spans="1:2" x14ac:dyDescent="0.25">
      <c r="A1544" s="10">
        <v>1543</v>
      </c>
      <c r="B1544" s="9">
        <v>6.4232269999999998</v>
      </c>
    </row>
    <row r="1545" spans="1:2" x14ac:dyDescent="0.25">
      <c r="A1545" s="10">
        <v>1544</v>
      </c>
      <c r="B1545" s="9">
        <v>6.4244620000000001</v>
      </c>
    </row>
    <row r="1546" spans="1:2" x14ac:dyDescent="0.25">
      <c r="A1546" s="10">
        <v>1545</v>
      </c>
      <c r="B1546" s="9">
        <v>6.4256970000000004</v>
      </c>
    </row>
    <row r="1547" spans="1:2" x14ac:dyDescent="0.25">
      <c r="A1547" s="10">
        <v>1546</v>
      </c>
      <c r="B1547" s="9">
        <v>6.4269319999999999</v>
      </c>
    </row>
    <row r="1548" spans="1:2" x14ac:dyDescent="0.25">
      <c r="A1548" s="10">
        <v>1547</v>
      </c>
      <c r="B1548" s="9">
        <v>6.4281670000000002</v>
      </c>
    </row>
    <row r="1549" spans="1:2" x14ac:dyDescent="0.25">
      <c r="A1549" s="10">
        <v>1548</v>
      </c>
      <c r="B1549" s="9">
        <v>6.4294029999999998</v>
      </c>
    </row>
    <row r="1550" spans="1:2" x14ac:dyDescent="0.25">
      <c r="A1550" s="10">
        <v>1549</v>
      </c>
      <c r="B1550" s="9">
        <v>6.4306380000000001</v>
      </c>
    </row>
    <row r="1551" spans="1:2" x14ac:dyDescent="0.25">
      <c r="A1551" s="10">
        <v>1550</v>
      </c>
      <c r="B1551" s="9">
        <v>6.4318730000000004</v>
      </c>
    </row>
    <row r="1552" spans="1:2" x14ac:dyDescent="0.25">
      <c r="A1552" s="10">
        <v>1551</v>
      </c>
      <c r="B1552" s="9">
        <v>6.4331079999999998</v>
      </c>
    </row>
    <row r="1553" spans="1:2" x14ac:dyDescent="0.25">
      <c r="A1553" s="10">
        <v>1552</v>
      </c>
      <c r="B1553" s="9">
        <v>6.4343430000000001</v>
      </c>
    </row>
    <row r="1554" spans="1:2" x14ac:dyDescent="0.25">
      <c r="A1554" s="10">
        <v>1553</v>
      </c>
      <c r="B1554" s="9">
        <v>6.4355779999999996</v>
      </c>
    </row>
    <row r="1555" spans="1:2" x14ac:dyDescent="0.25">
      <c r="A1555" s="10">
        <v>1554</v>
      </c>
      <c r="B1555" s="9">
        <v>6.4368129999999999</v>
      </c>
    </row>
    <row r="1556" spans="1:2" x14ac:dyDescent="0.25">
      <c r="A1556" s="10">
        <v>1555</v>
      </c>
      <c r="B1556" s="9">
        <v>6.4380480000000002</v>
      </c>
    </row>
    <row r="1557" spans="1:2" x14ac:dyDescent="0.25">
      <c r="A1557" s="10">
        <v>1556</v>
      </c>
      <c r="B1557" s="9">
        <v>6.4392829999999996</v>
      </c>
    </row>
    <row r="1558" spans="1:2" x14ac:dyDescent="0.25">
      <c r="A1558" s="10">
        <v>1557</v>
      </c>
      <c r="B1558" s="9">
        <v>6.440518</v>
      </c>
    </row>
    <row r="1559" spans="1:2" x14ac:dyDescent="0.25">
      <c r="A1559" s="10">
        <v>1558</v>
      </c>
      <c r="B1559" s="9">
        <v>6.4417530000000003</v>
      </c>
    </row>
    <row r="1560" spans="1:2" x14ac:dyDescent="0.25">
      <c r="A1560" s="10">
        <v>1559</v>
      </c>
      <c r="B1560" s="9">
        <v>6.4429879999999997</v>
      </c>
    </row>
    <row r="1561" spans="1:2" x14ac:dyDescent="0.25">
      <c r="A1561" s="10">
        <v>1560</v>
      </c>
      <c r="B1561" s="9">
        <v>6.444223</v>
      </c>
    </row>
    <row r="1562" spans="1:2" x14ac:dyDescent="0.25">
      <c r="A1562" s="10">
        <v>1561</v>
      </c>
      <c r="B1562" s="9">
        <v>6.4454580000000004</v>
      </c>
    </row>
    <row r="1563" spans="1:2" x14ac:dyDescent="0.25">
      <c r="A1563" s="10">
        <v>1562</v>
      </c>
      <c r="B1563" s="9">
        <v>6.4466929999999998</v>
      </c>
    </row>
    <row r="1564" spans="1:2" x14ac:dyDescent="0.25">
      <c r="A1564" s="10">
        <v>1563</v>
      </c>
      <c r="B1564" s="9">
        <v>6.4479280000000001</v>
      </c>
    </row>
    <row r="1565" spans="1:2" x14ac:dyDescent="0.25">
      <c r="A1565" s="10">
        <v>1564</v>
      </c>
      <c r="B1565" s="9">
        <v>6.4491630000000004</v>
      </c>
    </row>
    <row r="1566" spans="1:2" x14ac:dyDescent="0.25">
      <c r="A1566" s="10">
        <v>1565</v>
      </c>
      <c r="B1566" s="9">
        <v>6.4503979999999999</v>
      </c>
    </row>
    <row r="1567" spans="1:2" x14ac:dyDescent="0.25">
      <c r="A1567" s="10">
        <v>1566</v>
      </c>
      <c r="B1567" s="9">
        <v>6.4516330000000002</v>
      </c>
    </row>
    <row r="1568" spans="1:2" x14ac:dyDescent="0.25">
      <c r="A1568" s="10">
        <v>1567</v>
      </c>
      <c r="B1568" s="9">
        <v>6.4528689999999997</v>
      </c>
    </row>
    <row r="1569" spans="1:2" x14ac:dyDescent="0.25">
      <c r="A1569" s="10">
        <v>1568</v>
      </c>
      <c r="B1569" s="9">
        <v>6.4541040000000001</v>
      </c>
    </row>
    <row r="1570" spans="1:2" x14ac:dyDescent="0.25">
      <c r="A1570" s="10">
        <v>1569</v>
      </c>
      <c r="B1570" s="9">
        <v>6.4553390000000004</v>
      </c>
    </row>
    <row r="1571" spans="1:2" x14ac:dyDescent="0.25">
      <c r="A1571" s="10">
        <v>1570</v>
      </c>
      <c r="B1571" s="9">
        <v>6.4565739999999998</v>
      </c>
    </row>
    <row r="1572" spans="1:2" x14ac:dyDescent="0.25">
      <c r="A1572" s="10">
        <v>1571</v>
      </c>
      <c r="B1572" s="9">
        <v>6.4578090000000001</v>
      </c>
    </row>
    <row r="1573" spans="1:2" x14ac:dyDescent="0.25">
      <c r="A1573" s="10">
        <v>1572</v>
      </c>
      <c r="B1573" s="9">
        <v>6.4590439999999996</v>
      </c>
    </row>
    <row r="1574" spans="1:2" x14ac:dyDescent="0.25">
      <c r="A1574" s="10">
        <v>1573</v>
      </c>
      <c r="B1574" s="9">
        <v>6.4602789999999999</v>
      </c>
    </row>
    <row r="1575" spans="1:2" x14ac:dyDescent="0.25">
      <c r="A1575" s="10">
        <v>1574</v>
      </c>
      <c r="B1575" s="9">
        <v>6.4615140000000002</v>
      </c>
    </row>
    <row r="1576" spans="1:2" x14ac:dyDescent="0.25">
      <c r="A1576" s="10">
        <v>1575</v>
      </c>
      <c r="B1576" s="9">
        <v>6.4627489999999996</v>
      </c>
    </row>
    <row r="1577" spans="1:2" x14ac:dyDescent="0.25">
      <c r="A1577" s="10">
        <v>1576</v>
      </c>
      <c r="B1577" s="9">
        <v>6.463984</v>
      </c>
    </row>
    <row r="1578" spans="1:2" x14ac:dyDescent="0.25">
      <c r="A1578" s="10">
        <v>1577</v>
      </c>
      <c r="B1578" s="9">
        <v>6.4652190000000003</v>
      </c>
    </row>
    <row r="1579" spans="1:2" x14ac:dyDescent="0.25">
      <c r="A1579" s="10">
        <v>1578</v>
      </c>
      <c r="B1579" s="9">
        <v>6.4664549999999998</v>
      </c>
    </row>
    <row r="1580" spans="1:2" x14ac:dyDescent="0.25">
      <c r="A1580" s="10">
        <v>1579</v>
      </c>
      <c r="B1580" s="9">
        <v>6.4676900000000002</v>
      </c>
    </row>
    <row r="1581" spans="1:2" x14ac:dyDescent="0.25">
      <c r="A1581" s="10">
        <v>1580</v>
      </c>
      <c r="B1581" s="9">
        <v>6.4689249999999996</v>
      </c>
    </row>
    <row r="1582" spans="1:2" x14ac:dyDescent="0.25">
      <c r="A1582" s="10">
        <v>1581</v>
      </c>
      <c r="B1582" s="9">
        <v>6.4701599999999999</v>
      </c>
    </row>
    <row r="1583" spans="1:2" x14ac:dyDescent="0.25">
      <c r="A1583" s="10">
        <v>1582</v>
      </c>
      <c r="B1583" s="9">
        <v>6.4713950000000002</v>
      </c>
    </row>
    <row r="1584" spans="1:2" x14ac:dyDescent="0.25">
      <c r="A1584" s="10">
        <v>1583</v>
      </c>
      <c r="B1584" s="9">
        <v>6.4726299999999997</v>
      </c>
    </row>
    <row r="1585" spans="1:2" x14ac:dyDescent="0.25">
      <c r="A1585" s="10">
        <v>1584</v>
      </c>
      <c r="B1585" s="9">
        <v>6.473865</v>
      </c>
    </row>
    <row r="1586" spans="1:2" x14ac:dyDescent="0.25">
      <c r="A1586" s="10">
        <v>1585</v>
      </c>
      <c r="B1586" s="9">
        <v>6.4751000000000003</v>
      </c>
    </row>
    <row r="1587" spans="1:2" x14ac:dyDescent="0.25">
      <c r="A1587" s="10">
        <v>1586</v>
      </c>
      <c r="B1587" s="9">
        <v>6.4763349999999997</v>
      </c>
    </row>
    <row r="1588" spans="1:2" x14ac:dyDescent="0.25">
      <c r="A1588" s="10">
        <v>1587</v>
      </c>
      <c r="B1588" s="9">
        <v>6.4775700000000001</v>
      </c>
    </row>
    <row r="1589" spans="1:2" x14ac:dyDescent="0.25">
      <c r="A1589" s="10">
        <v>1588</v>
      </c>
      <c r="B1589" s="9">
        <v>6.4788050000000004</v>
      </c>
    </row>
    <row r="1590" spans="1:2" x14ac:dyDescent="0.25">
      <c r="A1590" s="10">
        <v>1589</v>
      </c>
      <c r="B1590" s="9">
        <v>6.4800399999999998</v>
      </c>
    </row>
    <row r="1591" spans="1:2" x14ac:dyDescent="0.25">
      <c r="A1591" s="10">
        <v>1590</v>
      </c>
      <c r="B1591" s="9">
        <v>6.4812750000000001</v>
      </c>
    </row>
    <row r="1592" spans="1:2" x14ac:dyDescent="0.25">
      <c r="A1592" s="10">
        <v>1591</v>
      </c>
      <c r="B1592" s="9">
        <v>6.4825100000000004</v>
      </c>
    </row>
    <row r="1593" spans="1:2" x14ac:dyDescent="0.25">
      <c r="A1593" s="10">
        <v>1592</v>
      </c>
      <c r="B1593" s="9">
        <v>6.483746</v>
      </c>
    </row>
    <row r="1594" spans="1:2" x14ac:dyDescent="0.25">
      <c r="A1594" s="10">
        <v>1593</v>
      </c>
      <c r="B1594" s="9">
        <v>6.4849810000000003</v>
      </c>
    </row>
    <row r="1595" spans="1:2" x14ac:dyDescent="0.25">
      <c r="A1595" s="10">
        <v>1594</v>
      </c>
      <c r="B1595" s="9">
        <v>6.4862159999999998</v>
      </c>
    </row>
    <row r="1596" spans="1:2" x14ac:dyDescent="0.25">
      <c r="A1596" s="10">
        <v>1595</v>
      </c>
      <c r="B1596" s="9">
        <v>6.4874510000000001</v>
      </c>
    </row>
    <row r="1597" spans="1:2" x14ac:dyDescent="0.25">
      <c r="A1597" s="10">
        <v>1596</v>
      </c>
      <c r="B1597" s="9">
        <v>6.4886860000000004</v>
      </c>
    </row>
    <row r="1598" spans="1:2" x14ac:dyDescent="0.25">
      <c r="A1598" s="10">
        <v>1597</v>
      </c>
      <c r="B1598" s="9">
        <v>6.4899209999999998</v>
      </c>
    </row>
    <row r="1599" spans="1:2" x14ac:dyDescent="0.25">
      <c r="A1599" s="10">
        <v>1598</v>
      </c>
      <c r="B1599" s="9">
        <v>6.4911560000000001</v>
      </c>
    </row>
    <row r="1600" spans="1:2" x14ac:dyDescent="0.25">
      <c r="A1600" s="10">
        <v>1599</v>
      </c>
      <c r="B1600" s="9">
        <v>6.4923909999999996</v>
      </c>
    </row>
    <row r="1601" spans="1:2" x14ac:dyDescent="0.25">
      <c r="A1601" s="10">
        <v>1600</v>
      </c>
      <c r="B1601" s="9">
        <v>6.4936259999999999</v>
      </c>
    </row>
    <row r="1602" spans="1:2" x14ac:dyDescent="0.25">
      <c r="A1602" s="10">
        <v>1601</v>
      </c>
      <c r="B1602" s="9">
        <v>6.4948610000000002</v>
      </c>
    </row>
    <row r="1603" spans="1:2" x14ac:dyDescent="0.25">
      <c r="A1603" s="10">
        <v>1602</v>
      </c>
      <c r="B1603" s="9">
        <v>6.4960959999999996</v>
      </c>
    </row>
    <row r="1604" spans="1:2" x14ac:dyDescent="0.25">
      <c r="A1604" s="10">
        <v>1603</v>
      </c>
      <c r="B1604" s="9">
        <v>6.497331</v>
      </c>
    </row>
    <row r="1605" spans="1:2" x14ac:dyDescent="0.25">
      <c r="A1605" s="10">
        <v>1604</v>
      </c>
      <c r="B1605" s="9">
        <v>6.4985660000000003</v>
      </c>
    </row>
    <row r="1606" spans="1:2" x14ac:dyDescent="0.25">
      <c r="A1606" s="10">
        <v>1605</v>
      </c>
      <c r="B1606" s="9">
        <v>6.4998009999999997</v>
      </c>
    </row>
    <row r="1607" spans="1:2" x14ac:dyDescent="0.25">
      <c r="A1607" s="10">
        <v>1606</v>
      </c>
      <c r="B1607" s="9">
        <v>6.501036</v>
      </c>
    </row>
    <row r="1608" spans="1:2" x14ac:dyDescent="0.25">
      <c r="A1608" s="10">
        <v>1607</v>
      </c>
      <c r="B1608" s="9">
        <v>6.5022710000000004</v>
      </c>
    </row>
    <row r="1609" spans="1:2" x14ac:dyDescent="0.25">
      <c r="A1609" s="10">
        <v>1608</v>
      </c>
      <c r="B1609" s="9">
        <v>6.5035059999999998</v>
      </c>
    </row>
    <row r="1610" spans="1:2" x14ac:dyDescent="0.25">
      <c r="A1610" s="10">
        <v>1609</v>
      </c>
      <c r="B1610" s="9">
        <v>6.5047410000000001</v>
      </c>
    </row>
    <row r="1611" spans="1:2" x14ac:dyDescent="0.25">
      <c r="A1611" s="10">
        <v>1610</v>
      </c>
      <c r="B1611" s="9">
        <v>6.5059760000000004</v>
      </c>
    </row>
    <row r="1612" spans="1:2" x14ac:dyDescent="0.25">
      <c r="A1612" s="10">
        <v>1611</v>
      </c>
      <c r="B1612" s="9">
        <v>6.507212</v>
      </c>
    </row>
    <row r="1613" spans="1:2" x14ac:dyDescent="0.25">
      <c r="A1613" s="10">
        <v>1612</v>
      </c>
      <c r="B1613" s="9">
        <v>6.5084470000000003</v>
      </c>
    </row>
    <row r="1614" spans="1:2" x14ac:dyDescent="0.25">
      <c r="A1614" s="10">
        <v>1613</v>
      </c>
      <c r="B1614" s="9">
        <v>6.5096819999999997</v>
      </c>
    </row>
    <row r="1615" spans="1:2" x14ac:dyDescent="0.25">
      <c r="A1615" s="10">
        <v>1614</v>
      </c>
      <c r="B1615" s="9">
        <v>6.5109170000000001</v>
      </c>
    </row>
    <row r="1616" spans="1:2" x14ac:dyDescent="0.25">
      <c r="A1616" s="10">
        <v>1615</v>
      </c>
      <c r="B1616" s="9">
        <v>6.5121520000000004</v>
      </c>
    </row>
    <row r="1617" spans="1:2" x14ac:dyDescent="0.25">
      <c r="A1617" s="10">
        <v>1616</v>
      </c>
      <c r="B1617" s="9">
        <v>6.5133869999999998</v>
      </c>
    </row>
    <row r="1618" spans="1:2" x14ac:dyDescent="0.25">
      <c r="A1618" s="10">
        <v>1617</v>
      </c>
      <c r="B1618" s="9">
        <v>6.5146220000000001</v>
      </c>
    </row>
    <row r="1619" spans="1:2" x14ac:dyDescent="0.25">
      <c r="A1619" s="10">
        <v>1618</v>
      </c>
      <c r="B1619" s="9">
        <v>6.5158569999999996</v>
      </c>
    </row>
    <row r="1620" spans="1:2" x14ac:dyDescent="0.25">
      <c r="A1620" s="10">
        <v>1619</v>
      </c>
      <c r="B1620" s="9">
        <v>6.5170919999999999</v>
      </c>
    </row>
    <row r="1621" spans="1:2" x14ac:dyDescent="0.25">
      <c r="A1621" s="10">
        <v>1620</v>
      </c>
      <c r="B1621" s="9">
        <v>6.5183270000000002</v>
      </c>
    </row>
    <row r="1622" spans="1:2" x14ac:dyDescent="0.25">
      <c r="A1622" s="10">
        <v>1621</v>
      </c>
      <c r="B1622" s="9">
        <v>6.5195619999999996</v>
      </c>
    </row>
    <row r="1623" spans="1:2" x14ac:dyDescent="0.25">
      <c r="A1623" s="10">
        <v>1622</v>
      </c>
      <c r="B1623" s="9">
        <v>6.520797</v>
      </c>
    </row>
    <row r="1624" spans="1:2" x14ac:dyDescent="0.25">
      <c r="A1624" s="10">
        <v>1623</v>
      </c>
      <c r="B1624" s="9">
        <v>6.5220320000000003</v>
      </c>
    </row>
    <row r="1625" spans="1:2" x14ac:dyDescent="0.25">
      <c r="A1625" s="10">
        <v>1624</v>
      </c>
      <c r="B1625" s="9">
        <v>6.5232669999999997</v>
      </c>
    </row>
    <row r="1626" spans="1:2" x14ac:dyDescent="0.25">
      <c r="A1626" s="10">
        <v>1625</v>
      </c>
      <c r="B1626" s="9">
        <v>6.524502</v>
      </c>
    </row>
    <row r="1627" spans="1:2" x14ac:dyDescent="0.25">
      <c r="A1627" s="10">
        <v>1626</v>
      </c>
      <c r="B1627" s="9">
        <v>6.5257370000000003</v>
      </c>
    </row>
    <row r="1628" spans="1:2" x14ac:dyDescent="0.25">
      <c r="A1628" s="10">
        <v>1627</v>
      </c>
      <c r="B1628" s="9">
        <v>6.5269719999999998</v>
      </c>
    </row>
    <row r="1629" spans="1:2" x14ac:dyDescent="0.25">
      <c r="A1629" s="10">
        <v>1628</v>
      </c>
      <c r="B1629" s="9">
        <v>6.5282080000000002</v>
      </c>
    </row>
    <row r="1630" spans="1:2" x14ac:dyDescent="0.25">
      <c r="A1630" s="10">
        <v>1629</v>
      </c>
      <c r="B1630" s="9">
        <v>6.5294429999999997</v>
      </c>
    </row>
    <row r="1631" spans="1:2" x14ac:dyDescent="0.25">
      <c r="A1631" s="10">
        <v>1630</v>
      </c>
      <c r="B1631" s="9">
        <v>6.530678</v>
      </c>
    </row>
    <row r="1632" spans="1:2" x14ac:dyDescent="0.25">
      <c r="A1632" s="10">
        <v>1631</v>
      </c>
      <c r="B1632" s="9">
        <v>6.5319130000000003</v>
      </c>
    </row>
    <row r="1633" spans="1:2" x14ac:dyDescent="0.25">
      <c r="A1633" s="10">
        <v>1632</v>
      </c>
      <c r="B1633" s="9">
        <v>6.5331479999999997</v>
      </c>
    </row>
    <row r="1634" spans="1:2" x14ac:dyDescent="0.25">
      <c r="A1634" s="10">
        <v>1633</v>
      </c>
      <c r="B1634" s="9">
        <v>6.5343830000000001</v>
      </c>
    </row>
    <row r="1635" spans="1:2" x14ac:dyDescent="0.25">
      <c r="A1635" s="10">
        <v>1634</v>
      </c>
      <c r="B1635" s="9">
        <v>6.5356180000000004</v>
      </c>
    </row>
    <row r="1636" spans="1:2" x14ac:dyDescent="0.25">
      <c r="A1636" s="10">
        <v>1635</v>
      </c>
      <c r="B1636" s="9">
        <v>6.5368529999999998</v>
      </c>
    </row>
    <row r="1637" spans="1:2" x14ac:dyDescent="0.25">
      <c r="A1637" s="10">
        <v>1636</v>
      </c>
      <c r="B1637" s="9">
        <v>6.5380880000000001</v>
      </c>
    </row>
    <row r="1638" spans="1:2" x14ac:dyDescent="0.25">
      <c r="A1638" s="10">
        <v>1637</v>
      </c>
      <c r="B1638" s="9">
        <v>6.5393230000000004</v>
      </c>
    </row>
    <row r="1639" spans="1:2" x14ac:dyDescent="0.25">
      <c r="A1639" s="10">
        <v>1638</v>
      </c>
      <c r="B1639" s="9">
        <v>6.5405579999999999</v>
      </c>
    </row>
    <row r="1640" spans="1:2" x14ac:dyDescent="0.25">
      <c r="A1640" s="10">
        <v>1639</v>
      </c>
      <c r="B1640" s="9">
        <v>6.5417930000000002</v>
      </c>
    </row>
    <row r="1641" spans="1:2" x14ac:dyDescent="0.25">
      <c r="A1641" s="10">
        <v>1640</v>
      </c>
      <c r="B1641" s="9">
        <v>6.5430279999999996</v>
      </c>
    </row>
    <row r="1642" spans="1:2" x14ac:dyDescent="0.25">
      <c r="A1642" s="10">
        <v>1641</v>
      </c>
      <c r="B1642" s="9">
        <v>6.5442629999999999</v>
      </c>
    </row>
    <row r="1643" spans="1:2" x14ac:dyDescent="0.25">
      <c r="A1643" s="10">
        <v>1642</v>
      </c>
      <c r="B1643" s="9">
        <v>6.5454980000000003</v>
      </c>
    </row>
    <row r="1644" spans="1:2" x14ac:dyDescent="0.25">
      <c r="A1644" s="10">
        <v>1643</v>
      </c>
      <c r="B1644" s="9">
        <v>6.5467329999999997</v>
      </c>
    </row>
    <row r="1645" spans="1:2" x14ac:dyDescent="0.25">
      <c r="A1645" s="10">
        <v>1644</v>
      </c>
      <c r="B1645" s="9">
        <v>6.547968</v>
      </c>
    </row>
    <row r="1646" spans="1:2" x14ac:dyDescent="0.25">
      <c r="A1646" s="10">
        <v>1645</v>
      </c>
      <c r="B1646" s="9">
        <v>6.5492030000000003</v>
      </c>
    </row>
    <row r="1647" spans="1:2" x14ac:dyDescent="0.25">
      <c r="A1647" s="10">
        <v>1646</v>
      </c>
      <c r="B1647" s="9">
        <v>6.5504379999999998</v>
      </c>
    </row>
    <row r="1648" spans="1:2" x14ac:dyDescent="0.25">
      <c r="A1648" s="10">
        <v>1647</v>
      </c>
      <c r="B1648" s="9">
        <v>6.5516740000000002</v>
      </c>
    </row>
    <row r="1649" spans="1:2" x14ac:dyDescent="0.25">
      <c r="A1649" s="10">
        <v>1648</v>
      </c>
      <c r="B1649" s="9">
        <v>6.5529089999999997</v>
      </c>
    </row>
    <row r="1650" spans="1:2" x14ac:dyDescent="0.25">
      <c r="A1650" s="10">
        <v>1649</v>
      </c>
      <c r="B1650" s="9">
        <v>6.554144</v>
      </c>
    </row>
    <row r="1651" spans="1:2" x14ac:dyDescent="0.25">
      <c r="A1651" s="10">
        <v>1650</v>
      </c>
      <c r="B1651" s="9">
        <v>6.5553790000000003</v>
      </c>
    </row>
    <row r="1652" spans="1:2" x14ac:dyDescent="0.25">
      <c r="A1652" s="10">
        <v>1651</v>
      </c>
      <c r="B1652" s="9">
        <v>6.5566139999999997</v>
      </c>
    </row>
    <row r="1653" spans="1:2" x14ac:dyDescent="0.25">
      <c r="A1653" s="10">
        <v>1652</v>
      </c>
      <c r="B1653" s="9">
        <v>6.557849</v>
      </c>
    </row>
    <row r="1654" spans="1:2" x14ac:dyDescent="0.25">
      <c r="A1654" s="10">
        <v>1653</v>
      </c>
      <c r="B1654" s="9">
        <v>6.5590840000000004</v>
      </c>
    </row>
    <row r="1655" spans="1:2" x14ac:dyDescent="0.25">
      <c r="A1655" s="10">
        <v>1654</v>
      </c>
      <c r="B1655" s="9">
        <v>6.5603189999999998</v>
      </c>
    </row>
    <row r="1656" spans="1:2" x14ac:dyDescent="0.25">
      <c r="A1656" s="10">
        <v>1655</v>
      </c>
      <c r="B1656" s="9">
        <v>6.5615540000000001</v>
      </c>
    </row>
    <row r="1657" spans="1:2" x14ac:dyDescent="0.25">
      <c r="A1657" s="10">
        <v>1656</v>
      </c>
      <c r="B1657" s="9">
        <v>6.5627890000000004</v>
      </c>
    </row>
    <row r="1658" spans="1:2" x14ac:dyDescent="0.25">
      <c r="A1658" s="10">
        <v>1657</v>
      </c>
      <c r="B1658" s="9">
        <v>6.5640239999999999</v>
      </c>
    </row>
    <row r="1659" spans="1:2" x14ac:dyDescent="0.25">
      <c r="A1659" s="10">
        <v>1658</v>
      </c>
      <c r="B1659" s="9">
        <v>6.5652590000000002</v>
      </c>
    </row>
    <row r="1660" spans="1:2" x14ac:dyDescent="0.25">
      <c r="A1660" s="10">
        <v>1659</v>
      </c>
      <c r="B1660" s="9">
        <v>6.5664939999999996</v>
      </c>
    </row>
    <row r="1661" spans="1:2" x14ac:dyDescent="0.25">
      <c r="A1661" s="10">
        <v>1660</v>
      </c>
      <c r="B1661" s="9">
        <v>6.5677289999999999</v>
      </c>
    </row>
    <row r="1662" spans="1:2" x14ac:dyDescent="0.25">
      <c r="A1662" s="10">
        <v>1661</v>
      </c>
      <c r="B1662" s="9">
        <v>6.5689640000000002</v>
      </c>
    </row>
    <row r="1663" spans="1:2" x14ac:dyDescent="0.25">
      <c r="A1663" s="10">
        <v>1662</v>
      </c>
      <c r="B1663" s="9">
        <v>6.5701989999999997</v>
      </c>
    </row>
    <row r="1664" spans="1:2" x14ac:dyDescent="0.25">
      <c r="A1664" s="10">
        <v>1663</v>
      </c>
      <c r="B1664" s="9">
        <v>6.571434</v>
      </c>
    </row>
    <row r="1665" spans="1:2" x14ac:dyDescent="0.25">
      <c r="A1665" s="10">
        <v>1664</v>
      </c>
      <c r="B1665" s="9">
        <v>6.5726699999999996</v>
      </c>
    </row>
    <row r="1666" spans="1:2" x14ac:dyDescent="0.25">
      <c r="A1666" s="10">
        <v>1665</v>
      </c>
      <c r="B1666" s="9">
        <v>6.5739049999999999</v>
      </c>
    </row>
    <row r="1667" spans="1:2" x14ac:dyDescent="0.25">
      <c r="A1667" s="10">
        <v>1666</v>
      </c>
      <c r="B1667" s="9">
        <v>6.5751400000000002</v>
      </c>
    </row>
    <row r="1668" spans="1:2" x14ac:dyDescent="0.25">
      <c r="A1668" s="10">
        <v>1667</v>
      </c>
      <c r="B1668" s="9">
        <v>6.5763749999999996</v>
      </c>
    </row>
    <row r="1669" spans="1:2" x14ac:dyDescent="0.25">
      <c r="A1669" s="10">
        <v>1668</v>
      </c>
      <c r="B1669" s="9">
        <v>6.57761</v>
      </c>
    </row>
    <row r="1670" spans="1:2" x14ac:dyDescent="0.25">
      <c r="A1670" s="10">
        <v>1669</v>
      </c>
      <c r="B1670" s="9">
        <v>6.5788450000000003</v>
      </c>
    </row>
    <row r="1671" spans="1:2" x14ac:dyDescent="0.25">
      <c r="A1671" s="10">
        <v>1670</v>
      </c>
      <c r="B1671" s="9">
        <v>6.5800799999999997</v>
      </c>
    </row>
    <row r="1672" spans="1:2" x14ac:dyDescent="0.25">
      <c r="A1672" s="10">
        <v>1671</v>
      </c>
      <c r="B1672" s="9">
        <v>6.581315</v>
      </c>
    </row>
    <row r="1673" spans="1:2" x14ac:dyDescent="0.25">
      <c r="A1673" s="10">
        <v>1672</v>
      </c>
      <c r="B1673" s="9">
        <v>6.5825500000000003</v>
      </c>
    </row>
    <row r="1674" spans="1:2" x14ac:dyDescent="0.25">
      <c r="A1674" s="10">
        <v>1673</v>
      </c>
      <c r="B1674" s="9">
        <v>6.5837849999999998</v>
      </c>
    </row>
    <row r="1675" spans="1:2" x14ac:dyDescent="0.25">
      <c r="A1675" s="10">
        <v>1674</v>
      </c>
      <c r="B1675" s="9">
        <v>6.5850200000000001</v>
      </c>
    </row>
    <row r="1676" spans="1:2" x14ac:dyDescent="0.25">
      <c r="A1676" s="10">
        <v>1675</v>
      </c>
      <c r="B1676" s="9">
        <v>6.5862550000000004</v>
      </c>
    </row>
    <row r="1677" spans="1:2" x14ac:dyDescent="0.25">
      <c r="A1677" s="10">
        <v>1676</v>
      </c>
      <c r="B1677" s="9">
        <v>6.5874899999999998</v>
      </c>
    </row>
    <row r="1678" spans="1:2" x14ac:dyDescent="0.25">
      <c r="A1678" s="10">
        <v>1677</v>
      </c>
      <c r="B1678" s="9">
        <v>6.5887250000000002</v>
      </c>
    </row>
    <row r="1679" spans="1:2" x14ac:dyDescent="0.25">
      <c r="A1679" s="10">
        <v>1678</v>
      </c>
      <c r="B1679" s="9">
        <v>6.5899599999999996</v>
      </c>
    </row>
    <row r="1680" spans="1:2" x14ac:dyDescent="0.25">
      <c r="A1680" s="10">
        <v>1679</v>
      </c>
      <c r="B1680" s="9">
        <v>6.5911960000000001</v>
      </c>
    </row>
    <row r="1681" spans="1:2" x14ac:dyDescent="0.25">
      <c r="A1681" s="10">
        <v>1680</v>
      </c>
      <c r="B1681" s="9">
        <v>6.5924310000000004</v>
      </c>
    </row>
    <row r="1682" spans="1:2" x14ac:dyDescent="0.25">
      <c r="A1682" s="10">
        <v>1681</v>
      </c>
      <c r="B1682" s="9">
        <v>6.5936659999999998</v>
      </c>
    </row>
    <row r="1683" spans="1:2" x14ac:dyDescent="0.25">
      <c r="A1683" s="10">
        <v>1682</v>
      </c>
      <c r="B1683" s="9">
        <v>6.5949010000000001</v>
      </c>
    </row>
    <row r="1684" spans="1:2" x14ac:dyDescent="0.25">
      <c r="A1684" s="10">
        <v>1683</v>
      </c>
      <c r="B1684" s="9">
        <v>6.5961360000000004</v>
      </c>
    </row>
    <row r="1685" spans="1:2" x14ac:dyDescent="0.25">
      <c r="A1685" s="10">
        <v>1684</v>
      </c>
      <c r="B1685" s="9">
        <v>6.5973709999999999</v>
      </c>
    </row>
    <row r="1686" spans="1:2" x14ac:dyDescent="0.25">
      <c r="A1686" s="10">
        <v>1685</v>
      </c>
      <c r="B1686" s="9">
        <v>6.5986060000000002</v>
      </c>
    </row>
    <row r="1687" spans="1:2" x14ac:dyDescent="0.25">
      <c r="A1687" s="10">
        <v>1686</v>
      </c>
      <c r="B1687" s="9">
        <v>6.5998409999999996</v>
      </c>
    </row>
    <row r="1688" spans="1:2" x14ac:dyDescent="0.25">
      <c r="A1688" s="10">
        <v>1687</v>
      </c>
      <c r="B1688" s="9">
        <v>6.6010759999999999</v>
      </c>
    </row>
    <row r="1689" spans="1:2" x14ac:dyDescent="0.25">
      <c r="A1689" s="10">
        <v>1688</v>
      </c>
      <c r="B1689" s="9">
        <v>6.6023110000000003</v>
      </c>
    </row>
    <row r="1690" spans="1:2" x14ac:dyDescent="0.25">
      <c r="A1690" s="10">
        <v>1689</v>
      </c>
      <c r="B1690" s="9">
        <v>6.6035459999999997</v>
      </c>
    </row>
    <row r="1691" spans="1:2" x14ac:dyDescent="0.25">
      <c r="A1691" s="10">
        <v>1690</v>
      </c>
      <c r="B1691" s="9">
        <v>6.604781</v>
      </c>
    </row>
    <row r="1692" spans="1:2" x14ac:dyDescent="0.25">
      <c r="A1692" s="10">
        <v>1691</v>
      </c>
      <c r="B1692" s="9">
        <v>6.6060160000000003</v>
      </c>
    </row>
    <row r="1693" spans="1:2" x14ac:dyDescent="0.25">
      <c r="A1693" s="10">
        <v>1692</v>
      </c>
      <c r="B1693" s="9">
        <v>6.6072509999999998</v>
      </c>
    </row>
    <row r="1694" spans="1:2" x14ac:dyDescent="0.25">
      <c r="A1694" s="10">
        <v>1693</v>
      </c>
      <c r="B1694" s="9">
        <v>6.6084860000000001</v>
      </c>
    </row>
    <row r="1695" spans="1:2" x14ac:dyDescent="0.25">
      <c r="A1695" s="10">
        <v>1694</v>
      </c>
      <c r="B1695" s="9">
        <v>6.6097210000000004</v>
      </c>
    </row>
    <row r="1696" spans="1:2" x14ac:dyDescent="0.25">
      <c r="A1696" s="10">
        <v>1695</v>
      </c>
      <c r="B1696" s="9">
        <v>6.6109559999999998</v>
      </c>
    </row>
    <row r="1697" spans="1:2" x14ac:dyDescent="0.25">
      <c r="A1697" s="10">
        <v>1696</v>
      </c>
      <c r="B1697" s="9">
        <v>6.6121910000000002</v>
      </c>
    </row>
    <row r="1698" spans="1:2" x14ac:dyDescent="0.25">
      <c r="A1698" s="10">
        <v>1697</v>
      </c>
      <c r="B1698" s="9">
        <v>6.6134259999999996</v>
      </c>
    </row>
    <row r="1699" spans="1:2" x14ac:dyDescent="0.25">
      <c r="A1699" s="10">
        <v>1698</v>
      </c>
      <c r="B1699" s="9">
        <v>6.614662</v>
      </c>
    </row>
    <row r="1700" spans="1:2" x14ac:dyDescent="0.25">
      <c r="A1700" s="10">
        <v>1699</v>
      </c>
      <c r="B1700" s="9">
        <v>6.6158970000000004</v>
      </c>
    </row>
    <row r="1701" spans="1:2" x14ac:dyDescent="0.25">
      <c r="A1701" s="10">
        <v>1700</v>
      </c>
      <c r="B1701" s="9">
        <v>6.6171319999999998</v>
      </c>
    </row>
    <row r="1702" spans="1:2" x14ac:dyDescent="0.25">
      <c r="A1702" s="10">
        <v>1701</v>
      </c>
      <c r="B1702" s="9">
        <v>6.6183670000000001</v>
      </c>
    </row>
    <row r="1703" spans="1:2" x14ac:dyDescent="0.25">
      <c r="A1703" s="10">
        <v>1702</v>
      </c>
      <c r="B1703" s="9">
        <v>6.6196020000000004</v>
      </c>
    </row>
    <row r="1704" spans="1:2" x14ac:dyDescent="0.25">
      <c r="A1704" s="10">
        <v>1703</v>
      </c>
      <c r="B1704" s="9">
        <v>6.6208369999999999</v>
      </c>
    </row>
    <row r="1705" spans="1:2" x14ac:dyDescent="0.25">
      <c r="A1705" s="10">
        <v>1704</v>
      </c>
      <c r="B1705" s="9">
        <v>6.6220720000000002</v>
      </c>
    </row>
    <row r="1706" spans="1:2" x14ac:dyDescent="0.25">
      <c r="A1706" s="10">
        <v>1705</v>
      </c>
      <c r="B1706" s="9">
        <v>6.6233069999999996</v>
      </c>
    </row>
    <row r="1707" spans="1:2" x14ac:dyDescent="0.25">
      <c r="A1707" s="10">
        <v>1706</v>
      </c>
      <c r="B1707" s="9">
        <v>6.6245419999999999</v>
      </c>
    </row>
    <row r="1708" spans="1:2" x14ac:dyDescent="0.25">
      <c r="A1708" s="10">
        <v>1707</v>
      </c>
      <c r="B1708" s="9">
        <v>6.6257770000000002</v>
      </c>
    </row>
    <row r="1709" spans="1:2" x14ac:dyDescent="0.25">
      <c r="A1709" s="10">
        <v>1708</v>
      </c>
      <c r="B1709" s="9">
        <v>6.6270119999999997</v>
      </c>
    </row>
    <row r="1710" spans="1:2" x14ac:dyDescent="0.25">
      <c r="A1710" s="10">
        <v>1709</v>
      </c>
      <c r="B1710" s="9">
        <v>6.628247</v>
      </c>
    </row>
    <row r="1711" spans="1:2" x14ac:dyDescent="0.25">
      <c r="A1711" s="10">
        <v>1710</v>
      </c>
      <c r="B1711" s="9">
        <v>6.6294820000000003</v>
      </c>
    </row>
    <row r="1712" spans="1:2" x14ac:dyDescent="0.25">
      <c r="A1712" s="10">
        <v>1711</v>
      </c>
      <c r="B1712" s="9">
        <v>6.6307169999999998</v>
      </c>
    </row>
    <row r="1713" spans="1:2" x14ac:dyDescent="0.25">
      <c r="A1713" s="10">
        <v>1712</v>
      </c>
      <c r="B1713" s="9">
        <v>6.6319520000000001</v>
      </c>
    </row>
    <row r="1714" spans="1:2" x14ac:dyDescent="0.25">
      <c r="A1714" s="10">
        <v>1713</v>
      </c>
      <c r="B1714" s="9">
        <v>6.6331870000000004</v>
      </c>
    </row>
    <row r="1715" spans="1:2" x14ac:dyDescent="0.25">
      <c r="A1715" s="10">
        <v>1714</v>
      </c>
      <c r="B1715" s="9">
        <v>6.6344219999999998</v>
      </c>
    </row>
    <row r="1716" spans="1:2" x14ac:dyDescent="0.25">
      <c r="A1716" s="10">
        <v>1715</v>
      </c>
      <c r="B1716" s="9">
        <v>6.6356570000000001</v>
      </c>
    </row>
    <row r="1717" spans="1:2" x14ac:dyDescent="0.25">
      <c r="A1717" s="10">
        <v>1716</v>
      </c>
      <c r="B1717" s="9">
        <v>6.6368929999999997</v>
      </c>
    </row>
    <row r="1718" spans="1:2" x14ac:dyDescent="0.25">
      <c r="A1718" s="10">
        <v>1717</v>
      </c>
      <c r="B1718" s="9">
        <v>6.638128</v>
      </c>
    </row>
    <row r="1719" spans="1:2" x14ac:dyDescent="0.25">
      <c r="A1719" s="10">
        <v>1718</v>
      </c>
      <c r="B1719" s="9">
        <v>6.6393630000000003</v>
      </c>
    </row>
    <row r="1720" spans="1:2" x14ac:dyDescent="0.25">
      <c r="A1720" s="10">
        <v>1719</v>
      </c>
      <c r="B1720" s="9">
        <v>6.6405979999999998</v>
      </c>
    </row>
    <row r="1721" spans="1:2" x14ac:dyDescent="0.25">
      <c r="A1721" s="10">
        <v>1720</v>
      </c>
      <c r="B1721" s="9">
        <v>6.6418330000000001</v>
      </c>
    </row>
    <row r="1722" spans="1:2" x14ac:dyDescent="0.25">
      <c r="A1722" s="10">
        <v>1721</v>
      </c>
      <c r="B1722" s="9">
        <v>6.6430680000000004</v>
      </c>
    </row>
    <row r="1723" spans="1:2" x14ac:dyDescent="0.25">
      <c r="A1723" s="10">
        <v>1722</v>
      </c>
      <c r="B1723" s="9">
        <v>6.6443029999999998</v>
      </c>
    </row>
    <row r="1724" spans="1:2" x14ac:dyDescent="0.25">
      <c r="A1724" s="10">
        <v>1723</v>
      </c>
      <c r="B1724" s="9">
        <v>6.6455380000000002</v>
      </c>
    </row>
    <row r="1725" spans="1:2" x14ac:dyDescent="0.25">
      <c r="A1725" s="10">
        <v>1724</v>
      </c>
      <c r="B1725" s="9">
        <v>6.6467729999999996</v>
      </c>
    </row>
    <row r="1726" spans="1:2" x14ac:dyDescent="0.25">
      <c r="A1726" s="10">
        <v>1725</v>
      </c>
      <c r="B1726" s="9">
        <v>6.6480079999999999</v>
      </c>
    </row>
    <row r="1727" spans="1:2" x14ac:dyDescent="0.25">
      <c r="A1727" s="10">
        <v>1726</v>
      </c>
      <c r="B1727" s="9">
        <v>6.6492430000000002</v>
      </c>
    </row>
    <row r="1728" spans="1:2" x14ac:dyDescent="0.25">
      <c r="A1728" s="10">
        <v>1727</v>
      </c>
      <c r="B1728" s="9">
        <v>6.6504779999999997</v>
      </c>
    </row>
    <row r="1729" spans="1:2" x14ac:dyDescent="0.25">
      <c r="A1729" s="10">
        <v>1728</v>
      </c>
      <c r="B1729" s="9">
        <v>6.651713</v>
      </c>
    </row>
    <row r="1730" spans="1:2" x14ac:dyDescent="0.25">
      <c r="A1730" s="10">
        <v>1729</v>
      </c>
      <c r="B1730" s="9">
        <v>6.6529480000000003</v>
      </c>
    </row>
    <row r="1731" spans="1:2" x14ac:dyDescent="0.25">
      <c r="A1731" s="10">
        <v>1730</v>
      </c>
      <c r="B1731" s="9">
        <v>6.6541829999999997</v>
      </c>
    </row>
    <row r="1732" spans="1:2" x14ac:dyDescent="0.25">
      <c r="A1732" s="10">
        <v>1731</v>
      </c>
      <c r="B1732" s="9">
        <v>6.6554180000000001</v>
      </c>
    </row>
    <row r="1733" spans="1:2" x14ac:dyDescent="0.25">
      <c r="A1733" s="10">
        <v>1732</v>
      </c>
      <c r="B1733" s="9">
        <v>6.6566530000000004</v>
      </c>
    </row>
    <row r="1734" spans="1:2" x14ac:dyDescent="0.25">
      <c r="A1734" s="10">
        <v>1733</v>
      </c>
      <c r="B1734" s="9">
        <v>6.6578879999999998</v>
      </c>
    </row>
    <row r="1735" spans="1:2" x14ac:dyDescent="0.25">
      <c r="A1735" s="10">
        <v>1734</v>
      </c>
      <c r="B1735" s="9">
        <v>6.6591230000000001</v>
      </c>
    </row>
    <row r="1736" spans="1:2" x14ac:dyDescent="0.25">
      <c r="A1736" s="10">
        <v>1735</v>
      </c>
      <c r="B1736" s="9">
        <v>6.6603589999999997</v>
      </c>
    </row>
    <row r="1737" spans="1:2" x14ac:dyDescent="0.25">
      <c r="A1737" s="10">
        <v>1736</v>
      </c>
      <c r="B1737" s="9">
        <v>6.661594</v>
      </c>
    </row>
    <row r="1738" spans="1:2" x14ac:dyDescent="0.25">
      <c r="A1738" s="10">
        <v>1737</v>
      </c>
      <c r="B1738" s="9">
        <v>6.6628290000000003</v>
      </c>
    </row>
    <row r="1739" spans="1:2" x14ac:dyDescent="0.25">
      <c r="A1739" s="10">
        <v>1738</v>
      </c>
      <c r="B1739" s="9">
        <v>6.6640639999999998</v>
      </c>
    </row>
    <row r="1740" spans="1:2" x14ac:dyDescent="0.25">
      <c r="A1740" s="10">
        <v>1739</v>
      </c>
      <c r="B1740" s="9">
        <v>6.6652990000000001</v>
      </c>
    </row>
    <row r="1741" spans="1:2" x14ac:dyDescent="0.25">
      <c r="A1741" s="10">
        <v>1740</v>
      </c>
      <c r="B1741" s="9">
        <v>6.6665340000000004</v>
      </c>
    </row>
    <row r="1742" spans="1:2" x14ac:dyDescent="0.25">
      <c r="A1742" s="10">
        <v>1741</v>
      </c>
      <c r="B1742" s="9">
        <v>6.6677689999999998</v>
      </c>
    </row>
    <row r="1743" spans="1:2" x14ac:dyDescent="0.25">
      <c r="A1743" s="10">
        <v>1742</v>
      </c>
      <c r="B1743" s="9">
        <v>6.6690040000000002</v>
      </c>
    </row>
    <row r="1744" spans="1:2" x14ac:dyDescent="0.25">
      <c r="A1744" s="10">
        <v>1743</v>
      </c>
      <c r="B1744" s="9">
        <v>6.6702389999999996</v>
      </c>
    </row>
    <row r="1745" spans="1:2" x14ac:dyDescent="0.25">
      <c r="A1745" s="10">
        <v>1744</v>
      </c>
      <c r="B1745" s="9">
        <v>6.6714739999999999</v>
      </c>
    </row>
    <row r="1746" spans="1:2" x14ac:dyDescent="0.25">
      <c r="A1746" s="10">
        <v>1745</v>
      </c>
      <c r="B1746" s="9">
        <v>6.6727090000000002</v>
      </c>
    </row>
    <row r="1747" spans="1:2" x14ac:dyDescent="0.25">
      <c r="A1747" s="10">
        <v>1746</v>
      </c>
      <c r="B1747" s="9">
        <v>6.6739439999999997</v>
      </c>
    </row>
    <row r="1748" spans="1:2" x14ac:dyDescent="0.25">
      <c r="A1748" s="10">
        <v>1747</v>
      </c>
      <c r="B1748" s="9">
        <v>6.675179</v>
      </c>
    </row>
    <row r="1749" spans="1:2" x14ac:dyDescent="0.25">
      <c r="A1749" s="10">
        <v>1748</v>
      </c>
      <c r="B1749" s="9">
        <v>6.6764140000000003</v>
      </c>
    </row>
    <row r="1750" spans="1:2" x14ac:dyDescent="0.25">
      <c r="A1750" s="10">
        <v>1749</v>
      </c>
      <c r="B1750" s="9">
        <v>6.6776489999999997</v>
      </c>
    </row>
    <row r="1751" spans="1:2" x14ac:dyDescent="0.25">
      <c r="A1751" s="10">
        <v>1750</v>
      </c>
      <c r="B1751" s="9">
        <v>6.6788850000000002</v>
      </c>
    </row>
    <row r="1752" spans="1:2" x14ac:dyDescent="0.25">
      <c r="A1752" s="10">
        <v>1751</v>
      </c>
      <c r="B1752" s="9">
        <v>6.6801199999999996</v>
      </c>
    </row>
    <row r="1753" spans="1:2" x14ac:dyDescent="0.25">
      <c r="A1753" s="10">
        <v>1752</v>
      </c>
      <c r="B1753" s="9">
        <v>6.6813549999999999</v>
      </c>
    </row>
    <row r="1754" spans="1:2" x14ac:dyDescent="0.25">
      <c r="A1754" s="10">
        <v>1753</v>
      </c>
      <c r="B1754" s="9">
        <v>6.6825900000000003</v>
      </c>
    </row>
    <row r="1755" spans="1:2" x14ac:dyDescent="0.25">
      <c r="A1755" s="10">
        <v>1754</v>
      </c>
      <c r="B1755" s="9">
        <v>6.6838249999999997</v>
      </c>
    </row>
    <row r="1756" spans="1:2" x14ac:dyDescent="0.25">
      <c r="A1756" s="10">
        <v>1755</v>
      </c>
      <c r="B1756" s="9">
        <v>6.68506</v>
      </c>
    </row>
    <row r="1757" spans="1:2" x14ac:dyDescent="0.25">
      <c r="A1757" s="10">
        <v>1756</v>
      </c>
      <c r="B1757" s="9">
        <v>6.6862950000000003</v>
      </c>
    </row>
    <row r="1758" spans="1:2" x14ac:dyDescent="0.25">
      <c r="A1758" s="10">
        <v>1757</v>
      </c>
      <c r="B1758" s="9">
        <v>6.6875299999999998</v>
      </c>
    </row>
    <row r="1759" spans="1:2" x14ac:dyDescent="0.25">
      <c r="A1759" s="10">
        <v>1758</v>
      </c>
      <c r="B1759" s="9">
        <v>6.6887660000000002</v>
      </c>
    </row>
    <row r="1760" spans="1:2" x14ac:dyDescent="0.25">
      <c r="A1760" s="10">
        <v>1759</v>
      </c>
      <c r="B1760" s="9">
        <v>6.69</v>
      </c>
    </row>
    <row r="1761" spans="1:2" x14ac:dyDescent="0.25">
      <c r="A1761" s="10">
        <v>1760</v>
      </c>
      <c r="B1761" s="9">
        <v>6.6906429999999997</v>
      </c>
    </row>
    <row r="1762" spans="1:2" x14ac:dyDescent="0.25">
      <c r="A1762" s="10">
        <v>1761</v>
      </c>
      <c r="B1762" s="9">
        <v>6.6912849999999997</v>
      </c>
    </row>
    <row r="1763" spans="1:2" x14ac:dyDescent="0.25">
      <c r="A1763" s="10">
        <v>1762</v>
      </c>
      <c r="B1763" s="9">
        <v>6.6919279999999999</v>
      </c>
    </row>
    <row r="1764" spans="1:2" x14ac:dyDescent="0.25">
      <c r="A1764" s="10">
        <v>1763</v>
      </c>
      <c r="B1764" s="9">
        <v>6.6925699999999999</v>
      </c>
    </row>
    <row r="1765" spans="1:2" x14ac:dyDescent="0.25">
      <c r="A1765" s="10">
        <v>1764</v>
      </c>
      <c r="B1765" s="9">
        <v>6.6932130000000001</v>
      </c>
    </row>
    <row r="1766" spans="1:2" x14ac:dyDescent="0.25">
      <c r="A1766" s="10">
        <v>1765</v>
      </c>
      <c r="B1766" s="9">
        <v>6.6938550000000001</v>
      </c>
    </row>
    <row r="1767" spans="1:2" x14ac:dyDescent="0.25">
      <c r="A1767" s="10">
        <v>1766</v>
      </c>
      <c r="B1767" s="9">
        <v>6.6944980000000003</v>
      </c>
    </row>
    <row r="1768" spans="1:2" x14ac:dyDescent="0.25">
      <c r="A1768" s="10">
        <v>1767</v>
      </c>
      <c r="B1768" s="9">
        <v>6.6951409999999996</v>
      </c>
    </row>
    <row r="1769" spans="1:2" x14ac:dyDescent="0.25">
      <c r="A1769" s="10">
        <v>1768</v>
      </c>
      <c r="B1769" s="9">
        <v>6.6957829999999996</v>
      </c>
    </row>
    <row r="1770" spans="1:2" x14ac:dyDescent="0.25">
      <c r="A1770" s="10">
        <v>1769</v>
      </c>
      <c r="B1770" s="9">
        <v>6.6964259999999998</v>
      </c>
    </row>
    <row r="1771" spans="1:2" x14ac:dyDescent="0.25">
      <c r="A1771" s="10">
        <v>1770</v>
      </c>
      <c r="B1771" s="9">
        <v>6.6970679999999998</v>
      </c>
    </row>
    <row r="1772" spans="1:2" x14ac:dyDescent="0.25">
      <c r="A1772" s="10">
        <v>1771</v>
      </c>
      <c r="B1772" s="9">
        <v>6.697711</v>
      </c>
    </row>
    <row r="1773" spans="1:2" x14ac:dyDescent="0.25">
      <c r="A1773" s="10">
        <v>1772</v>
      </c>
      <c r="B1773" s="9">
        <v>6.6983540000000001</v>
      </c>
    </row>
    <row r="1774" spans="1:2" x14ac:dyDescent="0.25">
      <c r="A1774" s="10">
        <v>1773</v>
      </c>
      <c r="B1774" s="9">
        <v>6.6989960000000002</v>
      </c>
    </row>
    <row r="1775" spans="1:2" x14ac:dyDescent="0.25">
      <c r="A1775" s="10">
        <v>1774</v>
      </c>
      <c r="B1775" s="9">
        <v>6.6996380000000002</v>
      </c>
    </row>
    <row r="1776" spans="1:2" x14ac:dyDescent="0.25">
      <c r="A1776" s="10">
        <v>1775</v>
      </c>
      <c r="B1776" s="9">
        <v>6.7002810000000004</v>
      </c>
    </row>
    <row r="1777" spans="1:2" x14ac:dyDescent="0.25">
      <c r="A1777" s="10">
        <v>1776</v>
      </c>
      <c r="B1777" s="9">
        <v>6.7009239999999997</v>
      </c>
    </row>
    <row r="1778" spans="1:2" x14ac:dyDescent="0.25">
      <c r="A1778" s="10">
        <v>1777</v>
      </c>
      <c r="B1778" s="9">
        <v>6.7015659999999997</v>
      </c>
    </row>
    <row r="1779" spans="1:2" x14ac:dyDescent="0.25">
      <c r="A1779" s="10">
        <v>1778</v>
      </c>
      <c r="B1779" s="9">
        <v>6.7022089999999999</v>
      </c>
    </row>
    <row r="1780" spans="1:2" x14ac:dyDescent="0.25">
      <c r="A1780" s="10">
        <v>1779</v>
      </c>
      <c r="B1780" s="9">
        <v>6.7028509999999999</v>
      </c>
    </row>
    <row r="1781" spans="1:2" x14ac:dyDescent="0.25">
      <c r="A1781" s="10">
        <v>1780</v>
      </c>
      <c r="B1781" s="9">
        <v>6.7034940000000001</v>
      </c>
    </row>
    <row r="1782" spans="1:2" x14ac:dyDescent="0.25">
      <c r="A1782" s="10">
        <v>1781</v>
      </c>
      <c r="B1782" s="9">
        <v>6.7041370000000002</v>
      </c>
    </row>
    <row r="1783" spans="1:2" x14ac:dyDescent="0.25">
      <c r="A1783" s="10">
        <v>1782</v>
      </c>
      <c r="B1783" s="9">
        <v>6.7047790000000003</v>
      </c>
    </row>
    <row r="1784" spans="1:2" x14ac:dyDescent="0.25">
      <c r="A1784" s="10">
        <v>1783</v>
      </c>
      <c r="B1784" s="9">
        <v>6.7054220000000004</v>
      </c>
    </row>
    <row r="1785" spans="1:2" x14ac:dyDescent="0.25">
      <c r="A1785" s="10">
        <v>1784</v>
      </c>
      <c r="B1785" s="9">
        <v>6.7060639999999996</v>
      </c>
    </row>
    <row r="1786" spans="1:2" x14ac:dyDescent="0.25">
      <c r="A1786" s="10">
        <v>1785</v>
      </c>
      <c r="B1786" s="9">
        <v>6.7067069999999998</v>
      </c>
    </row>
    <row r="1787" spans="1:2" x14ac:dyDescent="0.25">
      <c r="A1787" s="10">
        <v>1786</v>
      </c>
      <c r="B1787" s="9">
        <v>6.7073499999999999</v>
      </c>
    </row>
    <row r="1788" spans="1:2" x14ac:dyDescent="0.25">
      <c r="A1788" s="10">
        <v>1787</v>
      </c>
      <c r="B1788" s="9">
        <v>6.707992</v>
      </c>
    </row>
    <row r="1789" spans="1:2" x14ac:dyDescent="0.25">
      <c r="A1789" s="10">
        <v>1788</v>
      </c>
      <c r="B1789" s="9">
        <v>6.708634</v>
      </c>
    </row>
    <row r="1790" spans="1:2" x14ac:dyDescent="0.25">
      <c r="A1790" s="10">
        <v>1789</v>
      </c>
      <c r="B1790" s="9">
        <v>6.7092770000000002</v>
      </c>
    </row>
    <row r="1791" spans="1:2" x14ac:dyDescent="0.25">
      <c r="A1791" s="10">
        <v>1790</v>
      </c>
      <c r="B1791" s="9">
        <v>6.7099200000000003</v>
      </c>
    </row>
    <row r="1792" spans="1:2" x14ac:dyDescent="0.25">
      <c r="A1792" s="10">
        <v>1791</v>
      </c>
      <c r="B1792" s="9">
        <v>6.7105620000000004</v>
      </c>
    </row>
    <row r="1793" spans="1:2" x14ac:dyDescent="0.25">
      <c r="A1793" s="10">
        <v>1792</v>
      </c>
      <c r="B1793" s="9">
        <v>6.7112049999999996</v>
      </c>
    </row>
    <row r="1794" spans="1:2" x14ac:dyDescent="0.25">
      <c r="A1794" s="10">
        <v>1793</v>
      </c>
      <c r="B1794" s="9">
        <v>6.7118469999999997</v>
      </c>
    </row>
    <row r="1795" spans="1:2" x14ac:dyDescent="0.25">
      <c r="A1795" s="10">
        <v>1794</v>
      </c>
      <c r="B1795" s="9">
        <v>6.7124899999999998</v>
      </c>
    </row>
    <row r="1796" spans="1:2" x14ac:dyDescent="0.25">
      <c r="A1796" s="10">
        <v>1795</v>
      </c>
      <c r="B1796" s="9">
        <v>6.713133</v>
      </c>
    </row>
    <row r="1797" spans="1:2" x14ac:dyDescent="0.25">
      <c r="A1797" s="10">
        <v>1796</v>
      </c>
      <c r="B1797" s="9">
        <v>6.713775</v>
      </c>
    </row>
    <row r="1798" spans="1:2" x14ac:dyDescent="0.25">
      <c r="A1798" s="10">
        <v>1797</v>
      </c>
      <c r="B1798" s="9">
        <v>6.7144170000000001</v>
      </c>
    </row>
    <row r="1799" spans="1:2" x14ac:dyDescent="0.25">
      <c r="A1799" s="10">
        <v>1798</v>
      </c>
      <c r="B1799" s="9">
        <v>6.7150600000000003</v>
      </c>
    </row>
    <row r="1800" spans="1:2" x14ac:dyDescent="0.25">
      <c r="A1800" s="10">
        <v>1799</v>
      </c>
      <c r="B1800" s="9">
        <v>6.7157030000000004</v>
      </c>
    </row>
    <row r="1801" spans="1:2" x14ac:dyDescent="0.25">
      <c r="A1801" s="10">
        <v>1800</v>
      </c>
      <c r="B1801" s="9">
        <v>6.7163449999999996</v>
      </c>
    </row>
    <row r="1802" spans="1:2" x14ac:dyDescent="0.25">
      <c r="A1802" s="10">
        <v>1801</v>
      </c>
      <c r="B1802" s="9">
        <v>6.7169879999999997</v>
      </c>
    </row>
    <row r="1803" spans="1:2" x14ac:dyDescent="0.25">
      <c r="A1803" s="10">
        <v>1802</v>
      </c>
      <c r="B1803" s="9">
        <v>6.7176299999999998</v>
      </c>
    </row>
    <row r="1804" spans="1:2" x14ac:dyDescent="0.25">
      <c r="A1804" s="10">
        <v>1803</v>
      </c>
      <c r="B1804" s="9">
        <v>6.7182729999999999</v>
      </c>
    </row>
    <row r="1805" spans="1:2" x14ac:dyDescent="0.25">
      <c r="A1805" s="10">
        <v>1804</v>
      </c>
      <c r="B1805" s="9">
        <v>6.7189160000000001</v>
      </c>
    </row>
    <row r="1806" spans="1:2" x14ac:dyDescent="0.25">
      <c r="A1806" s="10">
        <v>1805</v>
      </c>
      <c r="B1806" s="9">
        <v>6.7195580000000001</v>
      </c>
    </row>
    <row r="1807" spans="1:2" x14ac:dyDescent="0.25">
      <c r="A1807" s="10">
        <v>1806</v>
      </c>
      <c r="B1807" s="9">
        <v>6.7202010000000003</v>
      </c>
    </row>
    <row r="1808" spans="1:2" x14ac:dyDescent="0.25">
      <c r="A1808" s="10">
        <v>1807</v>
      </c>
      <c r="B1808" s="9">
        <v>6.7208430000000003</v>
      </c>
    </row>
    <row r="1809" spans="1:2" x14ac:dyDescent="0.25">
      <c r="A1809" s="10">
        <v>1808</v>
      </c>
      <c r="B1809" s="9">
        <v>6.7214859999999996</v>
      </c>
    </row>
    <row r="1810" spans="1:2" x14ac:dyDescent="0.25">
      <c r="A1810" s="10">
        <v>1809</v>
      </c>
      <c r="B1810" s="9">
        <v>6.7221289999999998</v>
      </c>
    </row>
    <row r="1811" spans="1:2" x14ac:dyDescent="0.25">
      <c r="A1811" s="10">
        <v>1810</v>
      </c>
      <c r="B1811" s="9">
        <v>6.7227709999999998</v>
      </c>
    </row>
    <row r="1812" spans="1:2" x14ac:dyDescent="0.25">
      <c r="A1812" s="10">
        <v>1811</v>
      </c>
      <c r="B1812" s="9">
        <v>6.7234129999999999</v>
      </c>
    </row>
    <row r="1813" spans="1:2" x14ac:dyDescent="0.25">
      <c r="A1813" s="10">
        <v>1812</v>
      </c>
      <c r="B1813" s="9">
        <v>6.724056</v>
      </c>
    </row>
    <row r="1814" spans="1:2" x14ac:dyDescent="0.25">
      <c r="A1814" s="10">
        <v>1813</v>
      </c>
      <c r="B1814" s="9">
        <v>6.7246990000000002</v>
      </c>
    </row>
    <row r="1815" spans="1:2" x14ac:dyDescent="0.25">
      <c r="A1815" s="10">
        <v>1814</v>
      </c>
      <c r="B1815" s="9">
        <v>6.7253410000000002</v>
      </c>
    </row>
    <row r="1816" spans="1:2" x14ac:dyDescent="0.25">
      <c r="A1816" s="10">
        <v>1815</v>
      </c>
      <c r="B1816" s="9">
        <v>6.7259840000000004</v>
      </c>
    </row>
    <row r="1817" spans="1:2" x14ac:dyDescent="0.25">
      <c r="A1817" s="10">
        <v>1816</v>
      </c>
      <c r="B1817" s="9">
        <v>6.7266260000000004</v>
      </c>
    </row>
    <row r="1818" spans="1:2" x14ac:dyDescent="0.25">
      <c r="A1818" s="10">
        <v>1817</v>
      </c>
      <c r="B1818" s="9">
        <v>6.7272689999999997</v>
      </c>
    </row>
    <row r="1819" spans="1:2" x14ac:dyDescent="0.25">
      <c r="A1819" s="10">
        <v>1818</v>
      </c>
      <c r="B1819" s="9">
        <v>6.7279119999999999</v>
      </c>
    </row>
    <row r="1820" spans="1:2" x14ac:dyDescent="0.25">
      <c r="A1820" s="10">
        <v>1819</v>
      </c>
      <c r="B1820" s="9">
        <v>6.7285539999999999</v>
      </c>
    </row>
    <row r="1821" spans="1:2" x14ac:dyDescent="0.25">
      <c r="A1821" s="10">
        <v>1820</v>
      </c>
      <c r="B1821" s="9">
        <v>6.7291970000000001</v>
      </c>
    </row>
    <row r="1822" spans="1:2" x14ac:dyDescent="0.25">
      <c r="A1822" s="10">
        <v>1821</v>
      </c>
      <c r="B1822" s="9">
        <v>6.7298390000000001</v>
      </c>
    </row>
    <row r="1823" spans="1:2" x14ac:dyDescent="0.25">
      <c r="A1823" s="10">
        <v>1822</v>
      </c>
      <c r="B1823" s="9">
        <v>6.7304820000000003</v>
      </c>
    </row>
    <row r="1824" spans="1:2" x14ac:dyDescent="0.25">
      <c r="A1824" s="10">
        <v>1823</v>
      </c>
      <c r="B1824" s="9">
        <v>6.7311240000000003</v>
      </c>
    </row>
    <row r="1825" spans="1:2" x14ac:dyDescent="0.25">
      <c r="A1825" s="10">
        <v>1824</v>
      </c>
      <c r="B1825" s="9">
        <v>6.7317669999999996</v>
      </c>
    </row>
    <row r="1826" spans="1:2" x14ac:dyDescent="0.25">
      <c r="A1826" s="10">
        <v>1825</v>
      </c>
      <c r="B1826" s="9">
        <v>6.7324089999999996</v>
      </c>
    </row>
    <row r="1827" spans="1:2" x14ac:dyDescent="0.25">
      <c r="A1827" s="10">
        <v>1826</v>
      </c>
      <c r="B1827" s="9">
        <v>6.7330519999999998</v>
      </c>
    </row>
    <row r="1828" spans="1:2" x14ac:dyDescent="0.25">
      <c r="A1828" s="10">
        <v>1827</v>
      </c>
      <c r="B1828" s="9">
        <v>6.733695</v>
      </c>
    </row>
    <row r="1829" spans="1:2" x14ac:dyDescent="0.25">
      <c r="A1829" s="10">
        <v>1828</v>
      </c>
      <c r="B1829" s="9">
        <v>6.734337</v>
      </c>
    </row>
    <row r="1830" spans="1:2" x14ac:dyDescent="0.25">
      <c r="A1830" s="10">
        <v>1829</v>
      </c>
      <c r="B1830" s="9">
        <v>6.7349800000000002</v>
      </c>
    </row>
    <row r="1831" spans="1:2" x14ac:dyDescent="0.25">
      <c r="A1831" s="10">
        <v>1830</v>
      </c>
      <c r="B1831" s="9">
        <v>6.7356220000000002</v>
      </c>
    </row>
    <row r="1832" spans="1:2" x14ac:dyDescent="0.25">
      <c r="A1832" s="10">
        <v>1831</v>
      </c>
      <c r="B1832" s="9">
        <v>6.7362650000000004</v>
      </c>
    </row>
    <row r="1833" spans="1:2" x14ac:dyDescent="0.25">
      <c r="A1833" s="10">
        <v>1832</v>
      </c>
      <c r="B1833" s="9">
        <v>6.7369079999999997</v>
      </c>
    </row>
    <row r="1834" spans="1:2" x14ac:dyDescent="0.25">
      <c r="A1834" s="10">
        <v>1833</v>
      </c>
      <c r="B1834" s="9">
        <v>6.7375499999999997</v>
      </c>
    </row>
    <row r="1835" spans="1:2" x14ac:dyDescent="0.25">
      <c r="A1835" s="10">
        <v>1834</v>
      </c>
      <c r="B1835" s="9">
        <v>6.7381929999999999</v>
      </c>
    </row>
    <row r="1836" spans="1:2" x14ac:dyDescent="0.25">
      <c r="A1836" s="10">
        <v>1835</v>
      </c>
      <c r="B1836" s="9">
        <v>6.7388349999999999</v>
      </c>
    </row>
    <row r="1837" spans="1:2" x14ac:dyDescent="0.25">
      <c r="A1837" s="10">
        <v>1836</v>
      </c>
      <c r="B1837" s="9">
        <v>6.7394780000000001</v>
      </c>
    </row>
    <row r="1838" spans="1:2" x14ac:dyDescent="0.25">
      <c r="A1838" s="10">
        <v>1837</v>
      </c>
      <c r="B1838" s="9">
        <v>6.7401200000000001</v>
      </c>
    </row>
    <row r="1839" spans="1:2" x14ac:dyDescent="0.25">
      <c r="A1839" s="10">
        <v>1838</v>
      </c>
      <c r="B1839" s="9">
        <v>6.7407630000000003</v>
      </c>
    </row>
    <row r="1840" spans="1:2" x14ac:dyDescent="0.25">
      <c r="A1840" s="10">
        <v>1839</v>
      </c>
      <c r="B1840" s="9">
        <v>6.7414050000000003</v>
      </c>
    </row>
    <row r="1841" spans="1:2" x14ac:dyDescent="0.25">
      <c r="A1841" s="10">
        <v>1840</v>
      </c>
      <c r="B1841" s="9">
        <v>6.7420479999999996</v>
      </c>
    </row>
    <row r="1842" spans="1:2" x14ac:dyDescent="0.25">
      <c r="A1842" s="10">
        <v>1841</v>
      </c>
      <c r="B1842" s="9">
        <v>6.7426909999999998</v>
      </c>
    </row>
    <row r="1843" spans="1:2" x14ac:dyDescent="0.25">
      <c r="A1843" s="10">
        <v>1842</v>
      </c>
      <c r="B1843" s="9">
        <v>6.7433329999999998</v>
      </c>
    </row>
    <row r="1844" spans="1:2" x14ac:dyDescent="0.25">
      <c r="A1844" s="10">
        <v>1843</v>
      </c>
      <c r="B1844" s="9">
        <v>6.743976</v>
      </c>
    </row>
    <row r="1845" spans="1:2" x14ac:dyDescent="0.25">
      <c r="A1845" s="10">
        <v>1844</v>
      </c>
      <c r="B1845" s="9">
        <v>6.744618</v>
      </c>
    </row>
    <row r="1846" spans="1:2" x14ac:dyDescent="0.25">
      <c r="A1846" s="10">
        <v>1845</v>
      </c>
      <c r="B1846" s="9">
        <v>6.7452610000000002</v>
      </c>
    </row>
    <row r="1847" spans="1:2" x14ac:dyDescent="0.25">
      <c r="A1847" s="10">
        <v>1846</v>
      </c>
      <c r="B1847" s="9">
        <v>6.7459030000000002</v>
      </c>
    </row>
    <row r="1848" spans="1:2" x14ac:dyDescent="0.25">
      <c r="A1848" s="10">
        <v>1847</v>
      </c>
      <c r="B1848" s="9">
        <v>6.7465460000000004</v>
      </c>
    </row>
    <row r="1849" spans="1:2" x14ac:dyDescent="0.25">
      <c r="A1849" s="10">
        <v>1848</v>
      </c>
      <c r="B1849" s="9">
        <v>6.7471889999999997</v>
      </c>
    </row>
    <row r="1850" spans="1:2" x14ac:dyDescent="0.25">
      <c r="A1850" s="10">
        <v>1849</v>
      </c>
      <c r="B1850" s="9">
        <v>6.7478309999999997</v>
      </c>
    </row>
    <row r="1851" spans="1:2" x14ac:dyDescent="0.25">
      <c r="A1851" s="10">
        <v>1850</v>
      </c>
      <c r="B1851" s="9">
        <v>6.7484739999999999</v>
      </c>
    </row>
    <row r="1852" spans="1:2" x14ac:dyDescent="0.25">
      <c r="A1852" s="10">
        <v>1851</v>
      </c>
      <c r="B1852" s="9">
        <v>6.7491159999999999</v>
      </c>
    </row>
    <row r="1853" spans="1:2" x14ac:dyDescent="0.25">
      <c r="A1853" s="10">
        <v>1852</v>
      </c>
      <c r="B1853" s="9">
        <v>6.7497590000000001</v>
      </c>
    </row>
    <row r="1854" spans="1:2" x14ac:dyDescent="0.25">
      <c r="A1854" s="10">
        <v>1853</v>
      </c>
      <c r="B1854" s="9">
        <v>6.7504010000000001</v>
      </c>
    </row>
    <row r="1855" spans="1:2" x14ac:dyDescent="0.25">
      <c r="A1855" s="10">
        <v>1854</v>
      </c>
      <c r="B1855" s="9">
        <v>6.7510440000000003</v>
      </c>
    </row>
    <row r="1856" spans="1:2" x14ac:dyDescent="0.25">
      <c r="A1856" s="10">
        <v>1855</v>
      </c>
      <c r="B1856" s="9">
        <v>6.7516870000000004</v>
      </c>
    </row>
    <row r="1857" spans="1:2" x14ac:dyDescent="0.25">
      <c r="A1857" s="10">
        <v>1856</v>
      </c>
      <c r="B1857" s="9">
        <v>6.7523289999999996</v>
      </c>
    </row>
    <row r="1858" spans="1:2" x14ac:dyDescent="0.25">
      <c r="A1858" s="10">
        <v>1857</v>
      </c>
      <c r="B1858" s="9">
        <v>6.7529719999999998</v>
      </c>
    </row>
    <row r="1859" spans="1:2" x14ac:dyDescent="0.25">
      <c r="A1859" s="10">
        <v>1858</v>
      </c>
      <c r="B1859" s="9">
        <v>6.7536139999999998</v>
      </c>
    </row>
    <row r="1860" spans="1:2" x14ac:dyDescent="0.25">
      <c r="A1860" s="10">
        <v>1859</v>
      </c>
      <c r="B1860" s="9">
        <v>6.754257</v>
      </c>
    </row>
    <row r="1861" spans="1:2" x14ac:dyDescent="0.25">
      <c r="A1861" s="10">
        <v>1860</v>
      </c>
      <c r="B1861" s="9">
        <v>6.7549000000000001</v>
      </c>
    </row>
    <row r="1862" spans="1:2" x14ac:dyDescent="0.25">
      <c r="A1862" s="10">
        <v>1861</v>
      </c>
      <c r="B1862" s="9">
        <v>6.7555420000000002</v>
      </c>
    </row>
    <row r="1863" spans="1:2" x14ac:dyDescent="0.25">
      <c r="A1863" s="10">
        <v>1862</v>
      </c>
      <c r="B1863" s="9">
        <v>6.7561850000000003</v>
      </c>
    </row>
    <row r="1864" spans="1:2" x14ac:dyDescent="0.25">
      <c r="A1864" s="10">
        <v>1863</v>
      </c>
      <c r="B1864" s="9">
        <v>6.7568270000000004</v>
      </c>
    </row>
    <row r="1865" spans="1:2" x14ac:dyDescent="0.25">
      <c r="A1865" s="10">
        <v>1864</v>
      </c>
      <c r="B1865" s="9">
        <v>6.7574699999999996</v>
      </c>
    </row>
    <row r="1866" spans="1:2" x14ac:dyDescent="0.25">
      <c r="A1866" s="10">
        <v>1865</v>
      </c>
      <c r="B1866" s="9">
        <v>6.7581119999999997</v>
      </c>
    </row>
    <row r="1867" spans="1:2" x14ac:dyDescent="0.25">
      <c r="A1867" s="10">
        <v>1866</v>
      </c>
      <c r="B1867" s="9">
        <v>6.7587549999999998</v>
      </c>
    </row>
    <row r="1868" spans="1:2" x14ac:dyDescent="0.25">
      <c r="A1868" s="10">
        <v>1867</v>
      </c>
      <c r="B1868" s="9">
        <v>6.759398</v>
      </c>
    </row>
    <row r="1869" spans="1:2" x14ac:dyDescent="0.25">
      <c r="A1869" s="10">
        <v>1868</v>
      </c>
      <c r="B1869" s="9">
        <v>6.76004</v>
      </c>
    </row>
    <row r="1870" spans="1:2" x14ac:dyDescent="0.25">
      <c r="A1870" s="10">
        <v>1869</v>
      </c>
      <c r="B1870" s="9">
        <v>6.7606830000000002</v>
      </c>
    </row>
    <row r="1871" spans="1:2" x14ac:dyDescent="0.25">
      <c r="A1871" s="10">
        <v>1870</v>
      </c>
      <c r="B1871" s="9">
        <v>6.7613250000000003</v>
      </c>
    </row>
    <row r="1872" spans="1:2" x14ac:dyDescent="0.25">
      <c r="A1872" s="10">
        <v>1871</v>
      </c>
      <c r="B1872" s="9">
        <v>6.7619680000000004</v>
      </c>
    </row>
    <row r="1873" spans="1:2" x14ac:dyDescent="0.25">
      <c r="A1873" s="10">
        <v>1872</v>
      </c>
      <c r="B1873" s="9">
        <v>6.7626099999999996</v>
      </c>
    </row>
    <row r="1874" spans="1:2" x14ac:dyDescent="0.25">
      <c r="A1874" s="10">
        <v>1873</v>
      </c>
      <c r="B1874" s="9">
        <v>6.7632529999999997</v>
      </c>
    </row>
    <row r="1875" spans="1:2" x14ac:dyDescent="0.25">
      <c r="A1875" s="10">
        <v>1874</v>
      </c>
      <c r="B1875" s="9">
        <v>6.7638959999999999</v>
      </c>
    </row>
    <row r="1876" spans="1:2" x14ac:dyDescent="0.25">
      <c r="A1876" s="10">
        <v>1875</v>
      </c>
      <c r="B1876" s="9">
        <v>6.7645379999999999</v>
      </c>
    </row>
    <row r="1877" spans="1:2" x14ac:dyDescent="0.25">
      <c r="A1877" s="10">
        <v>1876</v>
      </c>
      <c r="B1877" s="9">
        <v>6.7651810000000001</v>
      </c>
    </row>
    <row r="1878" spans="1:2" x14ac:dyDescent="0.25">
      <c r="A1878" s="10">
        <v>1877</v>
      </c>
      <c r="B1878" s="9">
        <v>6.7658230000000001</v>
      </c>
    </row>
    <row r="1879" spans="1:2" x14ac:dyDescent="0.25">
      <c r="A1879" s="10">
        <v>1878</v>
      </c>
      <c r="B1879" s="9">
        <v>6.7664660000000003</v>
      </c>
    </row>
    <row r="1880" spans="1:2" x14ac:dyDescent="0.25">
      <c r="A1880" s="10">
        <v>1879</v>
      </c>
      <c r="B1880" s="9">
        <v>6.7671080000000003</v>
      </c>
    </row>
    <row r="1881" spans="1:2" x14ac:dyDescent="0.25">
      <c r="A1881" s="10">
        <v>1880</v>
      </c>
      <c r="B1881" s="9">
        <v>6.7677509999999996</v>
      </c>
    </row>
    <row r="1882" spans="1:2" x14ac:dyDescent="0.25">
      <c r="A1882" s="10">
        <v>1881</v>
      </c>
      <c r="B1882" s="9">
        <v>6.7683939999999998</v>
      </c>
    </row>
    <row r="1883" spans="1:2" x14ac:dyDescent="0.25">
      <c r="A1883" s="10">
        <v>1882</v>
      </c>
      <c r="B1883" s="9">
        <v>6.7690359999999998</v>
      </c>
    </row>
    <row r="1884" spans="1:2" x14ac:dyDescent="0.25">
      <c r="A1884" s="10">
        <v>1883</v>
      </c>
      <c r="B1884" s="9">
        <v>6.769679</v>
      </c>
    </row>
    <row r="1885" spans="1:2" x14ac:dyDescent="0.25">
      <c r="A1885" s="10">
        <v>1884</v>
      </c>
      <c r="B1885" s="9">
        <v>6.770321</v>
      </c>
    </row>
    <row r="1886" spans="1:2" x14ac:dyDescent="0.25">
      <c r="A1886" s="10">
        <v>1885</v>
      </c>
      <c r="B1886" s="9">
        <v>6.7709640000000002</v>
      </c>
    </row>
    <row r="1887" spans="1:2" x14ac:dyDescent="0.25">
      <c r="A1887" s="10">
        <v>1886</v>
      </c>
      <c r="B1887" s="9">
        <v>6.7716060000000002</v>
      </c>
    </row>
    <row r="1888" spans="1:2" x14ac:dyDescent="0.25">
      <c r="A1888" s="10">
        <v>1887</v>
      </c>
      <c r="B1888" s="9">
        <v>6.7722490000000004</v>
      </c>
    </row>
    <row r="1889" spans="1:2" x14ac:dyDescent="0.25">
      <c r="A1889" s="10">
        <v>1888</v>
      </c>
      <c r="B1889" s="9">
        <v>6.7728919999999997</v>
      </c>
    </row>
    <row r="1890" spans="1:2" x14ac:dyDescent="0.25">
      <c r="A1890" s="10">
        <v>1889</v>
      </c>
      <c r="B1890" s="9">
        <v>6.7735339999999997</v>
      </c>
    </row>
    <row r="1891" spans="1:2" x14ac:dyDescent="0.25">
      <c r="A1891" s="10">
        <v>1890</v>
      </c>
      <c r="B1891" s="9">
        <v>6.7741769999999999</v>
      </c>
    </row>
    <row r="1892" spans="1:2" x14ac:dyDescent="0.25">
      <c r="A1892" s="10">
        <v>1891</v>
      </c>
      <c r="B1892" s="9">
        <v>6.7748189999999999</v>
      </c>
    </row>
    <row r="1893" spans="1:2" x14ac:dyDescent="0.25">
      <c r="A1893" s="10">
        <v>1892</v>
      </c>
      <c r="B1893" s="9">
        <v>6.7754620000000001</v>
      </c>
    </row>
    <row r="1894" spans="1:2" x14ac:dyDescent="0.25">
      <c r="A1894" s="10">
        <v>1893</v>
      </c>
      <c r="B1894" s="9">
        <v>6.7761040000000001</v>
      </c>
    </row>
    <row r="1895" spans="1:2" x14ac:dyDescent="0.25">
      <c r="A1895" s="10">
        <v>1894</v>
      </c>
      <c r="B1895" s="9">
        <v>6.7767470000000003</v>
      </c>
    </row>
    <row r="1896" spans="1:2" x14ac:dyDescent="0.25">
      <c r="A1896" s="10">
        <v>1895</v>
      </c>
      <c r="B1896" s="9">
        <v>6.7773899999999996</v>
      </c>
    </row>
    <row r="1897" spans="1:2" x14ac:dyDescent="0.25">
      <c r="A1897" s="10">
        <v>1896</v>
      </c>
      <c r="B1897" s="9">
        <v>6.7780319999999996</v>
      </c>
    </row>
    <row r="1898" spans="1:2" x14ac:dyDescent="0.25">
      <c r="A1898" s="10">
        <v>1897</v>
      </c>
      <c r="B1898" s="9">
        <v>6.7786749999999998</v>
      </c>
    </row>
    <row r="1899" spans="1:2" x14ac:dyDescent="0.25">
      <c r="A1899" s="10">
        <v>1898</v>
      </c>
      <c r="B1899" s="9">
        <v>6.7793169999999998</v>
      </c>
    </row>
    <row r="1900" spans="1:2" x14ac:dyDescent="0.25">
      <c r="A1900" s="10">
        <v>1899</v>
      </c>
      <c r="B1900" s="9">
        <v>6.77996</v>
      </c>
    </row>
    <row r="1901" spans="1:2" x14ac:dyDescent="0.25">
      <c r="A1901" s="10">
        <v>1900</v>
      </c>
      <c r="B1901" s="9">
        <v>6.780602</v>
      </c>
    </row>
    <row r="1902" spans="1:2" x14ac:dyDescent="0.25">
      <c r="A1902" s="10">
        <v>1901</v>
      </c>
      <c r="B1902" s="9">
        <v>6.7812450000000002</v>
      </c>
    </row>
    <row r="1903" spans="1:2" x14ac:dyDescent="0.25">
      <c r="A1903" s="10">
        <v>1902</v>
      </c>
      <c r="B1903" s="9">
        <v>6.7818880000000004</v>
      </c>
    </row>
    <row r="1904" spans="1:2" x14ac:dyDescent="0.25">
      <c r="A1904" s="10">
        <v>1903</v>
      </c>
      <c r="B1904" s="9">
        <v>6.7825300000000004</v>
      </c>
    </row>
    <row r="1905" spans="1:2" x14ac:dyDescent="0.25">
      <c r="A1905" s="10">
        <v>1904</v>
      </c>
      <c r="B1905" s="9">
        <v>6.7831729999999997</v>
      </c>
    </row>
    <row r="1906" spans="1:2" x14ac:dyDescent="0.25">
      <c r="A1906" s="10">
        <v>1905</v>
      </c>
      <c r="B1906" s="9">
        <v>6.7838149999999997</v>
      </c>
    </row>
    <row r="1907" spans="1:2" x14ac:dyDescent="0.25">
      <c r="A1907" s="10">
        <v>1906</v>
      </c>
      <c r="B1907" s="9">
        <v>6.7844579999999999</v>
      </c>
    </row>
    <row r="1908" spans="1:2" x14ac:dyDescent="0.25">
      <c r="A1908" s="10">
        <v>1907</v>
      </c>
      <c r="B1908" s="9">
        <v>6.7850999999999999</v>
      </c>
    </row>
    <row r="1909" spans="1:2" x14ac:dyDescent="0.25">
      <c r="A1909" s="10">
        <v>1908</v>
      </c>
      <c r="B1909" s="9">
        <v>6.7857430000000001</v>
      </c>
    </row>
    <row r="1910" spans="1:2" x14ac:dyDescent="0.25">
      <c r="A1910" s="10">
        <v>1909</v>
      </c>
      <c r="B1910" s="9">
        <v>6.7863860000000003</v>
      </c>
    </row>
    <row r="1911" spans="1:2" x14ac:dyDescent="0.25">
      <c r="A1911" s="10">
        <v>1910</v>
      </c>
      <c r="B1911" s="9">
        <v>6.7870280000000003</v>
      </c>
    </row>
    <row r="1912" spans="1:2" x14ac:dyDescent="0.25">
      <c r="A1912" s="10">
        <v>1911</v>
      </c>
      <c r="B1912" s="9">
        <v>6.7876709999999996</v>
      </c>
    </row>
    <row r="1913" spans="1:2" x14ac:dyDescent="0.25">
      <c r="A1913" s="10">
        <v>1912</v>
      </c>
      <c r="B1913" s="9">
        <v>6.7883129999999996</v>
      </c>
    </row>
    <row r="1914" spans="1:2" x14ac:dyDescent="0.25">
      <c r="A1914" s="10">
        <v>1913</v>
      </c>
      <c r="B1914" s="9">
        <v>6.7889559999999998</v>
      </c>
    </row>
    <row r="1915" spans="1:2" x14ac:dyDescent="0.25">
      <c r="A1915" s="10">
        <v>1914</v>
      </c>
      <c r="B1915" s="9">
        <v>6.7895979999999998</v>
      </c>
    </row>
    <row r="1916" spans="1:2" x14ac:dyDescent="0.25">
      <c r="A1916" s="10">
        <v>1915</v>
      </c>
      <c r="B1916" s="9">
        <v>6.790241</v>
      </c>
    </row>
    <row r="1917" spans="1:2" x14ac:dyDescent="0.25">
      <c r="A1917" s="10">
        <v>1916</v>
      </c>
      <c r="B1917" s="9">
        <v>6.7908840000000001</v>
      </c>
    </row>
    <row r="1918" spans="1:2" x14ac:dyDescent="0.25">
      <c r="A1918" s="10">
        <v>1917</v>
      </c>
      <c r="B1918" s="9">
        <v>6.7915260000000002</v>
      </c>
    </row>
    <row r="1919" spans="1:2" x14ac:dyDescent="0.25">
      <c r="A1919" s="10">
        <v>1918</v>
      </c>
      <c r="B1919" s="9">
        <v>6.7921690000000003</v>
      </c>
    </row>
    <row r="1920" spans="1:2" x14ac:dyDescent="0.25">
      <c r="A1920" s="10">
        <v>1919</v>
      </c>
      <c r="B1920" s="9">
        <v>6.7928110000000004</v>
      </c>
    </row>
    <row r="1921" spans="1:2" x14ac:dyDescent="0.25">
      <c r="A1921" s="10">
        <v>1920</v>
      </c>
      <c r="B1921" s="9">
        <v>6.7934539999999997</v>
      </c>
    </row>
    <row r="1922" spans="1:2" x14ac:dyDescent="0.25">
      <c r="A1922" s="10">
        <v>1921</v>
      </c>
      <c r="B1922" s="9">
        <v>6.7940959999999997</v>
      </c>
    </row>
    <row r="1923" spans="1:2" x14ac:dyDescent="0.25">
      <c r="A1923" s="10">
        <v>1922</v>
      </c>
      <c r="B1923" s="9">
        <v>6.7947389999999999</v>
      </c>
    </row>
    <row r="1924" spans="1:2" x14ac:dyDescent="0.25">
      <c r="A1924" s="10">
        <v>1923</v>
      </c>
      <c r="B1924" s="9">
        <v>6.795382</v>
      </c>
    </row>
    <row r="1925" spans="1:2" x14ac:dyDescent="0.25">
      <c r="A1925" s="10">
        <v>1924</v>
      </c>
      <c r="B1925" s="9">
        <v>6.7960240000000001</v>
      </c>
    </row>
    <row r="1926" spans="1:2" x14ac:dyDescent="0.25">
      <c r="A1926" s="10">
        <v>1925</v>
      </c>
      <c r="B1926" s="9">
        <v>6.7966670000000002</v>
      </c>
    </row>
    <row r="1927" spans="1:2" x14ac:dyDescent="0.25">
      <c r="A1927" s="10">
        <v>1926</v>
      </c>
      <c r="B1927" s="9">
        <v>6.7973090000000003</v>
      </c>
    </row>
    <row r="1928" spans="1:2" x14ac:dyDescent="0.25">
      <c r="A1928" s="10">
        <v>1927</v>
      </c>
      <c r="B1928" s="9">
        <v>6.7979520000000004</v>
      </c>
    </row>
    <row r="1929" spans="1:2" x14ac:dyDescent="0.25">
      <c r="A1929" s="10">
        <v>1928</v>
      </c>
      <c r="B1929" s="9">
        <v>6.7985939999999996</v>
      </c>
    </row>
    <row r="1930" spans="1:2" x14ac:dyDescent="0.25">
      <c r="A1930" s="10">
        <v>1929</v>
      </c>
      <c r="B1930" s="9">
        <v>6.7992369999999998</v>
      </c>
    </row>
    <row r="1931" spans="1:2" x14ac:dyDescent="0.25">
      <c r="A1931" s="10">
        <v>1930</v>
      </c>
      <c r="B1931" s="9">
        <v>6.7998799999999999</v>
      </c>
    </row>
    <row r="1932" spans="1:2" x14ac:dyDescent="0.25">
      <c r="A1932" s="10">
        <v>1931</v>
      </c>
      <c r="B1932" s="9">
        <v>6.800522</v>
      </c>
    </row>
    <row r="1933" spans="1:2" x14ac:dyDescent="0.25">
      <c r="A1933" s="10">
        <v>1932</v>
      </c>
      <c r="B1933" s="9">
        <v>6.8011650000000001</v>
      </c>
    </row>
    <row r="1934" spans="1:2" x14ac:dyDescent="0.25">
      <c r="A1934" s="10">
        <v>1933</v>
      </c>
      <c r="B1934" s="9">
        <v>6.8018070000000002</v>
      </c>
    </row>
    <row r="1935" spans="1:2" x14ac:dyDescent="0.25">
      <c r="A1935" s="10">
        <v>1934</v>
      </c>
      <c r="B1935" s="9">
        <v>6.8024500000000003</v>
      </c>
    </row>
    <row r="1936" spans="1:2" x14ac:dyDescent="0.25">
      <c r="A1936" s="10">
        <v>1935</v>
      </c>
      <c r="B1936" s="9">
        <v>6.8030920000000004</v>
      </c>
    </row>
    <row r="1937" spans="1:2" x14ac:dyDescent="0.25">
      <c r="A1937" s="10">
        <v>1936</v>
      </c>
      <c r="B1937" s="9">
        <v>6.8037349999999996</v>
      </c>
    </row>
    <row r="1938" spans="1:2" x14ac:dyDescent="0.25">
      <c r="A1938" s="10">
        <v>1937</v>
      </c>
      <c r="B1938" s="9">
        <v>6.8043779999999998</v>
      </c>
    </row>
    <row r="1939" spans="1:2" x14ac:dyDescent="0.25">
      <c r="A1939" s="10">
        <v>1938</v>
      </c>
      <c r="B1939" s="9">
        <v>6.8050199999999998</v>
      </c>
    </row>
    <row r="1940" spans="1:2" x14ac:dyDescent="0.25">
      <c r="A1940" s="10">
        <v>1939</v>
      </c>
      <c r="B1940" s="9">
        <v>6.805663</v>
      </c>
    </row>
    <row r="1941" spans="1:2" x14ac:dyDescent="0.25">
      <c r="A1941" s="10">
        <v>1940</v>
      </c>
      <c r="B1941" s="9">
        <v>6.806305</v>
      </c>
    </row>
    <row r="1942" spans="1:2" x14ac:dyDescent="0.25">
      <c r="A1942" s="10">
        <v>1941</v>
      </c>
      <c r="B1942" s="9">
        <v>6.8069480000000002</v>
      </c>
    </row>
    <row r="1943" spans="1:2" x14ac:dyDescent="0.25">
      <c r="A1943" s="10">
        <v>1942</v>
      </c>
      <c r="B1943" s="9">
        <v>6.8075900000000003</v>
      </c>
    </row>
    <row r="1944" spans="1:2" x14ac:dyDescent="0.25">
      <c r="A1944" s="10">
        <v>1943</v>
      </c>
      <c r="B1944" s="9">
        <v>6.8082330000000004</v>
      </c>
    </row>
    <row r="1945" spans="1:2" x14ac:dyDescent="0.25">
      <c r="A1945" s="10">
        <v>1944</v>
      </c>
      <c r="B1945" s="9">
        <v>6.8088759999999997</v>
      </c>
    </row>
    <row r="1946" spans="1:2" x14ac:dyDescent="0.25">
      <c r="A1946" s="10">
        <v>1945</v>
      </c>
      <c r="B1946" s="9">
        <v>6.8095179999999997</v>
      </c>
    </row>
    <row r="1947" spans="1:2" x14ac:dyDescent="0.25">
      <c r="A1947" s="10">
        <v>1946</v>
      </c>
      <c r="B1947" s="9">
        <v>6.8101609999999999</v>
      </c>
    </row>
    <row r="1948" spans="1:2" x14ac:dyDescent="0.25">
      <c r="A1948" s="10">
        <v>1947</v>
      </c>
      <c r="B1948" s="9">
        <v>6.8108029999999999</v>
      </c>
    </row>
    <row r="1949" spans="1:2" x14ac:dyDescent="0.25">
      <c r="A1949" s="10">
        <v>1948</v>
      </c>
      <c r="B1949" s="9">
        <v>6.8114460000000001</v>
      </c>
    </row>
    <row r="1950" spans="1:2" x14ac:dyDescent="0.25">
      <c r="A1950" s="10">
        <v>1949</v>
      </c>
      <c r="B1950" s="9">
        <v>6.8120880000000001</v>
      </c>
    </row>
    <row r="1951" spans="1:2" x14ac:dyDescent="0.25">
      <c r="A1951" s="10">
        <v>1950</v>
      </c>
      <c r="B1951" s="9">
        <v>6.8127310000000003</v>
      </c>
    </row>
    <row r="1952" spans="1:2" x14ac:dyDescent="0.25">
      <c r="A1952" s="10">
        <v>1951</v>
      </c>
      <c r="B1952" s="9">
        <v>6.8133739999999996</v>
      </c>
    </row>
    <row r="1953" spans="1:2" x14ac:dyDescent="0.25">
      <c r="A1953" s="10">
        <v>1952</v>
      </c>
      <c r="B1953" s="9">
        <v>6.8140159999999996</v>
      </c>
    </row>
    <row r="1954" spans="1:2" x14ac:dyDescent="0.25">
      <c r="A1954" s="10">
        <v>1953</v>
      </c>
      <c r="B1954" s="9">
        <v>6.8146589999999998</v>
      </c>
    </row>
    <row r="1955" spans="1:2" x14ac:dyDescent="0.25">
      <c r="A1955" s="10">
        <v>1954</v>
      </c>
      <c r="B1955" s="9">
        <v>6.8153009999999998</v>
      </c>
    </row>
    <row r="1956" spans="1:2" x14ac:dyDescent="0.25">
      <c r="A1956" s="10">
        <v>1955</v>
      </c>
      <c r="B1956" s="9">
        <v>6.815944</v>
      </c>
    </row>
    <row r="1957" spans="1:2" x14ac:dyDescent="0.25">
      <c r="A1957" s="10">
        <v>1956</v>
      </c>
      <c r="B1957" s="9">
        <v>6.816586</v>
      </c>
    </row>
    <row r="1958" spans="1:2" x14ac:dyDescent="0.25">
      <c r="A1958" s="10">
        <v>1957</v>
      </c>
      <c r="B1958" s="9">
        <v>6.8172290000000002</v>
      </c>
    </row>
    <row r="1959" spans="1:2" x14ac:dyDescent="0.25">
      <c r="A1959" s="10">
        <v>1958</v>
      </c>
      <c r="B1959" s="9">
        <v>6.8178720000000004</v>
      </c>
    </row>
    <row r="1960" spans="1:2" x14ac:dyDescent="0.25">
      <c r="A1960" s="10">
        <v>1959</v>
      </c>
      <c r="B1960" s="9">
        <v>6.8185140000000004</v>
      </c>
    </row>
    <row r="1961" spans="1:2" x14ac:dyDescent="0.25">
      <c r="A1961" s="10">
        <v>1960</v>
      </c>
      <c r="B1961" s="9">
        <v>6.8191569999999997</v>
      </c>
    </row>
    <row r="1962" spans="1:2" x14ac:dyDescent="0.25">
      <c r="A1962" s="10">
        <v>1961</v>
      </c>
      <c r="B1962" s="9">
        <v>6.8197989999999997</v>
      </c>
    </row>
    <row r="1963" spans="1:2" x14ac:dyDescent="0.25">
      <c r="A1963" s="10">
        <v>1962</v>
      </c>
      <c r="B1963" s="9">
        <v>6.8204419999999999</v>
      </c>
    </row>
    <row r="1964" spans="1:2" x14ac:dyDescent="0.25">
      <c r="A1964" s="10">
        <v>1963</v>
      </c>
      <c r="B1964" s="9">
        <v>6.8210839999999999</v>
      </c>
    </row>
    <row r="1965" spans="1:2" x14ac:dyDescent="0.25">
      <c r="A1965" s="10">
        <v>1964</v>
      </c>
      <c r="B1965" s="9">
        <v>6.8217270000000001</v>
      </c>
    </row>
    <row r="1966" spans="1:2" x14ac:dyDescent="0.25">
      <c r="A1966" s="10">
        <v>1965</v>
      </c>
      <c r="B1966" s="9">
        <v>6.8223700000000003</v>
      </c>
    </row>
    <row r="1967" spans="1:2" x14ac:dyDescent="0.25">
      <c r="A1967" s="10">
        <v>1966</v>
      </c>
      <c r="B1967" s="9">
        <v>6.8230120000000003</v>
      </c>
    </row>
    <row r="1968" spans="1:2" x14ac:dyDescent="0.25">
      <c r="A1968" s="10">
        <v>1967</v>
      </c>
      <c r="B1968" s="9">
        <v>6.8236549999999996</v>
      </c>
    </row>
    <row r="1969" spans="1:2" x14ac:dyDescent="0.25">
      <c r="A1969" s="10">
        <v>1968</v>
      </c>
      <c r="B1969" s="9">
        <v>6.8242969999999996</v>
      </c>
    </row>
    <row r="1970" spans="1:2" x14ac:dyDescent="0.25">
      <c r="A1970" s="10">
        <v>1969</v>
      </c>
      <c r="B1970" s="9">
        <v>6.8249399999999998</v>
      </c>
    </row>
    <row r="1971" spans="1:2" x14ac:dyDescent="0.25">
      <c r="A1971" s="10">
        <v>1970</v>
      </c>
      <c r="B1971" s="9">
        <v>6.825583</v>
      </c>
    </row>
    <row r="1972" spans="1:2" x14ac:dyDescent="0.25">
      <c r="A1972" s="10">
        <v>1971</v>
      </c>
      <c r="B1972" s="9">
        <v>6.826225</v>
      </c>
    </row>
    <row r="1973" spans="1:2" x14ac:dyDescent="0.25">
      <c r="A1973" s="10">
        <v>1972</v>
      </c>
      <c r="B1973" s="9">
        <v>6.8268680000000002</v>
      </c>
    </row>
    <row r="1974" spans="1:2" x14ac:dyDescent="0.25">
      <c r="A1974" s="10">
        <v>1973</v>
      </c>
      <c r="B1974" s="9">
        <v>6.8275100000000002</v>
      </c>
    </row>
    <row r="1975" spans="1:2" x14ac:dyDescent="0.25">
      <c r="A1975" s="10">
        <v>1974</v>
      </c>
      <c r="B1975" s="9">
        <v>6.8281530000000004</v>
      </c>
    </row>
    <row r="1976" spans="1:2" x14ac:dyDescent="0.25">
      <c r="A1976" s="10">
        <v>1975</v>
      </c>
      <c r="B1976" s="9">
        <v>6.8287950000000004</v>
      </c>
    </row>
    <row r="1977" spans="1:2" x14ac:dyDescent="0.25">
      <c r="A1977" s="10">
        <v>1976</v>
      </c>
      <c r="B1977" s="9">
        <v>6.8294379999999997</v>
      </c>
    </row>
    <row r="1978" spans="1:2" x14ac:dyDescent="0.25">
      <c r="A1978" s="10">
        <v>1977</v>
      </c>
      <c r="B1978" s="9">
        <v>6.8300799999999997</v>
      </c>
    </row>
    <row r="1979" spans="1:2" x14ac:dyDescent="0.25">
      <c r="A1979" s="10">
        <v>1978</v>
      </c>
      <c r="B1979" s="9">
        <v>6.8307229999999999</v>
      </c>
    </row>
    <row r="1980" spans="1:2" x14ac:dyDescent="0.25">
      <c r="A1980" s="10">
        <v>1979</v>
      </c>
      <c r="B1980" s="9">
        <v>6.831366</v>
      </c>
    </row>
    <row r="1981" spans="1:2" x14ac:dyDescent="0.25">
      <c r="A1981" s="10">
        <v>1980</v>
      </c>
      <c r="B1981" s="9">
        <v>6.8320080000000001</v>
      </c>
    </row>
    <row r="1982" spans="1:2" x14ac:dyDescent="0.25">
      <c r="A1982" s="10">
        <v>1981</v>
      </c>
      <c r="B1982" s="9">
        <v>6.8326510000000003</v>
      </c>
    </row>
    <row r="1983" spans="1:2" x14ac:dyDescent="0.25">
      <c r="A1983" s="10">
        <v>1982</v>
      </c>
      <c r="B1983" s="9">
        <v>6.8332930000000003</v>
      </c>
    </row>
    <row r="1984" spans="1:2" x14ac:dyDescent="0.25">
      <c r="A1984" s="10">
        <v>1983</v>
      </c>
      <c r="B1984" s="9">
        <v>6.8339359999999996</v>
      </c>
    </row>
    <row r="1985" spans="1:2" x14ac:dyDescent="0.25">
      <c r="A1985" s="10">
        <v>1984</v>
      </c>
      <c r="B1985" s="9">
        <v>6.8345789999999997</v>
      </c>
    </row>
    <row r="1986" spans="1:2" x14ac:dyDescent="0.25">
      <c r="A1986" s="10">
        <v>1985</v>
      </c>
      <c r="B1986" s="9">
        <v>6.8352209999999998</v>
      </c>
    </row>
    <row r="1987" spans="1:2" x14ac:dyDescent="0.25">
      <c r="A1987" s="10">
        <v>1986</v>
      </c>
      <c r="B1987" s="9">
        <v>6.8358639999999999</v>
      </c>
    </row>
    <row r="1988" spans="1:2" x14ac:dyDescent="0.25">
      <c r="A1988" s="10">
        <v>1987</v>
      </c>
      <c r="B1988" s="9">
        <v>6.836506</v>
      </c>
    </row>
    <row r="1989" spans="1:2" x14ac:dyDescent="0.25">
      <c r="A1989" s="10">
        <v>1988</v>
      </c>
      <c r="B1989" s="9">
        <v>6.8371490000000001</v>
      </c>
    </row>
    <row r="1990" spans="1:2" x14ac:dyDescent="0.25">
      <c r="A1990" s="10">
        <v>1989</v>
      </c>
      <c r="B1990" s="9">
        <v>6.8377910000000002</v>
      </c>
    </row>
    <row r="1991" spans="1:2" x14ac:dyDescent="0.25">
      <c r="A1991" s="10">
        <v>1990</v>
      </c>
      <c r="B1991" s="9">
        <v>6.8384340000000003</v>
      </c>
    </row>
    <row r="1992" spans="1:2" x14ac:dyDescent="0.25">
      <c r="A1992" s="10">
        <v>1991</v>
      </c>
      <c r="B1992" s="9">
        <v>6.8390760000000004</v>
      </c>
    </row>
    <row r="1993" spans="1:2" x14ac:dyDescent="0.25">
      <c r="A1993" s="10">
        <v>1992</v>
      </c>
      <c r="B1993" s="9">
        <v>6.8397189999999997</v>
      </c>
    </row>
    <row r="1994" spans="1:2" x14ac:dyDescent="0.25">
      <c r="A1994" s="10">
        <v>1993</v>
      </c>
      <c r="B1994" s="9">
        <v>6.8403619999999998</v>
      </c>
    </row>
    <row r="1995" spans="1:2" x14ac:dyDescent="0.25">
      <c r="A1995" s="10">
        <v>1994</v>
      </c>
      <c r="B1995" s="9">
        <v>6.8410039999999999</v>
      </c>
    </row>
    <row r="1996" spans="1:2" x14ac:dyDescent="0.25">
      <c r="A1996" s="10">
        <v>1995</v>
      </c>
      <c r="B1996" s="9">
        <v>6.841647</v>
      </c>
    </row>
    <row r="1997" spans="1:2" x14ac:dyDescent="0.25">
      <c r="A1997" s="10">
        <v>1996</v>
      </c>
      <c r="B1997" s="9">
        <v>6.8422890000000001</v>
      </c>
    </row>
    <row r="1998" spans="1:2" x14ac:dyDescent="0.25">
      <c r="A1998" s="10">
        <v>1997</v>
      </c>
      <c r="B1998" s="9">
        <v>6.8429320000000002</v>
      </c>
    </row>
    <row r="1999" spans="1:2" x14ac:dyDescent="0.25">
      <c r="A1999" s="10">
        <v>1998</v>
      </c>
      <c r="B1999" s="9">
        <v>6.8435750000000004</v>
      </c>
    </row>
    <row r="2000" spans="1:2" x14ac:dyDescent="0.25">
      <c r="A2000" s="10">
        <v>1999</v>
      </c>
      <c r="B2000" s="9">
        <v>6.8442170000000004</v>
      </c>
    </row>
    <row r="2001" spans="1:2" x14ac:dyDescent="0.25">
      <c r="A2001" s="10">
        <v>2000</v>
      </c>
      <c r="B2001" s="9">
        <v>6.8448589999999996</v>
      </c>
    </row>
    <row r="2002" spans="1:2" x14ac:dyDescent="0.25">
      <c r="A2002" s="10">
        <v>2001</v>
      </c>
      <c r="B2002" s="9">
        <v>6.8455019999999998</v>
      </c>
    </row>
    <row r="2003" spans="1:2" x14ac:dyDescent="0.25">
      <c r="A2003" s="10">
        <v>2002</v>
      </c>
      <c r="B2003" s="9">
        <v>6.8461449999999999</v>
      </c>
    </row>
    <row r="2004" spans="1:2" x14ac:dyDescent="0.25">
      <c r="A2004" s="10">
        <v>2003</v>
      </c>
      <c r="B2004" s="9">
        <v>6.846787</v>
      </c>
    </row>
    <row r="2005" spans="1:2" x14ac:dyDescent="0.25">
      <c r="A2005" s="10">
        <v>2004</v>
      </c>
      <c r="B2005" s="9">
        <v>6.8474300000000001</v>
      </c>
    </row>
    <row r="2006" spans="1:2" x14ac:dyDescent="0.25">
      <c r="A2006" s="10">
        <v>2005</v>
      </c>
      <c r="B2006" s="9">
        <v>6.8480720000000002</v>
      </c>
    </row>
    <row r="2007" spans="1:2" x14ac:dyDescent="0.25">
      <c r="A2007" s="10">
        <v>2006</v>
      </c>
      <c r="B2007" s="9">
        <v>6.8487150000000003</v>
      </c>
    </row>
    <row r="2008" spans="1:2" x14ac:dyDescent="0.25">
      <c r="A2008" s="10">
        <v>2007</v>
      </c>
      <c r="B2008" s="9">
        <v>6.8493579999999996</v>
      </c>
    </row>
    <row r="2009" spans="1:2" x14ac:dyDescent="0.25">
      <c r="A2009" s="10">
        <v>2008</v>
      </c>
      <c r="B2009" s="9">
        <v>6.85</v>
      </c>
    </row>
    <row r="2010" spans="1:2" x14ac:dyDescent="0.25">
      <c r="A2010" s="10">
        <v>2009</v>
      </c>
      <c r="B2010" s="9">
        <v>6.8507600000000002</v>
      </c>
    </row>
    <row r="2011" spans="1:2" x14ac:dyDescent="0.25">
      <c r="A2011" s="10">
        <v>2010</v>
      </c>
      <c r="B2011" s="9">
        <v>6.8515199999999998</v>
      </c>
    </row>
    <row r="2012" spans="1:2" x14ac:dyDescent="0.25">
      <c r="A2012" s="10">
        <v>2011</v>
      </c>
      <c r="B2012" s="9">
        <v>6.8522800000000004</v>
      </c>
    </row>
    <row r="2013" spans="1:2" x14ac:dyDescent="0.25">
      <c r="A2013" s="10">
        <v>2012</v>
      </c>
      <c r="B2013" s="9">
        <v>6.85304</v>
      </c>
    </row>
    <row r="2014" spans="1:2" x14ac:dyDescent="0.25">
      <c r="A2014" s="10">
        <v>2013</v>
      </c>
      <c r="B2014" s="9">
        <v>6.8537999999999997</v>
      </c>
    </row>
    <row r="2015" spans="1:2" x14ac:dyDescent="0.25">
      <c r="A2015" s="10">
        <v>2014</v>
      </c>
      <c r="B2015" s="9">
        <v>6.8545600000000002</v>
      </c>
    </row>
    <row r="2016" spans="1:2" x14ac:dyDescent="0.25">
      <c r="A2016" s="10">
        <v>2015</v>
      </c>
      <c r="B2016" s="9">
        <v>6.8553199999999999</v>
      </c>
    </row>
    <row r="2017" spans="1:2" x14ac:dyDescent="0.25">
      <c r="A2017" s="10">
        <v>2016</v>
      </c>
      <c r="B2017" s="9">
        <v>6.8560800000000004</v>
      </c>
    </row>
    <row r="2018" spans="1:2" x14ac:dyDescent="0.25">
      <c r="A2018" s="10">
        <v>2017</v>
      </c>
      <c r="B2018" s="9">
        <v>6.85684</v>
      </c>
    </row>
    <row r="2019" spans="1:2" x14ac:dyDescent="0.25">
      <c r="A2019" s="10">
        <v>2018</v>
      </c>
      <c r="B2019" s="9">
        <v>6.8575999999999997</v>
      </c>
    </row>
    <row r="2020" spans="1:2" x14ac:dyDescent="0.25">
      <c r="A2020" s="10">
        <v>2019</v>
      </c>
      <c r="B2020" s="9">
        <v>6.8583600000000002</v>
      </c>
    </row>
    <row r="2021" spans="1:2" x14ac:dyDescent="0.25">
      <c r="A2021" s="10">
        <v>2020</v>
      </c>
      <c r="B2021" s="9">
        <v>6.8591199999999999</v>
      </c>
    </row>
    <row r="2022" spans="1:2" x14ac:dyDescent="0.25">
      <c r="A2022" s="10">
        <v>2021</v>
      </c>
      <c r="B2022" s="9">
        <v>6.8598800000000004</v>
      </c>
    </row>
    <row r="2023" spans="1:2" x14ac:dyDescent="0.25">
      <c r="A2023" s="10">
        <v>2022</v>
      </c>
      <c r="B2023" s="9">
        <v>6.8606400000000001</v>
      </c>
    </row>
    <row r="2024" spans="1:2" x14ac:dyDescent="0.25">
      <c r="A2024" s="10">
        <v>2023</v>
      </c>
      <c r="B2024" s="9">
        <v>6.8613999999999997</v>
      </c>
    </row>
    <row r="2025" spans="1:2" x14ac:dyDescent="0.25">
      <c r="A2025" s="10">
        <v>2024</v>
      </c>
      <c r="B2025" s="9">
        <v>6.8621600000000003</v>
      </c>
    </row>
    <row r="2026" spans="1:2" x14ac:dyDescent="0.25">
      <c r="A2026" s="10">
        <v>2025</v>
      </c>
      <c r="B2026" s="9">
        <v>6.8629199999999999</v>
      </c>
    </row>
    <row r="2027" spans="1:2" x14ac:dyDescent="0.25">
      <c r="A2027" s="10">
        <v>2026</v>
      </c>
      <c r="B2027" s="9">
        <v>6.8636799999999996</v>
      </c>
    </row>
    <row r="2028" spans="1:2" x14ac:dyDescent="0.25">
      <c r="A2028" s="10">
        <v>2027</v>
      </c>
      <c r="B2028" s="9">
        <v>6.8644400000000001</v>
      </c>
    </row>
    <row r="2029" spans="1:2" x14ac:dyDescent="0.25">
      <c r="A2029" s="10">
        <v>2028</v>
      </c>
      <c r="B2029" s="9">
        <v>6.8651999999999997</v>
      </c>
    </row>
    <row r="2030" spans="1:2" x14ac:dyDescent="0.25">
      <c r="A2030" s="10">
        <v>2029</v>
      </c>
      <c r="B2030" s="9">
        <v>6.8659600000000003</v>
      </c>
    </row>
    <row r="2031" spans="1:2" x14ac:dyDescent="0.25">
      <c r="A2031" s="10">
        <v>2030</v>
      </c>
      <c r="B2031" s="9">
        <v>6.8667199999999999</v>
      </c>
    </row>
    <row r="2032" spans="1:2" x14ac:dyDescent="0.25">
      <c r="A2032" s="10">
        <v>2031</v>
      </c>
      <c r="B2032" s="9">
        <v>6.8674799999999996</v>
      </c>
    </row>
    <row r="2033" spans="1:2" x14ac:dyDescent="0.25">
      <c r="A2033" s="10">
        <v>2032</v>
      </c>
      <c r="B2033" s="9">
        <v>6.8682400000000001</v>
      </c>
    </row>
    <row r="2034" spans="1:2" x14ac:dyDescent="0.25">
      <c r="A2034" s="10">
        <v>2033</v>
      </c>
      <c r="B2034" s="9">
        <v>6.8689999999999998</v>
      </c>
    </row>
    <row r="2035" spans="1:2" x14ac:dyDescent="0.25">
      <c r="A2035" s="10">
        <v>2034</v>
      </c>
      <c r="B2035" s="9">
        <v>6.8697600000000003</v>
      </c>
    </row>
    <row r="2036" spans="1:2" x14ac:dyDescent="0.25">
      <c r="A2036" s="10">
        <v>2035</v>
      </c>
      <c r="B2036" s="9">
        <v>6.87052</v>
      </c>
    </row>
    <row r="2037" spans="1:2" x14ac:dyDescent="0.25">
      <c r="A2037" s="10">
        <v>2036</v>
      </c>
      <c r="B2037" s="9">
        <v>6.8712799999999996</v>
      </c>
    </row>
    <row r="2038" spans="1:2" x14ac:dyDescent="0.25">
      <c r="A2038" s="10">
        <v>2037</v>
      </c>
      <c r="B2038" s="9">
        <v>6.8720400000000001</v>
      </c>
    </row>
    <row r="2039" spans="1:2" x14ac:dyDescent="0.25">
      <c r="A2039" s="10">
        <v>2038</v>
      </c>
      <c r="B2039" s="9">
        <v>6.8727999999999998</v>
      </c>
    </row>
    <row r="2040" spans="1:2" x14ac:dyDescent="0.25">
      <c r="A2040" s="10">
        <v>2039</v>
      </c>
      <c r="B2040" s="9">
        <v>6.8735600000000003</v>
      </c>
    </row>
    <row r="2041" spans="1:2" x14ac:dyDescent="0.25">
      <c r="A2041" s="10">
        <v>2040</v>
      </c>
      <c r="B2041" s="9">
        <v>6.87432</v>
      </c>
    </row>
    <row r="2042" spans="1:2" x14ac:dyDescent="0.25">
      <c r="A2042" s="10">
        <v>2041</v>
      </c>
      <c r="B2042" s="9">
        <v>6.8750799999999996</v>
      </c>
    </row>
    <row r="2043" spans="1:2" x14ac:dyDescent="0.25">
      <c r="A2043" s="10">
        <v>2042</v>
      </c>
      <c r="B2043" s="9">
        <v>6.8758400000000002</v>
      </c>
    </row>
    <row r="2044" spans="1:2" x14ac:dyDescent="0.25">
      <c r="A2044" s="10">
        <v>2043</v>
      </c>
      <c r="B2044" s="9">
        <v>6.8765999999999998</v>
      </c>
    </row>
    <row r="2045" spans="1:2" x14ac:dyDescent="0.25">
      <c r="A2045" s="10">
        <v>2044</v>
      </c>
      <c r="B2045" s="9">
        <v>6.8773600000000004</v>
      </c>
    </row>
    <row r="2046" spans="1:2" x14ac:dyDescent="0.25">
      <c r="A2046" s="10">
        <v>2045</v>
      </c>
      <c r="B2046" s="9">
        <v>6.87812</v>
      </c>
    </row>
    <row r="2047" spans="1:2" x14ac:dyDescent="0.25">
      <c r="A2047" s="10">
        <v>2046</v>
      </c>
      <c r="B2047" s="9">
        <v>6.8788799999999997</v>
      </c>
    </row>
    <row r="2048" spans="1:2" x14ac:dyDescent="0.25">
      <c r="A2048" s="10">
        <v>2047</v>
      </c>
      <c r="B2048" s="9">
        <v>6.8796400000000002</v>
      </c>
    </row>
    <row r="2049" spans="1:2" x14ac:dyDescent="0.25">
      <c r="A2049" s="10">
        <v>2048</v>
      </c>
      <c r="B2049" s="9">
        <v>6.8803999999999998</v>
      </c>
    </row>
    <row r="2050" spans="1:2" x14ac:dyDescent="0.25">
      <c r="A2050" s="10">
        <v>2049</v>
      </c>
      <c r="B2050" s="9">
        <v>6.8811600000000004</v>
      </c>
    </row>
    <row r="2051" spans="1:2" x14ac:dyDescent="0.25">
      <c r="A2051" s="10">
        <v>2050</v>
      </c>
      <c r="B2051" s="9">
        <v>6.88192</v>
      </c>
    </row>
    <row r="2052" spans="1:2" x14ac:dyDescent="0.25">
      <c r="A2052" s="10">
        <v>2051</v>
      </c>
      <c r="B2052" s="9">
        <v>6.8826799999999997</v>
      </c>
    </row>
    <row r="2053" spans="1:2" x14ac:dyDescent="0.25">
      <c r="A2053" s="10">
        <v>2052</v>
      </c>
      <c r="B2053" s="9">
        <v>6.8834400000000002</v>
      </c>
    </row>
    <row r="2054" spans="1:2" x14ac:dyDescent="0.25">
      <c r="A2054" s="10">
        <v>2053</v>
      </c>
      <c r="B2054" s="9">
        <v>6.8841999999999999</v>
      </c>
    </row>
    <row r="2055" spans="1:2" x14ac:dyDescent="0.25">
      <c r="A2055" s="10">
        <v>2054</v>
      </c>
      <c r="B2055" s="9">
        <v>6.8849600000000004</v>
      </c>
    </row>
    <row r="2056" spans="1:2" x14ac:dyDescent="0.25">
      <c r="A2056" s="10">
        <v>2055</v>
      </c>
      <c r="B2056" s="9">
        <v>6.8857200000000001</v>
      </c>
    </row>
    <row r="2057" spans="1:2" x14ac:dyDescent="0.25">
      <c r="A2057" s="10">
        <v>2056</v>
      </c>
      <c r="B2057" s="9">
        <v>6.8864799999999997</v>
      </c>
    </row>
    <row r="2058" spans="1:2" x14ac:dyDescent="0.25">
      <c r="A2058" s="10">
        <v>2057</v>
      </c>
      <c r="B2058" s="9">
        <v>6.8872400000000003</v>
      </c>
    </row>
    <row r="2059" spans="1:2" x14ac:dyDescent="0.25">
      <c r="A2059" s="10">
        <v>2058</v>
      </c>
      <c r="B2059" s="9">
        <v>6.8879999999999999</v>
      </c>
    </row>
    <row r="2060" spans="1:2" x14ac:dyDescent="0.25">
      <c r="A2060" s="10">
        <v>2059</v>
      </c>
      <c r="B2060" s="9">
        <v>6.8887600000000004</v>
      </c>
    </row>
    <row r="2061" spans="1:2" x14ac:dyDescent="0.25">
      <c r="A2061" s="10">
        <v>2060</v>
      </c>
      <c r="B2061" s="9">
        <v>6.8895200000000001</v>
      </c>
    </row>
    <row r="2062" spans="1:2" x14ac:dyDescent="0.25">
      <c r="A2062" s="10">
        <v>2061</v>
      </c>
      <c r="B2062" s="9">
        <v>6.8902799999999997</v>
      </c>
    </row>
    <row r="2063" spans="1:2" x14ac:dyDescent="0.25">
      <c r="A2063" s="10">
        <v>2062</v>
      </c>
      <c r="B2063" s="9">
        <v>6.8910400000000003</v>
      </c>
    </row>
    <row r="2064" spans="1:2" x14ac:dyDescent="0.25">
      <c r="A2064" s="10">
        <v>2063</v>
      </c>
      <c r="B2064" s="9">
        <v>6.8917999999999999</v>
      </c>
    </row>
    <row r="2065" spans="1:2" x14ac:dyDescent="0.25">
      <c r="A2065" s="10">
        <v>2064</v>
      </c>
      <c r="B2065" s="9">
        <v>6.8925599999999996</v>
      </c>
    </row>
    <row r="2066" spans="1:2" x14ac:dyDescent="0.25">
      <c r="A2066" s="10">
        <v>2065</v>
      </c>
      <c r="B2066" s="9">
        <v>6.8933200000000001</v>
      </c>
    </row>
    <row r="2067" spans="1:2" x14ac:dyDescent="0.25">
      <c r="A2067" s="10">
        <v>2066</v>
      </c>
      <c r="B2067" s="9">
        <v>6.8940799999999998</v>
      </c>
    </row>
    <row r="2068" spans="1:2" x14ac:dyDescent="0.25">
      <c r="A2068" s="10">
        <v>2067</v>
      </c>
      <c r="B2068" s="9">
        <v>6.8948400000000003</v>
      </c>
    </row>
    <row r="2069" spans="1:2" x14ac:dyDescent="0.25">
      <c r="A2069" s="10">
        <v>2068</v>
      </c>
      <c r="B2069" s="9">
        <v>6.8956</v>
      </c>
    </row>
    <row r="2070" spans="1:2" x14ac:dyDescent="0.25">
      <c r="A2070" s="10">
        <v>2069</v>
      </c>
      <c r="B2070" s="9">
        <v>6.8963599999999996</v>
      </c>
    </row>
    <row r="2071" spans="1:2" x14ac:dyDescent="0.25">
      <c r="A2071" s="10">
        <v>2070</v>
      </c>
      <c r="B2071" s="9">
        <v>6.8971200000000001</v>
      </c>
    </row>
    <row r="2072" spans="1:2" x14ac:dyDescent="0.25">
      <c r="A2072" s="10">
        <v>2071</v>
      </c>
      <c r="B2072" s="9">
        <v>6.8978799999999998</v>
      </c>
    </row>
    <row r="2073" spans="1:2" x14ac:dyDescent="0.25">
      <c r="A2073" s="10">
        <v>2072</v>
      </c>
      <c r="B2073" s="9">
        <v>6.8986400000000003</v>
      </c>
    </row>
    <row r="2074" spans="1:2" x14ac:dyDescent="0.25">
      <c r="A2074" s="10">
        <v>2073</v>
      </c>
      <c r="B2074" s="9">
        <v>6.8994</v>
      </c>
    </row>
    <row r="2075" spans="1:2" x14ac:dyDescent="0.25">
      <c r="A2075" s="10">
        <v>2074</v>
      </c>
      <c r="B2075" s="9">
        <v>6.9001599999999996</v>
      </c>
    </row>
    <row r="2076" spans="1:2" x14ac:dyDescent="0.25">
      <c r="A2076" s="10">
        <v>2075</v>
      </c>
      <c r="B2076" s="9">
        <v>6.9009200000000002</v>
      </c>
    </row>
    <row r="2077" spans="1:2" x14ac:dyDescent="0.25">
      <c r="A2077" s="10">
        <v>2076</v>
      </c>
      <c r="B2077" s="9">
        <v>6.9016799999999998</v>
      </c>
    </row>
    <row r="2078" spans="1:2" x14ac:dyDescent="0.25">
      <c r="A2078" s="10">
        <v>2077</v>
      </c>
      <c r="B2078" s="9">
        <v>6.9024400000000004</v>
      </c>
    </row>
    <row r="2079" spans="1:2" x14ac:dyDescent="0.25">
      <c r="A2079" s="10">
        <v>2078</v>
      </c>
      <c r="B2079" s="9">
        <v>6.9032</v>
      </c>
    </row>
    <row r="2080" spans="1:2" x14ac:dyDescent="0.25">
      <c r="A2080" s="10">
        <v>2079</v>
      </c>
      <c r="B2080" s="9">
        <v>6.9039599999999997</v>
      </c>
    </row>
    <row r="2081" spans="1:2" x14ac:dyDescent="0.25">
      <c r="A2081" s="10">
        <v>2080</v>
      </c>
      <c r="B2081" s="9">
        <v>6.9047200000000002</v>
      </c>
    </row>
    <row r="2082" spans="1:2" x14ac:dyDescent="0.25">
      <c r="A2082" s="10">
        <v>2081</v>
      </c>
      <c r="B2082" s="9">
        <v>6.9054799999999998</v>
      </c>
    </row>
    <row r="2083" spans="1:2" x14ac:dyDescent="0.25">
      <c r="A2083" s="10">
        <v>2082</v>
      </c>
      <c r="B2083" s="9">
        <v>6.9062400000000004</v>
      </c>
    </row>
    <row r="2084" spans="1:2" x14ac:dyDescent="0.25">
      <c r="A2084" s="10">
        <v>2083</v>
      </c>
      <c r="B2084" s="9">
        <v>6.907</v>
      </c>
    </row>
    <row r="2085" spans="1:2" x14ac:dyDescent="0.25">
      <c r="A2085" s="10">
        <v>2084</v>
      </c>
      <c r="B2085" s="9">
        <v>6.9077599999999997</v>
      </c>
    </row>
    <row r="2086" spans="1:2" x14ac:dyDescent="0.25">
      <c r="A2086" s="10">
        <v>2085</v>
      </c>
      <c r="B2086" s="9">
        <v>6.9085200000000002</v>
      </c>
    </row>
    <row r="2087" spans="1:2" x14ac:dyDescent="0.25">
      <c r="A2087" s="10">
        <v>2086</v>
      </c>
      <c r="B2087" s="9">
        <v>6.9092799999999999</v>
      </c>
    </row>
    <row r="2088" spans="1:2" x14ac:dyDescent="0.25">
      <c r="A2088" s="10">
        <v>2087</v>
      </c>
      <c r="B2088" s="9">
        <v>6.9100400000000004</v>
      </c>
    </row>
    <row r="2089" spans="1:2" x14ac:dyDescent="0.25">
      <c r="A2089" s="10">
        <v>2088</v>
      </c>
      <c r="B2089" s="9">
        <v>6.9108000000000001</v>
      </c>
    </row>
    <row r="2090" spans="1:2" x14ac:dyDescent="0.25">
      <c r="A2090" s="10">
        <v>2089</v>
      </c>
      <c r="B2090" s="9">
        <v>6.9115599999999997</v>
      </c>
    </row>
    <row r="2091" spans="1:2" x14ac:dyDescent="0.25">
      <c r="A2091" s="10">
        <v>2090</v>
      </c>
      <c r="B2091" s="9">
        <v>6.9123200000000002</v>
      </c>
    </row>
    <row r="2092" spans="1:2" x14ac:dyDescent="0.25">
      <c r="A2092" s="10">
        <v>2091</v>
      </c>
      <c r="B2092" s="9">
        <v>6.9130799999999999</v>
      </c>
    </row>
    <row r="2093" spans="1:2" x14ac:dyDescent="0.25">
      <c r="A2093" s="10">
        <v>2092</v>
      </c>
      <c r="B2093" s="9">
        <v>6.9138400000000004</v>
      </c>
    </row>
    <row r="2094" spans="1:2" x14ac:dyDescent="0.25">
      <c r="A2094" s="10">
        <v>2093</v>
      </c>
      <c r="B2094" s="9">
        <v>6.9146000000000001</v>
      </c>
    </row>
    <row r="2095" spans="1:2" x14ac:dyDescent="0.25">
      <c r="A2095" s="10">
        <v>2094</v>
      </c>
      <c r="B2095" s="9">
        <v>6.9153599999999997</v>
      </c>
    </row>
    <row r="2096" spans="1:2" x14ac:dyDescent="0.25">
      <c r="A2096" s="10">
        <v>2095</v>
      </c>
      <c r="B2096" s="9">
        <v>6.9161200000000003</v>
      </c>
    </row>
    <row r="2097" spans="1:2" x14ac:dyDescent="0.25">
      <c r="A2097" s="10">
        <v>2096</v>
      </c>
      <c r="B2097" s="9">
        <v>6.9168799999999999</v>
      </c>
    </row>
    <row r="2098" spans="1:2" x14ac:dyDescent="0.25">
      <c r="A2098" s="10">
        <v>2097</v>
      </c>
      <c r="B2098" s="9">
        <v>6.9176399999999996</v>
      </c>
    </row>
    <row r="2099" spans="1:2" x14ac:dyDescent="0.25">
      <c r="A2099" s="10">
        <v>2098</v>
      </c>
      <c r="B2099" s="9">
        <v>6.9184000000000001</v>
      </c>
    </row>
    <row r="2100" spans="1:2" x14ac:dyDescent="0.25">
      <c r="A2100" s="10">
        <v>2099</v>
      </c>
      <c r="B2100" s="9">
        <v>6.9191599999999998</v>
      </c>
    </row>
    <row r="2101" spans="1:2" x14ac:dyDescent="0.25">
      <c r="A2101" s="10">
        <v>2100</v>
      </c>
      <c r="B2101" s="9">
        <v>6.9199200000000003</v>
      </c>
    </row>
    <row r="2102" spans="1:2" x14ac:dyDescent="0.25">
      <c r="A2102" s="10">
        <v>2101</v>
      </c>
      <c r="B2102" s="9">
        <v>6.9206799999999999</v>
      </c>
    </row>
    <row r="2103" spans="1:2" x14ac:dyDescent="0.25">
      <c r="A2103" s="10">
        <v>2102</v>
      </c>
      <c r="B2103" s="9">
        <v>6.9214399999999996</v>
      </c>
    </row>
    <row r="2104" spans="1:2" x14ac:dyDescent="0.25">
      <c r="A2104" s="10">
        <v>2103</v>
      </c>
      <c r="B2104" s="9">
        <v>6.9222000000000001</v>
      </c>
    </row>
    <row r="2105" spans="1:2" x14ac:dyDescent="0.25">
      <c r="A2105" s="10">
        <v>2104</v>
      </c>
      <c r="B2105" s="9">
        <v>6.9229599999999998</v>
      </c>
    </row>
    <row r="2106" spans="1:2" x14ac:dyDescent="0.25">
      <c r="A2106" s="10">
        <v>2105</v>
      </c>
      <c r="B2106" s="9">
        <v>6.9237200000000003</v>
      </c>
    </row>
    <row r="2107" spans="1:2" x14ac:dyDescent="0.25">
      <c r="A2107" s="10">
        <v>2106</v>
      </c>
      <c r="B2107" s="9">
        <v>6.92448</v>
      </c>
    </row>
    <row r="2108" spans="1:2" x14ac:dyDescent="0.25">
      <c r="A2108" s="10">
        <v>2107</v>
      </c>
      <c r="B2108" s="9">
        <v>6.9252399999999996</v>
      </c>
    </row>
    <row r="2109" spans="1:2" x14ac:dyDescent="0.25">
      <c r="A2109" s="10">
        <v>2108</v>
      </c>
      <c r="B2109" s="9">
        <v>6.9260000000000002</v>
      </c>
    </row>
    <row r="2110" spans="1:2" x14ac:dyDescent="0.25">
      <c r="A2110" s="10">
        <v>2109</v>
      </c>
      <c r="B2110" s="9">
        <v>6.9267599999999998</v>
      </c>
    </row>
    <row r="2111" spans="1:2" x14ac:dyDescent="0.25">
      <c r="A2111" s="10">
        <v>2110</v>
      </c>
      <c r="B2111" s="9">
        <v>6.9275200000000003</v>
      </c>
    </row>
    <row r="2112" spans="1:2" x14ac:dyDescent="0.25">
      <c r="A2112" s="10">
        <v>2111</v>
      </c>
      <c r="B2112" s="9">
        <v>6.92828</v>
      </c>
    </row>
    <row r="2113" spans="1:2" x14ac:dyDescent="0.25">
      <c r="A2113" s="10">
        <v>2112</v>
      </c>
      <c r="B2113" s="9">
        <v>6.9290399999999996</v>
      </c>
    </row>
    <row r="2114" spans="1:2" x14ac:dyDescent="0.25">
      <c r="A2114" s="10">
        <v>2113</v>
      </c>
      <c r="B2114" s="9">
        <v>6.9298000000000002</v>
      </c>
    </row>
    <row r="2115" spans="1:2" x14ac:dyDescent="0.25">
      <c r="A2115" s="10">
        <v>2114</v>
      </c>
      <c r="B2115" s="9">
        <v>6.9305599999999998</v>
      </c>
    </row>
    <row r="2116" spans="1:2" x14ac:dyDescent="0.25">
      <c r="A2116" s="10">
        <v>2115</v>
      </c>
      <c r="B2116" s="9">
        <v>6.9313200000000004</v>
      </c>
    </row>
    <row r="2117" spans="1:2" x14ac:dyDescent="0.25">
      <c r="A2117" s="10">
        <v>2116</v>
      </c>
      <c r="B2117" s="9">
        <v>6.93208</v>
      </c>
    </row>
    <row r="2118" spans="1:2" x14ac:dyDescent="0.25">
      <c r="A2118" s="10">
        <v>2117</v>
      </c>
      <c r="B2118" s="9">
        <v>6.9328399999999997</v>
      </c>
    </row>
    <row r="2119" spans="1:2" x14ac:dyDescent="0.25">
      <c r="A2119" s="10">
        <v>2118</v>
      </c>
      <c r="B2119" s="9">
        <v>6.9336000000000002</v>
      </c>
    </row>
    <row r="2120" spans="1:2" x14ac:dyDescent="0.25">
      <c r="A2120" s="10">
        <v>2119</v>
      </c>
      <c r="B2120" s="9">
        <v>6.9343599999999999</v>
      </c>
    </row>
    <row r="2121" spans="1:2" x14ac:dyDescent="0.25">
      <c r="A2121" s="10">
        <v>2120</v>
      </c>
      <c r="B2121" s="9">
        <v>6.9351200000000004</v>
      </c>
    </row>
    <row r="2122" spans="1:2" x14ac:dyDescent="0.25">
      <c r="A2122" s="10">
        <v>2121</v>
      </c>
      <c r="B2122" s="9">
        <v>6.93588</v>
      </c>
    </row>
    <row r="2123" spans="1:2" x14ac:dyDescent="0.25">
      <c r="A2123" s="10">
        <v>2122</v>
      </c>
      <c r="B2123" s="9">
        <v>6.9366399999999997</v>
      </c>
    </row>
    <row r="2124" spans="1:2" x14ac:dyDescent="0.25">
      <c r="A2124" s="10">
        <v>2123</v>
      </c>
      <c r="B2124" s="9">
        <v>6.9374000000000002</v>
      </c>
    </row>
    <row r="2125" spans="1:2" x14ac:dyDescent="0.25">
      <c r="A2125" s="10">
        <v>2124</v>
      </c>
      <c r="B2125" s="9">
        <v>6.9381599999999999</v>
      </c>
    </row>
    <row r="2126" spans="1:2" x14ac:dyDescent="0.25">
      <c r="A2126" s="10">
        <v>2125</v>
      </c>
      <c r="B2126" s="9">
        <v>6.9389200000000004</v>
      </c>
    </row>
    <row r="2127" spans="1:2" x14ac:dyDescent="0.25">
      <c r="A2127" s="10">
        <v>2126</v>
      </c>
      <c r="B2127" s="9">
        <v>6.9396800000000001</v>
      </c>
    </row>
    <row r="2128" spans="1:2" x14ac:dyDescent="0.25">
      <c r="A2128" s="10">
        <v>2127</v>
      </c>
      <c r="B2128" s="9">
        <v>6.9404399999999997</v>
      </c>
    </row>
    <row r="2129" spans="1:2" x14ac:dyDescent="0.25">
      <c r="A2129" s="10">
        <v>2128</v>
      </c>
      <c r="B2129" s="9">
        <v>6.9412000000000003</v>
      </c>
    </row>
    <row r="2130" spans="1:2" x14ac:dyDescent="0.25">
      <c r="A2130" s="10">
        <v>2129</v>
      </c>
      <c r="B2130" s="9">
        <v>6.9419599999999999</v>
      </c>
    </row>
    <row r="2131" spans="1:2" x14ac:dyDescent="0.25">
      <c r="A2131" s="10">
        <v>2130</v>
      </c>
      <c r="B2131" s="9">
        <v>6.9427199999999996</v>
      </c>
    </row>
    <row r="2132" spans="1:2" x14ac:dyDescent="0.25">
      <c r="A2132" s="10">
        <v>2131</v>
      </c>
      <c r="B2132" s="9">
        <v>6.9434800000000001</v>
      </c>
    </row>
    <row r="2133" spans="1:2" x14ac:dyDescent="0.25">
      <c r="A2133" s="10">
        <v>2132</v>
      </c>
      <c r="B2133" s="9">
        <v>6.9442399999999997</v>
      </c>
    </row>
    <row r="2134" spans="1:2" x14ac:dyDescent="0.25">
      <c r="A2134" s="10">
        <v>2133</v>
      </c>
      <c r="B2134" s="9">
        <v>6.9450000000000003</v>
      </c>
    </row>
    <row r="2135" spans="1:2" x14ac:dyDescent="0.25">
      <c r="A2135" s="10">
        <v>2134</v>
      </c>
      <c r="B2135" s="9">
        <v>6.9457599999999999</v>
      </c>
    </row>
    <row r="2136" spans="1:2" x14ac:dyDescent="0.25">
      <c r="A2136" s="10">
        <v>2135</v>
      </c>
      <c r="B2136" s="9">
        <v>6.9465199999999996</v>
      </c>
    </row>
    <row r="2137" spans="1:2" x14ac:dyDescent="0.25">
      <c r="A2137" s="10">
        <v>2136</v>
      </c>
      <c r="B2137" s="9">
        <v>6.9472800000000001</v>
      </c>
    </row>
    <row r="2138" spans="1:2" x14ac:dyDescent="0.25">
      <c r="A2138" s="10">
        <v>2137</v>
      </c>
      <c r="B2138" s="9">
        <v>6.9480399999999998</v>
      </c>
    </row>
    <row r="2139" spans="1:2" x14ac:dyDescent="0.25">
      <c r="A2139" s="10">
        <v>2138</v>
      </c>
      <c r="B2139" s="9">
        <v>6.9488000000000003</v>
      </c>
    </row>
    <row r="2140" spans="1:2" x14ac:dyDescent="0.25">
      <c r="A2140" s="10">
        <v>2139</v>
      </c>
      <c r="B2140" s="9">
        <v>6.94956</v>
      </c>
    </row>
    <row r="2141" spans="1:2" x14ac:dyDescent="0.25">
      <c r="A2141" s="10">
        <v>2140</v>
      </c>
      <c r="B2141" s="9">
        <v>6.9503199999999996</v>
      </c>
    </row>
    <row r="2142" spans="1:2" x14ac:dyDescent="0.25">
      <c r="A2142" s="10">
        <v>2141</v>
      </c>
      <c r="B2142" s="9">
        <v>6.9510800000000001</v>
      </c>
    </row>
    <row r="2143" spans="1:2" x14ac:dyDescent="0.25">
      <c r="A2143" s="10">
        <v>2142</v>
      </c>
      <c r="B2143" s="9">
        <v>6.9518399999999998</v>
      </c>
    </row>
    <row r="2144" spans="1:2" x14ac:dyDescent="0.25">
      <c r="A2144" s="10">
        <v>2143</v>
      </c>
      <c r="B2144" s="9">
        <v>6.9526000000000003</v>
      </c>
    </row>
    <row r="2145" spans="1:2" x14ac:dyDescent="0.25">
      <c r="A2145" s="10">
        <v>2144</v>
      </c>
      <c r="B2145" s="9">
        <v>6.95336</v>
      </c>
    </row>
    <row r="2146" spans="1:2" x14ac:dyDescent="0.25">
      <c r="A2146" s="10">
        <v>2145</v>
      </c>
      <c r="B2146" s="9">
        <v>6.9541199999999996</v>
      </c>
    </row>
    <row r="2147" spans="1:2" x14ac:dyDescent="0.25">
      <c r="A2147" s="10">
        <v>2146</v>
      </c>
      <c r="B2147" s="9">
        <v>6.9548800000000002</v>
      </c>
    </row>
    <row r="2148" spans="1:2" x14ac:dyDescent="0.25">
      <c r="A2148" s="10">
        <v>2147</v>
      </c>
      <c r="B2148" s="9">
        <v>6.9556399999999998</v>
      </c>
    </row>
    <row r="2149" spans="1:2" x14ac:dyDescent="0.25">
      <c r="A2149" s="10">
        <v>2148</v>
      </c>
      <c r="B2149" s="9">
        <v>6.9564000000000004</v>
      </c>
    </row>
    <row r="2150" spans="1:2" x14ac:dyDescent="0.25">
      <c r="A2150" s="10">
        <v>2149</v>
      </c>
      <c r="B2150" s="9">
        <v>6.95716</v>
      </c>
    </row>
    <row r="2151" spans="1:2" x14ac:dyDescent="0.25">
      <c r="A2151" s="10">
        <v>2150</v>
      </c>
      <c r="B2151" s="9">
        <v>6.9579199999999997</v>
      </c>
    </row>
    <row r="2152" spans="1:2" x14ac:dyDescent="0.25">
      <c r="A2152" s="10">
        <v>2151</v>
      </c>
      <c r="B2152" s="9">
        <v>6.9586800000000002</v>
      </c>
    </row>
    <row r="2153" spans="1:2" x14ac:dyDescent="0.25">
      <c r="A2153" s="10">
        <v>2152</v>
      </c>
      <c r="B2153" s="9">
        <v>6.9594399999999998</v>
      </c>
    </row>
    <row r="2154" spans="1:2" x14ac:dyDescent="0.25">
      <c r="A2154" s="10">
        <v>2153</v>
      </c>
      <c r="B2154" s="9">
        <v>6.9602000000000004</v>
      </c>
    </row>
    <row r="2155" spans="1:2" x14ac:dyDescent="0.25">
      <c r="A2155" s="10">
        <v>2154</v>
      </c>
      <c r="B2155" s="9">
        <v>6.96096</v>
      </c>
    </row>
    <row r="2156" spans="1:2" x14ac:dyDescent="0.25">
      <c r="A2156" s="10">
        <v>2155</v>
      </c>
      <c r="B2156" s="9">
        <v>6.9617199999999997</v>
      </c>
    </row>
    <row r="2157" spans="1:2" x14ac:dyDescent="0.25">
      <c r="A2157" s="10">
        <v>2156</v>
      </c>
      <c r="B2157" s="9">
        <v>6.9624800000000002</v>
      </c>
    </row>
    <row r="2158" spans="1:2" x14ac:dyDescent="0.25">
      <c r="A2158" s="10">
        <v>2157</v>
      </c>
      <c r="B2158" s="9">
        <v>6.9632399999999999</v>
      </c>
    </row>
    <row r="2159" spans="1:2" x14ac:dyDescent="0.25">
      <c r="A2159" s="10">
        <v>2158</v>
      </c>
      <c r="B2159" s="9">
        <v>6.9640000000000004</v>
      </c>
    </row>
    <row r="2160" spans="1:2" x14ac:dyDescent="0.25">
      <c r="A2160" s="10">
        <v>2159</v>
      </c>
      <c r="B2160" s="9">
        <v>6.9647600000000001</v>
      </c>
    </row>
    <row r="2161" spans="1:2" x14ac:dyDescent="0.25">
      <c r="A2161" s="10">
        <v>2160</v>
      </c>
      <c r="B2161" s="9">
        <v>6.9655199999999997</v>
      </c>
    </row>
    <row r="2162" spans="1:2" x14ac:dyDescent="0.25">
      <c r="A2162" s="10">
        <v>2161</v>
      </c>
      <c r="B2162" s="9">
        <v>6.9662800000000002</v>
      </c>
    </row>
    <row r="2163" spans="1:2" x14ac:dyDescent="0.25">
      <c r="A2163" s="10">
        <v>2162</v>
      </c>
      <c r="B2163" s="9">
        <v>6.9670399999999999</v>
      </c>
    </row>
    <row r="2164" spans="1:2" x14ac:dyDescent="0.25">
      <c r="A2164" s="10">
        <v>2163</v>
      </c>
      <c r="B2164" s="9">
        <v>6.9678000000000004</v>
      </c>
    </row>
    <row r="2165" spans="1:2" x14ac:dyDescent="0.25">
      <c r="A2165" s="10">
        <v>2164</v>
      </c>
      <c r="B2165" s="9">
        <v>6.9685600000000001</v>
      </c>
    </row>
    <row r="2166" spans="1:2" x14ac:dyDescent="0.25">
      <c r="A2166" s="10">
        <v>2165</v>
      </c>
      <c r="B2166" s="9">
        <v>6.9693199999999997</v>
      </c>
    </row>
    <row r="2167" spans="1:2" x14ac:dyDescent="0.25">
      <c r="A2167" s="10">
        <v>2166</v>
      </c>
      <c r="B2167" s="9">
        <v>6.9700800000000003</v>
      </c>
    </row>
    <row r="2168" spans="1:2" x14ac:dyDescent="0.25">
      <c r="A2168" s="10">
        <v>2167</v>
      </c>
      <c r="B2168" s="9">
        <v>6.9708399999999999</v>
      </c>
    </row>
    <row r="2169" spans="1:2" x14ac:dyDescent="0.25">
      <c r="A2169" s="10">
        <v>2168</v>
      </c>
      <c r="B2169" s="9">
        <v>6.9715999999999996</v>
      </c>
    </row>
    <row r="2170" spans="1:2" x14ac:dyDescent="0.25">
      <c r="A2170" s="10">
        <v>2169</v>
      </c>
      <c r="B2170" s="9">
        <v>6.9723600000000001</v>
      </c>
    </row>
    <row r="2171" spans="1:2" x14ac:dyDescent="0.25">
      <c r="A2171" s="10">
        <v>2170</v>
      </c>
      <c r="B2171" s="9">
        <v>6.9731199999999998</v>
      </c>
    </row>
    <row r="2172" spans="1:2" x14ac:dyDescent="0.25">
      <c r="A2172" s="10">
        <v>2171</v>
      </c>
      <c r="B2172" s="9">
        <v>6.9738800000000003</v>
      </c>
    </row>
    <row r="2173" spans="1:2" x14ac:dyDescent="0.25">
      <c r="A2173" s="10">
        <v>2172</v>
      </c>
      <c r="B2173" s="9">
        <v>6.97464</v>
      </c>
    </row>
    <row r="2174" spans="1:2" x14ac:dyDescent="0.25">
      <c r="A2174" s="10">
        <v>2173</v>
      </c>
      <c r="B2174" s="9">
        <v>6.9753999999999996</v>
      </c>
    </row>
    <row r="2175" spans="1:2" x14ac:dyDescent="0.25">
      <c r="A2175" s="10">
        <v>2174</v>
      </c>
      <c r="B2175" s="9">
        <v>6.9761600000000001</v>
      </c>
    </row>
    <row r="2176" spans="1:2" x14ac:dyDescent="0.25">
      <c r="A2176" s="10">
        <v>2175</v>
      </c>
      <c r="B2176" s="9">
        <v>6.9769199999999998</v>
      </c>
    </row>
    <row r="2177" spans="1:2" x14ac:dyDescent="0.25">
      <c r="A2177" s="10">
        <v>2176</v>
      </c>
      <c r="B2177" s="9">
        <v>6.9776800000000003</v>
      </c>
    </row>
    <row r="2178" spans="1:2" x14ac:dyDescent="0.25">
      <c r="A2178" s="10">
        <v>2177</v>
      </c>
      <c r="B2178" s="9">
        <v>6.97844</v>
      </c>
    </row>
    <row r="2179" spans="1:2" x14ac:dyDescent="0.25">
      <c r="A2179" s="10">
        <v>2178</v>
      </c>
      <c r="B2179" s="9">
        <v>6.9791999999999996</v>
      </c>
    </row>
    <row r="2180" spans="1:2" x14ac:dyDescent="0.25">
      <c r="A2180" s="10">
        <v>2179</v>
      </c>
      <c r="B2180" s="9">
        <v>6.9799600000000002</v>
      </c>
    </row>
    <row r="2181" spans="1:2" x14ac:dyDescent="0.25">
      <c r="A2181" s="10">
        <v>2180</v>
      </c>
      <c r="B2181" s="9">
        <v>6.9807199999999998</v>
      </c>
    </row>
    <row r="2182" spans="1:2" x14ac:dyDescent="0.25">
      <c r="A2182" s="10">
        <v>2181</v>
      </c>
      <c r="B2182" s="9">
        <v>6.9814800000000004</v>
      </c>
    </row>
    <row r="2183" spans="1:2" x14ac:dyDescent="0.25">
      <c r="A2183" s="10">
        <v>2182</v>
      </c>
      <c r="B2183" s="9">
        <v>6.98224</v>
      </c>
    </row>
    <row r="2184" spans="1:2" x14ac:dyDescent="0.25">
      <c r="A2184" s="10">
        <v>2183</v>
      </c>
      <c r="B2184" s="9">
        <v>6.9829999999999997</v>
      </c>
    </row>
    <row r="2185" spans="1:2" x14ac:dyDescent="0.25">
      <c r="A2185" s="10">
        <v>2184</v>
      </c>
      <c r="B2185" s="9">
        <v>6.9837600000000002</v>
      </c>
    </row>
    <row r="2186" spans="1:2" x14ac:dyDescent="0.25">
      <c r="A2186" s="10">
        <v>2185</v>
      </c>
      <c r="B2186" s="9">
        <v>6.9845199999999998</v>
      </c>
    </row>
    <row r="2187" spans="1:2" x14ac:dyDescent="0.25">
      <c r="A2187" s="10">
        <v>2186</v>
      </c>
      <c r="B2187" s="9">
        <v>6.9852800000000004</v>
      </c>
    </row>
    <row r="2188" spans="1:2" x14ac:dyDescent="0.25">
      <c r="A2188" s="10">
        <v>2187</v>
      </c>
      <c r="B2188" s="9">
        <v>6.98604</v>
      </c>
    </row>
    <row r="2189" spans="1:2" x14ac:dyDescent="0.25">
      <c r="A2189" s="10">
        <v>2188</v>
      </c>
      <c r="B2189" s="9">
        <v>6.9867999999999997</v>
      </c>
    </row>
    <row r="2190" spans="1:2" x14ac:dyDescent="0.25">
      <c r="A2190" s="10">
        <v>2189</v>
      </c>
      <c r="B2190" s="9">
        <v>6.9875600000000002</v>
      </c>
    </row>
    <row r="2191" spans="1:2" x14ac:dyDescent="0.25">
      <c r="A2191" s="10">
        <v>2190</v>
      </c>
      <c r="B2191" s="9">
        <v>6.9883199999999999</v>
      </c>
    </row>
    <row r="2192" spans="1:2" x14ac:dyDescent="0.25">
      <c r="A2192" s="10">
        <v>2191</v>
      </c>
      <c r="B2192" s="9">
        <v>6.9890800000000004</v>
      </c>
    </row>
    <row r="2193" spans="1:2" x14ac:dyDescent="0.25">
      <c r="A2193" s="10">
        <v>2192</v>
      </c>
      <c r="B2193" s="9">
        <v>6.9898400000000001</v>
      </c>
    </row>
    <row r="2194" spans="1:2" x14ac:dyDescent="0.25">
      <c r="A2194" s="10">
        <v>2193</v>
      </c>
      <c r="B2194" s="9">
        <v>6.9905999999999997</v>
      </c>
    </row>
    <row r="2195" spans="1:2" x14ac:dyDescent="0.25">
      <c r="A2195" s="10">
        <v>2194</v>
      </c>
      <c r="B2195" s="9">
        <v>6.9913600000000002</v>
      </c>
    </row>
    <row r="2196" spans="1:2" x14ac:dyDescent="0.25">
      <c r="A2196" s="10">
        <v>2195</v>
      </c>
      <c r="B2196" s="9">
        <v>6.9921199999999999</v>
      </c>
    </row>
    <row r="2197" spans="1:2" x14ac:dyDescent="0.25">
      <c r="A2197" s="10">
        <v>2196</v>
      </c>
      <c r="B2197" s="9">
        <v>6.9928800000000004</v>
      </c>
    </row>
    <row r="2198" spans="1:2" x14ac:dyDescent="0.25">
      <c r="A2198" s="10">
        <v>2197</v>
      </c>
      <c r="B2198" s="9">
        <v>6.9936400000000001</v>
      </c>
    </row>
    <row r="2199" spans="1:2" x14ac:dyDescent="0.25">
      <c r="A2199" s="10">
        <v>2198</v>
      </c>
      <c r="B2199" s="9">
        <v>6.9943999999999997</v>
      </c>
    </row>
    <row r="2200" spans="1:2" x14ac:dyDescent="0.25">
      <c r="A2200" s="10">
        <v>2199</v>
      </c>
      <c r="B2200" s="9">
        <v>6.9951600000000003</v>
      </c>
    </row>
    <row r="2201" spans="1:2" x14ac:dyDescent="0.25">
      <c r="A2201" s="10">
        <v>2200</v>
      </c>
      <c r="B2201" s="9">
        <v>6.9959199999999999</v>
      </c>
    </row>
    <row r="2202" spans="1:2" x14ac:dyDescent="0.25">
      <c r="A2202" s="10">
        <v>2201</v>
      </c>
      <c r="B2202" s="9">
        <v>6.9966799999999996</v>
      </c>
    </row>
    <row r="2203" spans="1:2" x14ac:dyDescent="0.25">
      <c r="A2203" s="10">
        <v>2202</v>
      </c>
      <c r="B2203" s="9">
        <v>6.9974400000000001</v>
      </c>
    </row>
    <row r="2204" spans="1:2" x14ac:dyDescent="0.25">
      <c r="A2204" s="10">
        <v>2203</v>
      </c>
      <c r="B2204" s="9">
        <v>6.9981999999999998</v>
      </c>
    </row>
    <row r="2205" spans="1:2" x14ac:dyDescent="0.25">
      <c r="A2205" s="10">
        <v>2204</v>
      </c>
      <c r="B2205" s="9">
        <v>6.9989600000000003</v>
      </c>
    </row>
    <row r="2206" spans="1:2" x14ac:dyDescent="0.25">
      <c r="A2206" s="10">
        <v>2205</v>
      </c>
      <c r="B2206" s="9">
        <v>6.9997199999999999</v>
      </c>
    </row>
    <row r="2207" spans="1:2" x14ac:dyDescent="0.25">
      <c r="A2207" s="10">
        <v>2206</v>
      </c>
      <c r="B2207" s="9">
        <v>7.0004799999999996</v>
      </c>
    </row>
    <row r="2208" spans="1:2" x14ac:dyDescent="0.25">
      <c r="A2208" s="10">
        <v>2207</v>
      </c>
      <c r="B2208" s="9">
        <v>7.0012400000000001</v>
      </c>
    </row>
    <row r="2209" spans="1:2" x14ac:dyDescent="0.25">
      <c r="A2209" s="10">
        <v>2208</v>
      </c>
      <c r="B2209" s="9">
        <v>7.0019999999999998</v>
      </c>
    </row>
    <row r="2210" spans="1:2" x14ac:dyDescent="0.25">
      <c r="A2210" s="10">
        <v>2209</v>
      </c>
      <c r="B2210" s="9">
        <v>7.0027600000000003</v>
      </c>
    </row>
    <row r="2211" spans="1:2" x14ac:dyDescent="0.25">
      <c r="A2211" s="10">
        <v>2210</v>
      </c>
      <c r="B2211" s="9">
        <v>7.00352</v>
      </c>
    </row>
    <row r="2212" spans="1:2" x14ac:dyDescent="0.25">
      <c r="A2212" s="10">
        <v>2211</v>
      </c>
      <c r="B2212" s="9">
        <v>7.0042799999999996</v>
      </c>
    </row>
    <row r="2213" spans="1:2" x14ac:dyDescent="0.25">
      <c r="A2213" s="10">
        <v>2212</v>
      </c>
      <c r="B2213" s="9">
        <v>7.0050400000000002</v>
      </c>
    </row>
    <row r="2214" spans="1:2" x14ac:dyDescent="0.25">
      <c r="A2214" s="10">
        <v>2213</v>
      </c>
      <c r="B2214" s="9">
        <v>7.0057999999999998</v>
      </c>
    </row>
    <row r="2215" spans="1:2" x14ac:dyDescent="0.25">
      <c r="A2215" s="10">
        <v>2214</v>
      </c>
      <c r="B2215" s="9">
        <v>7.0065600000000003</v>
      </c>
    </row>
    <row r="2216" spans="1:2" x14ac:dyDescent="0.25">
      <c r="A2216" s="10">
        <v>2215</v>
      </c>
      <c r="B2216" s="9">
        <v>7.00732</v>
      </c>
    </row>
    <row r="2217" spans="1:2" x14ac:dyDescent="0.25">
      <c r="A2217" s="10">
        <v>2216</v>
      </c>
      <c r="B2217" s="9">
        <v>7.0080799999999996</v>
      </c>
    </row>
    <row r="2218" spans="1:2" x14ac:dyDescent="0.25">
      <c r="A2218" s="10">
        <v>2217</v>
      </c>
      <c r="B2218" s="9">
        <v>7.0088400000000002</v>
      </c>
    </row>
    <row r="2219" spans="1:2" x14ac:dyDescent="0.25">
      <c r="A2219" s="10">
        <v>2218</v>
      </c>
      <c r="B2219" s="9">
        <v>7.0095999999999998</v>
      </c>
    </row>
    <row r="2220" spans="1:2" x14ac:dyDescent="0.25">
      <c r="A2220" s="10">
        <v>2219</v>
      </c>
      <c r="B2220" s="9">
        <v>7.0103600000000004</v>
      </c>
    </row>
    <row r="2221" spans="1:2" x14ac:dyDescent="0.25">
      <c r="A2221" s="10">
        <v>2220</v>
      </c>
      <c r="B2221" s="9">
        <v>7.01112</v>
      </c>
    </row>
    <row r="2222" spans="1:2" x14ac:dyDescent="0.25">
      <c r="A2222" s="10">
        <v>2221</v>
      </c>
      <c r="B2222" s="9">
        <v>7.0118799999999997</v>
      </c>
    </row>
    <row r="2223" spans="1:2" x14ac:dyDescent="0.25">
      <c r="A2223" s="10">
        <v>2222</v>
      </c>
      <c r="B2223" s="9">
        <v>7.0126400000000002</v>
      </c>
    </row>
    <row r="2224" spans="1:2" x14ac:dyDescent="0.25">
      <c r="A2224" s="10">
        <v>2223</v>
      </c>
      <c r="B2224" s="9">
        <v>7.0133999999999999</v>
      </c>
    </row>
    <row r="2225" spans="1:2" x14ac:dyDescent="0.25">
      <c r="A2225" s="10">
        <v>2224</v>
      </c>
      <c r="B2225" s="9">
        <v>7.0141600000000004</v>
      </c>
    </row>
    <row r="2226" spans="1:2" x14ac:dyDescent="0.25">
      <c r="A2226" s="10">
        <v>2225</v>
      </c>
      <c r="B2226" s="9">
        <v>7.01492</v>
      </c>
    </row>
    <row r="2227" spans="1:2" x14ac:dyDescent="0.25">
      <c r="A2227" s="10">
        <v>2226</v>
      </c>
      <c r="B2227" s="9">
        <v>7.0156799999999997</v>
      </c>
    </row>
    <row r="2228" spans="1:2" x14ac:dyDescent="0.25">
      <c r="A2228" s="10">
        <v>2227</v>
      </c>
      <c r="B2228" s="9">
        <v>7.0164400000000002</v>
      </c>
    </row>
    <row r="2229" spans="1:2" x14ac:dyDescent="0.25">
      <c r="A2229" s="10">
        <v>2228</v>
      </c>
      <c r="B2229" s="9">
        <v>7.0171999999999999</v>
      </c>
    </row>
    <row r="2230" spans="1:2" x14ac:dyDescent="0.25">
      <c r="A2230" s="10">
        <v>2229</v>
      </c>
      <c r="B2230" s="9">
        <v>7.0179600000000004</v>
      </c>
    </row>
    <row r="2231" spans="1:2" x14ac:dyDescent="0.25">
      <c r="A2231" s="10">
        <v>2230</v>
      </c>
      <c r="B2231" s="9">
        <v>7.0187200000000001</v>
      </c>
    </row>
    <row r="2232" spans="1:2" x14ac:dyDescent="0.25">
      <c r="A2232" s="10">
        <v>2231</v>
      </c>
      <c r="B2232" s="9">
        <v>7.0194799999999997</v>
      </c>
    </row>
    <row r="2233" spans="1:2" x14ac:dyDescent="0.25">
      <c r="A2233" s="10">
        <v>2232</v>
      </c>
      <c r="B2233" s="9">
        <v>7.0202400000000003</v>
      </c>
    </row>
    <row r="2234" spans="1:2" x14ac:dyDescent="0.25">
      <c r="A2234" s="10">
        <v>2233</v>
      </c>
      <c r="B2234" s="9">
        <v>7.0209999999999999</v>
      </c>
    </row>
    <row r="2235" spans="1:2" x14ac:dyDescent="0.25">
      <c r="A2235" s="10">
        <v>2234</v>
      </c>
      <c r="B2235" s="9">
        <v>7.0217599999999996</v>
      </c>
    </row>
    <row r="2236" spans="1:2" x14ac:dyDescent="0.25">
      <c r="A2236" s="10">
        <v>2235</v>
      </c>
      <c r="B2236" s="9">
        <v>7.0225200000000001</v>
      </c>
    </row>
    <row r="2237" spans="1:2" x14ac:dyDescent="0.25">
      <c r="A2237" s="10">
        <v>2236</v>
      </c>
      <c r="B2237" s="9">
        <v>7.0232799999999997</v>
      </c>
    </row>
    <row r="2238" spans="1:2" x14ac:dyDescent="0.25">
      <c r="A2238" s="10">
        <v>2237</v>
      </c>
      <c r="B2238" s="9">
        <v>7.0240400000000003</v>
      </c>
    </row>
    <row r="2239" spans="1:2" x14ac:dyDescent="0.25">
      <c r="A2239" s="10">
        <v>2238</v>
      </c>
      <c r="B2239" s="9">
        <v>7.0247999999999999</v>
      </c>
    </row>
    <row r="2240" spans="1:2" x14ac:dyDescent="0.25">
      <c r="A2240" s="10">
        <v>2239</v>
      </c>
      <c r="B2240" s="9">
        <v>7.0255599999999996</v>
      </c>
    </row>
    <row r="2241" spans="1:2" x14ac:dyDescent="0.25">
      <c r="A2241" s="10">
        <v>2240</v>
      </c>
      <c r="B2241" s="9">
        <v>7.0263200000000001</v>
      </c>
    </row>
    <row r="2242" spans="1:2" x14ac:dyDescent="0.25">
      <c r="A2242" s="10">
        <v>2241</v>
      </c>
      <c r="B2242" s="9">
        <v>7.0270799999999998</v>
      </c>
    </row>
    <row r="2243" spans="1:2" x14ac:dyDescent="0.25">
      <c r="A2243" s="10">
        <v>2242</v>
      </c>
      <c r="B2243" s="9">
        <v>7.0278400000000003</v>
      </c>
    </row>
    <row r="2244" spans="1:2" x14ac:dyDescent="0.25">
      <c r="A2244" s="10">
        <v>2243</v>
      </c>
      <c r="B2244" s="9">
        <v>7.0286</v>
      </c>
    </row>
    <row r="2245" spans="1:2" x14ac:dyDescent="0.25">
      <c r="A2245" s="10">
        <v>2244</v>
      </c>
      <c r="B2245" s="9">
        <v>7.0293599999999996</v>
      </c>
    </row>
    <row r="2246" spans="1:2" x14ac:dyDescent="0.25">
      <c r="A2246" s="10">
        <v>2245</v>
      </c>
      <c r="B2246" s="9">
        <v>7.0301200000000001</v>
      </c>
    </row>
    <row r="2247" spans="1:2" x14ac:dyDescent="0.25">
      <c r="A2247" s="10">
        <v>2246</v>
      </c>
      <c r="B2247" s="9">
        <v>7.0308799999999998</v>
      </c>
    </row>
    <row r="2248" spans="1:2" x14ac:dyDescent="0.25">
      <c r="A2248" s="10">
        <v>2247</v>
      </c>
      <c r="B2248" s="9">
        <v>7.0316400000000003</v>
      </c>
    </row>
    <row r="2249" spans="1:2" x14ac:dyDescent="0.25">
      <c r="A2249" s="10">
        <v>2248</v>
      </c>
      <c r="B2249" s="9">
        <v>7.0324</v>
      </c>
    </row>
    <row r="2250" spans="1:2" x14ac:dyDescent="0.25">
      <c r="A2250" s="10">
        <v>2249</v>
      </c>
      <c r="B2250" s="9">
        <v>7.0331599999999996</v>
      </c>
    </row>
    <row r="2251" spans="1:2" x14ac:dyDescent="0.25">
      <c r="A2251" s="10">
        <v>2250</v>
      </c>
      <c r="B2251" s="9">
        <v>7.0339200000000002</v>
      </c>
    </row>
    <row r="2252" spans="1:2" x14ac:dyDescent="0.25">
      <c r="A2252" s="10">
        <v>2251</v>
      </c>
      <c r="B2252" s="9">
        <v>7.0346799999999998</v>
      </c>
    </row>
    <row r="2253" spans="1:2" x14ac:dyDescent="0.25">
      <c r="A2253" s="10">
        <v>2252</v>
      </c>
      <c r="B2253" s="9">
        <v>7.0354400000000004</v>
      </c>
    </row>
    <row r="2254" spans="1:2" x14ac:dyDescent="0.25">
      <c r="A2254" s="10">
        <v>2253</v>
      </c>
      <c r="B2254" s="9">
        <v>7.0362</v>
      </c>
    </row>
    <row r="2255" spans="1:2" x14ac:dyDescent="0.25">
      <c r="A2255" s="10">
        <v>2254</v>
      </c>
      <c r="B2255" s="9">
        <v>7.0369599999999997</v>
      </c>
    </row>
    <row r="2256" spans="1:2" x14ac:dyDescent="0.25">
      <c r="A2256" s="10">
        <v>2255</v>
      </c>
      <c r="B2256" s="9">
        <v>7.0377200000000002</v>
      </c>
    </row>
    <row r="2257" spans="1:2" x14ac:dyDescent="0.25">
      <c r="A2257" s="10">
        <v>2256</v>
      </c>
      <c r="B2257" s="9">
        <v>7.0384799999999998</v>
      </c>
    </row>
    <row r="2258" spans="1:2" x14ac:dyDescent="0.25">
      <c r="A2258" s="10">
        <v>2257</v>
      </c>
      <c r="B2258" s="9">
        <v>7.0392400000000004</v>
      </c>
    </row>
    <row r="2259" spans="1:2" x14ac:dyDescent="0.25">
      <c r="A2259" s="10">
        <v>2258</v>
      </c>
      <c r="B2259" s="9">
        <v>7.04</v>
      </c>
    </row>
    <row r="2260" spans="1:2" x14ac:dyDescent="0.25">
      <c r="A2260" s="10">
        <v>2259</v>
      </c>
      <c r="B2260" s="9">
        <v>7.0405139999999999</v>
      </c>
    </row>
    <row r="2261" spans="1:2" x14ac:dyDescent="0.25">
      <c r="A2261" s="10">
        <v>2260</v>
      </c>
      <c r="B2261" s="9">
        <v>7.0410279999999998</v>
      </c>
    </row>
    <row r="2262" spans="1:2" x14ac:dyDescent="0.25">
      <c r="A2262" s="10">
        <v>2261</v>
      </c>
      <c r="B2262" s="9">
        <v>7.0415419999999997</v>
      </c>
    </row>
    <row r="2263" spans="1:2" x14ac:dyDescent="0.25">
      <c r="A2263" s="10">
        <v>2262</v>
      </c>
      <c r="B2263" s="9">
        <v>7.0420550000000004</v>
      </c>
    </row>
    <row r="2264" spans="1:2" x14ac:dyDescent="0.25">
      <c r="A2264" s="10">
        <v>2263</v>
      </c>
      <c r="B2264" s="9">
        <v>7.0425690000000003</v>
      </c>
    </row>
    <row r="2265" spans="1:2" x14ac:dyDescent="0.25">
      <c r="A2265" s="10">
        <v>2264</v>
      </c>
      <c r="B2265" s="9">
        <v>7.0430830000000002</v>
      </c>
    </row>
    <row r="2266" spans="1:2" x14ac:dyDescent="0.25">
      <c r="A2266" s="10">
        <v>2265</v>
      </c>
      <c r="B2266" s="9">
        <v>7.0435970000000001</v>
      </c>
    </row>
    <row r="2267" spans="1:2" x14ac:dyDescent="0.25">
      <c r="A2267" s="10">
        <v>2266</v>
      </c>
      <c r="B2267" s="9">
        <v>7.044111</v>
      </c>
    </row>
    <row r="2268" spans="1:2" x14ac:dyDescent="0.25">
      <c r="A2268" s="10">
        <v>2267</v>
      </c>
      <c r="B2268" s="9">
        <v>7.0446239999999998</v>
      </c>
    </row>
    <row r="2269" spans="1:2" x14ac:dyDescent="0.25">
      <c r="A2269" s="10">
        <v>2268</v>
      </c>
      <c r="B2269" s="9">
        <v>7.0451379999999997</v>
      </c>
    </row>
    <row r="2270" spans="1:2" x14ac:dyDescent="0.25">
      <c r="A2270" s="10">
        <v>2269</v>
      </c>
      <c r="B2270" s="9">
        <v>7.0456519999999996</v>
      </c>
    </row>
    <row r="2271" spans="1:2" x14ac:dyDescent="0.25">
      <c r="A2271" s="10">
        <v>2270</v>
      </c>
      <c r="B2271" s="9">
        <v>7.0461660000000004</v>
      </c>
    </row>
    <row r="2272" spans="1:2" x14ac:dyDescent="0.25">
      <c r="A2272" s="10">
        <v>2271</v>
      </c>
      <c r="B2272" s="9">
        <v>7.0466790000000001</v>
      </c>
    </row>
    <row r="2273" spans="1:2" x14ac:dyDescent="0.25">
      <c r="A2273" s="10">
        <v>2272</v>
      </c>
      <c r="B2273" s="9">
        <v>7.0471940000000002</v>
      </c>
    </row>
    <row r="2274" spans="1:2" x14ac:dyDescent="0.25">
      <c r="A2274" s="10">
        <v>2273</v>
      </c>
      <c r="B2274" s="9">
        <v>7.0477080000000001</v>
      </c>
    </row>
    <row r="2275" spans="1:2" x14ac:dyDescent="0.25">
      <c r="A2275" s="10">
        <v>2274</v>
      </c>
      <c r="B2275" s="9">
        <v>7.0482209999999998</v>
      </c>
    </row>
    <row r="2276" spans="1:2" x14ac:dyDescent="0.25">
      <c r="A2276" s="10">
        <v>2275</v>
      </c>
      <c r="B2276" s="9">
        <v>7.0487349999999998</v>
      </c>
    </row>
    <row r="2277" spans="1:2" x14ac:dyDescent="0.25">
      <c r="A2277" s="10">
        <v>2276</v>
      </c>
      <c r="B2277" s="9">
        <v>7.0492489999999997</v>
      </c>
    </row>
    <row r="2278" spans="1:2" x14ac:dyDescent="0.25">
      <c r="A2278" s="10">
        <v>2277</v>
      </c>
      <c r="B2278" s="9">
        <v>7.0497629999999996</v>
      </c>
    </row>
    <row r="2279" spans="1:2" x14ac:dyDescent="0.25">
      <c r="A2279" s="10">
        <v>2278</v>
      </c>
      <c r="B2279" s="9">
        <v>7.0502770000000003</v>
      </c>
    </row>
    <row r="2280" spans="1:2" x14ac:dyDescent="0.25">
      <c r="A2280" s="10">
        <v>2279</v>
      </c>
      <c r="B2280" s="9">
        <v>7.0507900000000001</v>
      </c>
    </row>
    <row r="2281" spans="1:2" x14ac:dyDescent="0.25">
      <c r="A2281" s="10">
        <v>2280</v>
      </c>
      <c r="B2281" s="9">
        <v>7.051304</v>
      </c>
    </row>
    <row r="2282" spans="1:2" x14ac:dyDescent="0.25">
      <c r="A2282" s="10">
        <v>2281</v>
      </c>
      <c r="B2282" s="9">
        <v>7.0518179999999999</v>
      </c>
    </row>
    <row r="2283" spans="1:2" x14ac:dyDescent="0.25">
      <c r="A2283" s="10">
        <v>2282</v>
      </c>
      <c r="B2283" s="9">
        <v>7.0523319999999998</v>
      </c>
    </row>
    <row r="2284" spans="1:2" x14ac:dyDescent="0.25">
      <c r="A2284" s="10">
        <v>2283</v>
      </c>
      <c r="B2284" s="9">
        <v>7.0528459999999997</v>
      </c>
    </row>
    <row r="2285" spans="1:2" x14ac:dyDescent="0.25">
      <c r="A2285" s="10">
        <v>2284</v>
      </c>
      <c r="B2285" s="9">
        <v>7.0533599999999996</v>
      </c>
    </row>
    <row r="2286" spans="1:2" x14ac:dyDescent="0.25">
      <c r="A2286" s="10">
        <v>2285</v>
      </c>
      <c r="B2286" s="9">
        <v>7.0538740000000004</v>
      </c>
    </row>
    <row r="2287" spans="1:2" x14ac:dyDescent="0.25">
      <c r="A2287" s="10">
        <v>2286</v>
      </c>
      <c r="B2287" s="9">
        <v>7.0543870000000002</v>
      </c>
    </row>
    <row r="2288" spans="1:2" x14ac:dyDescent="0.25">
      <c r="A2288" s="10">
        <v>2287</v>
      </c>
      <c r="B2288" s="9">
        <v>7.0549010000000001</v>
      </c>
    </row>
    <row r="2289" spans="1:2" x14ac:dyDescent="0.25">
      <c r="A2289" s="10">
        <v>2288</v>
      </c>
      <c r="B2289" s="9">
        <v>7.055415</v>
      </c>
    </row>
    <row r="2290" spans="1:2" x14ac:dyDescent="0.25">
      <c r="A2290" s="10">
        <v>2289</v>
      </c>
      <c r="B2290" s="9">
        <v>7.0559289999999999</v>
      </c>
    </row>
    <row r="2291" spans="1:2" x14ac:dyDescent="0.25">
      <c r="A2291" s="10">
        <v>2290</v>
      </c>
      <c r="B2291" s="9">
        <v>7.0564429999999998</v>
      </c>
    </row>
    <row r="2292" spans="1:2" x14ac:dyDescent="0.25">
      <c r="A2292" s="10">
        <v>2291</v>
      </c>
      <c r="B2292" s="9">
        <v>7.0569559999999996</v>
      </c>
    </row>
    <row r="2293" spans="1:2" x14ac:dyDescent="0.25">
      <c r="A2293" s="10">
        <v>2292</v>
      </c>
      <c r="B2293" s="9">
        <v>7.0574700000000004</v>
      </c>
    </row>
    <row r="2294" spans="1:2" x14ac:dyDescent="0.25">
      <c r="A2294" s="10">
        <v>2293</v>
      </c>
      <c r="B2294" s="9">
        <v>7.0579840000000003</v>
      </c>
    </row>
    <row r="2295" spans="1:2" x14ac:dyDescent="0.25">
      <c r="A2295" s="10">
        <v>2294</v>
      </c>
      <c r="B2295" s="9">
        <v>7.0584980000000002</v>
      </c>
    </row>
    <row r="2296" spans="1:2" x14ac:dyDescent="0.25">
      <c r="A2296" s="10">
        <v>2295</v>
      </c>
      <c r="B2296" s="9">
        <v>7.0590120000000001</v>
      </c>
    </row>
    <row r="2297" spans="1:2" x14ac:dyDescent="0.25">
      <c r="A2297" s="10">
        <v>2296</v>
      </c>
      <c r="B2297" s="9">
        <v>7.0595249999999998</v>
      </c>
    </row>
    <row r="2298" spans="1:2" x14ac:dyDescent="0.25">
      <c r="A2298" s="10">
        <v>2297</v>
      </c>
      <c r="B2298" s="9">
        <v>7.0600399999999999</v>
      </c>
    </row>
    <row r="2299" spans="1:2" x14ac:dyDescent="0.25">
      <c r="A2299" s="10">
        <v>2298</v>
      </c>
      <c r="B2299" s="9">
        <v>7.0605539999999998</v>
      </c>
    </row>
    <row r="2300" spans="1:2" x14ac:dyDescent="0.25">
      <c r="A2300" s="10">
        <v>2299</v>
      </c>
      <c r="B2300" s="9">
        <v>7.0610670000000004</v>
      </c>
    </row>
    <row r="2301" spans="1:2" x14ac:dyDescent="0.25">
      <c r="A2301" s="10">
        <v>2300</v>
      </c>
      <c r="B2301" s="9">
        <v>7.0615810000000003</v>
      </c>
    </row>
    <row r="2302" spans="1:2" x14ac:dyDescent="0.25">
      <c r="A2302" s="10">
        <v>2301</v>
      </c>
      <c r="B2302" s="9">
        <v>7.0620950000000002</v>
      </c>
    </row>
    <row r="2303" spans="1:2" x14ac:dyDescent="0.25">
      <c r="A2303" s="10">
        <v>2302</v>
      </c>
      <c r="B2303" s="9">
        <v>7.0626090000000001</v>
      </c>
    </row>
    <row r="2304" spans="1:2" x14ac:dyDescent="0.25">
      <c r="A2304" s="10">
        <v>2303</v>
      </c>
      <c r="B2304" s="9">
        <v>7.063123</v>
      </c>
    </row>
    <row r="2305" spans="1:2" x14ac:dyDescent="0.25">
      <c r="A2305" s="10">
        <v>2304</v>
      </c>
      <c r="B2305" s="9">
        <v>7.0636359999999998</v>
      </c>
    </row>
    <row r="2306" spans="1:2" x14ac:dyDescent="0.25">
      <c r="A2306" s="10">
        <v>2305</v>
      </c>
      <c r="B2306" s="9">
        <v>7.0641499999999997</v>
      </c>
    </row>
    <row r="2307" spans="1:2" x14ac:dyDescent="0.25">
      <c r="A2307" s="10">
        <v>2306</v>
      </c>
      <c r="B2307" s="9">
        <v>7.0646639999999996</v>
      </c>
    </row>
    <row r="2308" spans="1:2" x14ac:dyDescent="0.25">
      <c r="A2308" s="10">
        <v>2307</v>
      </c>
      <c r="B2308" s="9">
        <v>7.0651780000000004</v>
      </c>
    </row>
    <row r="2309" spans="1:2" x14ac:dyDescent="0.25">
      <c r="A2309" s="10">
        <v>2308</v>
      </c>
      <c r="B2309" s="9">
        <v>7.0656920000000003</v>
      </c>
    </row>
    <row r="2310" spans="1:2" x14ac:dyDescent="0.25">
      <c r="A2310" s="10">
        <v>2309</v>
      </c>
      <c r="B2310" s="9">
        <v>7.0662060000000002</v>
      </c>
    </row>
    <row r="2311" spans="1:2" x14ac:dyDescent="0.25">
      <c r="A2311" s="10">
        <v>2310</v>
      </c>
      <c r="B2311" s="9">
        <v>7.066719</v>
      </c>
    </row>
    <row r="2312" spans="1:2" x14ac:dyDescent="0.25">
      <c r="A2312" s="10">
        <v>2311</v>
      </c>
      <c r="B2312" s="9">
        <v>7.0672329999999999</v>
      </c>
    </row>
    <row r="2313" spans="1:2" x14ac:dyDescent="0.25">
      <c r="A2313" s="10">
        <v>2312</v>
      </c>
      <c r="B2313" s="9">
        <v>7.0677469999999998</v>
      </c>
    </row>
    <row r="2314" spans="1:2" x14ac:dyDescent="0.25">
      <c r="A2314" s="10">
        <v>2313</v>
      </c>
      <c r="B2314" s="9">
        <v>7.0682609999999997</v>
      </c>
    </row>
    <row r="2315" spans="1:2" x14ac:dyDescent="0.25">
      <c r="A2315" s="10">
        <v>2314</v>
      </c>
      <c r="B2315" s="9">
        <v>7.0687749999999996</v>
      </c>
    </row>
    <row r="2316" spans="1:2" x14ac:dyDescent="0.25">
      <c r="A2316" s="10">
        <v>2315</v>
      </c>
      <c r="B2316" s="9">
        <v>7.0692880000000002</v>
      </c>
    </row>
    <row r="2317" spans="1:2" x14ac:dyDescent="0.25">
      <c r="A2317" s="10">
        <v>2316</v>
      </c>
      <c r="B2317" s="9">
        <v>7.0698020000000001</v>
      </c>
    </row>
    <row r="2318" spans="1:2" x14ac:dyDescent="0.25">
      <c r="A2318" s="10">
        <v>2317</v>
      </c>
      <c r="B2318" s="9">
        <v>7.070316</v>
      </c>
    </row>
    <row r="2319" spans="1:2" x14ac:dyDescent="0.25">
      <c r="A2319" s="10">
        <v>2318</v>
      </c>
      <c r="B2319" s="9">
        <v>7.0708299999999999</v>
      </c>
    </row>
    <row r="2320" spans="1:2" x14ac:dyDescent="0.25">
      <c r="A2320" s="10">
        <v>2319</v>
      </c>
      <c r="B2320" s="9">
        <v>7.0713439999999999</v>
      </c>
    </row>
    <row r="2321" spans="1:2" x14ac:dyDescent="0.25">
      <c r="A2321" s="10">
        <v>2320</v>
      </c>
      <c r="B2321" s="9">
        <v>7.0718569999999996</v>
      </c>
    </row>
    <row r="2322" spans="1:2" x14ac:dyDescent="0.25">
      <c r="A2322" s="10">
        <v>2321</v>
      </c>
      <c r="B2322" s="9">
        <v>7.0723710000000004</v>
      </c>
    </row>
    <row r="2323" spans="1:2" x14ac:dyDescent="0.25">
      <c r="A2323" s="10">
        <v>2322</v>
      </c>
      <c r="B2323" s="9">
        <v>7.0728859999999996</v>
      </c>
    </row>
    <row r="2324" spans="1:2" x14ac:dyDescent="0.25">
      <c r="A2324" s="10">
        <v>2323</v>
      </c>
      <c r="B2324" s="9">
        <v>7.0733990000000002</v>
      </c>
    </row>
    <row r="2325" spans="1:2" x14ac:dyDescent="0.25">
      <c r="A2325" s="10">
        <v>2324</v>
      </c>
      <c r="B2325" s="9">
        <v>7.0739130000000001</v>
      </c>
    </row>
    <row r="2326" spans="1:2" x14ac:dyDescent="0.25">
      <c r="A2326" s="10">
        <v>2325</v>
      </c>
      <c r="B2326" s="9">
        <v>7.074427</v>
      </c>
    </row>
    <row r="2327" spans="1:2" x14ac:dyDescent="0.25">
      <c r="A2327" s="10">
        <v>2326</v>
      </c>
      <c r="B2327" s="9">
        <v>7.0749409999999999</v>
      </c>
    </row>
    <row r="2328" spans="1:2" x14ac:dyDescent="0.25">
      <c r="A2328" s="10">
        <v>2327</v>
      </c>
      <c r="B2328" s="9">
        <v>7.0754549999999998</v>
      </c>
    </row>
    <row r="2329" spans="1:2" x14ac:dyDescent="0.25">
      <c r="A2329" s="10">
        <v>2328</v>
      </c>
      <c r="B2329" s="9">
        <v>7.0759679999999996</v>
      </c>
    </row>
    <row r="2330" spans="1:2" x14ac:dyDescent="0.25">
      <c r="A2330" s="10">
        <v>2329</v>
      </c>
      <c r="B2330" s="9">
        <v>7.0764820000000004</v>
      </c>
    </row>
    <row r="2331" spans="1:2" x14ac:dyDescent="0.25">
      <c r="A2331" s="10">
        <v>2330</v>
      </c>
      <c r="B2331" s="9">
        <v>7.0769960000000003</v>
      </c>
    </row>
    <row r="2332" spans="1:2" x14ac:dyDescent="0.25">
      <c r="A2332" s="10">
        <v>2331</v>
      </c>
      <c r="B2332" s="9">
        <v>7.0775100000000002</v>
      </c>
    </row>
    <row r="2333" spans="1:2" x14ac:dyDescent="0.25">
      <c r="A2333" s="10">
        <v>2332</v>
      </c>
      <c r="B2333" s="9">
        <v>7.0780240000000001</v>
      </c>
    </row>
    <row r="2334" spans="1:2" x14ac:dyDescent="0.25">
      <c r="A2334" s="10">
        <v>2333</v>
      </c>
      <c r="B2334" s="9">
        <v>7.0785369999999999</v>
      </c>
    </row>
    <row r="2335" spans="1:2" x14ac:dyDescent="0.25">
      <c r="A2335" s="10">
        <v>2334</v>
      </c>
      <c r="B2335" s="9">
        <v>7.0790509999999998</v>
      </c>
    </row>
    <row r="2336" spans="1:2" x14ac:dyDescent="0.25">
      <c r="A2336" s="10">
        <v>2335</v>
      </c>
      <c r="B2336" s="9">
        <v>7.0795649999999997</v>
      </c>
    </row>
    <row r="2337" spans="1:2" x14ac:dyDescent="0.25">
      <c r="A2337" s="10">
        <v>2336</v>
      </c>
      <c r="B2337" s="9">
        <v>7.0800789999999996</v>
      </c>
    </row>
    <row r="2338" spans="1:2" x14ac:dyDescent="0.25">
      <c r="A2338" s="10">
        <v>2337</v>
      </c>
      <c r="B2338" s="9">
        <v>7.0805930000000004</v>
      </c>
    </row>
    <row r="2339" spans="1:2" x14ac:dyDescent="0.25">
      <c r="A2339" s="10">
        <v>2338</v>
      </c>
      <c r="B2339" s="9">
        <v>7.0811070000000003</v>
      </c>
    </row>
    <row r="2340" spans="1:2" x14ac:dyDescent="0.25">
      <c r="A2340" s="10">
        <v>2339</v>
      </c>
      <c r="B2340" s="9">
        <v>7.0816210000000002</v>
      </c>
    </row>
    <row r="2341" spans="1:2" x14ac:dyDescent="0.25">
      <c r="A2341" s="10">
        <v>2340</v>
      </c>
      <c r="B2341" s="9">
        <v>7.0821339999999999</v>
      </c>
    </row>
    <row r="2342" spans="1:2" x14ac:dyDescent="0.25">
      <c r="A2342" s="10">
        <v>2341</v>
      </c>
      <c r="B2342" s="9">
        <v>7.0826479999999998</v>
      </c>
    </row>
    <row r="2343" spans="1:2" x14ac:dyDescent="0.25">
      <c r="A2343" s="10">
        <v>2342</v>
      </c>
      <c r="B2343" s="9">
        <v>7.0831619999999997</v>
      </c>
    </row>
    <row r="2344" spans="1:2" x14ac:dyDescent="0.25">
      <c r="A2344" s="10">
        <v>2343</v>
      </c>
      <c r="B2344" s="9">
        <v>7.0836759999999996</v>
      </c>
    </row>
    <row r="2345" spans="1:2" x14ac:dyDescent="0.25">
      <c r="A2345" s="10">
        <v>2344</v>
      </c>
      <c r="B2345" s="9">
        <v>7.0841890000000003</v>
      </c>
    </row>
    <row r="2346" spans="1:2" x14ac:dyDescent="0.25">
      <c r="A2346" s="10">
        <v>2345</v>
      </c>
      <c r="B2346" s="9">
        <v>7.0847030000000002</v>
      </c>
    </row>
    <row r="2347" spans="1:2" x14ac:dyDescent="0.25">
      <c r="A2347" s="10">
        <v>2346</v>
      </c>
      <c r="B2347" s="9">
        <v>7.0852170000000001</v>
      </c>
    </row>
    <row r="2348" spans="1:2" x14ac:dyDescent="0.25">
      <c r="A2348" s="10">
        <v>2347</v>
      </c>
      <c r="B2348" s="9">
        <v>7.085731</v>
      </c>
    </row>
    <row r="2349" spans="1:2" x14ac:dyDescent="0.25">
      <c r="A2349" s="10">
        <v>2348</v>
      </c>
      <c r="B2349" s="9">
        <v>7.0862449999999999</v>
      </c>
    </row>
    <row r="2350" spans="1:2" x14ac:dyDescent="0.25">
      <c r="A2350" s="10">
        <v>2349</v>
      </c>
      <c r="B2350" s="9">
        <v>7.0867589999999998</v>
      </c>
    </row>
    <row r="2351" spans="1:2" x14ac:dyDescent="0.25">
      <c r="A2351" s="10">
        <v>2350</v>
      </c>
      <c r="B2351" s="9">
        <v>7.0872729999999997</v>
      </c>
    </row>
    <row r="2352" spans="1:2" x14ac:dyDescent="0.25">
      <c r="A2352" s="10">
        <v>2351</v>
      </c>
      <c r="B2352" s="9">
        <v>7.0877869999999996</v>
      </c>
    </row>
    <row r="2353" spans="1:2" x14ac:dyDescent="0.25">
      <c r="A2353" s="10">
        <v>2352</v>
      </c>
      <c r="B2353" s="9">
        <v>7.0883000000000003</v>
      </c>
    </row>
    <row r="2354" spans="1:2" x14ac:dyDescent="0.25">
      <c r="A2354" s="10">
        <v>2353</v>
      </c>
      <c r="B2354" s="9">
        <v>7.0888140000000002</v>
      </c>
    </row>
    <row r="2355" spans="1:2" x14ac:dyDescent="0.25">
      <c r="A2355" s="10">
        <v>2354</v>
      </c>
      <c r="B2355" s="9">
        <v>7.0893280000000001</v>
      </c>
    </row>
    <row r="2356" spans="1:2" x14ac:dyDescent="0.25">
      <c r="A2356" s="10">
        <v>2355</v>
      </c>
      <c r="B2356" s="9">
        <v>7.089842</v>
      </c>
    </row>
    <row r="2357" spans="1:2" x14ac:dyDescent="0.25">
      <c r="A2357" s="10">
        <v>2356</v>
      </c>
      <c r="B2357" s="9">
        <v>7.0903559999999999</v>
      </c>
    </row>
    <row r="2358" spans="1:2" x14ac:dyDescent="0.25">
      <c r="A2358" s="10">
        <v>2357</v>
      </c>
      <c r="B2358" s="9">
        <v>7.0908689999999996</v>
      </c>
    </row>
    <row r="2359" spans="1:2" x14ac:dyDescent="0.25">
      <c r="A2359" s="10">
        <v>2358</v>
      </c>
      <c r="B2359" s="9">
        <v>7.0913830000000004</v>
      </c>
    </row>
    <row r="2360" spans="1:2" x14ac:dyDescent="0.25">
      <c r="A2360" s="10">
        <v>2359</v>
      </c>
      <c r="B2360" s="9">
        <v>7.0918970000000003</v>
      </c>
    </row>
    <row r="2361" spans="1:2" x14ac:dyDescent="0.25">
      <c r="A2361" s="10">
        <v>2360</v>
      </c>
      <c r="B2361" s="9">
        <v>7.0924110000000002</v>
      </c>
    </row>
    <row r="2362" spans="1:2" x14ac:dyDescent="0.25">
      <c r="A2362" s="10">
        <v>2361</v>
      </c>
      <c r="B2362" s="9">
        <v>7.0929250000000001</v>
      </c>
    </row>
    <row r="2363" spans="1:2" x14ac:dyDescent="0.25">
      <c r="A2363" s="10">
        <v>2362</v>
      </c>
      <c r="B2363" s="9">
        <v>7.093439</v>
      </c>
    </row>
    <row r="2364" spans="1:2" x14ac:dyDescent="0.25">
      <c r="A2364" s="10">
        <v>2363</v>
      </c>
      <c r="B2364" s="9">
        <v>7.093953</v>
      </c>
    </row>
    <row r="2365" spans="1:2" x14ac:dyDescent="0.25">
      <c r="A2365" s="10">
        <v>2364</v>
      </c>
      <c r="B2365" s="9">
        <v>7.0944659999999997</v>
      </c>
    </row>
    <row r="2366" spans="1:2" x14ac:dyDescent="0.25">
      <c r="A2366" s="10">
        <v>2365</v>
      </c>
      <c r="B2366" s="9">
        <v>7.0949799999999996</v>
      </c>
    </row>
    <row r="2367" spans="1:2" x14ac:dyDescent="0.25">
      <c r="A2367" s="10">
        <v>2366</v>
      </c>
      <c r="B2367" s="9">
        <v>7.0954940000000004</v>
      </c>
    </row>
    <row r="2368" spans="1:2" x14ac:dyDescent="0.25">
      <c r="A2368" s="10">
        <v>2367</v>
      </c>
      <c r="B2368" s="9">
        <v>7.0960080000000003</v>
      </c>
    </row>
    <row r="2369" spans="1:2" x14ac:dyDescent="0.25">
      <c r="A2369" s="10">
        <v>2368</v>
      </c>
      <c r="B2369" s="9">
        <v>7.0965220000000002</v>
      </c>
    </row>
    <row r="2370" spans="1:2" x14ac:dyDescent="0.25">
      <c r="A2370" s="10">
        <v>2369</v>
      </c>
      <c r="B2370" s="9">
        <v>7.097035</v>
      </c>
    </row>
    <row r="2371" spans="1:2" x14ac:dyDescent="0.25">
      <c r="A2371" s="10">
        <v>2370</v>
      </c>
      <c r="B2371" s="9">
        <v>7.0975489999999999</v>
      </c>
    </row>
    <row r="2372" spans="1:2" x14ac:dyDescent="0.25">
      <c r="A2372" s="10">
        <v>2371</v>
      </c>
      <c r="B2372" s="9">
        <v>7.0980629999999998</v>
      </c>
    </row>
    <row r="2373" spans="1:2" x14ac:dyDescent="0.25">
      <c r="A2373" s="10">
        <v>2372</v>
      </c>
      <c r="B2373" s="9">
        <v>7.0985769999999997</v>
      </c>
    </row>
    <row r="2374" spans="1:2" x14ac:dyDescent="0.25">
      <c r="A2374" s="10">
        <v>2373</v>
      </c>
      <c r="B2374" s="9">
        <v>7.0990909999999996</v>
      </c>
    </row>
    <row r="2375" spans="1:2" x14ac:dyDescent="0.25">
      <c r="A2375" s="10">
        <v>2374</v>
      </c>
      <c r="B2375" s="9">
        <v>7.0996050000000004</v>
      </c>
    </row>
    <row r="2376" spans="1:2" x14ac:dyDescent="0.25">
      <c r="A2376" s="10">
        <v>2375</v>
      </c>
      <c r="B2376" s="9">
        <v>7.1001190000000003</v>
      </c>
    </row>
    <row r="2377" spans="1:2" x14ac:dyDescent="0.25">
      <c r="A2377" s="10">
        <v>2376</v>
      </c>
      <c r="B2377" s="9">
        <v>7.1006330000000002</v>
      </c>
    </row>
    <row r="2378" spans="1:2" x14ac:dyDescent="0.25">
      <c r="A2378" s="10">
        <v>2377</v>
      </c>
      <c r="B2378" s="9">
        <v>7.101146</v>
      </c>
    </row>
    <row r="2379" spans="1:2" x14ac:dyDescent="0.25">
      <c r="A2379" s="10">
        <v>2378</v>
      </c>
      <c r="B2379" s="9">
        <v>7.1016599999999999</v>
      </c>
    </row>
    <row r="2380" spans="1:2" x14ac:dyDescent="0.25">
      <c r="A2380" s="10">
        <v>2379</v>
      </c>
      <c r="B2380" s="9">
        <v>7.1021739999999998</v>
      </c>
    </row>
    <row r="2381" spans="1:2" x14ac:dyDescent="0.25">
      <c r="A2381" s="10">
        <v>2380</v>
      </c>
      <c r="B2381" s="9">
        <v>7.1026879999999997</v>
      </c>
    </row>
    <row r="2382" spans="1:2" x14ac:dyDescent="0.25">
      <c r="A2382" s="10">
        <v>2381</v>
      </c>
      <c r="B2382" s="9">
        <v>7.1032019999999996</v>
      </c>
    </row>
    <row r="2383" spans="1:2" x14ac:dyDescent="0.25">
      <c r="A2383" s="10">
        <v>2382</v>
      </c>
      <c r="B2383" s="9">
        <v>7.1037150000000002</v>
      </c>
    </row>
    <row r="2384" spans="1:2" x14ac:dyDescent="0.25">
      <c r="A2384" s="10">
        <v>2383</v>
      </c>
      <c r="B2384" s="9">
        <v>7.1042290000000001</v>
      </c>
    </row>
    <row r="2385" spans="1:2" x14ac:dyDescent="0.25">
      <c r="A2385" s="10">
        <v>2384</v>
      </c>
      <c r="B2385" s="9">
        <v>7.104743</v>
      </c>
    </row>
    <row r="2386" spans="1:2" x14ac:dyDescent="0.25">
      <c r="A2386" s="10">
        <v>2385</v>
      </c>
      <c r="B2386" s="9">
        <v>7.1052569999999999</v>
      </c>
    </row>
    <row r="2387" spans="1:2" x14ac:dyDescent="0.25">
      <c r="A2387" s="10">
        <v>2386</v>
      </c>
      <c r="B2387" s="9">
        <v>7.1057709999999998</v>
      </c>
    </row>
    <row r="2388" spans="1:2" x14ac:dyDescent="0.25">
      <c r="A2388" s="10">
        <v>2387</v>
      </c>
      <c r="B2388" s="9">
        <v>7.1062849999999997</v>
      </c>
    </row>
    <row r="2389" spans="1:2" x14ac:dyDescent="0.25">
      <c r="A2389" s="10">
        <v>2388</v>
      </c>
      <c r="B2389" s="9">
        <v>7.1067980000000004</v>
      </c>
    </row>
    <row r="2390" spans="1:2" x14ac:dyDescent="0.25">
      <c r="A2390" s="10">
        <v>2389</v>
      </c>
      <c r="B2390" s="9">
        <v>7.1073120000000003</v>
      </c>
    </row>
    <row r="2391" spans="1:2" x14ac:dyDescent="0.25">
      <c r="A2391" s="10">
        <v>2390</v>
      </c>
      <c r="B2391" s="9">
        <v>7.1078260000000002</v>
      </c>
    </row>
    <row r="2392" spans="1:2" x14ac:dyDescent="0.25">
      <c r="A2392" s="10">
        <v>2391</v>
      </c>
      <c r="B2392" s="9">
        <v>7.1083400000000001</v>
      </c>
    </row>
    <row r="2393" spans="1:2" x14ac:dyDescent="0.25">
      <c r="A2393" s="10">
        <v>2392</v>
      </c>
      <c r="B2393" s="9">
        <v>7.108854</v>
      </c>
    </row>
    <row r="2394" spans="1:2" x14ac:dyDescent="0.25">
      <c r="A2394" s="10">
        <v>2393</v>
      </c>
      <c r="B2394" s="9">
        <v>7.1093669999999998</v>
      </c>
    </row>
    <row r="2395" spans="1:2" x14ac:dyDescent="0.25">
      <c r="A2395" s="10">
        <v>2394</v>
      </c>
      <c r="B2395" s="9">
        <v>7.1098809999999997</v>
      </c>
    </row>
    <row r="2396" spans="1:2" x14ac:dyDescent="0.25">
      <c r="A2396" s="10">
        <v>2395</v>
      </c>
      <c r="B2396" s="9">
        <v>7.1103949999999996</v>
      </c>
    </row>
    <row r="2397" spans="1:2" x14ac:dyDescent="0.25">
      <c r="A2397" s="10">
        <v>2396</v>
      </c>
      <c r="B2397" s="9">
        <v>7.1109090000000004</v>
      </c>
    </row>
    <row r="2398" spans="1:2" x14ac:dyDescent="0.25">
      <c r="A2398" s="10">
        <v>2397</v>
      </c>
      <c r="B2398" s="9">
        <v>7.1114230000000003</v>
      </c>
    </row>
    <row r="2399" spans="1:2" x14ac:dyDescent="0.25">
      <c r="A2399" s="10">
        <v>2398</v>
      </c>
      <c r="B2399" s="9">
        <v>7.1119370000000002</v>
      </c>
    </row>
    <row r="2400" spans="1:2" x14ac:dyDescent="0.25">
      <c r="A2400" s="10">
        <v>2399</v>
      </c>
      <c r="B2400" s="9">
        <v>7.1124510000000001</v>
      </c>
    </row>
    <row r="2401" spans="1:2" x14ac:dyDescent="0.25">
      <c r="A2401" s="10">
        <v>2400</v>
      </c>
      <c r="B2401" s="9">
        <v>7.112965</v>
      </c>
    </row>
    <row r="2402" spans="1:2" x14ac:dyDescent="0.25">
      <c r="A2402" s="10">
        <v>2401</v>
      </c>
      <c r="B2402" s="9">
        <v>7.1134779999999997</v>
      </c>
    </row>
    <row r="2403" spans="1:2" x14ac:dyDescent="0.25">
      <c r="A2403" s="10">
        <v>2402</v>
      </c>
      <c r="B2403" s="9">
        <v>7.1139919999999996</v>
      </c>
    </row>
    <row r="2404" spans="1:2" x14ac:dyDescent="0.25">
      <c r="A2404" s="10">
        <v>2403</v>
      </c>
      <c r="B2404" s="9">
        <v>7.1145060000000004</v>
      </c>
    </row>
    <row r="2405" spans="1:2" x14ac:dyDescent="0.25">
      <c r="A2405" s="10">
        <v>2404</v>
      </c>
      <c r="B2405" s="9">
        <v>7.1150200000000003</v>
      </c>
    </row>
    <row r="2406" spans="1:2" x14ac:dyDescent="0.25">
      <c r="A2406" s="10">
        <v>2405</v>
      </c>
      <c r="B2406" s="9">
        <v>7.1155340000000002</v>
      </c>
    </row>
    <row r="2407" spans="1:2" x14ac:dyDescent="0.25">
      <c r="A2407" s="10">
        <v>2406</v>
      </c>
      <c r="B2407" s="9">
        <v>7.116047</v>
      </c>
    </row>
    <row r="2408" spans="1:2" x14ac:dyDescent="0.25">
      <c r="A2408" s="10">
        <v>2407</v>
      </c>
      <c r="B2408" s="9">
        <v>7.1165609999999999</v>
      </c>
    </row>
    <row r="2409" spans="1:2" x14ac:dyDescent="0.25">
      <c r="A2409" s="10">
        <v>2408</v>
      </c>
      <c r="B2409" s="9">
        <v>7.1170749999999998</v>
      </c>
    </row>
    <row r="2410" spans="1:2" x14ac:dyDescent="0.25">
      <c r="A2410" s="10">
        <v>2409</v>
      </c>
      <c r="B2410" s="9">
        <v>7.1175889999999997</v>
      </c>
    </row>
    <row r="2411" spans="1:2" x14ac:dyDescent="0.25">
      <c r="A2411" s="10">
        <v>2410</v>
      </c>
      <c r="B2411" s="9">
        <v>7.1181029999999996</v>
      </c>
    </row>
    <row r="2412" spans="1:2" x14ac:dyDescent="0.25">
      <c r="A2412" s="10">
        <v>2411</v>
      </c>
      <c r="B2412" s="9">
        <v>7.1186170000000004</v>
      </c>
    </row>
    <row r="2413" spans="1:2" x14ac:dyDescent="0.25">
      <c r="A2413" s="10">
        <v>2412</v>
      </c>
      <c r="B2413" s="9">
        <v>7.1191310000000003</v>
      </c>
    </row>
    <row r="2414" spans="1:2" x14ac:dyDescent="0.25">
      <c r="A2414" s="10">
        <v>2413</v>
      </c>
      <c r="B2414" s="9">
        <v>7.1196440000000001</v>
      </c>
    </row>
    <row r="2415" spans="1:2" x14ac:dyDescent="0.25">
      <c r="A2415" s="10">
        <v>2414</v>
      </c>
      <c r="B2415" s="9">
        <v>7.120158</v>
      </c>
    </row>
    <row r="2416" spans="1:2" x14ac:dyDescent="0.25">
      <c r="A2416" s="10">
        <v>2415</v>
      </c>
      <c r="B2416" s="9">
        <v>7.1206719999999999</v>
      </c>
    </row>
    <row r="2417" spans="1:2" x14ac:dyDescent="0.25">
      <c r="A2417" s="10">
        <v>2416</v>
      </c>
      <c r="B2417" s="9">
        <v>7.1211859999999998</v>
      </c>
    </row>
    <row r="2418" spans="1:2" x14ac:dyDescent="0.25">
      <c r="A2418" s="10">
        <v>2417</v>
      </c>
      <c r="B2418" s="9">
        <v>7.1216989999999996</v>
      </c>
    </row>
    <row r="2419" spans="1:2" x14ac:dyDescent="0.25">
      <c r="A2419" s="10">
        <v>2418</v>
      </c>
      <c r="B2419" s="9">
        <v>7.1222130000000003</v>
      </c>
    </row>
    <row r="2420" spans="1:2" x14ac:dyDescent="0.25">
      <c r="A2420" s="10">
        <v>2419</v>
      </c>
      <c r="B2420" s="9">
        <v>7.1227270000000003</v>
      </c>
    </row>
    <row r="2421" spans="1:2" x14ac:dyDescent="0.25">
      <c r="A2421" s="10">
        <v>2420</v>
      </c>
      <c r="B2421" s="9">
        <v>7.1232410000000002</v>
      </c>
    </row>
    <row r="2422" spans="1:2" x14ac:dyDescent="0.25">
      <c r="A2422" s="10">
        <v>2421</v>
      </c>
      <c r="B2422" s="9">
        <v>7.1237550000000001</v>
      </c>
    </row>
    <row r="2423" spans="1:2" x14ac:dyDescent="0.25">
      <c r="A2423" s="10">
        <v>2422</v>
      </c>
      <c r="B2423" s="9">
        <v>7.124269</v>
      </c>
    </row>
    <row r="2424" spans="1:2" x14ac:dyDescent="0.25">
      <c r="A2424" s="10">
        <v>2423</v>
      </c>
      <c r="B2424" s="9">
        <v>7.1247829999999999</v>
      </c>
    </row>
    <row r="2425" spans="1:2" x14ac:dyDescent="0.25">
      <c r="A2425" s="10">
        <v>2424</v>
      </c>
      <c r="B2425" s="9">
        <v>7.1252969999999998</v>
      </c>
    </row>
    <row r="2426" spans="1:2" x14ac:dyDescent="0.25">
      <c r="A2426" s="10">
        <v>2425</v>
      </c>
      <c r="B2426" s="9">
        <v>7.1258100000000004</v>
      </c>
    </row>
    <row r="2427" spans="1:2" x14ac:dyDescent="0.25">
      <c r="A2427" s="10">
        <v>2426</v>
      </c>
      <c r="B2427" s="9">
        <v>7.1263240000000003</v>
      </c>
    </row>
    <row r="2428" spans="1:2" x14ac:dyDescent="0.25">
      <c r="A2428" s="10">
        <v>2427</v>
      </c>
      <c r="B2428" s="9">
        <v>7.1268380000000002</v>
      </c>
    </row>
    <row r="2429" spans="1:2" x14ac:dyDescent="0.25">
      <c r="A2429" s="10">
        <v>2428</v>
      </c>
      <c r="B2429" s="9">
        <v>7.1273520000000001</v>
      </c>
    </row>
    <row r="2430" spans="1:2" x14ac:dyDescent="0.25">
      <c r="A2430" s="10">
        <v>2429</v>
      </c>
      <c r="B2430" s="9">
        <v>7.127866</v>
      </c>
    </row>
    <row r="2431" spans="1:2" x14ac:dyDescent="0.25">
      <c r="A2431" s="10">
        <v>2430</v>
      </c>
      <c r="B2431" s="9">
        <v>7.1283789999999998</v>
      </c>
    </row>
    <row r="2432" spans="1:2" x14ac:dyDescent="0.25">
      <c r="A2432" s="10">
        <v>2431</v>
      </c>
      <c r="B2432" s="9">
        <v>7.1288929999999997</v>
      </c>
    </row>
    <row r="2433" spans="1:2" x14ac:dyDescent="0.25">
      <c r="A2433" s="10">
        <v>2432</v>
      </c>
      <c r="B2433" s="9">
        <v>7.1294069999999996</v>
      </c>
    </row>
    <row r="2434" spans="1:2" x14ac:dyDescent="0.25">
      <c r="A2434" s="10">
        <v>2433</v>
      </c>
      <c r="B2434" s="9">
        <v>7.1299210000000004</v>
      </c>
    </row>
    <row r="2435" spans="1:2" x14ac:dyDescent="0.25">
      <c r="A2435" s="10">
        <v>2434</v>
      </c>
      <c r="B2435" s="9">
        <v>7.1304350000000003</v>
      </c>
    </row>
    <row r="2436" spans="1:2" x14ac:dyDescent="0.25">
      <c r="A2436" s="10">
        <v>2435</v>
      </c>
      <c r="B2436" s="9">
        <v>7.1309490000000002</v>
      </c>
    </row>
    <row r="2437" spans="1:2" x14ac:dyDescent="0.25">
      <c r="A2437" s="10">
        <v>2436</v>
      </c>
      <c r="B2437" s="9">
        <v>7.1314630000000001</v>
      </c>
    </row>
    <row r="2438" spans="1:2" x14ac:dyDescent="0.25">
      <c r="A2438" s="10">
        <v>2437</v>
      </c>
      <c r="B2438" s="9">
        <v>7.1319759999999999</v>
      </c>
    </row>
    <row r="2439" spans="1:2" x14ac:dyDescent="0.25">
      <c r="A2439" s="10">
        <v>2438</v>
      </c>
      <c r="B2439" s="9">
        <v>7.1324899999999998</v>
      </c>
    </row>
    <row r="2440" spans="1:2" x14ac:dyDescent="0.25">
      <c r="A2440" s="10">
        <v>2439</v>
      </c>
      <c r="B2440" s="9">
        <v>7.1330039999999997</v>
      </c>
    </row>
    <row r="2441" spans="1:2" x14ac:dyDescent="0.25">
      <c r="A2441" s="10">
        <v>2440</v>
      </c>
      <c r="B2441" s="9">
        <v>7.1335179999999996</v>
      </c>
    </row>
    <row r="2442" spans="1:2" x14ac:dyDescent="0.25">
      <c r="A2442" s="10">
        <v>2441</v>
      </c>
      <c r="B2442" s="9">
        <v>7.1340320000000004</v>
      </c>
    </row>
    <row r="2443" spans="1:2" x14ac:dyDescent="0.25">
      <c r="A2443" s="10">
        <v>2442</v>
      </c>
      <c r="B2443" s="9">
        <v>7.1345450000000001</v>
      </c>
    </row>
    <row r="2444" spans="1:2" x14ac:dyDescent="0.25">
      <c r="A2444" s="10">
        <v>2443</v>
      </c>
      <c r="B2444" s="9">
        <v>7.135059</v>
      </c>
    </row>
    <row r="2445" spans="1:2" x14ac:dyDescent="0.25">
      <c r="A2445" s="10">
        <v>2444</v>
      </c>
      <c r="B2445" s="9">
        <v>7.1355729999999999</v>
      </c>
    </row>
    <row r="2446" spans="1:2" x14ac:dyDescent="0.25">
      <c r="A2446" s="10">
        <v>2445</v>
      </c>
      <c r="B2446" s="9">
        <v>7.1360869999999998</v>
      </c>
    </row>
    <row r="2447" spans="1:2" x14ac:dyDescent="0.25">
      <c r="A2447" s="10">
        <v>2446</v>
      </c>
      <c r="B2447" s="9">
        <v>7.1366009999999998</v>
      </c>
    </row>
    <row r="2448" spans="1:2" x14ac:dyDescent="0.25">
      <c r="A2448" s="10">
        <v>2447</v>
      </c>
      <c r="B2448" s="9">
        <v>7.1371149999999997</v>
      </c>
    </row>
    <row r="2449" spans="1:2" x14ac:dyDescent="0.25">
      <c r="A2449" s="10">
        <v>2448</v>
      </c>
      <c r="B2449" s="9">
        <v>7.1376289999999996</v>
      </c>
    </row>
    <row r="2450" spans="1:2" x14ac:dyDescent="0.25">
      <c r="A2450" s="10">
        <v>2449</v>
      </c>
      <c r="B2450" s="9">
        <v>7.1381430000000003</v>
      </c>
    </row>
    <row r="2451" spans="1:2" x14ac:dyDescent="0.25">
      <c r="A2451" s="10">
        <v>2450</v>
      </c>
      <c r="B2451" s="9">
        <v>7.1386560000000001</v>
      </c>
    </row>
    <row r="2452" spans="1:2" x14ac:dyDescent="0.25">
      <c r="A2452" s="10">
        <v>2451</v>
      </c>
      <c r="B2452" s="9">
        <v>7.13917</v>
      </c>
    </row>
    <row r="2453" spans="1:2" x14ac:dyDescent="0.25">
      <c r="A2453" s="10">
        <v>2452</v>
      </c>
      <c r="B2453" s="9">
        <v>7.1396839999999999</v>
      </c>
    </row>
    <row r="2454" spans="1:2" x14ac:dyDescent="0.25">
      <c r="A2454" s="10">
        <v>2453</v>
      </c>
      <c r="B2454" s="9">
        <v>7.1401979999999998</v>
      </c>
    </row>
    <row r="2455" spans="1:2" x14ac:dyDescent="0.25">
      <c r="A2455" s="10">
        <v>2454</v>
      </c>
      <c r="B2455" s="9">
        <v>7.1407119999999997</v>
      </c>
    </row>
    <row r="2456" spans="1:2" x14ac:dyDescent="0.25">
      <c r="A2456" s="10">
        <v>2455</v>
      </c>
      <c r="B2456" s="9">
        <v>7.1412250000000004</v>
      </c>
    </row>
    <row r="2457" spans="1:2" x14ac:dyDescent="0.25">
      <c r="A2457" s="10">
        <v>2456</v>
      </c>
      <c r="B2457" s="9">
        <v>7.1417390000000003</v>
      </c>
    </row>
    <row r="2458" spans="1:2" x14ac:dyDescent="0.25">
      <c r="A2458" s="10">
        <v>2457</v>
      </c>
      <c r="B2458" s="9">
        <v>7.1422530000000002</v>
      </c>
    </row>
    <row r="2459" spans="1:2" x14ac:dyDescent="0.25">
      <c r="A2459" s="10">
        <v>2458</v>
      </c>
      <c r="B2459" s="9">
        <v>7.1427670000000001</v>
      </c>
    </row>
    <row r="2460" spans="1:2" x14ac:dyDescent="0.25">
      <c r="A2460" s="10">
        <v>2459</v>
      </c>
      <c r="B2460" s="9">
        <v>7.143281</v>
      </c>
    </row>
    <row r="2461" spans="1:2" x14ac:dyDescent="0.25">
      <c r="A2461" s="10">
        <v>2460</v>
      </c>
      <c r="B2461" s="9">
        <v>7.1437949999999999</v>
      </c>
    </row>
    <row r="2462" spans="1:2" x14ac:dyDescent="0.25">
      <c r="A2462" s="10">
        <v>2461</v>
      </c>
      <c r="B2462" s="9">
        <v>7.1443079999999997</v>
      </c>
    </row>
    <row r="2463" spans="1:2" x14ac:dyDescent="0.25">
      <c r="A2463" s="10">
        <v>2462</v>
      </c>
      <c r="B2463" s="9">
        <v>7.1448219999999996</v>
      </c>
    </row>
    <row r="2464" spans="1:2" x14ac:dyDescent="0.25">
      <c r="A2464" s="10">
        <v>2463</v>
      </c>
      <c r="B2464" s="9">
        <v>7.1453360000000004</v>
      </c>
    </row>
    <row r="2465" spans="1:2" x14ac:dyDescent="0.25">
      <c r="A2465" s="10">
        <v>2464</v>
      </c>
      <c r="B2465" s="9">
        <v>7.1458500000000003</v>
      </c>
    </row>
    <row r="2466" spans="1:2" x14ac:dyDescent="0.25">
      <c r="A2466" s="10">
        <v>2465</v>
      </c>
      <c r="B2466" s="9">
        <v>7.1463640000000002</v>
      </c>
    </row>
    <row r="2467" spans="1:2" x14ac:dyDescent="0.25">
      <c r="A2467" s="10">
        <v>2466</v>
      </c>
      <c r="B2467" s="9">
        <v>7.1468769999999999</v>
      </c>
    </row>
    <row r="2468" spans="1:2" x14ac:dyDescent="0.25">
      <c r="A2468" s="10">
        <v>2467</v>
      </c>
      <c r="B2468" s="9">
        <v>7.1473909999999998</v>
      </c>
    </row>
    <row r="2469" spans="1:2" x14ac:dyDescent="0.25">
      <c r="A2469" s="10">
        <v>2468</v>
      </c>
      <c r="B2469" s="9">
        <v>7.1479049999999997</v>
      </c>
    </row>
    <row r="2470" spans="1:2" x14ac:dyDescent="0.25">
      <c r="A2470" s="10">
        <v>2469</v>
      </c>
      <c r="B2470" s="9">
        <v>7.1484189999999996</v>
      </c>
    </row>
    <row r="2471" spans="1:2" x14ac:dyDescent="0.25">
      <c r="A2471" s="10">
        <v>2470</v>
      </c>
      <c r="B2471" s="9">
        <v>7.1489330000000004</v>
      </c>
    </row>
    <row r="2472" spans="1:2" x14ac:dyDescent="0.25">
      <c r="A2472" s="10">
        <v>2471</v>
      </c>
      <c r="B2472" s="9">
        <v>7.1494460000000002</v>
      </c>
    </row>
    <row r="2473" spans="1:2" x14ac:dyDescent="0.25">
      <c r="A2473" s="10">
        <v>2472</v>
      </c>
      <c r="B2473" s="9">
        <v>7.1499610000000002</v>
      </c>
    </row>
    <row r="2474" spans="1:2" x14ac:dyDescent="0.25">
      <c r="A2474" s="10">
        <v>2473</v>
      </c>
      <c r="B2474" s="9">
        <v>7.1504750000000001</v>
      </c>
    </row>
    <row r="2475" spans="1:2" x14ac:dyDescent="0.25">
      <c r="A2475" s="10">
        <v>2474</v>
      </c>
      <c r="B2475" s="9">
        <v>7.1509879999999999</v>
      </c>
    </row>
    <row r="2476" spans="1:2" x14ac:dyDescent="0.25">
      <c r="A2476" s="10">
        <v>2475</v>
      </c>
      <c r="B2476" s="9">
        <v>7.1515019999999998</v>
      </c>
    </row>
    <row r="2477" spans="1:2" x14ac:dyDescent="0.25">
      <c r="A2477" s="10">
        <v>2476</v>
      </c>
      <c r="B2477" s="9">
        <v>7.1520159999999997</v>
      </c>
    </row>
    <row r="2478" spans="1:2" x14ac:dyDescent="0.25">
      <c r="A2478" s="10">
        <v>2477</v>
      </c>
      <c r="B2478" s="9">
        <v>7.1525299999999996</v>
      </c>
    </row>
    <row r="2479" spans="1:2" x14ac:dyDescent="0.25">
      <c r="A2479" s="10">
        <v>2478</v>
      </c>
      <c r="B2479" s="9">
        <v>7.1530440000000004</v>
      </c>
    </row>
    <row r="2480" spans="1:2" x14ac:dyDescent="0.25">
      <c r="A2480" s="10">
        <v>2479</v>
      </c>
      <c r="B2480" s="9">
        <v>7.1535570000000002</v>
      </c>
    </row>
    <row r="2481" spans="1:2" x14ac:dyDescent="0.25">
      <c r="A2481" s="10">
        <v>2480</v>
      </c>
      <c r="B2481" s="9">
        <v>7.1540710000000001</v>
      </c>
    </row>
    <row r="2482" spans="1:2" x14ac:dyDescent="0.25">
      <c r="A2482" s="10">
        <v>2481</v>
      </c>
      <c r="B2482" s="9">
        <v>7.154585</v>
      </c>
    </row>
    <row r="2483" spans="1:2" x14ac:dyDescent="0.25">
      <c r="A2483" s="10">
        <v>2482</v>
      </c>
      <c r="B2483" s="9">
        <v>7.1550989999999999</v>
      </c>
    </row>
    <row r="2484" spans="1:2" x14ac:dyDescent="0.25">
      <c r="A2484" s="10">
        <v>2483</v>
      </c>
      <c r="B2484" s="9">
        <v>7.1556129999999998</v>
      </c>
    </row>
    <row r="2485" spans="1:2" x14ac:dyDescent="0.25">
      <c r="A2485" s="10">
        <v>2484</v>
      </c>
      <c r="B2485" s="9">
        <v>7.1561260000000004</v>
      </c>
    </row>
    <row r="2486" spans="1:2" x14ac:dyDescent="0.25">
      <c r="A2486" s="10">
        <v>2485</v>
      </c>
      <c r="B2486" s="9">
        <v>7.1566409999999996</v>
      </c>
    </row>
    <row r="2487" spans="1:2" x14ac:dyDescent="0.25">
      <c r="A2487" s="10">
        <v>2486</v>
      </c>
      <c r="B2487" s="9">
        <v>7.1571540000000002</v>
      </c>
    </row>
    <row r="2488" spans="1:2" x14ac:dyDescent="0.25">
      <c r="A2488" s="10">
        <v>2487</v>
      </c>
      <c r="B2488" s="9">
        <v>7.1576680000000001</v>
      </c>
    </row>
    <row r="2489" spans="1:2" x14ac:dyDescent="0.25">
      <c r="A2489" s="10">
        <v>2488</v>
      </c>
      <c r="B2489" s="9">
        <v>7.158182</v>
      </c>
    </row>
    <row r="2490" spans="1:2" x14ac:dyDescent="0.25">
      <c r="A2490" s="10">
        <v>2489</v>
      </c>
      <c r="B2490" s="9">
        <v>7.1586959999999999</v>
      </c>
    </row>
    <row r="2491" spans="1:2" x14ac:dyDescent="0.25">
      <c r="A2491" s="10">
        <v>2490</v>
      </c>
      <c r="B2491" s="9">
        <v>7.1592089999999997</v>
      </c>
    </row>
    <row r="2492" spans="1:2" x14ac:dyDescent="0.25">
      <c r="A2492" s="10">
        <v>2491</v>
      </c>
      <c r="B2492" s="9">
        <v>7.1597229999999996</v>
      </c>
    </row>
    <row r="2493" spans="1:2" x14ac:dyDescent="0.25">
      <c r="A2493" s="10">
        <v>2492</v>
      </c>
      <c r="B2493" s="9">
        <v>7.1602370000000004</v>
      </c>
    </row>
    <row r="2494" spans="1:2" x14ac:dyDescent="0.25">
      <c r="A2494" s="10">
        <v>2493</v>
      </c>
      <c r="B2494" s="9">
        <v>7.1607510000000003</v>
      </c>
    </row>
    <row r="2495" spans="1:2" x14ac:dyDescent="0.25">
      <c r="A2495" s="10">
        <v>2494</v>
      </c>
      <c r="B2495" s="9">
        <v>7.1612650000000002</v>
      </c>
    </row>
    <row r="2496" spans="1:2" x14ac:dyDescent="0.25">
      <c r="A2496" s="10">
        <v>2495</v>
      </c>
      <c r="B2496" s="9">
        <v>7.161778</v>
      </c>
    </row>
    <row r="2497" spans="1:2" x14ac:dyDescent="0.25">
      <c r="A2497" s="10">
        <v>2496</v>
      </c>
      <c r="B2497" s="9">
        <v>7.1622919999999999</v>
      </c>
    </row>
    <row r="2498" spans="1:2" x14ac:dyDescent="0.25">
      <c r="A2498" s="10">
        <v>2497</v>
      </c>
      <c r="B2498" s="9">
        <v>7.1628069999999999</v>
      </c>
    </row>
    <row r="2499" spans="1:2" x14ac:dyDescent="0.25">
      <c r="A2499" s="10">
        <v>2498</v>
      </c>
      <c r="B2499" s="9">
        <v>7.1633199999999997</v>
      </c>
    </row>
    <row r="2500" spans="1:2" x14ac:dyDescent="0.25">
      <c r="A2500" s="10">
        <v>2499</v>
      </c>
      <c r="B2500" s="9">
        <v>7.1638339999999996</v>
      </c>
    </row>
    <row r="2501" spans="1:2" x14ac:dyDescent="0.25">
      <c r="A2501" s="10">
        <v>2500</v>
      </c>
      <c r="B2501" s="9">
        <v>7.1643480000000004</v>
      </c>
    </row>
    <row r="2502" spans="1:2" x14ac:dyDescent="0.25">
      <c r="A2502" s="10">
        <v>2501</v>
      </c>
      <c r="B2502" s="9">
        <v>7.1648620000000003</v>
      </c>
    </row>
    <row r="2503" spans="1:2" x14ac:dyDescent="0.25">
      <c r="A2503" s="10">
        <v>2502</v>
      </c>
      <c r="B2503" s="9">
        <v>7.1653760000000002</v>
      </c>
    </row>
    <row r="2504" spans="1:2" x14ac:dyDescent="0.25">
      <c r="A2504" s="10">
        <v>2503</v>
      </c>
      <c r="B2504" s="9">
        <v>7.165889</v>
      </c>
    </row>
    <row r="2505" spans="1:2" x14ac:dyDescent="0.25">
      <c r="A2505" s="10">
        <v>2504</v>
      </c>
      <c r="B2505" s="9">
        <v>7.1664029999999999</v>
      </c>
    </row>
    <row r="2506" spans="1:2" x14ac:dyDescent="0.25">
      <c r="A2506" s="10">
        <v>2505</v>
      </c>
      <c r="B2506" s="9">
        <v>7.1669169999999998</v>
      </c>
    </row>
    <row r="2507" spans="1:2" x14ac:dyDescent="0.25">
      <c r="A2507" s="10">
        <v>2506</v>
      </c>
      <c r="B2507" s="9">
        <v>7.1674309999999997</v>
      </c>
    </row>
    <row r="2508" spans="1:2" x14ac:dyDescent="0.25">
      <c r="A2508" s="10">
        <v>2507</v>
      </c>
      <c r="B2508" s="9">
        <v>7.1679449999999996</v>
      </c>
    </row>
    <row r="2509" spans="1:2" x14ac:dyDescent="0.25">
      <c r="A2509" s="10">
        <v>2508</v>
      </c>
      <c r="B2509" s="9">
        <v>7.1684580000000002</v>
      </c>
    </row>
    <row r="2510" spans="1:2" x14ac:dyDescent="0.25">
      <c r="A2510" s="10">
        <v>2509</v>
      </c>
      <c r="B2510" s="9">
        <v>7.1689720000000001</v>
      </c>
    </row>
    <row r="2511" spans="1:2" x14ac:dyDescent="0.25">
      <c r="A2511" s="10">
        <v>2510</v>
      </c>
      <c r="B2511" s="9">
        <v>7.169486</v>
      </c>
    </row>
    <row r="2512" spans="1:2" x14ac:dyDescent="0.25">
      <c r="A2512" s="10">
        <v>2511</v>
      </c>
      <c r="B2512" s="9">
        <v>7.17</v>
      </c>
    </row>
    <row r="2513" spans="1:2" x14ac:dyDescent="0.25">
      <c r="A2513" s="10">
        <v>2513</v>
      </c>
      <c r="B2513" s="9">
        <v>7.7283790000000003</v>
      </c>
    </row>
    <row r="2514" spans="1:2" x14ac:dyDescent="0.25">
      <c r="A2514" s="10">
        <v>2514</v>
      </c>
      <c r="B2514" s="9">
        <v>7.729209</v>
      </c>
    </row>
    <row r="2515" spans="1:2" x14ac:dyDescent="0.25">
      <c r="A2515" s="10">
        <v>2515</v>
      </c>
      <c r="B2515" s="9">
        <v>7.7300399999999998</v>
      </c>
    </row>
    <row r="2516" spans="1:2" x14ac:dyDescent="0.25">
      <c r="A2516" s="10">
        <v>2516</v>
      </c>
      <c r="B2516" s="9">
        <v>7.7308690000000002</v>
      </c>
    </row>
    <row r="2517" spans="1:2" x14ac:dyDescent="0.25">
      <c r="A2517" s="10">
        <v>2517</v>
      </c>
      <c r="B2517" s="9">
        <v>7.7316989999999999</v>
      </c>
    </row>
    <row r="2518" spans="1:2" x14ac:dyDescent="0.25">
      <c r="A2518" s="10">
        <v>2518</v>
      </c>
      <c r="B2518" s="9">
        <v>7.7325299999999997</v>
      </c>
    </row>
    <row r="2519" spans="1:2" x14ac:dyDescent="0.25">
      <c r="A2519" s="10">
        <v>2519</v>
      </c>
      <c r="B2519" s="9">
        <v>7.7333590000000001</v>
      </c>
    </row>
    <row r="2520" spans="1:2" x14ac:dyDescent="0.25">
      <c r="A2520" s="10">
        <v>2520</v>
      </c>
      <c r="B2520" s="9">
        <v>7.7341899999999999</v>
      </c>
    </row>
    <row r="2521" spans="1:2" x14ac:dyDescent="0.25">
      <c r="A2521" s="10">
        <v>2521</v>
      </c>
      <c r="B2521" s="9">
        <v>7.7350199999999996</v>
      </c>
    </row>
    <row r="2522" spans="1:2" x14ac:dyDescent="0.25">
      <c r="A2522" s="10">
        <v>2522</v>
      </c>
      <c r="B2522" s="9">
        <v>7.735849</v>
      </c>
    </row>
    <row r="2523" spans="1:2" x14ac:dyDescent="0.25">
      <c r="A2523" s="10">
        <v>2523</v>
      </c>
      <c r="B2523" s="9">
        <v>7.7366799999999998</v>
      </c>
    </row>
    <row r="2524" spans="1:2" x14ac:dyDescent="0.25">
      <c r="A2524" s="10">
        <v>2524</v>
      </c>
      <c r="B2524" s="9">
        <v>7.7375100000000003</v>
      </c>
    </row>
    <row r="2525" spans="1:2" x14ac:dyDescent="0.25">
      <c r="A2525" s="10">
        <v>2525</v>
      </c>
      <c r="B2525" s="9">
        <v>7.7383389999999999</v>
      </c>
    </row>
    <row r="2526" spans="1:2" x14ac:dyDescent="0.25">
      <c r="A2526" s="10">
        <v>2526</v>
      </c>
      <c r="B2526" s="9">
        <v>7.7391699999999997</v>
      </c>
    </row>
    <row r="2527" spans="1:2" x14ac:dyDescent="0.25">
      <c r="A2527" s="10">
        <v>2527</v>
      </c>
      <c r="B2527" s="9">
        <v>7.74</v>
      </c>
    </row>
    <row r="2528" spans="1:2" x14ac:dyDescent="0.25">
      <c r="A2528" s="10">
        <v>2528</v>
      </c>
      <c r="B2528" s="9">
        <v>7.7403399999999998</v>
      </c>
    </row>
    <row r="2529" spans="1:2" x14ac:dyDescent="0.25">
      <c r="A2529" s="10">
        <v>2529</v>
      </c>
      <c r="B2529" s="9">
        <v>7.7406810000000004</v>
      </c>
    </row>
    <row r="2530" spans="1:2" x14ac:dyDescent="0.25">
      <c r="A2530" s="10">
        <v>2530</v>
      </c>
      <c r="B2530" s="9">
        <v>7.7410209999999999</v>
      </c>
    </row>
    <row r="2531" spans="1:2" x14ac:dyDescent="0.25">
      <c r="A2531" s="10">
        <v>2531</v>
      </c>
      <c r="B2531" s="9">
        <v>7.7413619999999996</v>
      </c>
    </row>
    <row r="2532" spans="1:2" x14ac:dyDescent="0.25">
      <c r="A2532" s="10">
        <v>2532</v>
      </c>
      <c r="B2532" s="9">
        <v>7.7417030000000002</v>
      </c>
    </row>
    <row r="2533" spans="1:2" x14ac:dyDescent="0.25">
      <c r="A2533" s="10">
        <v>2533</v>
      </c>
      <c r="B2533" s="9">
        <v>7.7420429999999998</v>
      </c>
    </row>
    <row r="2534" spans="1:2" x14ac:dyDescent="0.25">
      <c r="A2534" s="10">
        <v>2534</v>
      </c>
      <c r="B2534" s="9">
        <v>7.7423840000000004</v>
      </c>
    </row>
    <row r="2535" spans="1:2" x14ac:dyDescent="0.25">
      <c r="A2535" s="10">
        <v>2535</v>
      </c>
      <c r="B2535" s="9">
        <v>7.7427239999999999</v>
      </c>
    </row>
    <row r="2536" spans="1:2" x14ac:dyDescent="0.25">
      <c r="A2536" s="10">
        <v>2536</v>
      </c>
      <c r="B2536" s="9">
        <v>7.7430649999999996</v>
      </c>
    </row>
    <row r="2537" spans="1:2" x14ac:dyDescent="0.25">
      <c r="A2537" s="10">
        <v>2537</v>
      </c>
      <c r="B2537" s="9">
        <v>7.7434050000000001</v>
      </c>
    </row>
    <row r="2538" spans="1:2" x14ac:dyDescent="0.25">
      <c r="A2538" s="10">
        <v>2538</v>
      </c>
      <c r="B2538" s="9">
        <v>7.7437459999999998</v>
      </c>
    </row>
    <row r="2539" spans="1:2" x14ac:dyDescent="0.25">
      <c r="A2539" s="10">
        <v>2539</v>
      </c>
      <c r="B2539" s="9">
        <v>7.7440870000000004</v>
      </c>
    </row>
    <row r="2540" spans="1:2" x14ac:dyDescent="0.25">
      <c r="A2540" s="10">
        <v>2540</v>
      </c>
      <c r="B2540" s="9">
        <v>7.7444269999999999</v>
      </c>
    </row>
    <row r="2541" spans="1:2" x14ac:dyDescent="0.25">
      <c r="A2541" s="10">
        <v>2541</v>
      </c>
      <c r="B2541" s="9">
        <v>7.7447679999999997</v>
      </c>
    </row>
    <row r="2542" spans="1:2" x14ac:dyDescent="0.25">
      <c r="A2542" s="10">
        <v>2542</v>
      </c>
      <c r="B2542" s="9">
        <v>7.7451090000000002</v>
      </c>
    </row>
    <row r="2543" spans="1:2" x14ac:dyDescent="0.25">
      <c r="A2543" s="10">
        <v>2543</v>
      </c>
      <c r="B2543" s="9">
        <v>7.7454489999999998</v>
      </c>
    </row>
    <row r="2544" spans="1:2" x14ac:dyDescent="0.25">
      <c r="A2544" s="10">
        <v>2544</v>
      </c>
      <c r="B2544" s="9">
        <v>7.7457900000000004</v>
      </c>
    </row>
    <row r="2545" spans="1:2" x14ac:dyDescent="0.25">
      <c r="A2545" s="10">
        <v>2545</v>
      </c>
      <c r="B2545" s="9">
        <v>7.74613</v>
      </c>
    </row>
    <row r="2546" spans="1:2" x14ac:dyDescent="0.25">
      <c r="A2546" s="10">
        <v>2546</v>
      </c>
      <c r="B2546" s="9">
        <v>7.7464709999999997</v>
      </c>
    </row>
    <row r="2547" spans="1:2" x14ac:dyDescent="0.25">
      <c r="A2547" s="10">
        <v>2547</v>
      </c>
      <c r="B2547" s="9">
        <v>7.7468110000000001</v>
      </c>
    </row>
    <row r="2548" spans="1:2" x14ac:dyDescent="0.25">
      <c r="A2548" s="10">
        <v>2548</v>
      </c>
      <c r="B2548" s="9">
        <v>7.7471519999999998</v>
      </c>
    </row>
    <row r="2549" spans="1:2" x14ac:dyDescent="0.25">
      <c r="A2549" s="10">
        <v>2549</v>
      </c>
      <c r="B2549" s="9">
        <v>7.7474930000000004</v>
      </c>
    </row>
    <row r="2550" spans="1:2" x14ac:dyDescent="0.25">
      <c r="A2550" s="10">
        <v>2550</v>
      </c>
      <c r="B2550" s="9">
        <v>7.747833</v>
      </c>
    </row>
    <row r="2551" spans="1:2" x14ac:dyDescent="0.25">
      <c r="A2551" s="10">
        <v>2551</v>
      </c>
      <c r="B2551" s="9">
        <v>7.7481739999999997</v>
      </c>
    </row>
    <row r="2552" spans="1:2" x14ac:dyDescent="0.25">
      <c r="A2552" s="10">
        <v>2552</v>
      </c>
      <c r="B2552" s="9">
        <v>7.7485150000000003</v>
      </c>
    </row>
    <row r="2553" spans="1:2" x14ac:dyDescent="0.25">
      <c r="A2553" s="10">
        <v>2553</v>
      </c>
      <c r="B2553" s="9">
        <v>7.7488549999999998</v>
      </c>
    </row>
    <row r="2554" spans="1:2" x14ac:dyDescent="0.25">
      <c r="A2554" s="10">
        <v>2554</v>
      </c>
      <c r="B2554" s="9">
        <v>7.7491960000000004</v>
      </c>
    </row>
    <row r="2555" spans="1:2" x14ac:dyDescent="0.25">
      <c r="A2555" s="10">
        <v>2555</v>
      </c>
      <c r="B2555" s="9">
        <v>7.7495370000000001</v>
      </c>
    </row>
    <row r="2556" spans="1:2" x14ac:dyDescent="0.25">
      <c r="A2556" s="10">
        <v>2556</v>
      </c>
      <c r="B2556" s="9">
        <v>7.7498769999999997</v>
      </c>
    </row>
    <row r="2557" spans="1:2" x14ac:dyDescent="0.25">
      <c r="A2557" s="10">
        <v>2557</v>
      </c>
      <c r="B2557" s="9">
        <v>7.7502170000000001</v>
      </c>
    </row>
    <row r="2558" spans="1:2" x14ac:dyDescent="0.25">
      <c r="A2558" s="10">
        <v>2558</v>
      </c>
      <c r="B2558" s="9">
        <v>7.7505579999999998</v>
      </c>
    </row>
    <row r="2559" spans="1:2" x14ac:dyDescent="0.25">
      <c r="A2559" s="10">
        <v>2559</v>
      </c>
      <c r="B2559" s="9">
        <v>7.7508990000000004</v>
      </c>
    </row>
    <row r="2560" spans="1:2" x14ac:dyDescent="0.25">
      <c r="A2560" s="10">
        <v>2560</v>
      </c>
      <c r="B2560" s="9">
        <v>7.751239</v>
      </c>
    </row>
    <row r="2561" spans="1:2" x14ac:dyDescent="0.25">
      <c r="A2561" s="10">
        <v>2561</v>
      </c>
      <c r="B2561" s="9">
        <v>7.7515799999999997</v>
      </c>
    </row>
    <row r="2562" spans="1:2" x14ac:dyDescent="0.25">
      <c r="A2562" s="10">
        <v>2562</v>
      </c>
      <c r="B2562" s="9">
        <v>7.7519200000000001</v>
      </c>
    </row>
    <row r="2563" spans="1:2" x14ac:dyDescent="0.25">
      <c r="A2563" s="10">
        <v>2563</v>
      </c>
      <c r="B2563" s="9">
        <v>7.7522609999999998</v>
      </c>
    </row>
    <row r="2564" spans="1:2" x14ac:dyDescent="0.25">
      <c r="A2564" s="10">
        <v>2564</v>
      </c>
      <c r="B2564" s="9">
        <v>7.7526020000000004</v>
      </c>
    </row>
    <row r="2565" spans="1:2" x14ac:dyDescent="0.25">
      <c r="A2565" s="10">
        <v>2565</v>
      </c>
      <c r="B2565" s="9">
        <v>7.752942</v>
      </c>
    </row>
    <row r="2566" spans="1:2" x14ac:dyDescent="0.25">
      <c r="A2566" s="10">
        <v>2566</v>
      </c>
      <c r="B2566" s="9">
        <v>7.7532829999999997</v>
      </c>
    </row>
    <row r="2567" spans="1:2" x14ac:dyDescent="0.25">
      <c r="A2567" s="10">
        <v>2567</v>
      </c>
      <c r="B2567" s="9">
        <v>7.7536230000000002</v>
      </c>
    </row>
    <row r="2568" spans="1:2" x14ac:dyDescent="0.25">
      <c r="A2568" s="10">
        <v>2568</v>
      </c>
      <c r="B2568" s="9">
        <v>7.7539639999999999</v>
      </c>
    </row>
    <row r="2569" spans="1:2" x14ac:dyDescent="0.25">
      <c r="A2569" s="10">
        <v>2569</v>
      </c>
      <c r="B2569" s="9">
        <v>7.7543040000000003</v>
      </c>
    </row>
    <row r="2570" spans="1:2" x14ac:dyDescent="0.25">
      <c r="A2570" s="10">
        <v>2570</v>
      </c>
      <c r="B2570" s="9">
        <v>7.754645</v>
      </c>
    </row>
    <row r="2571" spans="1:2" x14ac:dyDescent="0.25">
      <c r="A2571" s="10">
        <v>2571</v>
      </c>
      <c r="B2571" s="9">
        <v>7.7549859999999997</v>
      </c>
    </row>
    <row r="2572" spans="1:2" x14ac:dyDescent="0.25">
      <c r="A2572" s="10">
        <v>2572</v>
      </c>
      <c r="B2572" s="9">
        <v>7.7553260000000002</v>
      </c>
    </row>
    <row r="2573" spans="1:2" x14ac:dyDescent="0.25">
      <c r="A2573" s="10">
        <v>2573</v>
      </c>
      <c r="B2573" s="9">
        <v>7.7556669999999999</v>
      </c>
    </row>
    <row r="2574" spans="1:2" x14ac:dyDescent="0.25">
      <c r="A2574" s="10">
        <v>2574</v>
      </c>
      <c r="B2574" s="9">
        <v>7.7560079999999996</v>
      </c>
    </row>
    <row r="2575" spans="1:2" x14ac:dyDescent="0.25">
      <c r="A2575" s="10">
        <v>2575</v>
      </c>
      <c r="B2575" s="9">
        <v>7.756348</v>
      </c>
    </row>
    <row r="2576" spans="1:2" x14ac:dyDescent="0.25">
      <c r="A2576" s="10">
        <v>2576</v>
      </c>
      <c r="B2576" s="9">
        <v>7.7566889999999997</v>
      </c>
    </row>
    <row r="2577" spans="1:2" x14ac:dyDescent="0.25">
      <c r="A2577" s="10">
        <v>2577</v>
      </c>
      <c r="B2577" s="9">
        <v>7.7570300000000003</v>
      </c>
    </row>
    <row r="2578" spans="1:2" x14ac:dyDescent="0.25">
      <c r="A2578" s="10">
        <v>2578</v>
      </c>
      <c r="B2578" s="9">
        <v>7.7573699999999999</v>
      </c>
    </row>
    <row r="2579" spans="1:2" x14ac:dyDescent="0.25">
      <c r="A2579" s="10">
        <v>2579</v>
      </c>
      <c r="B2579" s="9">
        <v>7.7577100000000003</v>
      </c>
    </row>
    <row r="2580" spans="1:2" x14ac:dyDescent="0.25">
      <c r="A2580" s="10">
        <v>2580</v>
      </c>
      <c r="B2580" s="9">
        <v>7.758051</v>
      </c>
    </row>
    <row r="2581" spans="1:2" x14ac:dyDescent="0.25">
      <c r="A2581" s="10">
        <v>2581</v>
      </c>
      <c r="B2581" s="9">
        <v>7.7583919999999997</v>
      </c>
    </row>
    <row r="2582" spans="1:2" x14ac:dyDescent="0.25">
      <c r="A2582" s="10">
        <v>2582</v>
      </c>
      <c r="B2582" s="9">
        <v>7.7587320000000002</v>
      </c>
    </row>
    <row r="2583" spans="1:2" x14ac:dyDescent="0.25">
      <c r="A2583" s="10">
        <v>2583</v>
      </c>
      <c r="B2583" s="9">
        <v>7.7590729999999999</v>
      </c>
    </row>
    <row r="2584" spans="1:2" x14ac:dyDescent="0.25">
      <c r="A2584" s="10">
        <v>2584</v>
      </c>
      <c r="B2584" s="9">
        <v>7.7594139999999996</v>
      </c>
    </row>
    <row r="2585" spans="1:2" x14ac:dyDescent="0.25">
      <c r="A2585" s="10">
        <v>2585</v>
      </c>
      <c r="B2585" s="9">
        <v>7.759754</v>
      </c>
    </row>
    <row r="2586" spans="1:2" x14ac:dyDescent="0.25">
      <c r="A2586" s="10">
        <v>2586</v>
      </c>
      <c r="B2586" s="9">
        <v>7.7600949999999997</v>
      </c>
    </row>
    <row r="2587" spans="1:2" x14ac:dyDescent="0.25">
      <c r="A2587" s="10">
        <v>2587</v>
      </c>
      <c r="B2587" s="9">
        <v>7.7604350000000002</v>
      </c>
    </row>
    <row r="2588" spans="1:2" x14ac:dyDescent="0.25">
      <c r="A2588" s="10">
        <v>2588</v>
      </c>
      <c r="B2588" s="9">
        <v>7.7607759999999999</v>
      </c>
    </row>
    <row r="2589" spans="1:2" x14ac:dyDescent="0.25">
      <c r="A2589" s="10">
        <v>2589</v>
      </c>
      <c r="B2589" s="9">
        <v>7.7611169999999996</v>
      </c>
    </row>
    <row r="2590" spans="1:2" x14ac:dyDescent="0.25">
      <c r="A2590" s="10">
        <v>2590</v>
      </c>
      <c r="B2590" s="9">
        <v>7.7614570000000001</v>
      </c>
    </row>
    <row r="2591" spans="1:2" x14ac:dyDescent="0.25">
      <c r="A2591" s="10">
        <v>2591</v>
      </c>
      <c r="B2591" s="9">
        <v>7.7617979999999998</v>
      </c>
    </row>
    <row r="2592" spans="1:2" x14ac:dyDescent="0.25">
      <c r="A2592" s="10">
        <v>2592</v>
      </c>
      <c r="B2592" s="9">
        <v>7.7621380000000002</v>
      </c>
    </row>
    <row r="2593" spans="1:2" x14ac:dyDescent="0.25">
      <c r="A2593" s="10">
        <v>2593</v>
      </c>
      <c r="B2593" s="9">
        <v>7.7624789999999999</v>
      </c>
    </row>
    <row r="2594" spans="1:2" x14ac:dyDescent="0.25">
      <c r="A2594" s="10">
        <v>2594</v>
      </c>
      <c r="B2594" s="9">
        <v>7.7628190000000004</v>
      </c>
    </row>
    <row r="2595" spans="1:2" x14ac:dyDescent="0.25">
      <c r="A2595" s="10">
        <v>2595</v>
      </c>
      <c r="B2595" s="9">
        <v>7.7631600000000001</v>
      </c>
    </row>
    <row r="2596" spans="1:2" x14ac:dyDescent="0.25">
      <c r="A2596" s="10">
        <v>2596</v>
      </c>
      <c r="B2596" s="9">
        <v>7.7635009999999998</v>
      </c>
    </row>
    <row r="2597" spans="1:2" x14ac:dyDescent="0.25">
      <c r="A2597" s="10">
        <v>2597</v>
      </c>
      <c r="B2597" s="9">
        <v>7.7638410000000002</v>
      </c>
    </row>
    <row r="2598" spans="1:2" x14ac:dyDescent="0.25">
      <c r="A2598" s="10">
        <v>2598</v>
      </c>
      <c r="B2598" s="9">
        <v>7.7641819999999999</v>
      </c>
    </row>
    <row r="2599" spans="1:2" x14ac:dyDescent="0.25">
      <c r="A2599" s="10">
        <v>2599</v>
      </c>
      <c r="B2599" s="9">
        <v>7.7645229999999996</v>
      </c>
    </row>
    <row r="2600" spans="1:2" x14ac:dyDescent="0.25">
      <c r="A2600" s="10">
        <v>2600</v>
      </c>
      <c r="B2600" s="9">
        <v>7.7648630000000001</v>
      </c>
    </row>
    <row r="2601" spans="1:2" x14ac:dyDescent="0.25">
      <c r="A2601" s="10">
        <v>2601</v>
      </c>
      <c r="B2601" s="9">
        <v>7.7652029999999996</v>
      </c>
    </row>
    <row r="2602" spans="1:2" x14ac:dyDescent="0.25">
      <c r="A2602" s="10">
        <v>2602</v>
      </c>
      <c r="B2602" s="9">
        <v>7.7655440000000002</v>
      </c>
    </row>
    <row r="2603" spans="1:2" x14ac:dyDescent="0.25">
      <c r="A2603" s="10">
        <v>2603</v>
      </c>
      <c r="B2603" s="9">
        <v>7.7658849999999999</v>
      </c>
    </row>
    <row r="2604" spans="1:2" x14ac:dyDescent="0.25">
      <c r="A2604" s="10">
        <v>2604</v>
      </c>
      <c r="B2604" s="9">
        <v>7.7662250000000004</v>
      </c>
    </row>
    <row r="2605" spans="1:2" x14ac:dyDescent="0.25">
      <c r="A2605" s="10">
        <v>2605</v>
      </c>
      <c r="B2605" s="9">
        <v>7.7665660000000001</v>
      </c>
    </row>
    <row r="2606" spans="1:2" x14ac:dyDescent="0.25">
      <c r="A2606" s="10">
        <v>2606</v>
      </c>
      <c r="B2606" s="9">
        <v>7.7669069999999998</v>
      </c>
    </row>
    <row r="2607" spans="1:2" x14ac:dyDescent="0.25">
      <c r="A2607" s="10">
        <v>2607</v>
      </c>
      <c r="B2607" s="9">
        <v>7.7672470000000002</v>
      </c>
    </row>
    <row r="2608" spans="1:2" x14ac:dyDescent="0.25">
      <c r="A2608" s="10">
        <v>2608</v>
      </c>
      <c r="B2608" s="9">
        <v>7.7675879999999999</v>
      </c>
    </row>
    <row r="2609" spans="1:2" x14ac:dyDescent="0.25">
      <c r="A2609" s="10">
        <v>2609</v>
      </c>
      <c r="B2609" s="9">
        <v>7.7679280000000004</v>
      </c>
    </row>
    <row r="2610" spans="1:2" x14ac:dyDescent="0.25">
      <c r="A2610" s="10">
        <v>2610</v>
      </c>
      <c r="B2610" s="9">
        <v>7.7682690000000001</v>
      </c>
    </row>
    <row r="2611" spans="1:2" x14ac:dyDescent="0.25">
      <c r="A2611" s="10">
        <v>2611</v>
      </c>
      <c r="B2611" s="9">
        <v>7.7686099999999998</v>
      </c>
    </row>
    <row r="2612" spans="1:2" x14ac:dyDescent="0.25">
      <c r="A2612" s="10">
        <v>2612</v>
      </c>
      <c r="B2612" s="9">
        <v>7.7689500000000002</v>
      </c>
    </row>
    <row r="2613" spans="1:2" x14ac:dyDescent="0.25">
      <c r="A2613" s="10">
        <v>2613</v>
      </c>
      <c r="B2613" s="9">
        <v>7.7692909999999999</v>
      </c>
    </row>
    <row r="2614" spans="1:2" x14ac:dyDescent="0.25">
      <c r="A2614" s="10">
        <v>2614</v>
      </c>
      <c r="B2614" s="9">
        <v>7.7696310000000004</v>
      </c>
    </row>
    <row r="2615" spans="1:2" x14ac:dyDescent="0.25">
      <c r="A2615" s="10">
        <v>2615</v>
      </c>
      <c r="B2615" s="9">
        <v>7.7699720000000001</v>
      </c>
    </row>
    <row r="2616" spans="1:2" x14ac:dyDescent="0.25">
      <c r="A2616" s="10">
        <v>2616</v>
      </c>
      <c r="B2616" s="9">
        <v>7.7703119999999997</v>
      </c>
    </row>
    <row r="2617" spans="1:2" x14ac:dyDescent="0.25">
      <c r="A2617" s="10">
        <v>2617</v>
      </c>
      <c r="B2617" s="9">
        <v>7.7706530000000003</v>
      </c>
    </row>
    <row r="2618" spans="1:2" x14ac:dyDescent="0.25">
      <c r="A2618" s="10">
        <v>2618</v>
      </c>
      <c r="B2618" s="9">
        <v>7.770994</v>
      </c>
    </row>
    <row r="2619" spans="1:2" x14ac:dyDescent="0.25">
      <c r="A2619" s="10">
        <v>2619</v>
      </c>
      <c r="B2619" s="9">
        <v>7.7713340000000004</v>
      </c>
    </row>
    <row r="2620" spans="1:2" x14ac:dyDescent="0.25">
      <c r="A2620" s="10">
        <v>2620</v>
      </c>
      <c r="B2620" s="9">
        <v>7.7716750000000001</v>
      </c>
    </row>
    <row r="2621" spans="1:2" x14ac:dyDescent="0.25">
      <c r="A2621" s="10">
        <v>2621</v>
      </c>
      <c r="B2621" s="9">
        <v>7.7720159999999998</v>
      </c>
    </row>
    <row r="2622" spans="1:2" x14ac:dyDescent="0.25">
      <c r="A2622" s="10">
        <v>2622</v>
      </c>
      <c r="B2622" s="9">
        <v>7.7723560000000003</v>
      </c>
    </row>
    <row r="2623" spans="1:2" x14ac:dyDescent="0.25">
      <c r="A2623" s="10">
        <v>2623</v>
      </c>
      <c r="B2623" s="9">
        <v>7.7726959999999998</v>
      </c>
    </row>
    <row r="2624" spans="1:2" x14ac:dyDescent="0.25">
      <c r="A2624" s="10">
        <v>2624</v>
      </c>
      <c r="B2624" s="9">
        <v>7.7730370000000004</v>
      </c>
    </row>
    <row r="2625" spans="1:2" x14ac:dyDescent="0.25">
      <c r="A2625" s="10">
        <v>2625</v>
      </c>
      <c r="B2625" s="9">
        <v>7.7733780000000001</v>
      </c>
    </row>
    <row r="2626" spans="1:2" x14ac:dyDescent="0.25">
      <c r="A2626" s="10">
        <v>2626</v>
      </c>
      <c r="B2626" s="9">
        <v>7.7737179999999997</v>
      </c>
    </row>
    <row r="2627" spans="1:2" x14ac:dyDescent="0.25">
      <c r="A2627" s="10">
        <v>2627</v>
      </c>
      <c r="B2627" s="9">
        <v>7.7740590000000003</v>
      </c>
    </row>
    <row r="2628" spans="1:2" x14ac:dyDescent="0.25">
      <c r="A2628" s="10">
        <v>2628</v>
      </c>
      <c r="B2628" s="9">
        <v>7.7744</v>
      </c>
    </row>
    <row r="2629" spans="1:2" x14ac:dyDescent="0.25">
      <c r="A2629" s="10">
        <v>2629</v>
      </c>
      <c r="B2629" s="9">
        <v>7.7747400000000004</v>
      </c>
    </row>
    <row r="2630" spans="1:2" x14ac:dyDescent="0.25">
      <c r="A2630" s="10">
        <v>2630</v>
      </c>
      <c r="B2630" s="9">
        <v>7.7750810000000001</v>
      </c>
    </row>
    <row r="2631" spans="1:2" x14ac:dyDescent="0.25">
      <c r="A2631" s="10">
        <v>2631</v>
      </c>
      <c r="B2631" s="9">
        <v>7.7754219999999998</v>
      </c>
    </row>
    <row r="2632" spans="1:2" x14ac:dyDescent="0.25">
      <c r="A2632" s="10">
        <v>2632</v>
      </c>
      <c r="B2632" s="9">
        <v>7.7757620000000003</v>
      </c>
    </row>
    <row r="2633" spans="1:2" x14ac:dyDescent="0.25">
      <c r="A2633" s="10">
        <v>2633</v>
      </c>
      <c r="B2633" s="9">
        <v>7.776103</v>
      </c>
    </row>
    <row r="2634" spans="1:2" x14ac:dyDescent="0.25">
      <c r="A2634" s="10">
        <v>2634</v>
      </c>
      <c r="B2634" s="9">
        <v>7.7764430000000004</v>
      </c>
    </row>
    <row r="2635" spans="1:2" x14ac:dyDescent="0.25">
      <c r="A2635" s="10">
        <v>2635</v>
      </c>
      <c r="B2635" s="9">
        <v>7.7767840000000001</v>
      </c>
    </row>
    <row r="2636" spans="1:2" x14ac:dyDescent="0.25">
      <c r="A2636" s="10">
        <v>2636</v>
      </c>
      <c r="B2636" s="9">
        <v>7.7771239999999997</v>
      </c>
    </row>
    <row r="2637" spans="1:2" x14ac:dyDescent="0.25">
      <c r="A2637" s="10">
        <v>2637</v>
      </c>
      <c r="B2637" s="9">
        <v>7.7774650000000003</v>
      </c>
    </row>
    <row r="2638" spans="1:2" x14ac:dyDescent="0.25">
      <c r="A2638" s="10">
        <v>2638</v>
      </c>
      <c r="B2638" s="9">
        <v>7.777806</v>
      </c>
    </row>
    <row r="2639" spans="1:2" x14ac:dyDescent="0.25">
      <c r="A2639" s="10">
        <v>2639</v>
      </c>
      <c r="B2639" s="9">
        <v>7.7781459999999996</v>
      </c>
    </row>
    <row r="2640" spans="1:2" x14ac:dyDescent="0.25">
      <c r="A2640" s="10">
        <v>2640</v>
      </c>
      <c r="B2640" s="9">
        <v>7.7784870000000002</v>
      </c>
    </row>
    <row r="2641" spans="1:2" x14ac:dyDescent="0.25">
      <c r="A2641" s="10">
        <v>2641</v>
      </c>
      <c r="B2641" s="9">
        <v>7.7788279999999999</v>
      </c>
    </row>
    <row r="2642" spans="1:2" x14ac:dyDescent="0.25">
      <c r="A2642" s="10">
        <v>2642</v>
      </c>
      <c r="B2642" s="9">
        <v>7.7791680000000003</v>
      </c>
    </row>
    <row r="2643" spans="1:2" x14ac:dyDescent="0.25">
      <c r="A2643" s="10">
        <v>2643</v>
      </c>
      <c r="B2643" s="9">
        <v>7.779509</v>
      </c>
    </row>
    <row r="2644" spans="1:2" x14ac:dyDescent="0.25">
      <c r="A2644" s="10">
        <v>2644</v>
      </c>
      <c r="B2644" s="9">
        <v>7.7798489999999996</v>
      </c>
    </row>
    <row r="2645" spans="1:2" x14ac:dyDescent="0.25">
      <c r="A2645" s="10">
        <v>2645</v>
      </c>
      <c r="B2645" s="9">
        <v>7.7801900000000002</v>
      </c>
    </row>
    <row r="2646" spans="1:2" x14ac:dyDescent="0.25">
      <c r="A2646" s="10">
        <v>2646</v>
      </c>
      <c r="B2646" s="9">
        <v>7.7805299999999997</v>
      </c>
    </row>
    <row r="2647" spans="1:2" x14ac:dyDescent="0.25">
      <c r="A2647" s="10">
        <v>2647</v>
      </c>
      <c r="B2647" s="9">
        <v>7.7808710000000003</v>
      </c>
    </row>
    <row r="2648" spans="1:2" x14ac:dyDescent="0.25">
      <c r="A2648" s="10">
        <v>2648</v>
      </c>
      <c r="B2648" s="9">
        <v>7.7812109999999999</v>
      </c>
    </row>
    <row r="2649" spans="1:2" x14ac:dyDescent="0.25">
      <c r="A2649" s="10">
        <v>2649</v>
      </c>
      <c r="B2649" s="9">
        <v>7.7815519999999996</v>
      </c>
    </row>
    <row r="2650" spans="1:2" x14ac:dyDescent="0.25">
      <c r="A2650" s="10">
        <v>2650</v>
      </c>
      <c r="B2650" s="9">
        <v>7.7818930000000002</v>
      </c>
    </row>
    <row r="2651" spans="1:2" x14ac:dyDescent="0.25">
      <c r="A2651" s="10">
        <v>2651</v>
      </c>
      <c r="B2651" s="9">
        <v>7.7822329999999997</v>
      </c>
    </row>
    <row r="2652" spans="1:2" x14ac:dyDescent="0.25">
      <c r="A2652" s="10">
        <v>2652</v>
      </c>
      <c r="B2652" s="9">
        <v>7.7825740000000003</v>
      </c>
    </row>
    <row r="2653" spans="1:2" x14ac:dyDescent="0.25">
      <c r="A2653" s="10">
        <v>2653</v>
      </c>
      <c r="B2653" s="9">
        <v>7.782915</v>
      </c>
    </row>
    <row r="2654" spans="1:2" x14ac:dyDescent="0.25">
      <c r="A2654" s="10">
        <v>2654</v>
      </c>
      <c r="B2654" s="9">
        <v>7.7832549999999996</v>
      </c>
    </row>
    <row r="2655" spans="1:2" x14ac:dyDescent="0.25">
      <c r="A2655" s="10">
        <v>2655</v>
      </c>
      <c r="B2655" s="9">
        <v>7.7835960000000002</v>
      </c>
    </row>
    <row r="2656" spans="1:2" x14ac:dyDescent="0.25">
      <c r="A2656" s="10">
        <v>2656</v>
      </c>
      <c r="B2656" s="9">
        <v>7.7839369999999999</v>
      </c>
    </row>
    <row r="2657" spans="1:2" x14ac:dyDescent="0.25">
      <c r="A2657" s="10">
        <v>2657</v>
      </c>
      <c r="B2657" s="9">
        <v>7.7842770000000003</v>
      </c>
    </row>
    <row r="2658" spans="1:2" x14ac:dyDescent="0.25">
      <c r="A2658" s="10">
        <v>2658</v>
      </c>
      <c r="B2658" s="9">
        <v>7.7846169999999999</v>
      </c>
    </row>
    <row r="2659" spans="1:2" x14ac:dyDescent="0.25">
      <c r="A2659" s="10">
        <v>2659</v>
      </c>
      <c r="B2659" s="9">
        <v>7.7849579999999996</v>
      </c>
    </row>
    <row r="2660" spans="1:2" x14ac:dyDescent="0.25">
      <c r="A2660" s="10">
        <v>2660</v>
      </c>
      <c r="B2660" s="9">
        <v>7.7852990000000002</v>
      </c>
    </row>
    <row r="2661" spans="1:2" x14ac:dyDescent="0.25">
      <c r="A2661" s="10">
        <v>2661</v>
      </c>
      <c r="B2661" s="9">
        <v>7.7856389999999998</v>
      </c>
    </row>
    <row r="2662" spans="1:2" x14ac:dyDescent="0.25">
      <c r="A2662" s="10">
        <v>2662</v>
      </c>
      <c r="B2662" s="9">
        <v>7.7859800000000003</v>
      </c>
    </row>
    <row r="2663" spans="1:2" x14ac:dyDescent="0.25">
      <c r="A2663" s="10">
        <v>2663</v>
      </c>
      <c r="B2663" s="9">
        <v>7.786321</v>
      </c>
    </row>
    <row r="2664" spans="1:2" x14ac:dyDescent="0.25">
      <c r="A2664" s="10">
        <v>2664</v>
      </c>
      <c r="B2664" s="9">
        <v>7.7866609999999996</v>
      </c>
    </row>
    <row r="2665" spans="1:2" x14ac:dyDescent="0.25">
      <c r="A2665" s="10">
        <v>2665</v>
      </c>
      <c r="B2665" s="9">
        <v>7.7870020000000002</v>
      </c>
    </row>
    <row r="2666" spans="1:2" x14ac:dyDescent="0.25">
      <c r="A2666" s="10">
        <v>2666</v>
      </c>
      <c r="B2666" s="9">
        <v>7.7873419999999998</v>
      </c>
    </row>
    <row r="2667" spans="1:2" x14ac:dyDescent="0.25">
      <c r="A2667" s="10">
        <v>2667</v>
      </c>
      <c r="B2667" s="9">
        <v>7.7876830000000004</v>
      </c>
    </row>
    <row r="2668" spans="1:2" x14ac:dyDescent="0.25">
      <c r="A2668" s="10">
        <v>2668</v>
      </c>
      <c r="B2668" s="9">
        <v>7.7880229999999999</v>
      </c>
    </row>
    <row r="2669" spans="1:2" x14ac:dyDescent="0.25">
      <c r="A2669" s="10">
        <v>2669</v>
      </c>
      <c r="B2669" s="9">
        <v>7.7883639999999996</v>
      </c>
    </row>
    <row r="2670" spans="1:2" x14ac:dyDescent="0.25">
      <c r="A2670" s="10">
        <v>2670</v>
      </c>
      <c r="B2670" s="9">
        <v>7.7887050000000002</v>
      </c>
    </row>
    <row r="2671" spans="1:2" x14ac:dyDescent="0.25">
      <c r="A2671" s="10">
        <v>2671</v>
      </c>
      <c r="B2671" s="9">
        <v>7.7890449999999998</v>
      </c>
    </row>
    <row r="2672" spans="1:2" x14ac:dyDescent="0.25">
      <c r="A2672" s="10">
        <v>2672</v>
      </c>
      <c r="B2672" s="9">
        <v>7.7893860000000004</v>
      </c>
    </row>
    <row r="2673" spans="1:2" x14ac:dyDescent="0.25">
      <c r="A2673" s="10">
        <v>2673</v>
      </c>
      <c r="B2673" s="9">
        <v>7.7897259999999999</v>
      </c>
    </row>
    <row r="2674" spans="1:2" x14ac:dyDescent="0.25">
      <c r="A2674" s="10">
        <v>2674</v>
      </c>
      <c r="B2674" s="9">
        <v>7.7900669999999996</v>
      </c>
    </row>
    <row r="2675" spans="1:2" x14ac:dyDescent="0.25">
      <c r="A2675" s="10">
        <v>2675</v>
      </c>
      <c r="B2675" s="9">
        <v>7.7904080000000002</v>
      </c>
    </row>
    <row r="2676" spans="1:2" x14ac:dyDescent="0.25">
      <c r="A2676" s="10">
        <v>2676</v>
      </c>
      <c r="B2676" s="9">
        <v>7.7907479999999998</v>
      </c>
    </row>
    <row r="2677" spans="1:2" x14ac:dyDescent="0.25">
      <c r="A2677" s="10">
        <v>2677</v>
      </c>
      <c r="B2677" s="9">
        <v>7.7910890000000004</v>
      </c>
    </row>
    <row r="2678" spans="1:2" x14ac:dyDescent="0.25">
      <c r="A2678" s="10">
        <v>2678</v>
      </c>
      <c r="B2678" s="9">
        <v>7.7914300000000001</v>
      </c>
    </row>
    <row r="2679" spans="1:2" x14ac:dyDescent="0.25">
      <c r="A2679" s="1">
        <v>2679</v>
      </c>
      <c r="B2679" s="8">
        <v>7.7917699999999996</v>
      </c>
    </row>
    <row r="2680" spans="1:2" x14ac:dyDescent="0.25">
      <c r="A2680" s="1">
        <v>2680</v>
      </c>
      <c r="B2680" s="8">
        <v>7.7921100000000001</v>
      </c>
    </row>
    <row r="2681" spans="1:2" x14ac:dyDescent="0.25">
      <c r="A2681" s="1">
        <v>2681</v>
      </c>
      <c r="B2681" s="8">
        <v>7.7924509999999998</v>
      </c>
    </row>
    <row r="2682" spans="1:2" x14ac:dyDescent="0.25">
      <c r="A2682" s="1">
        <v>2682</v>
      </c>
      <c r="B2682" s="8">
        <v>7.7927920000000004</v>
      </c>
    </row>
    <row r="2683" spans="1:2" x14ac:dyDescent="0.25">
      <c r="A2683" s="1">
        <v>2683</v>
      </c>
      <c r="B2683" s="8">
        <v>7.7931319999999999</v>
      </c>
    </row>
    <row r="2684" spans="1:2" x14ac:dyDescent="0.25">
      <c r="A2684" s="1">
        <v>2684</v>
      </c>
      <c r="B2684" s="8">
        <v>7.7934729999999997</v>
      </c>
    </row>
    <row r="2685" spans="1:2" x14ac:dyDescent="0.25">
      <c r="A2685" s="1">
        <v>2685</v>
      </c>
      <c r="B2685" s="8">
        <v>7.7938140000000002</v>
      </c>
    </row>
    <row r="2686" spans="1:2" x14ac:dyDescent="0.25">
      <c r="A2686" s="1">
        <v>2686</v>
      </c>
      <c r="B2686" s="8">
        <v>7.7941539999999998</v>
      </c>
    </row>
    <row r="2687" spans="1:2" x14ac:dyDescent="0.25">
      <c r="A2687" s="1">
        <v>2687</v>
      </c>
      <c r="B2687" s="8">
        <v>7.7944950000000004</v>
      </c>
    </row>
    <row r="2688" spans="1:2" x14ac:dyDescent="0.25">
      <c r="A2688" s="1">
        <v>2688</v>
      </c>
      <c r="B2688" s="8">
        <v>7.7948360000000001</v>
      </c>
    </row>
    <row r="2689" spans="1:2" x14ac:dyDescent="0.25">
      <c r="A2689" s="1">
        <v>2689</v>
      </c>
      <c r="B2689" s="8">
        <v>7.7951759999999997</v>
      </c>
    </row>
    <row r="2690" spans="1:2" x14ac:dyDescent="0.25">
      <c r="A2690" s="1">
        <v>2690</v>
      </c>
      <c r="B2690" s="8">
        <v>7.7955160000000001</v>
      </c>
    </row>
    <row r="2691" spans="1:2" x14ac:dyDescent="0.25">
      <c r="A2691" s="1">
        <v>2691</v>
      </c>
      <c r="B2691" s="8">
        <v>7.7958569999999998</v>
      </c>
    </row>
    <row r="2692" spans="1:2" x14ac:dyDescent="0.25">
      <c r="A2692" s="1">
        <v>2692</v>
      </c>
      <c r="B2692" s="8">
        <v>7.7961980000000004</v>
      </c>
    </row>
    <row r="2693" spans="1:2" x14ac:dyDescent="0.25">
      <c r="A2693" s="1">
        <v>2693</v>
      </c>
      <c r="B2693" s="8">
        <v>7.796538</v>
      </c>
    </row>
    <row r="2694" spans="1:2" x14ac:dyDescent="0.25">
      <c r="A2694" s="1">
        <v>2694</v>
      </c>
      <c r="B2694" s="8">
        <v>7.7968789999999997</v>
      </c>
    </row>
    <row r="2695" spans="1:2" x14ac:dyDescent="0.25">
      <c r="A2695" s="1">
        <v>2695</v>
      </c>
      <c r="B2695" s="8">
        <v>7.7972190000000001</v>
      </c>
    </row>
    <row r="2696" spans="1:2" x14ac:dyDescent="0.25">
      <c r="A2696" s="1">
        <v>2696</v>
      </c>
      <c r="B2696" s="8">
        <v>7.7975599999999998</v>
      </c>
    </row>
    <row r="2697" spans="1:2" x14ac:dyDescent="0.25">
      <c r="A2697" s="1">
        <v>2697</v>
      </c>
      <c r="B2697" s="8">
        <v>7.7979010000000004</v>
      </c>
    </row>
    <row r="2698" spans="1:2" x14ac:dyDescent="0.25">
      <c r="A2698" s="1">
        <v>2698</v>
      </c>
      <c r="B2698" s="8">
        <v>7.798241</v>
      </c>
    </row>
    <row r="2699" spans="1:2" x14ac:dyDescent="0.25">
      <c r="A2699" s="1">
        <v>2699</v>
      </c>
      <c r="B2699" s="8">
        <v>7.7985819999999997</v>
      </c>
    </row>
    <row r="2700" spans="1:2" x14ac:dyDescent="0.25">
      <c r="A2700" s="1">
        <v>2700</v>
      </c>
      <c r="B2700" s="8">
        <v>7.7989230000000003</v>
      </c>
    </row>
    <row r="2701" spans="1:2" x14ac:dyDescent="0.25">
      <c r="A2701" s="1">
        <v>2701</v>
      </c>
      <c r="B2701" s="8">
        <v>7.7992629999999998</v>
      </c>
    </row>
    <row r="2702" spans="1:2" x14ac:dyDescent="0.25">
      <c r="A2702" s="1">
        <v>2702</v>
      </c>
      <c r="B2702" s="8">
        <v>7.7996030000000003</v>
      </c>
    </row>
    <row r="2703" spans="1:2" x14ac:dyDescent="0.25">
      <c r="A2703" s="1">
        <v>2703</v>
      </c>
      <c r="B2703" s="8">
        <v>7.799944</v>
      </c>
    </row>
    <row r="2704" spans="1:2" x14ac:dyDescent="0.25">
      <c r="A2704" s="1">
        <v>2704</v>
      </c>
      <c r="B2704" s="8">
        <v>7.8002849999999997</v>
      </c>
    </row>
    <row r="2705" spans="1:2" x14ac:dyDescent="0.25">
      <c r="A2705" s="1">
        <v>2705</v>
      </c>
      <c r="B2705" s="8">
        <v>7.8006250000000001</v>
      </c>
    </row>
    <row r="2706" spans="1:2" x14ac:dyDescent="0.25">
      <c r="A2706" s="1">
        <v>2706</v>
      </c>
      <c r="B2706" s="8">
        <v>7.8009659999999998</v>
      </c>
    </row>
    <row r="2707" spans="1:2" x14ac:dyDescent="0.25">
      <c r="A2707" s="1">
        <v>2707</v>
      </c>
      <c r="B2707" s="8">
        <v>7.8013070000000004</v>
      </c>
    </row>
    <row r="2708" spans="1:2" x14ac:dyDescent="0.25">
      <c r="A2708" s="1">
        <v>2708</v>
      </c>
      <c r="B2708" s="8">
        <v>7.801647</v>
      </c>
    </row>
    <row r="2709" spans="1:2" x14ac:dyDescent="0.25">
      <c r="A2709" s="1">
        <v>2709</v>
      </c>
      <c r="B2709" s="8">
        <v>7.8019879999999997</v>
      </c>
    </row>
    <row r="2710" spans="1:2" x14ac:dyDescent="0.25">
      <c r="A2710" s="1">
        <v>2710</v>
      </c>
      <c r="B2710" s="8">
        <v>7.8023290000000003</v>
      </c>
    </row>
    <row r="2711" spans="1:2" x14ac:dyDescent="0.25">
      <c r="A2711" s="1">
        <v>2711</v>
      </c>
      <c r="B2711" s="8">
        <v>7.8026689999999999</v>
      </c>
    </row>
    <row r="2712" spans="1:2" x14ac:dyDescent="0.25">
      <c r="A2712" s="1">
        <v>2712</v>
      </c>
      <c r="B2712" s="8">
        <v>7.8030099999999996</v>
      </c>
    </row>
    <row r="2713" spans="1:2" x14ac:dyDescent="0.25">
      <c r="A2713" s="1">
        <v>2713</v>
      </c>
      <c r="B2713" s="8">
        <v>7.80335</v>
      </c>
    </row>
    <row r="2714" spans="1:2" x14ac:dyDescent="0.25">
      <c r="A2714" s="1">
        <v>2714</v>
      </c>
      <c r="B2714" s="8">
        <v>7.8036909999999997</v>
      </c>
    </row>
    <row r="2715" spans="1:2" x14ac:dyDescent="0.25">
      <c r="A2715" s="1">
        <v>2715</v>
      </c>
      <c r="B2715" s="8">
        <v>7.8040310000000002</v>
      </c>
    </row>
    <row r="2716" spans="1:2" x14ac:dyDescent="0.25">
      <c r="A2716" s="1">
        <v>2716</v>
      </c>
      <c r="B2716" s="8">
        <v>7.8043719999999999</v>
      </c>
    </row>
    <row r="2717" spans="1:2" x14ac:dyDescent="0.25">
      <c r="A2717" s="1">
        <v>2717</v>
      </c>
      <c r="B2717" s="8">
        <v>7.8047129999999996</v>
      </c>
    </row>
    <row r="2718" spans="1:2" x14ac:dyDescent="0.25">
      <c r="A2718" s="1">
        <v>2718</v>
      </c>
      <c r="B2718" s="8">
        <v>7.805053</v>
      </c>
    </row>
    <row r="2719" spans="1:2" x14ac:dyDescent="0.25">
      <c r="A2719" s="1">
        <v>2719</v>
      </c>
      <c r="B2719" s="8">
        <v>7.8053939999999997</v>
      </c>
    </row>
    <row r="2720" spans="1:2" x14ac:dyDescent="0.25">
      <c r="A2720" s="1">
        <v>2720</v>
      </c>
      <c r="B2720" s="8">
        <v>7.8057350000000003</v>
      </c>
    </row>
    <row r="2721" spans="1:2" x14ac:dyDescent="0.25">
      <c r="A2721" s="1">
        <v>2721</v>
      </c>
      <c r="B2721" s="8">
        <v>7.8060749999999999</v>
      </c>
    </row>
    <row r="2722" spans="1:2" x14ac:dyDescent="0.25">
      <c r="A2722" s="1">
        <v>2722</v>
      </c>
      <c r="B2722" s="8">
        <v>7.8064159999999996</v>
      </c>
    </row>
    <row r="2723" spans="1:2" x14ac:dyDescent="0.25">
      <c r="A2723" s="1">
        <v>2723</v>
      </c>
      <c r="B2723" s="8">
        <v>7.806756</v>
      </c>
    </row>
    <row r="2724" spans="1:2" x14ac:dyDescent="0.25">
      <c r="A2724" s="1">
        <v>2724</v>
      </c>
      <c r="B2724" s="8">
        <v>7.8070969999999997</v>
      </c>
    </row>
    <row r="2725" spans="1:2" x14ac:dyDescent="0.25">
      <c r="A2725" s="1">
        <v>2725</v>
      </c>
      <c r="B2725" s="8">
        <v>7.8074370000000002</v>
      </c>
    </row>
    <row r="2726" spans="1:2" x14ac:dyDescent="0.25">
      <c r="A2726" s="1">
        <v>2726</v>
      </c>
      <c r="B2726" s="8">
        <v>7.8077779999999999</v>
      </c>
    </row>
    <row r="2727" spans="1:2" x14ac:dyDescent="0.25">
      <c r="A2727" s="1">
        <v>2727</v>
      </c>
      <c r="B2727" s="8">
        <v>7.8081189999999996</v>
      </c>
    </row>
    <row r="2728" spans="1:2" x14ac:dyDescent="0.25">
      <c r="A2728" s="1">
        <v>2728</v>
      </c>
      <c r="B2728" s="8">
        <v>7.808459</v>
      </c>
    </row>
    <row r="2729" spans="1:2" x14ac:dyDescent="0.25">
      <c r="A2729" s="1">
        <v>2729</v>
      </c>
      <c r="B2729" s="8">
        <v>7.8087999999999997</v>
      </c>
    </row>
    <row r="2730" spans="1:2" x14ac:dyDescent="0.25">
      <c r="A2730" s="1">
        <v>2730</v>
      </c>
      <c r="B2730" s="8">
        <v>7.8091400000000002</v>
      </c>
    </row>
    <row r="2731" spans="1:2" x14ac:dyDescent="0.25">
      <c r="A2731" s="1">
        <v>2731</v>
      </c>
      <c r="B2731" s="8">
        <v>7.8094809999999999</v>
      </c>
    </row>
    <row r="2732" spans="1:2" x14ac:dyDescent="0.25">
      <c r="A2732" s="1">
        <v>2732</v>
      </c>
      <c r="B2732" s="8">
        <v>7.8098219999999996</v>
      </c>
    </row>
    <row r="2733" spans="1:2" x14ac:dyDescent="0.25">
      <c r="A2733" s="1">
        <v>2733</v>
      </c>
      <c r="B2733" s="8">
        <v>7.810162</v>
      </c>
    </row>
    <row r="2734" spans="1:2" x14ac:dyDescent="0.25">
      <c r="A2734" s="1">
        <v>2734</v>
      </c>
      <c r="B2734" s="8">
        <v>7.8105029999999998</v>
      </c>
    </row>
    <row r="2735" spans="1:2" x14ac:dyDescent="0.25">
      <c r="A2735" s="1">
        <v>2735</v>
      </c>
      <c r="B2735" s="8">
        <v>7.8108430000000002</v>
      </c>
    </row>
    <row r="2736" spans="1:2" x14ac:dyDescent="0.25">
      <c r="A2736" s="1">
        <v>2736</v>
      </c>
      <c r="B2736" s="8">
        <v>7.8111839999999999</v>
      </c>
    </row>
    <row r="2737" spans="1:2" x14ac:dyDescent="0.25">
      <c r="A2737" s="1">
        <v>2737</v>
      </c>
      <c r="B2737" s="8">
        <v>7.8115240000000004</v>
      </c>
    </row>
    <row r="2738" spans="1:2" x14ac:dyDescent="0.25">
      <c r="A2738" s="1">
        <v>2738</v>
      </c>
      <c r="B2738" s="8">
        <v>7.8118650000000001</v>
      </c>
    </row>
    <row r="2739" spans="1:2" x14ac:dyDescent="0.25">
      <c r="A2739" s="1">
        <v>2739</v>
      </c>
      <c r="B2739" s="8">
        <v>7.8122059999999998</v>
      </c>
    </row>
    <row r="2740" spans="1:2" x14ac:dyDescent="0.25">
      <c r="A2740" s="1">
        <v>2740</v>
      </c>
      <c r="B2740" s="8">
        <v>7.8125460000000002</v>
      </c>
    </row>
    <row r="2741" spans="1:2" x14ac:dyDescent="0.25">
      <c r="A2741" s="1">
        <v>2741</v>
      </c>
      <c r="B2741" s="8">
        <v>7.8128869999999999</v>
      </c>
    </row>
    <row r="2742" spans="1:2" x14ac:dyDescent="0.25">
      <c r="A2742" s="1">
        <v>2742</v>
      </c>
      <c r="B2742" s="8">
        <v>7.8132279999999996</v>
      </c>
    </row>
    <row r="2743" spans="1:2" x14ac:dyDescent="0.25">
      <c r="A2743" s="1">
        <v>2743</v>
      </c>
      <c r="B2743" s="8">
        <v>7.8135680000000001</v>
      </c>
    </row>
    <row r="2744" spans="1:2" x14ac:dyDescent="0.25">
      <c r="A2744" s="1">
        <v>2744</v>
      </c>
      <c r="B2744" s="8">
        <v>7.8139089999999998</v>
      </c>
    </row>
    <row r="2745" spans="1:2" x14ac:dyDescent="0.25">
      <c r="A2745" s="1">
        <v>2745</v>
      </c>
      <c r="B2745" s="8">
        <v>7.8142490000000002</v>
      </c>
    </row>
    <row r="2746" spans="1:2" x14ac:dyDescent="0.25">
      <c r="A2746" s="1">
        <v>2746</v>
      </c>
      <c r="B2746" s="8">
        <v>7.8145899999999999</v>
      </c>
    </row>
    <row r="2747" spans="1:2" x14ac:dyDescent="0.25">
      <c r="A2747" s="1">
        <v>2747</v>
      </c>
      <c r="B2747" s="8">
        <v>7.8149300000000004</v>
      </c>
    </row>
    <row r="2748" spans="1:2" x14ac:dyDescent="0.25">
      <c r="A2748" s="1">
        <v>2748</v>
      </c>
      <c r="B2748" s="8">
        <v>7.8152710000000001</v>
      </c>
    </row>
    <row r="2749" spans="1:2" x14ac:dyDescent="0.25">
      <c r="A2749" s="1">
        <v>2749</v>
      </c>
      <c r="B2749" s="8">
        <v>7.8156119999999998</v>
      </c>
    </row>
    <row r="2750" spans="1:2" x14ac:dyDescent="0.25">
      <c r="A2750" s="1">
        <v>2750</v>
      </c>
      <c r="B2750" s="8">
        <v>7.8159520000000002</v>
      </c>
    </row>
    <row r="2751" spans="1:2" x14ac:dyDescent="0.25">
      <c r="A2751" s="1">
        <v>2751</v>
      </c>
      <c r="B2751" s="8">
        <v>7.8162929999999999</v>
      </c>
    </row>
    <row r="2752" spans="1:2" x14ac:dyDescent="0.25">
      <c r="A2752" s="1">
        <v>2752</v>
      </c>
      <c r="B2752" s="8">
        <v>7.8166330000000004</v>
      </c>
    </row>
    <row r="2753" spans="1:2" x14ac:dyDescent="0.25">
      <c r="A2753" s="1">
        <v>2753</v>
      </c>
      <c r="B2753" s="8">
        <v>7.8169740000000001</v>
      </c>
    </row>
    <row r="2754" spans="1:2" x14ac:dyDescent="0.25">
      <c r="A2754" s="1">
        <v>2754</v>
      </c>
      <c r="B2754" s="8">
        <v>7.8173149999999998</v>
      </c>
    </row>
    <row r="2755" spans="1:2" x14ac:dyDescent="0.25">
      <c r="A2755" s="1">
        <v>2755</v>
      </c>
      <c r="B2755" s="8">
        <v>7.8176550000000002</v>
      </c>
    </row>
    <row r="2756" spans="1:2" x14ac:dyDescent="0.25">
      <c r="A2756" s="1">
        <v>2756</v>
      </c>
      <c r="B2756" s="8">
        <v>7.8179959999999999</v>
      </c>
    </row>
    <row r="2757" spans="1:2" x14ac:dyDescent="0.25">
      <c r="A2757" s="1">
        <v>2757</v>
      </c>
      <c r="B2757" s="8">
        <v>7.8183360000000004</v>
      </c>
    </row>
    <row r="2758" spans="1:2" x14ac:dyDescent="0.25">
      <c r="A2758" s="1">
        <v>2758</v>
      </c>
      <c r="B2758" s="8">
        <v>7.8186770000000001</v>
      </c>
    </row>
    <row r="2759" spans="1:2" x14ac:dyDescent="0.25">
      <c r="A2759" s="1">
        <v>2759</v>
      </c>
      <c r="B2759" s="8">
        <v>7.8190169999999997</v>
      </c>
    </row>
    <row r="2760" spans="1:2" x14ac:dyDescent="0.25">
      <c r="A2760" s="1">
        <v>2760</v>
      </c>
      <c r="B2760" s="8">
        <v>7.8193580000000003</v>
      </c>
    </row>
    <row r="2761" spans="1:2" x14ac:dyDescent="0.25">
      <c r="A2761" s="1">
        <v>2761</v>
      </c>
      <c r="B2761" s="8">
        <v>7.819699</v>
      </c>
    </row>
    <row r="2762" spans="1:2" x14ac:dyDescent="0.25">
      <c r="A2762" s="1">
        <v>2762</v>
      </c>
      <c r="B2762" s="8">
        <v>7.8200390000000004</v>
      </c>
    </row>
    <row r="2763" spans="1:2" x14ac:dyDescent="0.25">
      <c r="A2763" s="1">
        <v>2763</v>
      </c>
      <c r="B2763" s="8">
        <v>7.8203800000000001</v>
      </c>
    </row>
    <row r="2764" spans="1:2" x14ac:dyDescent="0.25">
      <c r="A2764" s="1">
        <v>2764</v>
      </c>
      <c r="B2764" s="8">
        <v>7.8207209999999998</v>
      </c>
    </row>
    <row r="2765" spans="1:2" x14ac:dyDescent="0.25">
      <c r="A2765" s="1">
        <v>2765</v>
      </c>
      <c r="B2765" s="8">
        <v>7.8210610000000003</v>
      </c>
    </row>
    <row r="2766" spans="1:2" x14ac:dyDescent="0.25">
      <c r="A2766" s="1">
        <v>2766</v>
      </c>
      <c r="B2766" s="8">
        <v>7.821402</v>
      </c>
    </row>
    <row r="2767" spans="1:2" x14ac:dyDescent="0.25">
      <c r="A2767" s="1">
        <v>2767</v>
      </c>
      <c r="B2767" s="8">
        <v>7.8217429999999997</v>
      </c>
    </row>
    <row r="2768" spans="1:2" x14ac:dyDescent="0.25">
      <c r="A2768" s="1">
        <v>2768</v>
      </c>
      <c r="B2768" s="8">
        <v>7.8220830000000001</v>
      </c>
    </row>
    <row r="2769" spans="1:2" x14ac:dyDescent="0.25">
      <c r="A2769" s="1">
        <v>2769</v>
      </c>
      <c r="B2769" s="8">
        <v>7.8224229999999997</v>
      </c>
    </row>
    <row r="2770" spans="1:2" x14ac:dyDescent="0.25">
      <c r="A2770" s="1">
        <v>2770</v>
      </c>
      <c r="B2770" s="8">
        <v>7.8227640000000003</v>
      </c>
    </row>
    <row r="2771" spans="1:2" x14ac:dyDescent="0.25">
      <c r="A2771" s="1">
        <v>2771</v>
      </c>
      <c r="B2771" s="8">
        <v>7.823105</v>
      </c>
    </row>
    <row r="2772" spans="1:2" x14ac:dyDescent="0.25">
      <c r="A2772" s="1">
        <v>2772</v>
      </c>
      <c r="B2772" s="8">
        <v>7.8234450000000004</v>
      </c>
    </row>
    <row r="2773" spans="1:2" x14ac:dyDescent="0.25">
      <c r="A2773" s="1">
        <v>2773</v>
      </c>
      <c r="B2773" s="8">
        <v>7.8237860000000001</v>
      </c>
    </row>
    <row r="2774" spans="1:2" x14ac:dyDescent="0.25">
      <c r="A2774" s="1">
        <v>2774</v>
      </c>
      <c r="B2774" s="8">
        <v>7.8241269999999998</v>
      </c>
    </row>
    <row r="2775" spans="1:2" x14ac:dyDescent="0.25">
      <c r="A2775" s="1">
        <v>2775</v>
      </c>
      <c r="B2775" s="8">
        <v>7.8244670000000003</v>
      </c>
    </row>
    <row r="2776" spans="1:2" x14ac:dyDescent="0.25">
      <c r="A2776" s="1">
        <v>2776</v>
      </c>
      <c r="B2776" s="8">
        <v>7.824808</v>
      </c>
    </row>
    <row r="2777" spans="1:2" x14ac:dyDescent="0.25">
      <c r="A2777" s="1">
        <v>2777</v>
      </c>
      <c r="B2777" s="8">
        <v>7.8251489999999997</v>
      </c>
    </row>
    <row r="2778" spans="1:2" x14ac:dyDescent="0.25">
      <c r="A2778" s="1">
        <v>2778</v>
      </c>
      <c r="B2778" s="8">
        <v>7.8254890000000001</v>
      </c>
    </row>
    <row r="2779" spans="1:2" x14ac:dyDescent="0.25">
      <c r="A2779" s="1">
        <v>2779</v>
      </c>
      <c r="B2779" s="8">
        <v>7.8258299999999998</v>
      </c>
    </row>
    <row r="2780" spans="1:2" x14ac:dyDescent="0.25">
      <c r="A2780" s="1">
        <v>2780</v>
      </c>
      <c r="B2780" s="8">
        <v>7.8261700000000003</v>
      </c>
    </row>
    <row r="2781" spans="1:2" x14ac:dyDescent="0.25">
      <c r="A2781" s="1">
        <v>2781</v>
      </c>
      <c r="B2781" s="8">
        <v>7.8265099999999999</v>
      </c>
    </row>
    <row r="2782" spans="1:2" x14ac:dyDescent="0.25">
      <c r="A2782" s="1">
        <v>2782</v>
      </c>
      <c r="B2782" s="8">
        <v>7.8268509999999996</v>
      </c>
    </row>
    <row r="2783" spans="1:2" x14ac:dyDescent="0.25">
      <c r="A2783" s="1">
        <v>2783</v>
      </c>
      <c r="B2783" s="8">
        <v>7.8271920000000001</v>
      </c>
    </row>
    <row r="2784" spans="1:2" x14ac:dyDescent="0.25">
      <c r="A2784" s="1">
        <v>2784</v>
      </c>
      <c r="B2784" s="8">
        <v>7.8275319999999997</v>
      </c>
    </row>
    <row r="2785" spans="1:2" x14ac:dyDescent="0.25">
      <c r="A2785" s="1">
        <v>2785</v>
      </c>
      <c r="B2785" s="8">
        <v>7.8278730000000003</v>
      </c>
    </row>
    <row r="2786" spans="1:2" x14ac:dyDescent="0.25">
      <c r="A2786" s="1">
        <v>2786</v>
      </c>
      <c r="B2786" s="8">
        <v>7.828214</v>
      </c>
    </row>
    <row r="2787" spans="1:2" x14ac:dyDescent="0.25">
      <c r="A2787" s="1">
        <v>2787</v>
      </c>
      <c r="B2787" s="8">
        <v>7.8285539999999996</v>
      </c>
    </row>
    <row r="2788" spans="1:2" x14ac:dyDescent="0.25">
      <c r="A2788" s="1">
        <v>2788</v>
      </c>
      <c r="B2788" s="8">
        <v>7.8288950000000002</v>
      </c>
    </row>
    <row r="2789" spans="1:2" x14ac:dyDescent="0.25">
      <c r="A2789" s="1">
        <v>2789</v>
      </c>
      <c r="B2789" s="8">
        <v>7.8292359999999999</v>
      </c>
    </row>
    <row r="2790" spans="1:2" x14ac:dyDescent="0.25">
      <c r="A2790" s="1">
        <v>2790</v>
      </c>
      <c r="B2790" s="8">
        <v>7.8295760000000003</v>
      </c>
    </row>
    <row r="2791" spans="1:2" x14ac:dyDescent="0.25">
      <c r="A2791" s="1">
        <v>2791</v>
      </c>
      <c r="B2791" s="8">
        <v>7.8299159999999999</v>
      </c>
    </row>
    <row r="2792" spans="1:2" x14ac:dyDescent="0.25">
      <c r="A2792" s="1">
        <v>2792</v>
      </c>
      <c r="B2792" s="8">
        <v>7.8302569999999996</v>
      </c>
    </row>
    <row r="2793" spans="1:2" x14ac:dyDescent="0.25">
      <c r="A2793" s="1">
        <v>2793</v>
      </c>
      <c r="B2793" s="8">
        <v>7.8305980000000002</v>
      </c>
    </row>
    <row r="2794" spans="1:2" x14ac:dyDescent="0.25">
      <c r="A2794" s="1">
        <v>2794</v>
      </c>
      <c r="B2794" s="8">
        <v>7.8309379999999997</v>
      </c>
    </row>
    <row r="2795" spans="1:2" x14ac:dyDescent="0.25">
      <c r="A2795" s="1">
        <v>2795</v>
      </c>
      <c r="B2795" s="8">
        <v>7.8312790000000003</v>
      </c>
    </row>
    <row r="2796" spans="1:2" x14ac:dyDescent="0.25">
      <c r="A2796" s="1">
        <v>2796</v>
      </c>
      <c r="B2796" s="8">
        <v>7.83162</v>
      </c>
    </row>
    <row r="2797" spans="1:2" x14ac:dyDescent="0.25">
      <c r="A2797" s="1">
        <v>2797</v>
      </c>
      <c r="B2797" s="8">
        <v>7.8319599999999996</v>
      </c>
    </row>
    <row r="2798" spans="1:2" x14ac:dyDescent="0.25">
      <c r="A2798" s="1">
        <v>2798</v>
      </c>
      <c r="B2798" s="8">
        <v>7.8323010000000002</v>
      </c>
    </row>
    <row r="2799" spans="1:2" x14ac:dyDescent="0.25">
      <c r="A2799" s="1">
        <v>2799</v>
      </c>
      <c r="B2799" s="8">
        <v>7.8326419999999999</v>
      </c>
    </row>
    <row r="2800" spans="1:2" x14ac:dyDescent="0.25">
      <c r="A2800" s="1">
        <v>2800</v>
      </c>
      <c r="B2800" s="8">
        <v>7.8329820000000003</v>
      </c>
    </row>
    <row r="2801" spans="1:2" x14ac:dyDescent="0.25">
      <c r="A2801" s="1">
        <v>2801</v>
      </c>
      <c r="B2801" s="8">
        <v>7.833323</v>
      </c>
    </row>
    <row r="2802" spans="1:2" x14ac:dyDescent="0.25">
      <c r="A2802" s="1">
        <v>2802</v>
      </c>
      <c r="B2802" s="8">
        <v>7.8336629999999996</v>
      </c>
    </row>
    <row r="2803" spans="1:2" x14ac:dyDescent="0.25">
      <c r="A2803" s="1">
        <v>2803</v>
      </c>
      <c r="B2803" s="8">
        <v>7.8340040000000002</v>
      </c>
    </row>
    <row r="2804" spans="1:2" x14ac:dyDescent="0.25">
      <c r="A2804" s="1">
        <v>2804</v>
      </c>
      <c r="B2804" s="8">
        <v>7.8343439999999998</v>
      </c>
    </row>
    <row r="2805" spans="1:2" x14ac:dyDescent="0.25">
      <c r="A2805" s="1">
        <v>2805</v>
      </c>
      <c r="B2805" s="8">
        <v>7.8346850000000003</v>
      </c>
    </row>
    <row r="2806" spans="1:2" x14ac:dyDescent="0.25">
      <c r="A2806" s="1">
        <v>2806</v>
      </c>
      <c r="B2806" s="8">
        <v>7.835026</v>
      </c>
    </row>
    <row r="2807" spans="1:2" x14ac:dyDescent="0.25">
      <c r="A2807" s="1">
        <v>2807</v>
      </c>
      <c r="B2807" s="8">
        <v>7.8353659999999996</v>
      </c>
    </row>
    <row r="2808" spans="1:2" x14ac:dyDescent="0.25">
      <c r="A2808" s="1">
        <v>2808</v>
      </c>
      <c r="B2808" s="8">
        <v>7.8357070000000002</v>
      </c>
    </row>
    <row r="2809" spans="1:2" x14ac:dyDescent="0.25">
      <c r="A2809" s="1">
        <v>2809</v>
      </c>
      <c r="B2809" s="8">
        <v>7.8360469999999998</v>
      </c>
    </row>
    <row r="2810" spans="1:2" x14ac:dyDescent="0.25">
      <c r="A2810" s="1">
        <v>2810</v>
      </c>
      <c r="B2810" s="8">
        <v>7.8363880000000004</v>
      </c>
    </row>
    <row r="2811" spans="1:2" x14ac:dyDescent="0.25">
      <c r="A2811" s="1">
        <v>2811</v>
      </c>
      <c r="B2811" s="8">
        <v>7.8367290000000001</v>
      </c>
    </row>
    <row r="2812" spans="1:2" x14ac:dyDescent="0.25">
      <c r="A2812" s="1">
        <v>2812</v>
      </c>
      <c r="B2812" s="8">
        <v>7.8370689999999996</v>
      </c>
    </row>
    <row r="2813" spans="1:2" x14ac:dyDescent="0.25">
      <c r="A2813" s="1">
        <v>2813</v>
      </c>
      <c r="B2813" s="8">
        <v>7.8374100000000002</v>
      </c>
    </row>
    <row r="2814" spans="1:2" x14ac:dyDescent="0.25">
      <c r="A2814" s="1">
        <v>2814</v>
      </c>
      <c r="B2814" s="8">
        <v>7.8377499999999998</v>
      </c>
    </row>
    <row r="2815" spans="1:2" x14ac:dyDescent="0.25">
      <c r="A2815" s="1">
        <v>2815</v>
      </c>
      <c r="B2815" s="8">
        <v>7.8380910000000004</v>
      </c>
    </row>
    <row r="2816" spans="1:2" x14ac:dyDescent="0.25">
      <c r="A2816" s="1">
        <v>2816</v>
      </c>
      <c r="B2816" s="8">
        <v>7.8384309999999999</v>
      </c>
    </row>
    <row r="2817" spans="1:2" x14ac:dyDescent="0.25">
      <c r="A2817" s="1">
        <v>2817</v>
      </c>
      <c r="B2817" s="8">
        <v>7.8387719999999996</v>
      </c>
    </row>
    <row r="2818" spans="1:2" x14ac:dyDescent="0.25">
      <c r="A2818" s="1">
        <v>2818</v>
      </c>
      <c r="B2818" s="8">
        <v>7.8391130000000002</v>
      </c>
    </row>
    <row r="2819" spans="1:2" x14ac:dyDescent="0.25">
      <c r="A2819" s="1">
        <v>2819</v>
      </c>
      <c r="B2819" s="8">
        <v>7.8394529999999998</v>
      </c>
    </row>
    <row r="2820" spans="1:2" x14ac:dyDescent="0.25">
      <c r="A2820" s="1">
        <v>2820</v>
      </c>
      <c r="B2820" s="8">
        <v>7.8397940000000004</v>
      </c>
    </row>
    <row r="2821" spans="1:2" x14ac:dyDescent="0.25">
      <c r="A2821" s="1">
        <v>2821</v>
      </c>
      <c r="B2821" s="8">
        <v>7.8401350000000001</v>
      </c>
    </row>
    <row r="2822" spans="1:2" x14ac:dyDescent="0.25">
      <c r="A2822" s="1">
        <v>2822</v>
      </c>
      <c r="B2822" s="8">
        <v>7.8404749999999996</v>
      </c>
    </row>
    <row r="2823" spans="1:2" x14ac:dyDescent="0.25">
      <c r="A2823" s="1">
        <v>2823</v>
      </c>
      <c r="B2823" s="8">
        <v>7.8408160000000002</v>
      </c>
    </row>
    <row r="2824" spans="1:2" x14ac:dyDescent="0.25">
      <c r="A2824" s="1">
        <v>2824</v>
      </c>
      <c r="B2824" s="8">
        <v>7.8411559999999998</v>
      </c>
    </row>
    <row r="2825" spans="1:2" x14ac:dyDescent="0.25">
      <c r="A2825" s="1">
        <v>2825</v>
      </c>
      <c r="B2825" s="8">
        <v>7.8414970000000004</v>
      </c>
    </row>
    <row r="2826" spans="1:2" x14ac:dyDescent="0.25">
      <c r="A2826" s="1">
        <v>2826</v>
      </c>
      <c r="B2826" s="8">
        <v>7.8418369999999999</v>
      </c>
    </row>
    <row r="2827" spans="1:2" x14ac:dyDescent="0.25">
      <c r="A2827" s="1">
        <v>2827</v>
      </c>
      <c r="B2827" s="8">
        <v>7.8421779999999996</v>
      </c>
    </row>
    <row r="2828" spans="1:2" x14ac:dyDescent="0.25">
      <c r="A2828" s="1">
        <v>2828</v>
      </c>
      <c r="B2828" s="8">
        <v>7.8425190000000002</v>
      </c>
    </row>
    <row r="2829" spans="1:2" x14ac:dyDescent="0.25">
      <c r="A2829" s="1">
        <v>2829</v>
      </c>
      <c r="B2829" s="8">
        <v>7.8428589999999998</v>
      </c>
    </row>
    <row r="2830" spans="1:2" x14ac:dyDescent="0.25">
      <c r="A2830" s="1">
        <v>2830</v>
      </c>
      <c r="B2830" s="8">
        <v>7.8432000000000004</v>
      </c>
    </row>
    <row r="2831" spans="1:2" x14ac:dyDescent="0.25">
      <c r="A2831" s="1">
        <v>2831</v>
      </c>
      <c r="B2831" s="8">
        <v>7.84354</v>
      </c>
    </row>
    <row r="2832" spans="1:2" x14ac:dyDescent="0.25">
      <c r="A2832" s="1">
        <v>2832</v>
      </c>
      <c r="B2832" s="8">
        <v>7.8438809999999997</v>
      </c>
    </row>
    <row r="2833" spans="1:2" x14ac:dyDescent="0.25">
      <c r="A2833" s="1">
        <v>2833</v>
      </c>
      <c r="B2833" s="8">
        <v>7.8442220000000002</v>
      </c>
    </row>
    <row r="2834" spans="1:2" x14ac:dyDescent="0.25">
      <c r="A2834" s="1">
        <v>2834</v>
      </c>
      <c r="B2834" s="8">
        <v>7.8445619999999998</v>
      </c>
    </row>
    <row r="2835" spans="1:2" x14ac:dyDescent="0.25">
      <c r="A2835" s="1">
        <v>2835</v>
      </c>
      <c r="B2835" s="8">
        <v>7.8449030000000004</v>
      </c>
    </row>
    <row r="2836" spans="1:2" x14ac:dyDescent="0.25">
      <c r="A2836" s="1">
        <v>2836</v>
      </c>
      <c r="B2836" s="8">
        <v>7.845243</v>
      </c>
    </row>
    <row r="2837" spans="1:2" x14ac:dyDescent="0.25">
      <c r="A2837" s="1">
        <v>2837</v>
      </c>
      <c r="B2837" s="8">
        <v>7.8455839999999997</v>
      </c>
    </row>
    <row r="2838" spans="1:2" x14ac:dyDescent="0.25">
      <c r="A2838" s="1">
        <v>2838</v>
      </c>
      <c r="B2838" s="8">
        <v>7.8459240000000001</v>
      </c>
    </row>
    <row r="2839" spans="1:2" x14ac:dyDescent="0.25">
      <c r="A2839" s="1">
        <v>2839</v>
      </c>
      <c r="B2839" s="8">
        <v>7.8462649999999998</v>
      </c>
    </row>
    <row r="2840" spans="1:2" x14ac:dyDescent="0.25">
      <c r="A2840" s="1">
        <v>2840</v>
      </c>
      <c r="B2840" s="8">
        <v>7.8466060000000004</v>
      </c>
    </row>
    <row r="2841" spans="1:2" x14ac:dyDescent="0.25">
      <c r="A2841" s="1">
        <v>2841</v>
      </c>
      <c r="B2841" s="8">
        <v>7.846946</v>
      </c>
    </row>
    <row r="2842" spans="1:2" x14ac:dyDescent="0.25">
      <c r="A2842" s="1">
        <v>2842</v>
      </c>
      <c r="B2842" s="8">
        <v>7.8472869999999997</v>
      </c>
    </row>
    <row r="2843" spans="1:2" x14ac:dyDescent="0.25">
      <c r="A2843" s="1">
        <v>2843</v>
      </c>
      <c r="B2843" s="8">
        <v>7.8476280000000003</v>
      </c>
    </row>
    <row r="2844" spans="1:2" x14ac:dyDescent="0.25">
      <c r="A2844" s="1">
        <v>2844</v>
      </c>
      <c r="B2844" s="8">
        <v>7.8479679999999998</v>
      </c>
    </row>
    <row r="2845" spans="1:2" x14ac:dyDescent="0.25">
      <c r="A2845" s="1">
        <v>2845</v>
      </c>
      <c r="B2845" s="8">
        <v>7.8483090000000004</v>
      </c>
    </row>
    <row r="2846" spans="1:2" x14ac:dyDescent="0.25">
      <c r="A2846" s="1">
        <v>2846</v>
      </c>
      <c r="B2846" s="8">
        <v>7.8486500000000001</v>
      </c>
    </row>
    <row r="2847" spans="1:2" x14ac:dyDescent="0.25">
      <c r="A2847" s="1">
        <v>2847</v>
      </c>
      <c r="B2847" s="8">
        <v>7.8489899999999997</v>
      </c>
    </row>
    <row r="2848" spans="1:2" x14ac:dyDescent="0.25">
      <c r="A2848" s="1">
        <v>2848</v>
      </c>
      <c r="B2848" s="8">
        <v>7.8493300000000001</v>
      </c>
    </row>
    <row r="2849" spans="1:2" x14ac:dyDescent="0.25">
      <c r="A2849" s="1">
        <v>2849</v>
      </c>
      <c r="B2849" s="8">
        <v>7.8496709999999998</v>
      </c>
    </row>
    <row r="2850" spans="1:2" x14ac:dyDescent="0.25">
      <c r="A2850" s="1">
        <v>2850</v>
      </c>
      <c r="B2850" s="8">
        <v>7.8500120000000004</v>
      </c>
    </row>
    <row r="2851" spans="1:2" x14ac:dyDescent="0.25">
      <c r="A2851" s="1">
        <v>2851</v>
      </c>
      <c r="B2851" s="8">
        <v>7.850352</v>
      </c>
    </row>
    <row r="2852" spans="1:2" x14ac:dyDescent="0.25">
      <c r="A2852" s="1">
        <v>2852</v>
      </c>
      <c r="B2852" s="8">
        <v>7.8506929999999997</v>
      </c>
    </row>
    <row r="2853" spans="1:2" x14ac:dyDescent="0.25">
      <c r="A2853" s="1">
        <v>2853</v>
      </c>
      <c r="B2853" s="8">
        <v>7.8510340000000003</v>
      </c>
    </row>
    <row r="2854" spans="1:2" x14ac:dyDescent="0.25">
      <c r="A2854" s="1">
        <v>2854</v>
      </c>
      <c r="B2854" s="8">
        <v>7.8513739999999999</v>
      </c>
    </row>
    <row r="2855" spans="1:2" x14ac:dyDescent="0.25">
      <c r="A2855" s="1">
        <v>2855</v>
      </c>
      <c r="B2855" s="8">
        <v>7.8517150000000004</v>
      </c>
    </row>
    <row r="2856" spans="1:2" x14ac:dyDescent="0.25">
      <c r="A2856" s="1">
        <v>2856</v>
      </c>
      <c r="B2856" s="8">
        <v>7.8520560000000001</v>
      </c>
    </row>
    <row r="2857" spans="1:2" x14ac:dyDescent="0.25">
      <c r="A2857" s="1">
        <v>2857</v>
      </c>
      <c r="B2857" s="8">
        <v>7.8523959999999997</v>
      </c>
    </row>
    <row r="2858" spans="1:2" x14ac:dyDescent="0.25">
      <c r="A2858" s="1">
        <v>2858</v>
      </c>
      <c r="B2858" s="8">
        <v>7.8527360000000002</v>
      </c>
    </row>
    <row r="2859" spans="1:2" x14ac:dyDescent="0.25">
      <c r="A2859" s="1">
        <v>2859</v>
      </c>
      <c r="B2859" s="8">
        <v>7.8530769999999999</v>
      </c>
    </row>
    <row r="2860" spans="1:2" x14ac:dyDescent="0.25">
      <c r="A2860" s="1">
        <v>2860</v>
      </c>
      <c r="B2860" s="8">
        <v>7.8534179999999996</v>
      </c>
    </row>
    <row r="2861" spans="1:2" x14ac:dyDescent="0.25">
      <c r="A2861" s="1">
        <v>2861</v>
      </c>
      <c r="B2861" s="8">
        <v>7.853758</v>
      </c>
    </row>
    <row r="2862" spans="1:2" x14ac:dyDescent="0.25">
      <c r="A2862" s="1">
        <v>2862</v>
      </c>
      <c r="B2862" s="8">
        <v>7.8540989999999997</v>
      </c>
    </row>
    <row r="2863" spans="1:2" x14ac:dyDescent="0.25">
      <c r="A2863" s="1">
        <v>2863</v>
      </c>
      <c r="B2863" s="8">
        <v>7.8544400000000003</v>
      </c>
    </row>
    <row r="2864" spans="1:2" x14ac:dyDescent="0.25">
      <c r="A2864" s="1">
        <v>2864</v>
      </c>
      <c r="B2864" s="8">
        <v>7.8547799999999999</v>
      </c>
    </row>
    <row r="2865" spans="1:2" x14ac:dyDescent="0.25">
      <c r="A2865" s="1">
        <v>2865</v>
      </c>
      <c r="B2865" s="8">
        <v>7.8551209999999996</v>
      </c>
    </row>
    <row r="2866" spans="1:2" x14ac:dyDescent="0.25">
      <c r="A2866" s="1">
        <v>2866</v>
      </c>
      <c r="B2866" s="8">
        <v>7.855461</v>
      </c>
    </row>
    <row r="2867" spans="1:2" x14ac:dyDescent="0.25">
      <c r="A2867" s="1">
        <v>2867</v>
      </c>
      <c r="B2867" s="8">
        <v>7.8558019999999997</v>
      </c>
    </row>
    <row r="2868" spans="1:2" x14ac:dyDescent="0.25">
      <c r="A2868" s="1">
        <v>2868</v>
      </c>
      <c r="B2868" s="8">
        <v>7.8561430000000003</v>
      </c>
    </row>
    <row r="2869" spans="1:2" x14ac:dyDescent="0.25">
      <c r="A2869" s="1">
        <v>2869</v>
      </c>
      <c r="B2869" s="8">
        <v>7.8564829999999999</v>
      </c>
    </row>
    <row r="2870" spans="1:2" x14ac:dyDescent="0.25">
      <c r="A2870" s="1">
        <v>2870</v>
      </c>
      <c r="B2870" s="8">
        <v>7.8568230000000003</v>
      </c>
    </row>
    <row r="2871" spans="1:2" x14ac:dyDescent="0.25">
      <c r="A2871" s="1">
        <v>2871</v>
      </c>
      <c r="B2871" s="8">
        <v>7.857164</v>
      </c>
    </row>
    <row r="2872" spans="1:2" x14ac:dyDescent="0.25">
      <c r="A2872" s="1">
        <v>2872</v>
      </c>
      <c r="B2872" s="8">
        <v>7.8575049999999997</v>
      </c>
    </row>
    <row r="2873" spans="1:2" x14ac:dyDescent="0.25">
      <c r="A2873" s="1">
        <v>2873</v>
      </c>
      <c r="B2873" s="8">
        <v>7.8578450000000002</v>
      </c>
    </row>
    <row r="2874" spans="1:2" x14ac:dyDescent="0.25">
      <c r="A2874" s="1">
        <v>2874</v>
      </c>
      <c r="B2874" s="8">
        <v>7.8581859999999999</v>
      </c>
    </row>
    <row r="2875" spans="1:2" x14ac:dyDescent="0.25">
      <c r="A2875" s="1">
        <v>2875</v>
      </c>
      <c r="B2875" s="8">
        <v>7.8585269999999996</v>
      </c>
    </row>
    <row r="2876" spans="1:2" x14ac:dyDescent="0.25">
      <c r="A2876" s="1">
        <v>2876</v>
      </c>
      <c r="B2876" s="8">
        <v>7.858867</v>
      </c>
    </row>
    <row r="2877" spans="1:2" x14ac:dyDescent="0.25">
      <c r="A2877" s="1">
        <v>2877</v>
      </c>
      <c r="B2877" s="8">
        <v>7.8592079999999997</v>
      </c>
    </row>
    <row r="2878" spans="1:2" x14ac:dyDescent="0.25">
      <c r="A2878" s="1">
        <v>2878</v>
      </c>
      <c r="B2878" s="8">
        <v>7.8595490000000003</v>
      </c>
    </row>
    <row r="2879" spans="1:2" x14ac:dyDescent="0.25">
      <c r="A2879" s="1">
        <v>2879</v>
      </c>
      <c r="B2879" s="8">
        <v>7.8598889999999999</v>
      </c>
    </row>
    <row r="2880" spans="1:2" x14ac:dyDescent="0.25">
      <c r="A2880" s="1">
        <v>2880</v>
      </c>
      <c r="B2880" s="8">
        <v>7.8602290000000004</v>
      </c>
    </row>
    <row r="2881" spans="1:2" x14ac:dyDescent="0.25">
      <c r="A2881" s="1">
        <v>2881</v>
      </c>
      <c r="B2881" s="8">
        <v>7.8605700000000001</v>
      </c>
    </row>
    <row r="2882" spans="1:2" x14ac:dyDescent="0.25">
      <c r="A2882" s="1">
        <v>2882</v>
      </c>
      <c r="B2882" s="8">
        <v>7.8609109999999998</v>
      </c>
    </row>
    <row r="2883" spans="1:2" x14ac:dyDescent="0.25">
      <c r="A2883" s="1">
        <v>2883</v>
      </c>
      <c r="B2883" s="8">
        <v>7.8612510000000002</v>
      </c>
    </row>
    <row r="2884" spans="1:2" x14ac:dyDescent="0.25">
      <c r="A2884" s="1">
        <v>2884</v>
      </c>
      <c r="B2884" s="8">
        <v>7.8615919999999999</v>
      </c>
    </row>
    <row r="2885" spans="1:2" x14ac:dyDescent="0.25">
      <c r="A2885" s="1">
        <v>2885</v>
      </c>
      <c r="B2885" s="8">
        <v>7.8619329999999996</v>
      </c>
    </row>
    <row r="2886" spans="1:2" x14ac:dyDescent="0.25">
      <c r="A2886" s="1">
        <v>2886</v>
      </c>
      <c r="B2886" s="8">
        <v>7.8622730000000001</v>
      </c>
    </row>
    <row r="2887" spans="1:2" x14ac:dyDescent="0.25">
      <c r="A2887" s="1">
        <v>2887</v>
      </c>
      <c r="B2887" s="8">
        <v>7.8626139999999998</v>
      </c>
    </row>
    <row r="2888" spans="1:2" x14ac:dyDescent="0.25">
      <c r="A2888" s="1">
        <v>2888</v>
      </c>
      <c r="B2888" s="8">
        <v>7.8629540000000002</v>
      </c>
    </row>
    <row r="2889" spans="1:2" x14ac:dyDescent="0.25">
      <c r="A2889" s="1">
        <v>2889</v>
      </c>
      <c r="B2889" s="8">
        <v>7.8632949999999999</v>
      </c>
    </row>
    <row r="2890" spans="1:2" x14ac:dyDescent="0.25">
      <c r="A2890" s="1">
        <v>2890</v>
      </c>
      <c r="B2890" s="8">
        <v>7.8636359999999996</v>
      </c>
    </row>
    <row r="2891" spans="1:2" x14ac:dyDescent="0.25">
      <c r="A2891" s="1">
        <v>2891</v>
      </c>
      <c r="B2891" s="8">
        <v>7.8639760000000001</v>
      </c>
    </row>
    <row r="2892" spans="1:2" x14ac:dyDescent="0.25">
      <c r="A2892" s="1">
        <v>2892</v>
      </c>
      <c r="B2892" s="8">
        <v>7.8643169999999998</v>
      </c>
    </row>
    <row r="2893" spans="1:2" x14ac:dyDescent="0.25">
      <c r="A2893" s="1">
        <v>2893</v>
      </c>
      <c r="B2893" s="8">
        <v>7.8646570000000002</v>
      </c>
    </row>
    <row r="2894" spans="1:2" x14ac:dyDescent="0.25">
      <c r="A2894" s="1">
        <v>2894</v>
      </c>
      <c r="B2894" s="8">
        <v>7.8649979999999999</v>
      </c>
    </row>
    <row r="2895" spans="1:2" x14ac:dyDescent="0.25">
      <c r="A2895" s="1">
        <v>2895</v>
      </c>
      <c r="B2895" s="8">
        <v>7.8653380000000004</v>
      </c>
    </row>
    <row r="2896" spans="1:2" x14ac:dyDescent="0.25">
      <c r="A2896" s="1">
        <v>2896</v>
      </c>
      <c r="B2896" s="8">
        <v>7.8656790000000001</v>
      </c>
    </row>
    <row r="2897" spans="1:2" x14ac:dyDescent="0.25">
      <c r="A2897" s="1">
        <v>2897</v>
      </c>
      <c r="B2897" s="8">
        <v>7.8660199999999998</v>
      </c>
    </row>
    <row r="2898" spans="1:2" x14ac:dyDescent="0.25">
      <c r="A2898" s="1">
        <v>2898</v>
      </c>
      <c r="B2898" s="8">
        <v>7.8663600000000002</v>
      </c>
    </row>
    <row r="2899" spans="1:2" x14ac:dyDescent="0.25">
      <c r="A2899" s="1">
        <v>2899</v>
      </c>
      <c r="B2899" s="8">
        <v>7.8667009999999999</v>
      </c>
    </row>
    <row r="2900" spans="1:2" x14ac:dyDescent="0.25">
      <c r="A2900" s="1">
        <v>2900</v>
      </c>
      <c r="B2900" s="8">
        <v>7.8670419999999996</v>
      </c>
    </row>
    <row r="2901" spans="1:2" x14ac:dyDescent="0.25">
      <c r="A2901" s="1">
        <v>2901</v>
      </c>
      <c r="B2901" s="8">
        <v>7.8673820000000001</v>
      </c>
    </row>
    <row r="2902" spans="1:2" x14ac:dyDescent="0.25">
      <c r="A2902" s="1">
        <v>2902</v>
      </c>
      <c r="B2902" s="8">
        <v>7.8677229999999998</v>
      </c>
    </row>
    <row r="2903" spans="1:2" x14ac:dyDescent="0.25">
      <c r="A2903" s="1">
        <v>2903</v>
      </c>
      <c r="B2903" s="8">
        <v>7.8680630000000003</v>
      </c>
    </row>
    <row r="2904" spans="1:2" x14ac:dyDescent="0.25">
      <c r="A2904" s="1">
        <v>2904</v>
      </c>
      <c r="B2904" s="8">
        <v>7.868404</v>
      </c>
    </row>
    <row r="2905" spans="1:2" x14ac:dyDescent="0.25">
      <c r="A2905" s="1">
        <v>2905</v>
      </c>
      <c r="B2905" s="8">
        <v>7.8687440000000004</v>
      </c>
    </row>
    <row r="2906" spans="1:2" x14ac:dyDescent="0.25">
      <c r="A2906" s="1">
        <v>2906</v>
      </c>
      <c r="B2906" s="8">
        <v>7.8690850000000001</v>
      </c>
    </row>
    <row r="2907" spans="1:2" x14ac:dyDescent="0.25">
      <c r="A2907" s="1">
        <v>2907</v>
      </c>
      <c r="B2907" s="8">
        <v>7.8694259999999998</v>
      </c>
    </row>
    <row r="2908" spans="1:2" x14ac:dyDescent="0.25">
      <c r="A2908" s="1">
        <v>2908</v>
      </c>
      <c r="B2908" s="8">
        <v>7.8697660000000003</v>
      </c>
    </row>
    <row r="2909" spans="1:2" x14ac:dyDescent="0.25">
      <c r="A2909" s="1">
        <v>2909</v>
      </c>
      <c r="B2909" s="8">
        <v>7.870107</v>
      </c>
    </row>
    <row r="2910" spans="1:2" x14ac:dyDescent="0.25">
      <c r="A2910" s="1">
        <v>2910</v>
      </c>
      <c r="B2910" s="8">
        <v>7.8704479999999997</v>
      </c>
    </row>
    <row r="2911" spans="1:2" x14ac:dyDescent="0.25">
      <c r="A2911" s="1">
        <v>2911</v>
      </c>
      <c r="B2911" s="8">
        <v>7.8707880000000001</v>
      </c>
    </row>
    <row r="2912" spans="1:2" x14ac:dyDescent="0.25">
      <c r="A2912" s="1">
        <v>2912</v>
      </c>
      <c r="B2912" s="8">
        <v>7.8711289999999998</v>
      </c>
    </row>
    <row r="2913" spans="1:2" x14ac:dyDescent="0.25">
      <c r="A2913" s="1">
        <v>2913</v>
      </c>
      <c r="B2913" s="8">
        <v>7.8714690000000003</v>
      </c>
    </row>
    <row r="2914" spans="1:2" x14ac:dyDescent="0.25">
      <c r="A2914" s="1">
        <v>2914</v>
      </c>
      <c r="B2914" s="8">
        <v>7.87181</v>
      </c>
    </row>
    <row r="2915" spans="1:2" x14ac:dyDescent="0.25">
      <c r="A2915" s="1">
        <v>2915</v>
      </c>
      <c r="B2915" s="8">
        <v>7.8721500000000004</v>
      </c>
    </row>
    <row r="2916" spans="1:2" x14ac:dyDescent="0.25">
      <c r="A2916" s="1">
        <v>2916</v>
      </c>
      <c r="B2916" s="8">
        <v>7.8724910000000001</v>
      </c>
    </row>
    <row r="2917" spans="1:2" x14ac:dyDescent="0.25">
      <c r="A2917" s="1">
        <v>2917</v>
      </c>
      <c r="B2917" s="8">
        <v>7.8728309999999997</v>
      </c>
    </row>
    <row r="2918" spans="1:2" x14ac:dyDescent="0.25">
      <c r="A2918" s="1">
        <v>2918</v>
      </c>
      <c r="B2918" s="8">
        <v>7.8731720000000003</v>
      </c>
    </row>
    <row r="2919" spans="1:2" x14ac:dyDescent="0.25">
      <c r="A2919" s="1">
        <v>2919</v>
      </c>
      <c r="B2919" s="8">
        <v>7.873513</v>
      </c>
    </row>
    <row r="2920" spans="1:2" x14ac:dyDescent="0.25">
      <c r="A2920" s="1">
        <v>2920</v>
      </c>
      <c r="B2920" s="8">
        <v>7.8738530000000004</v>
      </c>
    </row>
    <row r="2921" spans="1:2" x14ac:dyDescent="0.25">
      <c r="A2921" s="1">
        <v>2921</v>
      </c>
      <c r="B2921" s="8">
        <v>7.8741940000000001</v>
      </c>
    </row>
    <row r="2922" spans="1:2" x14ac:dyDescent="0.25">
      <c r="A2922" s="1">
        <v>2922</v>
      </c>
      <c r="B2922" s="8">
        <v>7.8745349999999998</v>
      </c>
    </row>
    <row r="2923" spans="1:2" x14ac:dyDescent="0.25">
      <c r="A2923" s="1">
        <v>2923</v>
      </c>
      <c r="B2923" s="8">
        <v>7.8748750000000003</v>
      </c>
    </row>
    <row r="2924" spans="1:2" x14ac:dyDescent="0.25">
      <c r="A2924" s="1">
        <v>2924</v>
      </c>
      <c r="B2924" s="8">
        <v>7.875216</v>
      </c>
    </row>
    <row r="2925" spans="1:2" x14ac:dyDescent="0.25">
      <c r="A2925" s="1">
        <v>2925</v>
      </c>
      <c r="B2925" s="8">
        <v>7.8755559999999996</v>
      </c>
    </row>
    <row r="2926" spans="1:2" x14ac:dyDescent="0.25">
      <c r="A2926" s="1">
        <v>2926</v>
      </c>
      <c r="B2926" s="8">
        <v>7.8758970000000001</v>
      </c>
    </row>
    <row r="2927" spans="1:2" x14ac:dyDescent="0.25">
      <c r="A2927" s="1">
        <v>2927</v>
      </c>
      <c r="B2927" s="8">
        <v>7.8762369999999997</v>
      </c>
    </row>
    <row r="2928" spans="1:2" x14ac:dyDescent="0.25">
      <c r="A2928" s="1">
        <v>2928</v>
      </c>
      <c r="B2928" s="8">
        <v>7.8765780000000003</v>
      </c>
    </row>
    <row r="2929" spans="1:2" x14ac:dyDescent="0.25">
      <c r="A2929" s="1">
        <v>2929</v>
      </c>
      <c r="B2929" s="8">
        <v>7.876919</v>
      </c>
    </row>
    <row r="2930" spans="1:2" x14ac:dyDescent="0.25">
      <c r="A2930" s="1">
        <v>2930</v>
      </c>
      <c r="B2930" s="8">
        <v>7.8772589999999996</v>
      </c>
    </row>
    <row r="2931" spans="1:2" x14ac:dyDescent="0.25">
      <c r="A2931" s="1">
        <v>2931</v>
      </c>
      <c r="B2931" s="8">
        <v>7.8776000000000002</v>
      </c>
    </row>
    <row r="2932" spans="1:2" x14ac:dyDescent="0.25">
      <c r="A2932" s="1">
        <v>2932</v>
      </c>
      <c r="B2932" s="8">
        <v>7.8779409999999999</v>
      </c>
    </row>
    <row r="2933" spans="1:2" x14ac:dyDescent="0.25">
      <c r="A2933" s="1">
        <v>2933</v>
      </c>
      <c r="B2933" s="8">
        <v>7.8782810000000003</v>
      </c>
    </row>
    <row r="2934" spans="1:2" x14ac:dyDescent="0.25">
      <c r="A2934" s="1">
        <v>2934</v>
      </c>
      <c r="B2934" s="8">
        <v>7.878622</v>
      </c>
    </row>
    <row r="2935" spans="1:2" x14ac:dyDescent="0.25">
      <c r="A2935" s="1">
        <v>2935</v>
      </c>
      <c r="B2935" s="8">
        <v>7.8789629999999997</v>
      </c>
    </row>
    <row r="2936" spans="1:2" x14ac:dyDescent="0.25">
      <c r="A2936" s="1">
        <v>2936</v>
      </c>
      <c r="B2936" s="8">
        <v>7.8793030000000002</v>
      </c>
    </row>
    <row r="2937" spans="1:2" x14ac:dyDescent="0.25">
      <c r="A2937" s="1">
        <v>2937</v>
      </c>
      <c r="B2937" s="8">
        <v>7.8796429999999997</v>
      </c>
    </row>
    <row r="2938" spans="1:2" x14ac:dyDescent="0.25">
      <c r="A2938" s="1">
        <v>2938</v>
      </c>
      <c r="B2938" s="8">
        <v>7.8799840000000003</v>
      </c>
    </row>
    <row r="2939" spans="1:2" x14ac:dyDescent="0.25">
      <c r="A2939" s="1">
        <v>2939</v>
      </c>
      <c r="B2939" s="8">
        <v>7.880325</v>
      </c>
    </row>
    <row r="2940" spans="1:2" x14ac:dyDescent="0.25">
      <c r="A2940" s="1">
        <v>2940</v>
      </c>
      <c r="B2940" s="8">
        <v>7.8806649999999996</v>
      </c>
    </row>
    <row r="2941" spans="1:2" x14ac:dyDescent="0.25">
      <c r="A2941" s="1">
        <v>2941</v>
      </c>
      <c r="B2941" s="8">
        <v>7.8810060000000002</v>
      </c>
    </row>
    <row r="2942" spans="1:2" x14ac:dyDescent="0.25">
      <c r="A2942" s="1">
        <v>2942</v>
      </c>
      <c r="B2942" s="8">
        <v>7.8813469999999999</v>
      </c>
    </row>
    <row r="2943" spans="1:2" x14ac:dyDescent="0.25">
      <c r="A2943" s="1">
        <v>2943</v>
      </c>
      <c r="B2943" s="8">
        <v>7.8816870000000003</v>
      </c>
    </row>
    <row r="2944" spans="1:2" x14ac:dyDescent="0.25">
      <c r="A2944" s="1">
        <v>2944</v>
      </c>
      <c r="B2944" s="8">
        <v>7.882028</v>
      </c>
    </row>
    <row r="2945" spans="1:2" x14ac:dyDescent="0.25">
      <c r="A2945" s="1">
        <v>2945</v>
      </c>
      <c r="B2945" s="8">
        <v>7.8823679999999996</v>
      </c>
    </row>
    <row r="2946" spans="1:2" x14ac:dyDescent="0.25">
      <c r="A2946" s="1">
        <v>2946</v>
      </c>
      <c r="B2946" s="8">
        <v>7.8827090000000002</v>
      </c>
    </row>
    <row r="2947" spans="1:2" x14ac:dyDescent="0.25">
      <c r="A2947" s="1">
        <v>2947</v>
      </c>
      <c r="B2947" s="8">
        <v>7.8830489999999998</v>
      </c>
    </row>
    <row r="2948" spans="1:2" x14ac:dyDescent="0.25">
      <c r="A2948" s="1">
        <v>2948</v>
      </c>
      <c r="B2948" s="8">
        <v>7.8833900000000003</v>
      </c>
    </row>
    <row r="2949" spans="1:2" x14ac:dyDescent="0.25">
      <c r="A2949" s="1">
        <v>2949</v>
      </c>
      <c r="B2949" s="8">
        <v>7.883731</v>
      </c>
    </row>
    <row r="2950" spans="1:2" x14ac:dyDescent="0.25">
      <c r="A2950" s="1">
        <v>2950</v>
      </c>
      <c r="B2950" s="8">
        <v>7.8840709999999996</v>
      </c>
    </row>
    <row r="2951" spans="1:2" x14ac:dyDescent="0.25">
      <c r="A2951" s="1">
        <v>2951</v>
      </c>
      <c r="B2951" s="8">
        <v>7.8844120000000002</v>
      </c>
    </row>
    <row r="2952" spans="1:2" x14ac:dyDescent="0.25">
      <c r="A2952" s="1">
        <v>2952</v>
      </c>
      <c r="B2952" s="8">
        <v>7.8847519999999998</v>
      </c>
    </row>
    <row r="2953" spans="1:2" x14ac:dyDescent="0.25">
      <c r="A2953" s="1">
        <v>2953</v>
      </c>
      <c r="B2953" s="8">
        <v>7.8850930000000004</v>
      </c>
    </row>
    <row r="2954" spans="1:2" x14ac:dyDescent="0.25">
      <c r="A2954" s="1">
        <v>2954</v>
      </c>
      <c r="B2954" s="8">
        <v>7.8854340000000001</v>
      </c>
    </row>
    <row r="2955" spans="1:2" x14ac:dyDescent="0.25">
      <c r="A2955" s="1">
        <v>2955</v>
      </c>
      <c r="B2955" s="8">
        <v>7.8857739999999996</v>
      </c>
    </row>
    <row r="2956" spans="1:2" x14ac:dyDescent="0.25">
      <c r="A2956" s="1">
        <v>2956</v>
      </c>
      <c r="B2956" s="8">
        <v>7.8861150000000002</v>
      </c>
    </row>
    <row r="2957" spans="1:2" x14ac:dyDescent="0.25">
      <c r="A2957" s="1">
        <v>2957</v>
      </c>
      <c r="B2957" s="8">
        <v>7.8864559999999999</v>
      </c>
    </row>
    <row r="2958" spans="1:2" x14ac:dyDescent="0.25">
      <c r="A2958" s="1">
        <v>2958</v>
      </c>
      <c r="B2958" s="8">
        <v>7.8867960000000004</v>
      </c>
    </row>
    <row r="2959" spans="1:2" x14ac:dyDescent="0.25">
      <c r="A2959" s="1">
        <v>2959</v>
      </c>
      <c r="B2959" s="8">
        <v>7.8871359999999999</v>
      </c>
    </row>
    <row r="2960" spans="1:2" x14ac:dyDescent="0.25">
      <c r="A2960" s="1">
        <v>2960</v>
      </c>
      <c r="B2960" s="8">
        <v>7.8874769999999996</v>
      </c>
    </row>
    <row r="2961" spans="1:2" x14ac:dyDescent="0.25">
      <c r="A2961" s="1">
        <v>2961</v>
      </c>
      <c r="B2961" s="8">
        <v>7.8878180000000002</v>
      </c>
    </row>
    <row r="2962" spans="1:2" x14ac:dyDescent="0.25">
      <c r="A2962" s="1">
        <v>2962</v>
      </c>
      <c r="B2962" s="8">
        <v>7.8881579999999998</v>
      </c>
    </row>
    <row r="2963" spans="1:2" x14ac:dyDescent="0.25">
      <c r="A2963" s="1">
        <v>2963</v>
      </c>
      <c r="B2963" s="8">
        <v>7.8884990000000004</v>
      </c>
    </row>
    <row r="2964" spans="1:2" x14ac:dyDescent="0.25">
      <c r="A2964" s="1">
        <v>2964</v>
      </c>
      <c r="B2964" s="8">
        <v>7.8888400000000001</v>
      </c>
    </row>
    <row r="2965" spans="1:2" x14ac:dyDescent="0.25">
      <c r="A2965" s="1">
        <v>2965</v>
      </c>
      <c r="B2965" s="8">
        <v>7.8891799999999996</v>
      </c>
    </row>
    <row r="2966" spans="1:2" x14ac:dyDescent="0.25">
      <c r="A2966" s="1">
        <v>2966</v>
      </c>
      <c r="B2966" s="8">
        <v>7.8895210000000002</v>
      </c>
    </row>
    <row r="2967" spans="1:2" x14ac:dyDescent="0.25">
      <c r="A2967" s="1">
        <v>2967</v>
      </c>
      <c r="B2967" s="8">
        <v>7.8898609999999998</v>
      </c>
    </row>
    <row r="2968" spans="1:2" x14ac:dyDescent="0.25">
      <c r="A2968" s="1">
        <v>2968</v>
      </c>
      <c r="B2968" s="8">
        <v>7.8902020000000004</v>
      </c>
    </row>
    <row r="2969" spans="1:2" x14ac:dyDescent="0.25">
      <c r="A2969" s="1">
        <v>2969</v>
      </c>
      <c r="B2969" s="8">
        <v>7.8905430000000001</v>
      </c>
    </row>
    <row r="2970" spans="1:2" x14ac:dyDescent="0.25">
      <c r="A2970" s="1">
        <v>2970</v>
      </c>
      <c r="B2970" s="8">
        <v>7.8908829999999996</v>
      </c>
    </row>
    <row r="2971" spans="1:2" x14ac:dyDescent="0.25">
      <c r="A2971" s="1">
        <v>2971</v>
      </c>
      <c r="B2971" s="8">
        <v>7.8912240000000002</v>
      </c>
    </row>
    <row r="2972" spans="1:2" x14ac:dyDescent="0.25">
      <c r="A2972" s="1">
        <v>2972</v>
      </c>
      <c r="B2972" s="8">
        <v>7.8915639999999998</v>
      </c>
    </row>
    <row r="2973" spans="1:2" x14ac:dyDescent="0.25">
      <c r="A2973" s="1">
        <v>2973</v>
      </c>
      <c r="B2973" s="8">
        <v>7.8919050000000004</v>
      </c>
    </row>
    <row r="2974" spans="1:2" x14ac:dyDescent="0.25">
      <c r="A2974" s="1">
        <v>2974</v>
      </c>
      <c r="B2974" s="8">
        <v>7.892245</v>
      </c>
    </row>
    <row r="2975" spans="1:2" x14ac:dyDescent="0.25">
      <c r="A2975" s="1">
        <v>2975</v>
      </c>
      <c r="B2975" s="8">
        <v>7.8925859999999997</v>
      </c>
    </row>
    <row r="2976" spans="1:2" x14ac:dyDescent="0.25">
      <c r="A2976" s="1">
        <v>2976</v>
      </c>
      <c r="B2976" s="8">
        <v>7.8929270000000002</v>
      </c>
    </row>
    <row r="2977" spans="1:2" x14ac:dyDescent="0.25">
      <c r="A2977" s="1">
        <v>2977</v>
      </c>
      <c r="B2977" s="8">
        <v>7.8932669999999998</v>
      </c>
    </row>
    <row r="2978" spans="1:2" x14ac:dyDescent="0.25">
      <c r="A2978" s="1">
        <v>2978</v>
      </c>
      <c r="B2978" s="8">
        <v>7.8936080000000004</v>
      </c>
    </row>
    <row r="2979" spans="1:2" x14ac:dyDescent="0.25">
      <c r="A2979" s="1">
        <v>2979</v>
      </c>
      <c r="B2979" s="8">
        <v>7.8939490000000001</v>
      </c>
    </row>
    <row r="2980" spans="1:2" x14ac:dyDescent="0.25">
      <c r="A2980" s="1">
        <v>2980</v>
      </c>
      <c r="B2980" s="8">
        <v>7.8942889999999997</v>
      </c>
    </row>
    <row r="2981" spans="1:2" x14ac:dyDescent="0.25">
      <c r="A2981" s="1">
        <v>2981</v>
      </c>
      <c r="B2981" s="8">
        <v>7.8946290000000001</v>
      </c>
    </row>
    <row r="2982" spans="1:2" x14ac:dyDescent="0.25">
      <c r="A2982" s="1">
        <v>2982</v>
      </c>
      <c r="B2982" s="8">
        <v>7.8949699999999998</v>
      </c>
    </row>
    <row r="2983" spans="1:2" x14ac:dyDescent="0.25">
      <c r="A2983" s="1">
        <v>2983</v>
      </c>
      <c r="B2983" s="8">
        <v>7.8953110000000004</v>
      </c>
    </row>
    <row r="2984" spans="1:2" x14ac:dyDescent="0.25">
      <c r="A2984" s="1">
        <v>2984</v>
      </c>
      <c r="B2984" s="8">
        <v>7.895651</v>
      </c>
    </row>
    <row r="2985" spans="1:2" x14ac:dyDescent="0.25">
      <c r="A2985" s="1">
        <v>2985</v>
      </c>
      <c r="B2985" s="8">
        <v>7.8959919999999997</v>
      </c>
    </row>
    <row r="2986" spans="1:2" x14ac:dyDescent="0.25">
      <c r="A2986" s="1">
        <v>2986</v>
      </c>
      <c r="B2986" s="8">
        <v>7.8963330000000003</v>
      </c>
    </row>
    <row r="2987" spans="1:2" x14ac:dyDescent="0.25">
      <c r="A2987" s="1">
        <v>2987</v>
      </c>
      <c r="B2987" s="8">
        <v>7.8966729999999998</v>
      </c>
    </row>
    <row r="2988" spans="1:2" x14ac:dyDescent="0.25">
      <c r="A2988" s="1">
        <v>2988</v>
      </c>
      <c r="B2988" s="8">
        <v>7.8970140000000004</v>
      </c>
    </row>
    <row r="2989" spans="1:2" x14ac:dyDescent="0.25">
      <c r="A2989" s="1">
        <v>2989</v>
      </c>
      <c r="B2989" s="8">
        <v>7.8973550000000001</v>
      </c>
    </row>
    <row r="2990" spans="1:2" x14ac:dyDescent="0.25">
      <c r="A2990" s="1">
        <v>2990</v>
      </c>
      <c r="B2990" s="8">
        <v>7.8976949999999997</v>
      </c>
    </row>
    <row r="2991" spans="1:2" x14ac:dyDescent="0.25">
      <c r="A2991" s="1">
        <v>2991</v>
      </c>
      <c r="B2991" s="8">
        <v>7.8980360000000003</v>
      </c>
    </row>
    <row r="2992" spans="1:2" x14ac:dyDescent="0.25">
      <c r="A2992" s="1">
        <v>2992</v>
      </c>
      <c r="B2992" s="8">
        <v>7.8983759999999998</v>
      </c>
    </row>
    <row r="2993" spans="1:2" x14ac:dyDescent="0.25">
      <c r="A2993" s="1">
        <v>2993</v>
      </c>
      <c r="B2993" s="8">
        <v>7.8987170000000004</v>
      </c>
    </row>
    <row r="2994" spans="1:2" x14ac:dyDescent="0.25">
      <c r="A2994" s="1">
        <v>2994</v>
      </c>
      <c r="B2994" s="8">
        <v>7.899057</v>
      </c>
    </row>
    <row r="2995" spans="1:2" x14ac:dyDescent="0.25">
      <c r="A2995" s="1">
        <v>2995</v>
      </c>
      <c r="B2995" s="8">
        <v>7.8993979999999997</v>
      </c>
    </row>
    <row r="2996" spans="1:2" x14ac:dyDescent="0.25">
      <c r="A2996" s="1">
        <v>2996</v>
      </c>
      <c r="B2996" s="8">
        <v>7.8997380000000001</v>
      </c>
    </row>
    <row r="2997" spans="1:2" x14ac:dyDescent="0.25">
      <c r="A2997" s="1">
        <v>2997</v>
      </c>
      <c r="B2997" s="8">
        <v>7.9000789999999999</v>
      </c>
    </row>
    <row r="2998" spans="1:2" x14ac:dyDescent="0.25">
      <c r="A2998" s="1">
        <v>2998</v>
      </c>
      <c r="B2998" s="8">
        <v>7.9004200000000004</v>
      </c>
    </row>
    <row r="2999" spans="1:2" x14ac:dyDescent="0.25">
      <c r="A2999" s="1">
        <v>2999</v>
      </c>
      <c r="B2999" s="8">
        <v>7.9007610000000001</v>
      </c>
    </row>
    <row r="3000" spans="1:2" x14ac:dyDescent="0.25">
      <c r="A3000" s="1">
        <v>3000</v>
      </c>
      <c r="B3000" s="8">
        <v>7.9011009999999997</v>
      </c>
    </row>
    <row r="3001" spans="1:2" x14ac:dyDescent="0.25">
      <c r="A3001" s="1">
        <v>3001</v>
      </c>
      <c r="B3001" s="8">
        <v>7.9014420000000003</v>
      </c>
    </row>
    <row r="3002" spans="1:2" x14ac:dyDescent="0.25">
      <c r="A3002" s="1">
        <v>3002</v>
      </c>
      <c r="B3002" s="8">
        <v>7.9017819999999999</v>
      </c>
    </row>
    <row r="3003" spans="1:2" x14ac:dyDescent="0.25">
      <c r="A3003" s="1">
        <v>3003</v>
      </c>
      <c r="B3003" s="8">
        <v>7.9021220000000003</v>
      </c>
    </row>
    <row r="3004" spans="1:2" x14ac:dyDescent="0.25">
      <c r="A3004" s="1">
        <v>3004</v>
      </c>
      <c r="B3004" s="8">
        <v>7.902463</v>
      </c>
    </row>
    <row r="3005" spans="1:2" x14ac:dyDescent="0.25">
      <c r="A3005" s="1">
        <v>3005</v>
      </c>
      <c r="B3005" s="8">
        <v>7.9028039999999997</v>
      </c>
    </row>
    <row r="3006" spans="1:2" x14ac:dyDescent="0.25">
      <c r="A3006" s="1">
        <v>3006</v>
      </c>
      <c r="B3006" s="8">
        <v>7.9031450000000003</v>
      </c>
    </row>
    <row r="3007" spans="1:2" x14ac:dyDescent="0.25">
      <c r="A3007" s="1">
        <v>3007</v>
      </c>
      <c r="B3007" s="8">
        <v>7.9034849999999999</v>
      </c>
    </row>
    <row r="3008" spans="1:2" x14ac:dyDescent="0.25">
      <c r="A3008" s="1">
        <v>3008</v>
      </c>
      <c r="B3008" s="8">
        <v>7.9038259999999996</v>
      </c>
    </row>
    <row r="3009" spans="1:2" x14ac:dyDescent="0.25">
      <c r="A3009" s="1">
        <v>3009</v>
      </c>
      <c r="B3009" s="8">
        <v>7.904166</v>
      </c>
    </row>
    <row r="3010" spans="1:2" x14ac:dyDescent="0.25">
      <c r="A3010" s="1">
        <v>3010</v>
      </c>
      <c r="B3010" s="8">
        <v>7.9045069999999997</v>
      </c>
    </row>
    <row r="3011" spans="1:2" x14ac:dyDescent="0.25">
      <c r="A3011" s="1">
        <v>3011</v>
      </c>
      <c r="B3011" s="8">
        <v>7.9048480000000003</v>
      </c>
    </row>
    <row r="3012" spans="1:2" x14ac:dyDescent="0.25">
      <c r="A3012" s="1">
        <v>3012</v>
      </c>
      <c r="B3012" s="8">
        <v>7.9051879999999999</v>
      </c>
    </row>
    <row r="3013" spans="1:2" x14ac:dyDescent="0.25">
      <c r="A3013" s="1">
        <v>3013</v>
      </c>
      <c r="B3013" s="8">
        <v>7.9055289999999996</v>
      </c>
    </row>
    <row r="3014" spans="1:2" x14ac:dyDescent="0.25">
      <c r="A3014" s="1">
        <v>3014</v>
      </c>
      <c r="B3014" s="8">
        <v>7.905869</v>
      </c>
    </row>
    <row r="3015" spans="1:2" x14ac:dyDescent="0.25">
      <c r="A3015" s="1">
        <v>3015</v>
      </c>
      <c r="B3015" s="8">
        <v>7.9062099999999997</v>
      </c>
    </row>
    <row r="3016" spans="1:2" x14ac:dyDescent="0.25">
      <c r="A3016" s="1">
        <v>3016</v>
      </c>
      <c r="B3016" s="8">
        <v>7.9065500000000002</v>
      </c>
    </row>
    <row r="3017" spans="1:2" x14ac:dyDescent="0.25">
      <c r="A3017" s="1">
        <v>3017</v>
      </c>
      <c r="B3017" s="8">
        <v>7.9068909999999999</v>
      </c>
    </row>
    <row r="3018" spans="1:2" x14ac:dyDescent="0.25">
      <c r="A3018" s="1">
        <v>3018</v>
      </c>
      <c r="B3018" s="8">
        <v>7.9072319999999996</v>
      </c>
    </row>
    <row r="3019" spans="1:2" x14ac:dyDescent="0.25">
      <c r="A3019" s="1">
        <v>3019</v>
      </c>
      <c r="B3019" s="8">
        <v>7.907572</v>
      </c>
    </row>
    <row r="3020" spans="1:2" x14ac:dyDescent="0.25">
      <c r="A3020" s="1">
        <v>3020</v>
      </c>
      <c r="B3020" s="8">
        <v>7.9079129999999997</v>
      </c>
    </row>
    <row r="3021" spans="1:2" x14ac:dyDescent="0.25">
      <c r="A3021" s="1">
        <v>3021</v>
      </c>
      <c r="B3021" s="8">
        <v>7.9082540000000003</v>
      </c>
    </row>
    <row r="3022" spans="1:2" x14ac:dyDescent="0.25">
      <c r="A3022" s="1">
        <v>3022</v>
      </c>
      <c r="B3022" s="8">
        <v>7.9085939999999999</v>
      </c>
    </row>
    <row r="3023" spans="1:2" x14ac:dyDescent="0.25">
      <c r="A3023" s="1">
        <v>3023</v>
      </c>
      <c r="B3023" s="8">
        <v>7.9089349999999996</v>
      </c>
    </row>
    <row r="3024" spans="1:2" x14ac:dyDescent="0.25">
      <c r="A3024" s="1">
        <v>3024</v>
      </c>
      <c r="B3024" s="8">
        <v>7.9092750000000001</v>
      </c>
    </row>
    <row r="3025" spans="1:2" x14ac:dyDescent="0.25">
      <c r="A3025" s="1">
        <v>3025</v>
      </c>
      <c r="B3025" s="8">
        <v>7.9096159999999998</v>
      </c>
    </row>
    <row r="3026" spans="1:2" x14ac:dyDescent="0.25">
      <c r="A3026" s="1">
        <v>3026</v>
      </c>
      <c r="B3026" s="8">
        <v>7.9099560000000002</v>
      </c>
    </row>
    <row r="3027" spans="1:2" x14ac:dyDescent="0.25">
      <c r="A3027" s="1">
        <v>3027</v>
      </c>
      <c r="B3027" s="8">
        <v>7.9102969999999999</v>
      </c>
    </row>
    <row r="3028" spans="1:2" x14ac:dyDescent="0.25">
      <c r="A3028" s="1">
        <v>3028</v>
      </c>
      <c r="B3028" s="8">
        <v>7.9106379999999996</v>
      </c>
    </row>
    <row r="3029" spans="1:2" x14ac:dyDescent="0.25">
      <c r="A3029" s="1">
        <v>3029</v>
      </c>
      <c r="B3029" s="8">
        <v>7.9109780000000001</v>
      </c>
    </row>
    <row r="3030" spans="1:2" x14ac:dyDescent="0.25">
      <c r="A3030" s="1">
        <v>3030</v>
      </c>
      <c r="B3030" s="8">
        <v>7.9113189999999998</v>
      </c>
    </row>
    <row r="3031" spans="1:2" x14ac:dyDescent="0.25">
      <c r="A3031" s="1">
        <v>3031</v>
      </c>
      <c r="B3031" s="8">
        <v>7.9116590000000002</v>
      </c>
    </row>
    <row r="3032" spans="1:2" x14ac:dyDescent="0.25">
      <c r="A3032" s="1">
        <v>3032</v>
      </c>
      <c r="B3032" s="8">
        <v>7.9119999999999999</v>
      </c>
    </row>
    <row r="3033" spans="1:2" x14ac:dyDescent="0.25">
      <c r="A3033" s="1">
        <v>3033</v>
      </c>
      <c r="B3033" s="8">
        <v>7.9122779999999997</v>
      </c>
    </row>
    <row r="3034" spans="1:2" x14ac:dyDescent="0.25">
      <c r="A3034" s="1">
        <v>3034</v>
      </c>
      <c r="B3034" s="8">
        <v>7.9125560000000004</v>
      </c>
    </row>
    <row r="3035" spans="1:2" x14ac:dyDescent="0.25">
      <c r="A3035" s="1">
        <v>3035</v>
      </c>
      <c r="B3035" s="8">
        <v>7.9128340000000001</v>
      </c>
    </row>
    <row r="3036" spans="1:2" x14ac:dyDescent="0.25">
      <c r="A3036" s="1">
        <v>3036</v>
      </c>
      <c r="B3036" s="8">
        <v>7.9131119999999999</v>
      </c>
    </row>
    <row r="3037" spans="1:2" x14ac:dyDescent="0.25">
      <c r="A3037" s="1">
        <v>3037</v>
      </c>
      <c r="B3037" s="8">
        <v>7.9133899999999997</v>
      </c>
    </row>
    <row r="3038" spans="1:2" x14ac:dyDescent="0.25">
      <c r="A3038" s="1">
        <v>3038</v>
      </c>
      <c r="B3038" s="8">
        <v>7.9136680000000004</v>
      </c>
    </row>
    <row r="3039" spans="1:2" x14ac:dyDescent="0.25">
      <c r="A3039" s="1">
        <v>3039</v>
      </c>
      <c r="B3039" s="8">
        <v>7.9139460000000001</v>
      </c>
    </row>
    <row r="3040" spans="1:2" x14ac:dyDescent="0.25">
      <c r="A3040" s="1">
        <v>3040</v>
      </c>
      <c r="B3040" s="8">
        <v>7.9142239999999999</v>
      </c>
    </row>
    <row r="3041" spans="1:2" x14ac:dyDescent="0.25">
      <c r="A3041" s="1">
        <v>3041</v>
      </c>
      <c r="B3041" s="8">
        <v>7.9145019999999997</v>
      </c>
    </row>
    <row r="3042" spans="1:2" x14ac:dyDescent="0.25">
      <c r="A3042" s="1">
        <v>3042</v>
      </c>
      <c r="B3042" s="8">
        <v>7.9147800000000004</v>
      </c>
    </row>
    <row r="3043" spans="1:2" x14ac:dyDescent="0.25">
      <c r="A3043" s="1">
        <v>3043</v>
      </c>
      <c r="B3043" s="8">
        <v>7.9150580000000001</v>
      </c>
    </row>
    <row r="3044" spans="1:2" x14ac:dyDescent="0.25">
      <c r="A3044" s="1">
        <v>3044</v>
      </c>
      <c r="B3044" s="8">
        <v>7.9153359999999999</v>
      </c>
    </row>
    <row r="3045" spans="1:2" x14ac:dyDescent="0.25">
      <c r="A3045" s="1">
        <v>3045</v>
      </c>
      <c r="B3045" s="8">
        <v>7.9156139999999997</v>
      </c>
    </row>
    <row r="3046" spans="1:2" x14ac:dyDescent="0.25">
      <c r="A3046" s="1">
        <v>3046</v>
      </c>
      <c r="B3046" s="8">
        <v>7.9158920000000004</v>
      </c>
    </row>
    <row r="3047" spans="1:2" x14ac:dyDescent="0.25">
      <c r="A3047" s="1">
        <v>3047</v>
      </c>
      <c r="B3047" s="8">
        <v>7.9161700000000002</v>
      </c>
    </row>
    <row r="3048" spans="1:2" x14ac:dyDescent="0.25">
      <c r="A3048" s="1">
        <v>3048</v>
      </c>
      <c r="B3048" s="8">
        <v>7.9164479999999999</v>
      </c>
    </row>
    <row r="3049" spans="1:2" x14ac:dyDescent="0.25">
      <c r="A3049" s="1">
        <v>3049</v>
      </c>
      <c r="B3049" s="8">
        <v>7.9167259999999997</v>
      </c>
    </row>
    <row r="3050" spans="1:2" x14ac:dyDescent="0.25">
      <c r="A3050" s="1">
        <v>3050</v>
      </c>
      <c r="B3050" s="8">
        <v>7.9170040000000004</v>
      </c>
    </row>
    <row r="3051" spans="1:2" x14ac:dyDescent="0.25">
      <c r="A3051" s="1">
        <v>3051</v>
      </c>
      <c r="B3051" s="8">
        <v>7.9172820000000002</v>
      </c>
    </row>
    <row r="3052" spans="1:2" x14ac:dyDescent="0.25">
      <c r="A3052" s="1">
        <v>3052</v>
      </c>
      <c r="B3052" s="8">
        <v>7.9175599999999999</v>
      </c>
    </row>
    <row r="3053" spans="1:2" x14ac:dyDescent="0.25">
      <c r="A3053" s="1">
        <v>3053</v>
      </c>
      <c r="B3053" s="8">
        <v>7.9178379999999997</v>
      </c>
    </row>
    <row r="3054" spans="1:2" x14ac:dyDescent="0.25">
      <c r="A3054" s="1">
        <v>3054</v>
      </c>
      <c r="B3054" s="8">
        <v>7.9181160000000004</v>
      </c>
    </row>
    <row r="3055" spans="1:2" x14ac:dyDescent="0.25">
      <c r="A3055" s="1">
        <v>3055</v>
      </c>
      <c r="B3055" s="8">
        <v>7.9183940000000002</v>
      </c>
    </row>
    <row r="3056" spans="1:2" x14ac:dyDescent="0.25">
      <c r="A3056" s="1">
        <v>3056</v>
      </c>
      <c r="B3056" s="8">
        <v>7.9186719999999999</v>
      </c>
    </row>
    <row r="3057" spans="1:2" x14ac:dyDescent="0.25">
      <c r="A3057" s="1">
        <v>3057</v>
      </c>
      <c r="B3057" s="8">
        <v>7.9189499999999997</v>
      </c>
    </row>
    <row r="3058" spans="1:2" x14ac:dyDescent="0.25">
      <c r="A3058" s="1">
        <v>3058</v>
      </c>
      <c r="B3058" s="8">
        <v>7.9192280000000004</v>
      </c>
    </row>
    <row r="3059" spans="1:2" x14ac:dyDescent="0.25">
      <c r="A3059" s="1">
        <v>3059</v>
      </c>
      <c r="B3059" s="8">
        <v>7.9195060000000002</v>
      </c>
    </row>
    <row r="3060" spans="1:2" x14ac:dyDescent="0.25">
      <c r="A3060" s="1">
        <v>3060</v>
      </c>
      <c r="B3060" s="8">
        <v>7.9197839999999999</v>
      </c>
    </row>
    <row r="3061" spans="1:2" x14ac:dyDescent="0.25">
      <c r="A3061" s="1">
        <v>3061</v>
      </c>
      <c r="B3061" s="8">
        <v>7.9200619999999997</v>
      </c>
    </row>
    <row r="3062" spans="1:2" x14ac:dyDescent="0.25">
      <c r="A3062" s="1">
        <v>3062</v>
      </c>
      <c r="B3062" s="8">
        <v>7.9203400000000004</v>
      </c>
    </row>
    <row r="3063" spans="1:2" x14ac:dyDescent="0.25">
      <c r="A3063" s="1">
        <v>3063</v>
      </c>
      <c r="B3063" s="8">
        <v>7.9206180000000002</v>
      </c>
    </row>
    <row r="3064" spans="1:2" x14ac:dyDescent="0.25">
      <c r="A3064" s="1">
        <v>3064</v>
      </c>
      <c r="B3064" s="8">
        <v>7.9208959999999999</v>
      </c>
    </row>
    <row r="3065" spans="1:2" x14ac:dyDescent="0.25">
      <c r="A3065" s="1">
        <v>3065</v>
      </c>
      <c r="B3065" s="8">
        <v>7.9211739999999997</v>
      </c>
    </row>
    <row r="3066" spans="1:2" x14ac:dyDescent="0.25">
      <c r="A3066" s="1">
        <v>3066</v>
      </c>
      <c r="B3066" s="8">
        <v>7.9214520000000004</v>
      </c>
    </row>
    <row r="3067" spans="1:2" x14ac:dyDescent="0.25">
      <c r="A3067" s="1">
        <v>3067</v>
      </c>
      <c r="B3067" s="8">
        <v>7.9217300000000002</v>
      </c>
    </row>
    <row r="3068" spans="1:2" x14ac:dyDescent="0.25">
      <c r="A3068" s="1">
        <v>3068</v>
      </c>
      <c r="B3068" s="8">
        <v>7.9220079999999999</v>
      </c>
    </row>
    <row r="3069" spans="1:2" x14ac:dyDescent="0.25">
      <c r="A3069" s="1">
        <v>3069</v>
      </c>
      <c r="B3069" s="8">
        <v>7.9222859999999997</v>
      </c>
    </row>
    <row r="3070" spans="1:2" x14ac:dyDescent="0.25">
      <c r="A3070" s="1">
        <v>3070</v>
      </c>
      <c r="B3070" s="8">
        <v>7.9225640000000004</v>
      </c>
    </row>
    <row r="3071" spans="1:2" x14ac:dyDescent="0.25">
      <c r="A3071" s="1">
        <v>3071</v>
      </c>
      <c r="B3071" s="8">
        <v>7.9228420000000002</v>
      </c>
    </row>
    <row r="3072" spans="1:2" x14ac:dyDescent="0.25">
      <c r="A3072" s="1">
        <v>3072</v>
      </c>
      <c r="B3072" s="8">
        <v>7.9231199999999999</v>
      </c>
    </row>
    <row r="3073" spans="1:2" x14ac:dyDescent="0.25">
      <c r="A3073" s="1">
        <v>3073</v>
      </c>
      <c r="B3073" s="8">
        <v>7.9233979999999997</v>
      </c>
    </row>
    <row r="3074" spans="1:2" x14ac:dyDescent="0.25">
      <c r="A3074" s="1">
        <v>3074</v>
      </c>
      <c r="B3074" s="8">
        <v>7.9236760000000004</v>
      </c>
    </row>
    <row r="3075" spans="1:2" x14ac:dyDescent="0.25">
      <c r="A3075" s="1">
        <v>3075</v>
      </c>
      <c r="B3075" s="8">
        <v>7.9239540000000002</v>
      </c>
    </row>
    <row r="3076" spans="1:2" x14ac:dyDescent="0.25">
      <c r="A3076" s="1">
        <v>3076</v>
      </c>
      <c r="B3076" s="8">
        <v>7.9242319999999999</v>
      </c>
    </row>
    <row r="3077" spans="1:2" x14ac:dyDescent="0.25">
      <c r="A3077" s="1">
        <v>3077</v>
      </c>
      <c r="B3077" s="8">
        <v>7.9245099999999997</v>
      </c>
    </row>
    <row r="3078" spans="1:2" x14ac:dyDescent="0.25">
      <c r="A3078" s="1">
        <v>3078</v>
      </c>
      <c r="B3078" s="8">
        <v>7.9247880000000004</v>
      </c>
    </row>
    <row r="3079" spans="1:2" x14ac:dyDescent="0.25">
      <c r="A3079" s="1">
        <v>3079</v>
      </c>
      <c r="B3079" s="8">
        <v>7.9250660000000002</v>
      </c>
    </row>
    <row r="3080" spans="1:2" x14ac:dyDescent="0.25">
      <c r="A3080" s="1">
        <v>3080</v>
      </c>
      <c r="B3080" s="8">
        <v>7.9253439999999999</v>
      </c>
    </row>
    <row r="3081" spans="1:2" x14ac:dyDescent="0.25">
      <c r="A3081" s="1">
        <v>3081</v>
      </c>
      <c r="B3081" s="8">
        <v>7.9256219999999997</v>
      </c>
    </row>
    <row r="3082" spans="1:2" x14ac:dyDescent="0.25">
      <c r="A3082" s="1">
        <v>3082</v>
      </c>
      <c r="B3082" s="8">
        <v>7.9259000000000004</v>
      </c>
    </row>
    <row r="3083" spans="1:2" x14ac:dyDescent="0.25">
      <c r="A3083" s="1">
        <v>3083</v>
      </c>
      <c r="B3083" s="8">
        <v>7.9261780000000002</v>
      </c>
    </row>
    <row r="3084" spans="1:2" x14ac:dyDescent="0.25">
      <c r="A3084" s="1">
        <v>3084</v>
      </c>
      <c r="B3084" s="8">
        <v>7.9264559999999999</v>
      </c>
    </row>
    <row r="3085" spans="1:2" x14ac:dyDescent="0.25">
      <c r="A3085" s="1">
        <v>3085</v>
      </c>
      <c r="B3085" s="8">
        <v>7.9267339999999997</v>
      </c>
    </row>
    <row r="3086" spans="1:2" x14ac:dyDescent="0.25">
      <c r="A3086" s="1">
        <v>3086</v>
      </c>
      <c r="B3086" s="8">
        <v>7.9270120000000004</v>
      </c>
    </row>
    <row r="3087" spans="1:2" x14ac:dyDescent="0.25">
      <c r="A3087" s="1">
        <v>3087</v>
      </c>
      <c r="B3087" s="8">
        <v>7.9272900000000002</v>
      </c>
    </row>
    <row r="3088" spans="1:2" x14ac:dyDescent="0.25">
      <c r="A3088" s="1">
        <v>3088</v>
      </c>
      <c r="B3088" s="8">
        <v>7.9275679999999999</v>
      </c>
    </row>
    <row r="3089" spans="1:2" x14ac:dyDescent="0.25">
      <c r="A3089" s="1">
        <v>3089</v>
      </c>
      <c r="B3089" s="8">
        <v>7.9278459999999997</v>
      </c>
    </row>
    <row r="3090" spans="1:2" x14ac:dyDescent="0.25">
      <c r="A3090" s="1">
        <v>3090</v>
      </c>
      <c r="B3090" s="8">
        <v>7.9281240000000004</v>
      </c>
    </row>
    <row r="3091" spans="1:2" x14ac:dyDescent="0.25">
      <c r="A3091" s="1">
        <v>3091</v>
      </c>
      <c r="B3091" s="8">
        <v>7.9284020000000002</v>
      </c>
    </row>
    <row r="3092" spans="1:2" x14ac:dyDescent="0.25">
      <c r="A3092" s="1">
        <v>3092</v>
      </c>
      <c r="B3092" s="8">
        <v>7.9286799999999999</v>
      </c>
    </row>
    <row r="3093" spans="1:2" x14ac:dyDescent="0.25">
      <c r="A3093" s="1">
        <v>3093</v>
      </c>
      <c r="B3093" s="8">
        <v>7.9289579999999997</v>
      </c>
    </row>
    <row r="3094" spans="1:2" x14ac:dyDescent="0.25">
      <c r="A3094" s="1">
        <v>3094</v>
      </c>
      <c r="B3094" s="8">
        <v>7.9292360000000004</v>
      </c>
    </row>
    <row r="3095" spans="1:2" x14ac:dyDescent="0.25">
      <c r="A3095" s="1">
        <v>3095</v>
      </c>
      <c r="B3095" s="8">
        <v>7.9295140000000002</v>
      </c>
    </row>
    <row r="3096" spans="1:2" x14ac:dyDescent="0.25">
      <c r="A3096" s="1">
        <v>3096</v>
      </c>
      <c r="B3096" s="8">
        <v>7.929792</v>
      </c>
    </row>
    <row r="3097" spans="1:2" x14ac:dyDescent="0.25">
      <c r="A3097" s="1">
        <v>3097</v>
      </c>
      <c r="B3097" s="8">
        <v>7.9300699999999997</v>
      </c>
    </row>
    <row r="3098" spans="1:2" x14ac:dyDescent="0.25">
      <c r="A3098" s="1">
        <v>3098</v>
      </c>
      <c r="B3098" s="8">
        <v>7.9303480000000004</v>
      </c>
    </row>
    <row r="3099" spans="1:2" x14ac:dyDescent="0.25">
      <c r="A3099" s="1">
        <v>3099</v>
      </c>
      <c r="B3099" s="8">
        <v>7.9306260000000002</v>
      </c>
    </row>
    <row r="3100" spans="1:2" x14ac:dyDescent="0.25">
      <c r="A3100" s="1">
        <v>3100</v>
      </c>
      <c r="B3100" s="8">
        <v>7.930904</v>
      </c>
    </row>
    <row r="3101" spans="1:2" x14ac:dyDescent="0.25">
      <c r="A3101" s="1">
        <v>3101</v>
      </c>
      <c r="B3101" s="8">
        <v>7.9311819999999997</v>
      </c>
    </row>
    <row r="3102" spans="1:2" x14ac:dyDescent="0.25">
      <c r="A3102" s="1">
        <v>3102</v>
      </c>
      <c r="B3102" s="8">
        <v>7.9314600000000004</v>
      </c>
    </row>
    <row r="3103" spans="1:2" x14ac:dyDescent="0.25">
      <c r="A3103" s="1">
        <v>3103</v>
      </c>
      <c r="B3103" s="8">
        <v>7.9317380000000002</v>
      </c>
    </row>
    <row r="3104" spans="1:2" x14ac:dyDescent="0.25">
      <c r="A3104" s="1">
        <v>3104</v>
      </c>
      <c r="B3104" s="8">
        <v>7.932016</v>
      </c>
    </row>
    <row r="3105" spans="1:2" x14ac:dyDescent="0.25">
      <c r="A3105" s="1">
        <v>3105</v>
      </c>
      <c r="B3105" s="8">
        <v>7.9322939999999997</v>
      </c>
    </row>
    <row r="3106" spans="1:2" x14ac:dyDescent="0.25">
      <c r="A3106" s="1">
        <v>3106</v>
      </c>
      <c r="B3106" s="8">
        <v>7.9325720000000004</v>
      </c>
    </row>
    <row r="3107" spans="1:2" x14ac:dyDescent="0.25">
      <c r="A3107" s="1">
        <v>3107</v>
      </c>
      <c r="B3107" s="8">
        <v>7.9328500000000002</v>
      </c>
    </row>
    <row r="3108" spans="1:2" x14ac:dyDescent="0.25">
      <c r="A3108" s="1">
        <v>3108</v>
      </c>
      <c r="B3108" s="8">
        <v>7.933128</v>
      </c>
    </row>
    <row r="3109" spans="1:2" x14ac:dyDescent="0.25">
      <c r="A3109" s="1">
        <v>3109</v>
      </c>
      <c r="B3109" s="8">
        <v>7.9334059999999997</v>
      </c>
    </row>
    <row r="3110" spans="1:2" x14ac:dyDescent="0.25">
      <c r="A3110" s="1">
        <v>3110</v>
      </c>
      <c r="B3110" s="8">
        <v>7.9336840000000004</v>
      </c>
    </row>
    <row r="3111" spans="1:2" x14ac:dyDescent="0.25">
      <c r="A3111" s="1">
        <v>3111</v>
      </c>
      <c r="B3111" s="8">
        <v>7.9339620000000002</v>
      </c>
    </row>
    <row r="3112" spans="1:2" x14ac:dyDescent="0.25">
      <c r="A3112" s="1">
        <v>3112</v>
      </c>
      <c r="B3112" s="8">
        <v>7.93424</v>
      </c>
    </row>
    <row r="3113" spans="1:2" x14ac:dyDescent="0.25">
      <c r="A3113" s="1">
        <v>3113</v>
      </c>
      <c r="B3113" s="8">
        <v>7.9345179999999997</v>
      </c>
    </row>
    <row r="3114" spans="1:2" x14ac:dyDescent="0.25">
      <c r="A3114" s="1">
        <v>3114</v>
      </c>
      <c r="B3114" s="8">
        <v>7.9347960000000004</v>
      </c>
    </row>
    <row r="3115" spans="1:2" x14ac:dyDescent="0.25">
      <c r="A3115" s="1">
        <v>3115</v>
      </c>
      <c r="B3115" s="8">
        <v>7.9350740000000002</v>
      </c>
    </row>
    <row r="3116" spans="1:2" x14ac:dyDescent="0.25">
      <c r="A3116" s="1">
        <v>3116</v>
      </c>
      <c r="B3116" s="8">
        <v>7.935352</v>
      </c>
    </row>
    <row r="3117" spans="1:2" x14ac:dyDescent="0.25">
      <c r="A3117" s="1">
        <v>3117</v>
      </c>
      <c r="B3117" s="8">
        <v>7.9356299999999997</v>
      </c>
    </row>
    <row r="3118" spans="1:2" x14ac:dyDescent="0.25">
      <c r="A3118" s="1">
        <v>3118</v>
      </c>
      <c r="B3118" s="8">
        <v>7.9359080000000004</v>
      </c>
    </row>
    <row r="3119" spans="1:2" x14ac:dyDescent="0.25">
      <c r="A3119" s="1">
        <v>3119</v>
      </c>
      <c r="B3119" s="8">
        <v>7.9361860000000002</v>
      </c>
    </row>
    <row r="3120" spans="1:2" x14ac:dyDescent="0.25">
      <c r="A3120" s="1">
        <v>3120</v>
      </c>
      <c r="B3120" s="8">
        <v>7.936464</v>
      </c>
    </row>
    <row r="3121" spans="1:2" x14ac:dyDescent="0.25">
      <c r="A3121" s="1">
        <v>3121</v>
      </c>
      <c r="B3121" s="8">
        <v>7.9367419999999997</v>
      </c>
    </row>
    <row r="3122" spans="1:2" x14ac:dyDescent="0.25">
      <c r="A3122" s="1">
        <v>3122</v>
      </c>
      <c r="B3122" s="8">
        <v>7.9370200000000004</v>
      </c>
    </row>
    <row r="3123" spans="1:2" x14ac:dyDescent="0.25">
      <c r="A3123" s="1">
        <v>3123</v>
      </c>
      <c r="B3123" s="8">
        <v>7.9372980000000002</v>
      </c>
    </row>
    <row r="3124" spans="1:2" x14ac:dyDescent="0.25">
      <c r="A3124" s="1">
        <v>3124</v>
      </c>
      <c r="B3124" s="8">
        <v>7.937576</v>
      </c>
    </row>
    <row r="3125" spans="1:2" x14ac:dyDescent="0.25">
      <c r="A3125" s="1">
        <v>3125</v>
      </c>
      <c r="B3125" s="8">
        <v>7.9378539999999997</v>
      </c>
    </row>
    <row r="3126" spans="1:2" x14ac:dyDescent="0.25">
      <c r="A3126" s="1">
        <v>3126</v>
      </c>
      <c r="B3126" s="8">
        <v>7.9381320000000004</v>
      </c>
    </row>
    <row r="3127" spans="1:2" x14ac:dyDescent="0.25">
      <c r="A3127" s="1">
        <v>3127</v>
      </c>
      <c r="B3127" s="8">
        <v>7.9384100000000002</v>
      </c>
    </row>
    <row r="3128" spans="1:2" x14ac:dyDescent="0.25">
      <c r="A3128" s="1">
        <v>3128</v>
      </c>
      <c r="B3128" s="8">
        <v>7.938688</v>
      </c>
    </row>
    <row r="3129" spans="1:2" x14ac:dyDescent="0.25">
      <c r="A3129" s="1">
        <v>3129</v>
      </c>
      <c r="B3129" s="8">
        <v>7.9389659999999997</v>
      </c>
    </row>
    <row r="3130" spans="1:2" x14ac:dyDescent="0.25">
      <c r="A3130" s="1">
        <v>3130</v>
      </c>
      <c r="B3130" s="8">
        <v>7.9392440000000004</v>
      </c>
    </row>
    <row r="3131" spans="1:2" x14ac:dyDescent="0.25">
      <c r="A3131" s="1">
        <v>3131</v>
      </c>
      <c r="B3131" s="8">
        <v>7.9395220000000002</v>
      </c>
    </row>
    <row r="3132" spans="1:2" x14ac:dyDescent="0.25">
      <c r="A3132" s="1">
        <v>3132</v>
      </c>
      <c r="B3132" s="8">
        <v>7.9398</v>
      </c>
    </row>
    <row r="3133" spans="1:2" x14ac:dyDescent="0.25">
      <c r="A3133" s="1">
        <v>3133</v>
      </c>
      <c r="B3133" s="8">
        <v>7.9400779999999997</v>
      </c>
    </row>
    <row r="3134" spans="1:2" x14ac:dyDescent="0.25">
      <c r="A3134" s="1">
        <v>3134</v>
      </c>
      <c r="B3134" s="8">
        <v>7.9403560000000004</v>
      </c>
    </row>
    <row r="3135" spans="1:2" x14ac:dyDescent="0.25">
      <c r="A3135" s="1">
        <v>3135</v>
      </c>
      <c r="B3135" s="8">
        <v>7.9406340000000002</v>
      </c>
    </row>
    <row r="3136" spans="1:2" x14ac:dyDescent="0.25">
      <c r="A3136" s="1">
        <v>3136</v>
      </c>
      <c r="B3136" s="8">
        <v>7.940912</v>
      </c>
    </row>
    <row r="3137" spans="1:2" x14ac:dyDescent="0.25">
      <c r="A3137" s="1">
        <v>3137</v>
      </c>
      <c r="B3137" s="8">
        <v>7.9411899999999997</v>
      </c>
    </row>
    <row r="3138" spans="1:2" x14ac:dyDescent="0.25">
      <c r="A3138" s="1">
        <v>3138</v>
      </c>
      <c r="B3138" s="8">
        <v>7.9414680000000004</v>
      </c>
    </row>
    <row r="3139" spans="1:2" x14ac:dyDescent="0.25">
      <c r="A3139" s="1">
        <v>3139</v>
      </c>
      <c r="B3139" s="8">
        <v>7.9417460000000002</v>
      </c>
    </row>
    <row r="3140" spans="1:2" x14ac:dyDescent="0.25">
      <c r="A3140" s="1">
        <v>3140</v>
      </c>
      <c r="B3140" s="8">
        <v>7.942024</v>
      </c>
    </row>
    <row r="3141" spans="1:2" x14ac:dyDescent="0.25">
      <c r="A3141" s="1">
        <v>3141</v>
      </c>
      <c r="B3141" s="8">
        <v>7.9423019999999998</v>
      </c>
    </row>
    <row r="3142" spans="1:2" x14ac:dyDescent="0.25">
      <c r="A3142" s="1">
        <v>3142</v>
      </c>
      <c r="B3142" s="8">
        <v>7.9425800000000004</v>
      </c>
    </row>
    <row r="3143" spans="1:2" x14ac:dyDescent="0.25">
      <c r="A3143" s="1">
        <v>3143</v>
      </c>
      <c r="B3143" s="8">
        <v>7.9428580000000002</v>
      </c>
    </row>
    <row r="3144" spans="1:2" x14ac:dyDescent="0.25">
      <c r="A3144" s="1">
        <v>3144</v>
      </c>
      <c r="B3144" s="8">
        <v>7.943136</v>
      </c>
    </row>
    <row r="3145" spans="1:2" x14ac:dyDescent="0.25">
      <c r="A3145" s="1">
        <v>3145</v>
      </c>
      <c r="B3145" s="8">
        <v>7.9434139999999998</v>
      </c>
    </row>
    <row r="3146" spans="1:2" x14ac:dyDescent="0.25">
      <c r="A3146" s="1">
        <v>3146</v>
      </c>
      <c r="B3146" s="8">
        <v>7.9436920000000004</v>
      </c>
    </row>
    <row r="3147" spans="1:2" x14ac:dyDescent="0.25">
      <c r="A3147" s="1">
        <v>3147</v>
      </c>
      <c r="B3147" s="8">
        <v>7.9439700000000002</v>
      </c>
    </row>
    <row r="3148" spans="1:2" x14ac:dyDescent="0.25">
      <c r="A3148" s="1">
        <v>3148</v>
      </c>
      <c r="B3148" s="8">
        <v>7.944248</v>
      </c>
    </row>
    <row r="3149" spans="1:2" x14ac:dyDescent="0.25">
      <c r="A3149" s="1">
        <v>3149</v>
      </c>
      <c r="B3149" s="8">
        <v>7.9445259999999998</v>
      </c>
    </row>
    <row r="3150" spans="1:2" x14ac:dyDescent="0.25">
      <c r="A3150" s="1">
        <v>3150</v>
      </c>
      <c r="B3150" s="8">
        <v>7.9448040000000004</v>
      </c>
    </row>
    <row r="3151" spans="1:2" x14ac:dyDescent="0.25">
      <c r="A3151" s="1">
        <v>3151</v>
      </c>
      <c r="B3151" s="8">
        <v>7.9450820000000002</v>
      </c>
    </row>
    <row r="3152" spans="1:2" x14ac:dyDescent="0.25">
      <c r="A3152" s="1">
        <v>3152</v>
      </c>
      <c r="B3152" s="8">
        <v>7.94536</v>
      </c>
    </row>
    <row r="3153" spans="1:2" x14ac:dyDescent="0.25">
      <c r="A3153" s="1">
        <v>3153</v>
      </c>
      <c r="B3153" s="8">
        <v>7.9456379999999998</v>
      </c>
    </row>
    <row r="3154" spans="1:2" x14ac:dyDescent="0.25">
      <c r="A3154" s="1">
        <v>3154</v>
      </c>
      <c r="B3154" s="8">
        <v>7.9459160000000004</v>
      </c>
    </row>
    <row r="3155" spans="1:2" x14ac:dyDescent="0.25">
      <c r="A3155" s="1">
        <v>3155</v>
      </c>
      <c r="B3155" s="8">
        <v>7.9461940000000002</v>
      </c>
    </row>
    <row r="3156" spans="1:2" x14ac:dyDescent="0.25">
      <c r="A3156" s="1">
        <v>3156</v>
      </c>
      <c r="B3156" s="8">
        <v>7.946472</v>
      </c>
    </row>
    <row r="3157" spans="1:2" x14ac:dyDescent="0.25">
      <c r="A3157" s="1">
        <v>3157</v>
      </c>
      <c r="B3157" s="8">
        <v>7.9467499999999998</v>
      </c>
    </row>
    <row r="3158" spans="1:2" x14ac:dyDescent="0.25">
      <c r="A3158" s="1">
        <v>3158</v>
      </c>
      <c r="B3158" s="8">
        <v>7.9470280000000004</v>
      </c>
    </row>
    <row r="3159" spans="1:2" x14ac:dyDescent="0.25">
      <c r="A3159" s="1">
        <v>3159</v>
      </c>
      <c r="B3159" s="8">
        <v>7.9473060000000002</v>
      </c>
    </row>
    <row r="3160" spans="1:2" x14ac:dyDescent="0.25">
      <c r="A3160" s="1">
        <v>3160</v>
      </c>
      <c r="B3160" s="8">
        <v>7.947584</v>
      </c>
    </row>
    <row r="3161" spans="1:2" x14ac:dyDescent="0.25">
      <c r="A3161" s="1">
        <v>3161</v>
      </c>
      <c r="B3161" s="8">
        <v>7.9478619999999998</v>
      </c>
    </row>
    <row r="3162" spans="1:2" x14ac:dyDescent="0.25">
      <c r="A3162" s="1">
        <v>3162</v>
      </c>
      <c r="B3162" s="8">
        <v>7.9481400000000004</v>
      </c>
    </row>
    <row r="3163" spans="1:2" x14ac:dyDescent="0.25">
      <c r="A3163" s="1">
        <v>3163</v>
      </c>
      <c r="B3163" s="8">
        <v>7.9484180000000002</v>
      </c>
    </row>
    <row r="3164" spans="1:2" x14ac:dyDescent="0.25">
      <c r="A3164" s="1">
        <v>3164</v>
      </c>
      <c r="B3164" s="8">
        <v>7.948696</v>
      </c>
    </row>
    <row r="3165" spans="1:2" x14ac:dyDescent="0.25">
      <c r="A3165" s="1">
        <v>3165</v>
      </c>
      <c r="B3165" s="8">
        <v>7.9489739999999998</v>
      </c>
    </row>
    <row r="3166" spans="1:2" x14ac:dyDescent="0.25">
      <c r="A3166" s="1">
        <v>3166</v>
      </c>
      <c r="B3166" s="8">
        <v>7.9492520000000004</v>
      </c>
    </row>
    <row r="3167" spans="1:2" x14ac:dyDescent="0.25">
      <c r="A3167" s="1">
        <v>3167</v>
      </c>
      <c r="B3167" s="8">
        <v>7.9495300000000002</v>
      </c>
    </row>
    <row r="3168" spans="1:2" x14ac:dyDescent="0.25">
      <c r="A3168" s="1">
        <v>3168</v>
      </c>
      <c r="B3168" s="8">
        <v>7.949808</v>
      </c>
    </row>
    <row r="3169" spans="1:2" x14ac:dyDescent="0.25">
      <c r="A3169" s="1">
        <v>3169</v>
      </c>
      <c r="B3169" s="8">
        <v>7.9500859999999998</v>
      </c>
    </row>
    <row r="3170" spans="1:2" x14ac:dyDescent="0.25">
      <c r="A3170" s="1">
        <v>3170</v>
      </c>
      <c r="B3170" s="8">
        <v>7.9503640000000004</v>
      </c>
    </row>
    <row r="3171" spans="1:2" x14ac:dyDescent="0.25">
      <c r="A3171" s="1">
        <v>3171</v>
      </c>
      <c r="B3171" s="8">
        <v>7.9506420000000002</v>
      </c>
    </row>
    <row r="3172" spans="1:2" x14ac:dyDescent="0.25">
      <c r="A3172" s="1">
        <v>3172</v>
      </c>
      <c r="B3172" s="8">
        <v>7.95092</v>
      </c>
    </row>
    <row r="3173" spans="1:2" x14ac:dyDescent="0.25">
      <c r="A3173" s="1">
        <v>3173</v>
      </c>
      <c r="B3173" s="8">
        <v>7.9511979999999998</v>
      </c>
    </row>
    <row r="3174" spans="1:2" x14ac:dyDescent="0.25">
      <c r="A3174" s="1">
        <v>3174</v>
      </c>
      <c r="B3174" s="8">
        <v>7.9514760000000004</v>
      </c>
    </row>
    <row r="3175" spans="1:2" x14ac:dyDescent="0.25">
      <c r="A3175" s="1">
        <v>3175</v>
      </c>
      <c r="B3175" s="8">
        <v>7.9517540000000002</v>
      </c>
    </row>
    <row r="3176" spans="1:2" x14ac:dyDescent="0.25">
      <c r="A3176" s="1">
        <v>3176</v>
      </c>
      <c r="B3176" s="8">
        <v>7.952032</v>
      </c>
    </row>
    <row r="3177" spans="1:2" x14ac:dyDescent="0.25">
      <c r="A3177" s="1">
        <v>3177</v>
      </c>
      <c r="B3177" s="8">
        <v>7.9523099999999998</v>
      </c>
    </row>
    <row r="3178" spans="1:2" x14ac:dyDescent="0.25">
      <c r="A3178" s="1">
        <v>3178</v>
      </c>
      <c r="B3178" s="8">
        <v>7.9525880000000004</v>
      </c>
    </row>
    <row r="3179" spans="1:2" x14ac:dyDescent="0.25">
      <c r="A3179" s="1">
        <v>3179</v>
      </c>
      <c r="B3179" s="8">
        <v>7.9528660000000002</v>
      </c>
    </row>
    <row r="3180" spans="1:2" x14ac:dyDescent="0.25">
      <c r="A3180" s="1">
        <v>3180</v>
      </c>
      <c r="B3180" s="8">
        <v>7.953144</v>
      </c>
    </row>
    <row r="3181" spans="1:2" x14ac:dyDescent="0.25">
      <c r="A3181" s="1">
        <v>3181</v>
      </c>
      <c r="B3181" s="8">
        <v>7.9534219999999998</v>
      </c>
    </row>
    <row r="3182" spans="1:2" x14ac:dyDescent="0.25">
      <c r="A3182" s="1">
        <v>3182</v>
      </c>
      <c r="B3182" s="8">
        <v>7.9537000000000004</v>
      </c>
    </row>
    <row r="3183" spans="1:2" x14ac:dyDescent="0.25">
      <c r="A3183" s="1">
        <v>3183</v>
      </c>
      <c r="B3183" s="8">
        <v>7.9539780000000002</v>
      </c>
    </row>
    <row r="3184" spans="1:2" x14ac:dyDescent="0.25">
      <c r="A3184" s="1">
        <v>3184</v>
      </c>
      <c r="B3184" s="8">
        <v>7.954256</v>
      </c>
    </row>
    <row r="3185" spans="1:2" x14ac:dyDescent="0.25">
      <c r="A3185" s="1">
        <v>3185</v>
      </c>
      <c r="B3185" s="8">
        <v>7.9545339999999998</v>
      </c>
    </row>
    <row r="3186" spans="1:2" x14ac:dyDescent="0.25">
      <c r="A3186" s="1">
        <v>3186</v>
      </c>
      <c r="B3186" s="8">
        <v>7.9548120000000004</v>
      </c>
    </row>
    <row r="3187" spans="1:2" x14ac:dyDescent="0.25">
      <c r="A3187" s="1">
        <v>3187</v>
      </c>
      <c r="B3187" s="8">
        <v>7.9550900000000002</v>
      </c>
    </row>
    <row r="3188" spans="1:2" x14ac:dyDescent="0.25">
      <c r="A3188" s="1">
        <v>3188</v>
      </c>
      <c r="B3188" s="8">
        <v>7.955368</v>
      </c>
    </row>
    <row r="3189" spans="1:2" x14ac:dyDescent="0.25">
      <c r="A3189" s="1">
        <v>3189</v>
      </c>
      <c r="B3189" s="8">
        <v>7.9556459999999998</v>
      </c>
    </row>
    <row r="3190" spans="1:2" x14ac:dyDescent="0.25">
      <c r="A3190" s="1">
        <v>3190</v>
      </c>
      <c r="B3190" s="8">
        <v>7.9559240000000004</v>
      </c>
    </row>
    <row r="3191" spans="1:2" x14ac:dyDescent="0.25">
      <c r="A3191" s="1">
        <v>3191</v>
      </c>
      <c r="B3191" s="8">
        <v>7.9562020000000002</v>
      </c>
    </row>
    <row r="3192" spans="1:2" x14ac:dyDescent="0.25">
      <c r="A3192" s="1">
        <v>3192</v>
      </c>
      <c r="B3192" s="8">
        <v>7.95648</v>
      </c>
    </row>
    <row r="3193" spans="1:2" x14ac:dyDescent="0.25">
      <c r="A3193" s="1">
        <v>3193</v>
      </c>
      <c r="B3193" s="8">
        <v>7.9567579999999998</v>
      </c>
    </row>
    <row r="3194" spans="1:2" x14ac:dyDescent="0.25">
      <c r="A3194" s="1">
        <v>3194</v>
      </c>
      <c r="B3194" s="8">
        <v>7.9570360000000004</v>
      </c>
    </row>
    <row r="3195" spans="1:2" x14ac:dyDescent="0.25">
      <c r="A3195" s="1">
        <v>3195</v>
      </c>
      <c r="B3195" s="8">
        <v>7.9573140000000002</v>
      </c>
    </row>
    <row r="3196" spans="1:2" x14ac:dyDescent="0.25">
      <c r="A3196" s="1">
        <v>3196</v>
      </c>
      <c r="B3196" s="8">
        <v>7.957592</v>
      </c>
    </row>
    <row r="3197" spans="1:2" x14ac:dyDescent="0.25">
      <c r="A3197" s="1">
        <v>3197</v>
      </c>
      <c r="B3197" s="8">
        <v>7.9578699999999998</v>
      </c>
    </row>
    <row r="3198" spans="1:2" x14ac:dyDescent="0.25">
      <c r="A3198" s="1">
        <v>3198</v>
      </c>
      <c r="B3198" s="8">
        <v>7.9581480000000004</v>
      </c>
    </row>
    <row r="3199" spans="1:2" x14ac:dyDescent="0.25">
      <c r="A3199" s="1">
        <v>3199</v>
      </c>
      <c r="B3199" s="8">
        <v>7.9584260000000002</v>
      </c>
    </row>
    <row r="3200" spans="1:2" x14ac:dyDescent="0.25">
      <c r="A3200" s="1">
        <v>3200</v>
      </c>
      <c r="B3200" s="8">
        <v>7.958704</v>
      </c>
    </row>
    <row r="3201" spans="1:2" x14ac:dyDescent="0.25">
      <c r="A3201" s="1">
        <v>3201</v>
      </c>
      <c r="B3201" s="8">
        <v>7.9589819999999998</v>
      </c>
    </row>
    <row r="3202" spans="1:2" x14ac:dyDescent="0.25">
      <c r="A3202" s="1">
        <v>3202</v>
      </c>
      <c r="B3202" s="8">
        <v>7.9592599999999996</v>
      </c>
    </row>
    <row r="3203" spans="1:2" x14ac:dyDescent="0.25">
      <c r="A3203" s="1">
        <v>3203</v>
      </c>
      <c r="B3203" s="8">
        <v>7.9595380000000002</v>
      </c>
    </row>
    <row r="3204" spans="1:2" x14ac:dyDescent="0.25">
      <c r="A3204" s="1">
        <v>3204</v>
      </c>
      <c r="B3204" s="8">
        <v>7.959816</v>
      </c>
    </row>
    <row r="3205" spans="1:2" x14ac:dyDescent="0.25">
      <c r="A3205" s="1">
        <v>3205</v>
      </c>
      <c r="B3205" s="8">
        <v>7.9600939999999998</v>
      </c>
    </row>
    <row r="3206" spans="1:2" x14ac:dyDescent="0.25">
      <c r="A3206" s="1">
        <v>3206</v>
      </c>
      <c r="B3206" s="8">
        <v>7.9603719999999996</v>
      </c>
    </row>
    <row r="3207" spans="1:2" x14ac:dyDescent="0.25">
      <c r="A3207" s="1">
        <v>3207</v>
      </c>
      <c r="B3207" s="8">
        <v>7.9606500000000002</v>
      </c>
    </row>
    <row r="3208" spans="1:2" x14ac:dyDescent="0.25">
      <c r="A3208" s="1">
        <v>3208</v>
      </c>
      <c r="B3208" s="8">
        <v>7.960928</v>
      </c>
    </row>
    <row r="3209" spans="1:2" x14ac:dyDescent="0.25">
      <c r="A3209" s="1">
        <v>3209</v>
      </c>
      <c r="B3209" s="8">
        <v>7.9612059999999998</v>
      </c>
    </row>
    <row r="3210" spans="1:2" x14ac:dyDescent="0.25">
      <c r="A3210" s="1">
        <v>3210</v>
      </c>
      <c r="B3210" s="8">
        <v>7.9614839999999996</v>
      </c>
    </row>
    <row r="3211" spans="1:2" x14ac:dyDescent="0.25">
      <c r="A3211" s="1">
        <v>3211</v>
      </c>
      <c r="B3211" s="8">
        <v>7.9617620000000002</v>
      </c>
    </row>
    <row r="3212" spans="1:2" x14ac:dyDescent="0.25">
      <c r="A3212" s="1">
        <v>3212</v>
      </c>
      <c r="B3212" s="8">
        <v>7.96204</v>
      </c>
    </row>
    <row r="3213" spans="1:2" x14ac:dyDescent="0.25">
      <c r="A3213" s="1">
        <v>3213</v>
      </c>
      <c r="B3213" s="8">
        <v>7.9623179999999998</v>
      </c>
    </row>
    <row r="3214" spans="1:2" x14ac:dyDescent="0.25">
      <c r="A3214" s="1">
        <v>3214</v>
      </c>
      <c r="B3214" s="8">
        <v>7.9625959999999996</v>
      </c>
    </row>
    <row r="3215" spans="1:2" x14ac:dyDescent="0.25">
      <c r="A3215" s="1">
        <v>3215</v>
      </c>
      <c r="B3215" s="8">
        <v>7.9628740000000002</v>
      </c>
    </row>
    <row r="3216" spans="1:2" x14ac:dyDescent="0.25">
      <c r="A3216" s="1">
        <v>3216</v>
      </c>
      <c r="B3216" s="8">
        <v>7.963152</v>
      </c>
    </row>
    <row r="3217" spans="1:2" x14ac:dyDescent="0.25">
      <c r="A3217" s="1">
        <v>3217</v>
      </c>
      <c r="B3217" s="8">
        <v>7.9634299999999998</v>
      </c>
    </row>
    <row r="3218" spans="1:2" x14ac:dyDescent="0.25">
      <c r="A3218" s="1">
        <v>3218</v>
      </c>
      <c r="B3218" s="8">
        <v>7.9637079999999996</v>
      </c>
    </row>
    <row r="3219" spans="1:2" x14ac:dyDescent="0.25">
      <c r="A3219" s="1">
        <v>3219</v>
      </c>
      <c r="B3219" s="8">
        <v>7.9639860000000002</v>
      </c>
    </row>
    <row r="3220" spans="1:2" x14ac:dyDescent="0.25">
      <c r="A3220" s="1">
        <v>3220</v>
      </c>
      <c r="B3220" s="8">
        <v>7.964264</v>
      </c>
    </row>
    <row r="3221" spans="1:2" x14ac:dyDescent="0.25">
      <c r="A3221" s="1">
        <v>3221</v>
      </c>
      <c r="B3221" s="8">
        <v>7.9645419999999998</v>
      </c>
    </row>
    <row r="3222" spans="1:2" x14ac:dyDescent="0.25">
      <c r="A3222" s="1">
        <v>3222</v>
      </c>
      <c r="B3222" s="8">
        <v>7.9648199999999996</v>
      </c>
    </row>
    <row r="3223" spans="1:2" x14ac:dyDescent="0.25">
      <c r="A3223" s="1">
        <v>3223</v>
      </c>
      <c r="B3223" s="8">
        <v>7.9650980000000002</v>
      </c>
    </row>
    <row r="3224" spans="1:2" x14ac:dyDescent="0.25">
      <c r="A3224" s="1">
        <v>3224</v>
      </c>
      <c r="B3224" s="8">
        <v>7.965376</v>
      </c>
    </row>
    <row r="3225" spans="1:2" x14ac:dyDescent="0.25">
      <c r="A3225" s="1">
        <v>3225</v>
      </c>
      <c r="B3225" s="8">
        <v>7.9656539999999998</v>
      </c>
    </row>
    <row r="3226" spans="1:2" x14ac:dyDescent="0.25">
      <c r="A3226" s="1">
        <v>3226</v>
      </c>
      <c r="B3226" s="8">
        <v>7.9659319999999996</v>
      </c>
    </row>
    <row r="3227" spans="1:2" x14ac:dyDescent="0.25">
      <c r="A3227" s="1">
        <v>3227</v>
      </c>
      <c r="B3227" s="8">
        <v>7.9662100000000002</v>
      </c>
    </row>
    <row r="3228" spans="1:2" x14ac:dyDescent="0.25">
      <c r="A3228" s="1">
        <v>3228</v>
      </c>
      <c r="B3228" s="8">
        <v>7.966488</v>
      </c>
    </row>
    <row r="3229" spans="1:2" x14ac:dyDescent="0.25">
      <c r="A3229" s="1">
        <v>3229</v>
      </c>
      <c r="B3229" s="8">
        <v>7.9667659999999998</v>
      </c>
    </row>
    <row r="3230" spans="1:2" x14ac:dyDescent="0.25">
      <c r="A3230" s="1">
        <v>3230</v>
      </c>
      <c r="B3230" s="8">
        <v>7.9670439999999996</v>
      </c>
    </row>
    <row r="3231" spans="1:2" x14ac:dyDescent="0.25">
      <c r="A3231" s="1">
        <v>3231</v>
      </c>
      <c r="B3231" s="8">
        <v>7.9673220000000002</v>
      </c>
    </row>
    <row r="3232" spans="1:2" x14ac:dyDescent="0.25">
      <c r="A3232" s="1">
        <v>3232</v>
      </c>
      <c r="B3232" s="8">
        <v>7.9676</v>
      </c>
    </row>
    <row r="3233" spans="1:2" x14ac:dyDescent="0.25">
      <c r="A3233" s="1">
        <v>3233</v>
      </c>
      <c r="B3233" s="8">
        <v>7.9678779999999998</v>
      </c>
    </row>
    <row r="3234" spans="1:2" x14ac:dyDescent="0.25">
      <c r="A3234" s="1">
        <v>3234</v>
      </c>
      <c r="B3234" s="8">
        <v>7.9681559999999996</v>
      </c>
    </row>
    <row r="3235" spans="1:2" x14ac:dyDescent="0.25">
      <c r="A3235" s="1">
        <v>3235</v>
      </c>
      <c r="B3235" s="8">
        <v>7.9684340000000002</v>
      </c>
    </row>
    <row r="3236" spans="1:2" x14ac:dyDescent="0.25">
      <c r="A3236" s="1">
        <v>3236</v>
      </c>
      <c r="B3236" s="8">
        <v>7.968712</v>
      </c>
    </row>
    <row r="3237" spans="1:2" x14ac:dyDescent="0.25">
      <c r="A3237" s="1">
        <v>3237</v>
      </c>
      <c r="B3237" s="8">
        <v>7.9689899999999998</v>
      </c>
    </row>
    <row r="3238" spans="1:2" x14ac:dyDescent="0.25">
      <c r="A3238" s="1">
        <v>3238</v>
      </c>
      <c r="B3238" s="8">
        <v>7.9692679999999996</v>
      </c>
    </row>
    <row r="3239" spans="1:2" x14ac:dyDescent="0.25">
      <c r="A3239" s="1">
        <v>3239</v>
      </c>
      <c r="B3239" s="8">
        <v>7.9695460000000002</v>
      </c>
    </row>
    <row r="3240" spans="1:2" x14ac:dyDescent="0.25">
      <c r="A3240" s="1">
        <v>3240</v>
      </c>
      <c r="B3240" s="8">
        <v>7.969824</v>
      </c>
    </row>
    <row r="3241" spans="1:2" x14ac:dyDescent="0.25">
      <c r="A3241" s="1">
        <v>3241</v>
      </c>
      <c r="B3241" s="8">
        <v>7.9701019999999998</v>
      </c>
    </row>
    <row r="3242" spans="1:2" x14ac:dyDescent="0.25">
      <c r="A3242" s="1">
        <v>3242</v>
      </c>
      <c r="B3242" s="8">
        <v>7.9703799999999996</v>
      </c>
    </row>
    <row r="3243" spans="1:2" x14ac:dyDescent="0.25">
      <c r="A3243" s="1">
        <v>3243</v>
      </c>
      <c r="B3243" s="8">
        <v>7.9706580000000002</v>
      </c>
    </row>
    <row r="3244" spans="1:2" x14ac:dyDescent="0.25">
      <c r="A3244" s="1">
        <v>3244</v>
      </c>
      <c r="B3244" s="8">
        <v>7.970936</v>
      </c>
    </row>
    <row r="3245" spans="1:2" x14ac:dyDescent="0.25">
      <c r="A3245" s="1">
        <v>3245</v>
      </c>
      <c r="B3245" s="8">
        <v>7.9712139999999998</v>
      </c>
    </row>
    <row r="3246" spans="1:2" x14ac:dyDescent="0.25">
      <c r="A3246" s="1">
        <v>3246</v>
      </c>
      <c r="B3246" s="8">
        <v>7.9714919999999996</v>
      </c>
    </row>
    <row r="3247" spans="1:2" x14ac:dyDescent="0.25">
      <c r="A3247" s="1">
        <v>3247</v>
      </c>
      <c r="B3247" s="8">
        <v>7.9717700000000002</v>
      </c>
    </row>
    <row r="3248" spans="1:2" x14ac:dyDescent="0.25">
      <c r="A3248" s="1">
        <v>3248</v>
      </c>
      <c r="B3248" s="8">
        <v>7.972048</v>
      </c>
    </row>
    <row r="3249" spans="1:2" x14ac:dyDescent="0.25">
      <c r="A3249" s="1">
        <v>3249</v>
      </c>
      <c r="B3249" s="8">
        <v>7.9723259999999998</v>
      </c>
    </row>
    <row r="3250" spans="1:2" x14ac:dyDescent="0.25">
      <c r="A3250" s="1">
        <v>3250</v>
      </c>
      <c r="B3250" s="8">
        <v>7.9726039999999996</v>
      </c>
    </row>
    <row r="3251" spans="1:2" x14ac:dyDescent="0.25">
      <c r="A3251" s="1">
        <v>3251</v>
      </c>
      <c r="B3251" s="8">
        <v>7.9728820000000002</v>
      </c>
    </row>
    <row r="3252" spans="1:2" x14ac:dyDescent="0.25">
      <c r="A3252" s="1">
        <v>3252</v>
      </c>
      <c r="B3252" s="8">
        <v>7.97316</v>
      </c>
    </row>
    <row r="3253" spans="1:2" x14ac:dyDescent="0.25">
      <c r="A3253" s="1">
        <v>3253</v>
      </c>
      <c r="B3253" s="8">
        <v>7.9734379999999998</v>
      </c>
    </row>
    <row r="3254" spans="1:2" x14ac:dyDescent="0.25">
      <c r="A3254" s="1">
        <v>3254</v>
      </c>
      <c r="B3254" s="8">
        <v>7.9737159999999996</v>
      </c>
    </row>
    <row r="3255" spans="1:2" x14ac:dyDescent="0.25">
      <c r="A3255" s="1">
        <v>3255</v>
      </c>
      <c r="B3255" s="8">
        <v>7.9739940000000002</v>
      </c>
    </row>
    <row r="3256" spans="1:2" x14ac:dyDescent="0.25">
      <c r="A3256" s="1">
        <v>3256</v>
      </c>
      <c r="B3256" s="8">
        <v>7.974272</v>
      </c>
    </row>
    <row r="3257" spans="1:2" x14ac:dyDescent="0.25">
      <c r="A3257" s="1">
        <v>3257</v>
      </c>
      <c r="B3257" s="8">
        <v>7.9745499999999998</v>
      </c>
    </row>
    <row r="3258" spans="1:2" x14ac:dyDescent="0.25">
      <c r="A3258" s="1">
        <v>3258</v>
      </c>
      <c r="B3258" s="8">
        <v>7.9748279999999996</v>
      </c>
    </row>
    <row r="3259" spans="1:2" x14ac:dyDescent="0.25">
      <c r="A3259" s="1">
        <v>3259</v>
      </c>
      <c r="B3259" s="8">
        <v>7.9751060000000003</v>
      </c>
    </row>
    <row r="3260" spans="1:2" x14ac:dyDescent="0.25">
      <c r="A3260" s="1">
        <v>3260</v>
      </c>
      <c r="B3260" s="8">
        <v>7.975384</v>
      </c>
    </row>
    <row r="3261" spans="1:2" x14ac:dyDescent="0.25">
      <c r="A3261" s="1">
        <v>3261</v>
      </c>
      <c r="B3261" s="8">
        <v>7.9756619999999998</v>
      </c>
    </row>
    <row r="3262" spans="1:2" x14ac:dyDescent="0.25">
      <c r="A3262" s="1">
        <v>3262</v>
      </c>
      <c r="B3262" s="8">
        <v>7.9759399999999996</v>
      </c>
    </row>
    <row r="3263" spans="1:2" x14ac:dyDescent="0.25">
      <c r="A3263" s="1">
        <v>3263</v>
      </c>
      <c r="B3263" s="8">
        <v>7.9762180000000003</v>
      </c>
    </row>
    <row r="3264" spans="1:2" x14ac:dyDescent="0.25">
      <c r="A3264" s="1">
        <v>3264</v>
      </c>
      <c r="B3264" s="8">
        <v>7.976496</v>
      </c>
    </row>
    <row r="3265" spans="1:2" x14ac:dyDescent="0.25">
      <c r="A3265" s="1">
        <v>3265</v>
      </c>
      <c r="B3265" s="8">
        <v>7.9767739999999998</v>
      </c>
    </row>
    <row r="3266" spans="1:2" x14ac:dyDescent="0.25">
      <c r="A3266" s="1">
        <v>3266</v>
      </c>
      <c r="B3266" s="8">
        <v>7.9770519999999996</v>
      </c>
    </row>
    <row r="3267" spans="1:2" x14ac:dyDescent="0.25">
      <c r="A3267" s="1">
        <v>3267</v>
      </c>
      <c r="B3267" s="8">
        <v>7.9773300000000003</v>
      </c>
    </row>
    <row r="3268" spans="1:2" x14ac:dyDescent="0.25">
      <c r="A3268" s="1">
        <v>3268</v>
      </c>
      <c r="B3268" s="8">
        <v>7.977608</v>
      </c>
    </row>
    <row r="3269" spans="1:2" x14ac:dyDescent="0.25">
      <c r="A3269" s="1">
        <v>3269</v>
      </c>
      <c r="B3269" s="8">
        <v>7.9778859999999998</v>
      </c>
    </row>
    <row r="3270" spans="1:2" x14ac:dyDescent="0.25">
      <c r="A3270" s="1">
        <v>3270</v>
      </c>
      <c r="B3270" s="8">
        <v>7.9781639999999996</v>
      </c>
    </row>
    <row r="3271" spans="1:2" x14ac:dyDescent="0.25">
      <c r="A3271" s="1">
        <v>3271</v>
      </c>
      <c r="B3271" s="8">
        <v>7.9784420000000003</v>
      </c>
    </row>
    <row r="3272" spans="1:2" x14ac:dyDescent="0.25">
      <c r="A3272" s="1">
        <v>3272</v>
      </c>
      <c r="B3272" s="8">
        <v>7.97872</v>
      </c>
    </row>
    <row r="3273" spans="1:2" x14ac:dyDescent="0.25">
      <c r="A3273" s="1">
        <v>3273</v>
      </c>
      <c r="B3273" s="8">
        <v>7.9789979999999998</v>
      </c>
    </row>
    <row r="3274" spans="1:2" x14ac:dyDescent="0.25">
      <c r="A3274" s="1">
        <v>3274</v>
      </c>
      <c r="B3274" s="8">
        <v>7.9792759999999996</v>
      </c>
    </row>
    <row r="3275" spans="1:2" x14ac:dyDescent="0.25">
      <c r="A3275" s="1">
        <v>3275</v>
      </c>
      <c r="B3275" s="8">
        <v>7.9795540000000003</v>
      </c>
    </row>
    <row r="3276" spans="1:2" x14ac:dyDescent="0.25">
      <c r="A3276" s="1">
        <v>3276</v>
      </c>
      <c r="B3276" s="8">
        <v>7.979832</v>
      </c>
    </row>
    <row r="3277" spans="1:2" x14ac:dyDescent="0.25">
      <c r="A3277" s="1">
        <v>3277</v>
      </c>
      <c r="B3277" s="8">
        <v>7.9801099999999998</v>
      </c>
    </row>
    <row r="3278" spans="1:2" x14ac:dyDescent="0.25">
      <c r="A3278" s="1">
        <v>3278</v>
      </c>
      <c r="B3278" s="8">
        <v>7.9803879999999996</v>
      </c>
    </row>
    <row r="3279" spans="1:2" x14ac:dyDescent="0.25">
      <c r="A3279" s="1">
        <v>3279</v>
      </c>
      <c r="B3279" s="8">
        <v>7.9806660000000003</v>
      </c>
    </row>
    <row r="3280" spans="1:2" x14ac:dyDescent="0.25">
      <c r="A3280" s="1">
        <v>3280</v>
      </c>
      <c r="B3280" s="8">
        <v>7.980944</v>
      </c>
    </row>
    <row r="3281" spans="1:2" x14ac:dyDescent="0.25">
      <c r="A3281" s="1">
        <v>3281</v>
      </c>
      <c r="B3281" s="8">
        <v>7.9812219999999998</v>
      </c>
    </row>
    <row r="3282" spans="1:2" x14ac:dyDescent="0.25">
      <c r="A3282" s="1">
        <v>3282</v>
      </c>
      <c r="B3282" s="8">
        <v>7.9814999999999996</v>
      </c>
    </row>
    <row r="3283" spans="1:2" x14ac:dyDescent="0.25">
      <c r="A3283" s="1">
        <v>3283</v>
      </c>
      <c r="B3283" s="8">
        <v>7.9817780000000003</v>
      </c>
    </row>
    <row r="3284" spans="1:2" x14ac:dyDescent="0.25">
      <c r="A3284" s="1">
        <v>3284</v>
      </c>
      <c r="B3284" s="8">
        <v>7.982056</v>
      </c>
    </row>
    <row r="3285" spans="1:2" x14ac:dyDescent="0.25">
      <c r="A3285" s="1">
        <v>3285</v>
      </c>
      <c r="B3285" s="8">
        <v>7.9823339999999998</v>
      </c>
    </row>
    <row r="3286" spans="1:2" x14ac:dyDescent="0.25">
      <c r="A3286" s="1">
        <v>3286</v>
      </c>
      <c r="B3286" s="8">
        <v>7.9826119999999996</v>
      </c>
    </row>
    <row r="3287" spans="1:2" x14ac:dyDescent="0.25">
      <c r="A3287" s="1">
        <v>3287</v>
      </c>
      <c r="B3287" s="8">
        <v>7.9828900000000003</v>
      </c>
    </row>
    <row r="3288" spans="1:2" x14ac:dyDescent="0.25">
      <c r="A3288" s="1">
        <v>3288</v>
      </c>
      <c r="B3288" s="8">
        <v>7.983168</v>
      </c>
    </row>
    <row r="3289" spans="1:2" x14ac:dyDescent="0.25">
      <c r="A3289" s="1">
        <v>3289</v>
      </c>
      <c r="B3289" s="8">
        <v>7.9834459999999998</v>
      </c>
    </row>
    <row r="3290" spans="1:2" x14ac:dyDescent="0.25">
      <c r="A3290" s="1">
        <v>3290</v>
      </c>
      <c r="B3290" s="8">
        <v>7.9837239999999996</v>
      </c>
    </row>
    <row r="3291" spans="1:2" x14ac:dyDescent="0.25">
      <c r="A3291" s="1">
        <v>3291</v>
      </c>
      <c r="B3291" s="8">
        <v>7.9840020000000003</v>
      </c>
    </row>
    <row r="3292" spans="1:2" x14ac:dyDescent="0.25">
      <c r="A3292" s="1">
        <v>3292</v>
      </c>
      <c r="B3292" s="8">
        <v>7.98428</v>
      </c>
    </row>
    <row r="3293" spans="1:2" x14ac:dyDescent="0.25">
      <c r="A3293" s="1">
        <v>3293</v>
      </c>
      <c r="B3293" s="8">
        <v>7.9845579999999998</v>
      </c>
    </row>
    <row r="3294" spans="1:2" x14ac:dyDescent="0.25">
      <c r="A3294" s="1">
        <v>3294</v>
      </c>
      <c r="B3294" s="8">
        <v>7.9848359999999996</v>
      </c>
    </row>
    <row r="3295" spans="1:2" x14ac:dyDescent="0.25">
      <c r="A3295" s="1">
        <v>3295</v>
      </c>
      <c r="B3295" s="8">
        <v>7.9851140000000003</v>
      </c>
    </row>
    <row r="3296" spans="1:2" x14ac:dyDescent="0.25">
      <c r="A3296" s="1">
        <v>3296</v>
      </c>
      <c r="B3296" s="8">
        <v>7.985392</v>
      </c>
    </row>
    <row r="3297" spans="1:2" x14ac:dyDescent="0.25">
      <c r="A3297" s="1">
        <v>3297</v>
      </c>
      <c r="B3297" s="8">
        <v>7.9856699999999998</v>
      </c>
    </row>
    <row r="3298" spans="1:2" x14ac:dyDescent="0.25">
      <c r="A3298" s="1">
        <v>3298</v>
      </c>
      <c r="B3298" s="8">
        <v>7.9859479999999996</v>
      </c>
    </row>
    <row r="3299" spans="1:2" x14ac:dyDescent="0.25">
      <c r="A3299" s="1">
        <v>3299</v>
      </c>
      <c r="B3299" s="8">
        <v>7.9862260000000003</v>
      </c>
    </row>
    <row r="3300" spans="1:2" x14ac:dyDescent="0.25">
      <c r="A3300" s="1">
        <v>3300</v>
      </c>
      <c r="B3300" s="8">
        <v>7.986504</v>
      </c>
    </row>
    <row r="3301" spans="1:2" x14ac:dyDescent="0.25">
      <c r="A3301" s="1">
        <v>3301</v>
      </c>
      <c r="B3301" s="8">
        <v>7.9867819999999998</v>
      </c>
    </row>
    <row r="3302" spans="1:2" x14ac:dyDescent="0.25">
      <c r="A3302" s="1">
        <v>3302</v>
      </c>
      <c r="B3302" s="8">
        <v>7.9870599999999996</v>
      </c>
    </row>
    <row r="3303" spans="1:2" x14ac:dyDescent="0.25">
      <c r="A3303" s="1">
        <v>3303</v>
      </c>
      <c r="B3303" s="8">
        <v>7.9873380000000003</v>
      </c>
    </row>
    <row r="3304" spans="1:2" x14ac:dyDescent="0.25">
      <c r="A3304" s="1">
        <v>3304</v>
      </c>
      <c r="B3304" s="8">
        <v>7.987616</v>
      </c>
    </row>
    <row r="3305" spans="1:2" x14ac:dyDescent="0.25">
      <c r="A3305" s="1">
        <v>3305</v>
      </c>
      <c r="B3305" s="8">
        <v>7.9878939999999998</v>
      </c>
    </row>
    <row r="3306" spans="1:2" x14ac:dyDescent="0.25">
      <c r="A3306" s="1">
        <v>3306</v>
      </c>
      <c r="B3306" s="8">
        <v>7.9881719999999996</v>
      </c>
    </row>
    <row r="3307" spans="1:2" x14ac:dyDescent="0.25">
      <c r="A3307" s="1">
        <v>3307</v>
      </c>
      <c r="B3307" s="8">
        <v>7.9884500000000003</v>
      </c>
    </row>
    <row r="3308" spans="1:2" x14ac:dyDescent="0.25">
      <c r="A3308" s="1">
        <v>3308</v>
      </c>
      <c r="B3308" s="8">
        <v>7.9887280000000001</v>
      </c>
    </row>
    <row r="3309" spans="1:2" x14ac:dyDescent="0.25">
      <c r="A3309" s="1">
        <v>3309</v>
      </c>
      <c r="B3309" s="8">
        <v>7.9890059999999998</v>
      </c>
    </row>
    <row r="3310" spans="1:2" x14ac:dyDescent="0.25">
      <c r="A3310" s="1">
        <v>3310</v>
      </c>
      <c r="B3310" s="8">
        <v>7.9892839999999996</v>
      </c>
    </row>
    <row r="3311" spans="1:2" x14ac:dyDescent="0.25">
      <c r="A3311" s="1">
        <v>3311</v>
      </c>
      <c r="B3311" s="8">
        <v>7.9895620000000003</v>
      </c>
    </row>
    <row r="3312" spans="1:2" x14ac:dyDescent="0.25">
      <c r="A3312" s="1">
        <v>3312</v>
      </c>
      <c r="B3312" s="8">
        <v>7.9898400000000001</v>
      </c>
    </row>
    <row r="3313" spans="1:2" x14ac:dyDescent="0.25">
      <c r="A3313" s="1">
        <v>3313</v>
      </c>
      <c r="B3313" s="8">
        <v>7.9901179999999998</v>
      </c>
    </row>
    <row r="3314" spans="1:2" x14ac:dyDescent="0.25">
      <c r="A3314" s="1">
        <v>3314</v>
      </c>
      <c r="B3314" s="8">
        <v>7.9903959999999996</v>
      </c>
    </row>
    <row r="3315" spans="1:2" x14ac:dyDescent="0.25">
      <c r="A3315" s="1">
        <v>3315</v>
      </c>
      <c r="B3315" s="8">
        <v>7.9906740000000003</v>
      </c>
    </row>
    <row r="3316" spans="1:2" x14ac:dyDescent="0.25">
      <c r="A3316" s="1">
        <v>3316</v>
      </c>
      <c r="B3316" s="8">
        <v>7.9909520000000001</v>
      </c>
    </row>
    <row r="3317" spans="1:2" x14ac:dyDescent="0.25">
      <c r="A3317" s="1">
        <v>3317</v>
      </c>
      <c r="B3317" s="8">
        <v>7.9912299999999998</v>
      </c>
    </row>
    <row r="3318" spans="1:2" x14ac:dyDescent="0.25">
      <c r="A3318" s="1">
        <v>3318</v>
      </c>
      <c r="B3318" s="8">
        <v>7.9915079999999996</v>
      </c>
    </row>
    <row r="3319" spans="1:2" x14ac:dyDescent="0.25">
      <c r="A3319" s="1">
        <v>3319</v>
      </c>
      <c r="B3319" s="8">
        <v>7.9917860000000003</v>
      </c>
    </row>
    <row r="3320" spans="1:2" x14ac:dyDescent="0.25">
      <c r="A3320" s="1">
        <v>3320</v>
      </c>
      <c r="B3320" s="8">
        <v>7.9920640000000001</v>
      </c>
    </row>
    <row r="3321" spans="1:2" x14ac:dyDescent="0.25">
      <c r="A3321" s="1">
        <v>3321</v>
      </c>
      <c r="B3321" s="8">
        <v>7.9923419999999998</v>
      </c>
    </row>
    <row r="3322" spans="1:2" x14ac:dyDescent="0.25">
      <c r="A3322" s="1">
        <v>3322</v>
      </c>
      <c r="B3322" s="8">
        <v>7.9926199999999996</v>
      </c>
    </row>
    <row r="3323" spans="1:2" x14ac:dyDescent="0.25">
      <c r="A3323" s="1">
        <v>3323</v>
      </c>
      <c r="B3323" s="8">
        <v>7.9928980000000003</v>
      </c>
    </row>
    <row r="3324" spans="1:2" x14ac:dyDescent="0.25">
      <c r="A3324" s="1">
        <v>3324</v>
      </c>
      <c r="B3324" s="8">
        <v>7.9931760000000001</v>
      </c>
    </row>
    <row r="3325" spans="1:2" x14ac:dyDescent="0.25">
      <c r="A3325" s="1">
        <v>3325</v>
      </c>
      <c r="B3325" s="8">
        <v>7.9934539999999998</v>
      </c>
    </row>
    <row r="3326" spans="1:2" x14ac:dyDescent="0.25">
      <c r="A3326" s="1">
        <v>3326</v>
      </c>
      <c r="B3326" s="8">
        <v>7.9937319999999996</v>
      </c>
    </row>
    <row r="3327" spans="1:2" x14ac:dyDescent="0.25">
      <c r="A3327" s="1">
        <v>3327</v>
      </c>
      <c r="B3327" s="8">
        <v>7.9940100000000003</v>
      </c>
    </row>
    <row r="3328" spans="1:2" x14ac:dyDescent="0.25">
      <c r="A3328" s="1">
        <v>3328</v>
      </c>
      <c r="B3328" s="8">
        <v>7.9942880000000001</v>
      </c>
    </row>
    <row r="3329" spans="1:2" x14ac:dyDescent="0.25">
      <c r="A3329" s="1">
        <v>3329</v>
      </c>
      <c r="B3329" s="8">
        <v>7.9945659999999998</v>
      </c>
    </row>
    <row r="3330" spans="1:2" x14ac:dyDescent="0.25">
      <c r="A3330" s="1">
        <v>3330</v>
      </c>
      <c r="B3330" s="8">
        <v>7.9948439999999996</v>
      </c>
    </row>
    <row r="3331" spans="1:2" x14ac:dyDescent="0.25">
      <c r="A3331" s="1">
        <v>3331</v>
      </c>
      <c r="B3331" s="8">
        <v>7.9951220000000003</v>
      </c>
    </row>
    <row r="3332" spans="1:2" x14ac:dyDescent="0.25">
      <c r="A3332" s="1">
        <v>3332</v>
      </c>
      <c r="B3332" s="8">
        <v>7.9954000000000001</v>
      </c>
    </row>
    <row r="3333" spans="1:2" x14ac:dyDescent="0.25">
      <c r="A3333" s="1">
        <v>3333</v>
      </c>
      <c r="B3333" s="8">
        <v>7.9956779999999998</v>
      </c>
    </row>
    <row r="3334" spans="1:2" x14ac:dyDescent="0.25">
      <c r="A3334" s="1">
        <v>3334</v>
      </c>
      <c r="B3334" s="8">
        <v>7.9959559999999996</v>
      </c>
    </row>
    <row r="3335" spans="1:2" x14ac:dyDescent="0.25">
      <c r="A3335" s="1">
        <v>3335</v>
      </c>
      <c r="B3335" s="8">
        <v>7.9962340000000003</v>
      </c>
    </row>
    <row r="3336" spans="1:2" x14ac:dyDescent="0.25">
      <c r="A3336" s="1">
        <v>3336</v>
      </c>
      <c r="B3336" s="8">
        <v>7.9965120000000001</v>
      </c>
    </row>
    <row r="3337" spans="1:2" x14ac:dyDescent="0.25">
      <c r="A3337" s="1">
        <v>3337</v>
      </c>
      <c r="B3337" s="8">
        <v>7.9967899999999998</v>
      </c>
    </row>
    <row r="3338" spans="1:2" x14ac:dyDescent="0.25">
      <c r="A3338" s="1">
        <v>3338</v>
      </c>
      <c r="B3338" s="8">
        <v>7.9970679999999996</v>
      </c>
    </row>
    <row r="3339" spans="1:2" x14ac:dyDescent="0.25">
      <c r="A3339" s="1">
        <v>3339</v>
      </c>
      <c r="B3339" s="8">
        <v>7.9973460000000003</v>
      </c>
    </row>
    <row r="3340" spans="1:2" x14ac:dyDescent="0.25">
      <c r="A3340" s="1">
        <v>3340</v>
      </c>
      <c r="B3340" s="8">
        <v>7.9976240000000001</v>
      </c>
    </row>
    <row r="3341" spans="1:2" x14ac:dyDescent="0.25">
      <c r="A3341" s="1">
        <v>3341</v>
      </c>
      <c r="B3341" s="8">
        <v>7.9979019999999998</v>
      </c>
    </row>
    <row r="3342" spans="1:2" x14ac:dyDescent="0.25">
      <c r="A3342" s="1">
        <v>3342</v>
      </c>
      <c r="B3342" s="8">
        <v>7.9981799999999996</v>
      </c>
    </row>
    <row r="3343" spans="1:2" x14ac:dyDescent="0.25">
      <c r="A3343" s="1">
        <v>3343</v>
      </c>
      <c r="B3343" s="8">
        <v>7.9984580000000003</v>
      </c>
    </row>
    <row r="3344" spans="1:2" x14ac:dyDescent="0.25">
      <c r="A3344" s="1">
        <v>3344</v>
      </c>
      <c r="B3344" s="8">
        <v>7.9987360000000001</v>
      </c>
    </row>
    <row r="3345" spans="1:2" x14ac:dyDescent="0.25">
      <c r="A3345" s="1">
        <v>3345</v>
      </c>
      <c r="B3345" s="8">
        <v>7.9990139999999998</v>
      </c>
    </row>
    <row r="3346" spans="1:2" x14ac:dyDescent="0.25">
      <c r="A3346" s="1">
        <v>3346</v>
      </c>
      <c r="B3346" s="8">
        <v>7.9992919999999996</v>
      </c>
    </row>
    <row r="3347" spans="1:2" x14ac:dyDescent="0.25">
      <c r="A3347" s="1">
        <v>3347</v>
      </c>
      <c r="B3347" s="8">
        <v>7.9995700000000003</v>
      </c>
    </row>
    <row r="3348" spans="1:2" x14ac:dyDescent="0.25">
      <c r="A3348" s="1">
        <v>3348</v>
      </c>
      <c r="B3348" s="8">
        <v>7.9998480000000001</v>
      </c>
    </row>
    <row r="3349" spans="1:2" x14ac:dyDescent="0.25">
      <c r="A3349" s="1">
        <v>3349</v>
      </c>
      <c r="B3349" s="8">
        <v>8.0001259999999998</v>
      </c>
    </row>
    <row r="3350" spans="1:2" x14ac:dyDescent="0.25">
      <c r="A3350" s="1">
        <v>3350</v>
      </c>
      <c r="B3350" s="8">
        <v>8.0004039999999996</v>
      </c>
    </row>
    <row r="3351" spans="1:2" x14ac:dyDescent="0.25">
      <c r="A3351" s="1">
        <v>3351</v>
      </c>
      <c r="B3351" s="8">
        <v>8.0006819999999994</v>
      </c>
    </row>
    <row r="3352" spans="1:2" x14ac:dyDescent="0.25">
      <c r="A3352" s="1">
        <v>3352</v>
      </c>
      <c r="B3352" s="8">
        <v>8.0009589999999999</v>
      </c>
    </row>
    <row r="3353" spans="1:2" x14ac:dyDescent="0.25">
      <c r="A3353" s="1">
        <v>3353</v>
      </c>
      <c r="B3353" s="8">
        <v>8.0012380000000007</v>
      </c>
    </row>
    <row r="3354" spans="1:2" x14ac:dyDescent="0.25">
      <c r="A3354" s="1">
        <v>3354</v>
      </c>
      <c r="B3354" s="8">
        <v>8.0015160000000005</v>
      </c>
    </row>
    <row r="3355" spans="1:2" x14ac:dyDescent="0.25">
      <c r="A3355" s="1">
        <v>3355</v>
      </c>
      <c r="B3355" s="8">
        <v>8.0017940000000003</v>
      </c>
    </row>
    <row r="3356" spans="1:2" x14ac:dyDescent="0.25">
      <c r="A3356" s="1">
        <v>3356</v>
      </c>
      <c r="B3356" s="8">
        <v>8.0020720000000001</v>
      </c>
    </row>
    <row r="3357" spans="1:2" x14ac:dyDescent="0.25">
      <c r="A3357" s="1">
        <v>3357</v>
      </c>
      <c r="B3357" s="8">
        <v>8.0023499999999999</v>
      </c>
    </row>
    <row r="3358" spans="1:2" x14ac:dyDescent="0.25">
      <c r="A3358" s="1">
        <v>3358</v>
      </c>
      <c r="B3358" s="8">
        <v>8.0026279999999996</v>
      </c>
    </row>
    <row r="3359" spans="1:2" x14ac:dyDescent="0.25">
      <c r="A3359" s="1">
        <v>3359</v>
      </c>
      <c r="B3359" s="8">
        <v>8.0029059999999994</v>
      </c>
    </row>
    <row r="3360" spans="1:2" x14ac:dyDescent="0.25">
      <c r="A3360" s="1">
        <v>3360</v>
      </c>
      <c r="B3360" s="8">
        <v>8.0031839999999992</v>
      </c>
    </row>
    <row r="3361" spans="1:2" x14ac:dyDescent="0.25">
      <c r="A3361" s="1">
        <v>3361</v>
      </c>
      <c r="B3361" s="8">
        <v>8.0034620000000007</v>
      </c>
    </row>
    <row r="3362" spans="1:2" x14ac:dyDescent="0.25">
      <c r="A3362" s="1">
        <v>3362</v>
      </c>
      <c r="B3362" s="8">
        <v>8.0037400000000005</v>
      </c>
    </row>
    <row r="3363" spans="1:2" x14ac:dyDescent="0.25">
      <c r="A3363" s="1">
        <v>3363</v>
      </c>
      <c r="B3363" s="8">
        <v>8.0040180000000003</v>
      </c>
    </row>
    <row r="3364" spans="1:2" x14ac:dyDescent="0.25">
      <c r="A3364" s="1">
        <v>3364</v>
      </c>
      <c r="B3364" s="8">
        <v>8.0042960000000001</v>
      </c>
    </row>
    <row r="3365" spans="1:2" x14ac:dyDescent="0.25">
      <c r="A3365" s="1">
        <v>3365</v>
      </c>
      <c r="B3365" s="8">
        <v>8.0045739999999999</v>
      </c>
    </row>
    <row r="3366" spans="1:2" x14ac:dyDescent="0.25">
      <c r="A3366" s="1">
        <v>3366</v>
      </c>
      <c r="B3366" s="8">
        <v>8.0048519999999996</v>
      </c>
    </row>
    <row r="3367" spans="1:2" x14ac:dyDescent="0.25">
      <c r="A3367" s="1">
        <v>3367</v>
      </c>
      <c r="B3367" s="8">
        <v>8.0051299999999994</v>
      </c>
    </row>
    <row r="3368" spans="1:2" x14ac:dyDescent="0.25">
      <c r="A3368" s="1">
        <v>3368</v>
      </c>
      <c r="B3368" s="8">
        <v>8.0054079999999992</v>
      </c>
    </row>
    <row r="3369" spans="1:2" x14ac:dyDescent="0.25">
      <c r="A3369" s="1">
        <v>3369</v>
      </c>
      <c r="B3369" s="8">
        <v>8.0056860000000007</v>
      </c>
    </row>
    <row r="3370" spans="1:2" x14ac:dyDescent="0.25">
      <c r="A3370" s="1">
        <v>3370</v>
      </c>
      <c r="B3370" s="8">
        <v>8.0059640000000005</v>
      </c>
    </row>
    <row r="3371" spans="1:2" x14ac:dyDescent="0.25">
      <c r="A3371" s="1">
        <v>3371</v>
      </c>
      <c r="B3371" s="8">
        <v>8.0062420000000003</v>
      </c>
    </row>
    <row r="3372" spans="1:2" x14ac:dyDescent="0.25">
      <c r="A3372" s="1">
        <v>3372</v>
      </c>
      <c r="B3372" s="8">
        <v>8.0065200000000001</v>
      </c>
    </row>
    <row r="3373" spans="1:2" x14ac:dyDescent="0.25">
      <c r="A3373" s="1">
        <v>3373</v>
      </c>
      <c r="B3373" s="8">
        <v>8.0067979999999999</v>
      </c>
    </row>
    <row r="3374" spans="1:2" x14ac:dyDescent="0.25">
      <c r="A3374" s="1">
        <v>3374</v>
      </c>
      <c r="B3374" s="8">
        <v>8.0070759999999996</v>
      </c>
    </row>
    <row r="3375" spans="1:2" x14ac:dyDescent="0.25">
      <c r="A3375" s="1">
        <v>3375</v>
      </c>
      <c r="B3375" s="8">
        <v>8.0073539999999994</v>
      </c>
    </row>
    <row r="3376" spans="1:2" x14ac:dyDescent="0.25">
      <c r="A3376" s="1">
        <v>3376</v>
      </c>
      <c r="B3376" s="8">
        <v>8.0076319999999992</v>
      </c>
    </row>
    <row r="3377" spans="1:2" x14ac:dyDescent="0.25">
      <c r="A3377" s="1">
        <v>3377</v>
      </c>
      <c r="B3377" s="8">
        <v>8.0079100000000007</v>
      </c>
    </row>
    <row r="3378" spans="1:2" x14ac:dyDescent="0.25">
      <c r="A3378" s="1">
        <v>3378</v>
      </c>
      <c r="B3378" s="8">
        <v>8.0081880000000005</v>
      </c>
    </row>
    <row r="3379" spans="1:2" x14ac:dyDescent="0.25">
      <c r="A3379" s="1">
        <v>3379</v>
      </c>
      <c r="B3379" s="8">
        <v>8.0084660000000003</v>
      </c>
    </row>
    <row r="3380" spans="1:2" x14ac:dyDescent="0.25">
      <c r="A3380" s="1">
        <v>3380</v>
      </c>
      <c r="B3380" s="8">
        <v>8.0087440000000001</v>
      </c>
    </row>
    <row r="3381" spans="1:2" x14ac:dyDescent="0.25">
      <c r="A3381" s="1">
        <v>3381</v>
      </c>
      <c r="B3381" s="8">
        <v>8.0090219999999999</v>
      </c>
    </row>
    <row r="3382" spans="1:2" x14ac:dyDescent="0.25">
      <c r="A3382" s="1">
        <v>3382</v>
      </c>
      <c r="B3382" s="8">
        <v>8.0092999999999996</v>
      </c>
    </row>
    <row r="3383" spans="1:2" x14ac:dyDescent="0.25">
      <c r="A3383" s="1">
        <v>3383</v>
      </c>
      <c r="B3383" s="8">
        <v>8.0095779999999994</v>
      </c>
    </row>
    <row r="3384" spans="1:2" x14ac:dyDescent="0.25">
      <c r="A3384" s="1">
        <v>3384</v>
      </c>
      <c r="B3384" s="8">
        <v>8.0098559999999992</v>
      </c>
    </row>
    <row r="3385" spans="1:2" x14ac:dyDescent="0.25">
      <c r="A3385" s="1">
        <v>3385</v>
      </c>
      <c r="B3385" s="8">
        <v>8.0101340000000008</v>
      </c>
    </row>
    <row r="3386" spans="1:2" x14ac:dyDescent="0.25">
      <c r="A3386" s="1">
        <v>3386</v>
      </c>
      <c r="B3386" s="8">
        <v>8.0104120000000005</v>
      </c>
    </row>
    <row r="3387" spans="1:2" x14ac:dyDescent="0.25">
      <c r="A3387" s="1">
        <v>3387</v>
      </c>
      <c r="B3387" s="8">
        <v>8.0106900000000003</v>
      </c>
    </row>
    <row r="3388" spans="1:2" x14ac:dyDescent="0.25">
      <c r="A3388" s="1">
        <v>3388</v>
      </c>
      <c r="B3388" s="8">
        <v>8.0109680000000001</v>
      </c>
    </row>
    <row r="3389" spans="1:2" x14ac:dyDescent="0.25">
      <c r="A3389" s="1">
        <v>3389</v>
      </c>
      <c r="B3389" s="8">
        <v>8.0112459999999999</v>
      </c>
    </row>
    <row r="3390" spans="1:2" x14ac:dyDescent="0.25">
      <c r="A3390" s="1">
        <v>3390</v>
      </c>
      <c r="B3390" s="8">
        <v>8.0115239999999996</v>
      </c>
    </row>
    <row r="3391" spans="1:2" x14ac:dyDescent="0.25">
      <c r="A3391" s="1">
        <v>3391</v>
      </c>
      <c r="B3391" s="8">
        <v>8.0118019999999994</v>
      </c>
    </row>
    <row r="3392" spans="1:2" x14ac:dyDescent="0.25">
      <c r="A3392" s="1">
        <v>3392</v>
      </c>
      <c r="B3392" s="8">
        <v>8.0120799999999992</v>
      </c>
    </row>
    <row r="3393" spans="1:2" x14ac:dyDescent="0.25">
      <c r="A3393" s="1">
        <v>3393</v>
      </c>
      <c r="B3393" s="8">
        <v>8.0123580000000008</v>
      </c>
    </row>
    <row r="3394" spans="1:2" x14ac:dyDescent="0.25">
      <c r="A3394" s="1">
        <v>3394</v>
      </c>
      <c r="B3394" s="8">
        <v>8.0126360000000005</v>
      </c>
    </row>
    <row r="3395" spans="1:2" x14ac:dyDescent="0.25">
      <c r="A3395" s="1">
        <v>3395</v>
      </c>
      <c r="B3395" s="8">
        <v>8.0129140000000003</v>
      </c>
    </row>
    <row r="3396" spans="1:2" x14ac:dyDescent="0.25">
      <c r="A3396" s="1">
        <v>3396</v>
      </c>
      <c r="B3396" s="8">
        <v>8.0131920000000001</v>
      </c>
    </row>
    <row r="3397" spans="1:2" x14ac:dyDescent="0.25">
      <c r="A3397" s="1">
        <v>3397</v>
      </c>
      <c r="B3397" s="8">
        <v>8.0134699999999999</v>
      </c>
    </row>
    <row r="3398" spans="1:2" x14ac:dyDescent="0.25">
      <c r="A3398" s="1">
        <v>3398</v>
      </c>
      <c r="B3398" s="8">
        <v>8.0137479999999996</v>
      </c>
    </row>
    <row r="3399" spans="1:2" x14ac:dyDescent="0.25">
      <c r="A3399" s="1">
        <v>3399</v>
      </c>
      <c r="B3399" s="8">
        <v>8.0140259999999994</v>
      </c>
    </row>
    <row r="3400" spans="1:2" x14ac:dyDescent="0.25">
      <c r="A3400" s="1">
        <v>3400</v>
      </c>
      <c r="B3400" s="8">
        <v>8.0143039999999992</v>
      </c>
    </row>
    <row r="3401" spans="1:2" x14ac:dyDescent="0.25">
      <c r="A3401" s="1">
        <v>3401</v>
      </c>
      <c r="B3401" s="8">
        <v>8.0145820000000008</v>
      </c>
    </row>
    <row r="3402" spans="1:2" x14ac:dyDescent="0.25">
      <c r="A3402" s="1">
        <v>3402</v>
      </c>
      <c r="B3402" s="8">
        <v>8.0148600000000005</v>
      </c>
    </row>
    <row r="3403" spans="1:2" x14ac:dyDescent="0.25">
      <c r="A3403" s="1">
        <v>3403</v>
      </c>
      <c r="B3403" s="8">
        <v>8.0151380000000003</v>
      </c>
    </row>
    <row r="3404" spans="1:2" x14ac:dyDescent="0.25">
      <c r="A3404" s="1">
        <v>3404</v>
      </c>
      <c r="B3404" s="8">
        <v>8.0154160000000001</v>
      </c>
    </row>
    <row r="3405" spans="1:2" x14ac:dyDescent="0.25">
      <c r="A3405" s="1">
        <v>3405</v>
      </c>
      <c r="B3405" s="8">
        <v>8.0156939999999999</v>
      </c>
    </row>
    <row r="3406" spans="1:2" x14ac:dyDescent="0.25">
      <c r="A3406" s="1">
        <v>3406</v>
      </c>
      <c r="B3406" s="8">
        <v>8.0159719999999997</v>
      </c>
    </row>
    <row r="3407" spans="1:2" x14ac:dyDescent="0.25">
      <c r="A3407" s="1">
        <v>3407</v>
      </c>
      <c r="B3407" s="8">
        <v>8.0162499999999994</v>
      </c>
    </row>
    <row r="3408" spans="1:2" x14ac:dyDescent="0.25">
      <c r="A3408" s="1">
        <v>3408</v>
      </c>
      <c r="B3408" s="8">
        <v>8.0165279999999992</v>
      </c>
    </row>
    <row r="3409" spans="1:2" x14ac:dyDescent="0.25">
      <c r="A3409" s="1">
        <v>3409</v>
      </c>
      <c r="B3409" s="8">
        <v>8.0168060000000008</v>
      </c>
    </row>
    <row r="3410" spans="1:2" x14ac:dyDescent="0.25">
      <c r="A3410" s="1">
        <v>3410</v>
      </c>
      <c r="B3410" s="8">
        <v>8.0170840000000005</v>
      </c>
    </row>
    <row r="3411" spans="1:2" x14ac:dyDescent="0.25">
      <c r="A3411" s="1">
        <v>3411</v>
      </c>
      <c r="B3411" s="8">
        <v>8.0173620000000003</v>
      </c>
    </row>
    <row r="3412" spans="1:2" x14ac:dyDescent="0.25">
      <c r="A3412" s="1">
        <v>3412</v>
      </c>
      <c r="B3412" s="8">
        <v>8.0176400000000001</v>
      </c>
    </row>
    <row r="3413" spans="1:2" x14ac:dyDescent="0.25">
      <c r="A3413" s="1">
        <v>3413</v>
      </c>
      <c r="B3413" s="8">
        <v>8.0179179999999999</v>
      </c>
    </row>
    <row r="3414" spans="1:2" x14ac:dyDescent="0.25">
      <c r="A3414" s="1">
        <v>3414</v>
      </c>
      <c r="B3414" s="8">
        <v>8.0181959999999997</v>
      </c>
    </row>
    <row r="3415" spans="1:2" x14ac:dyDescent="0.25">
      <c r="A3415" s="1">
        <v>3415</v>
      </c>
      <c r="B3415" s="8">
        <v>8.0184739999999994</v>
      </c>
    </row>
    <row r="3416" spans="1:2" x14ac:dyDescent="0.25">
      <c r="A3416" s="1">
        <v>3416</v>
      </c>
      <c r="B3416" s="8">
        <v>8.0187519999999992</v>
      </c>
    </row>
    <row r="3417" spans="1:2" x14ac:dyDescent="0.25">
      <c r="A3417" s="1">
        <v>3417</v>
      </c>
      <c r="B3417" s="8">
        <v>8.0190300000000008</v>
      </c>
    </row>
    <row r="3418" spans="1:2" x14ac:dyDescent="0.25">
      <c r="A3418" s="1">
        <v>3418</v>
      </c>
      <c r="B3418" s="8">
        <v>8.0193080000000005</v>
      </c>
    </row>
    <row r="3419" spans="1:2" x14ac:dyDescent="0.25">
      <c r="A3419" s="1">
        <v>3419</v>
      </c>
      <c r="B3419" s="8">
        <v>8.0195860000000003</v>
      </c>
    </row>
    <row r="3420" spans="1:2" x14ac:dyDescent="0.25">
      <c r="A3420" s="1">
        <v>3420</v>
      </c>
      <c r="B3420" s="8">
        <v>8.0198640000000001</v>
      </c>
    </row>
    <row r="3421" spans="1:2" x14ac:dyDescent="0.25">
      <c r="A3421" s="1">
        <v>3421</v>
      </c>
      <c r="B3421" s="8">
        <v>8.0201419999999999</v>
      </c>
    </row>
    <row r="3422" spans="1:2" x14ac:dyDescent="0.25">
      <c r="A3422" s="1">
        <v>3422</v>
      </c>
      <c r="B3422" s="8">
        <v>8.0204199999999997</v>
      </c>
    </row>
    <row r="3423" spans="1:2" x14ac:dyDescent="0.25">
      <c r="A3423" s="1">
        <v>3423</v>
      </c>
      <c r="B3423" s="8">
        <v>8.0206979999999994</v>
      </c>
    </row>
    <row r="3424" spans="1:2" x14ac:dyDescent="0.25">
      <c r="A3424" s="1">
        <v>3424</v>
      </c>
      <c r="B3424" s="8">
        <v>8.0209759999999992</v>
      </c>
    </row>
    <row r="3425" spans="1:2" x14ac:dyDescent="0.25">
      <c r="A3425" s="1">
        <v>3425</v>
      </c>
      <c r="B3425" s="8">
        <v>8.0212540000000008</v>
      </c>
    </row>
    <row r="3426" spans="1:2" x14ac:dyDescent="0.25">
      <c r="A3426" s="1">
        <v>3426</v>
      </c>
      <c r="B3426" s="8">
        <v>8.0215320000000006</v>
      </c>
    </row>
    <row r="3427" spans="1:2" x14ac:dyDescent="0.25">
      <c r="A3427" s="1">
        <v>3427</v>
      </c>
      <c r="B3427" s="8">
        <v>8.0218100000000003</v>
      </c>
    </row>
    <row r="3428" spans="1:2" x14ac:dyDescent="0.25">
      <c r="A3428" s="1">
        <v>3428</v>
      </c>
      <c r="B3428" s="8">
        <v>8.0220880000000001</v>
      </c>
    </row>
    <row r="3429" spans="1:2" x14ac:dyDescent="0.25">
      <c r="A3429" s="1">
        <v>3429</v>
      </c>
      <c r="B3429" s="8">
        <v>8.0223659999999999</v>
      </c>
    </row>
    <row r="3430" spans="1:2" x14ac:dyDescent="0.25">
      <c r="A3430" s="1">
        <v>3430</v>
      </c>
      <c r="B3430" s="8">
        <v>8.0226439999999997</v>
      </c>
    </row>
    <row r="3431" spans="1:2" x14ac:dyDescent="0.25">
      <c r="A3431" s="1">
        <v>3431</v>
      </c>
      <c r="B3431" s="8">
        <v>8.0229219999999994</v>
      </c>
    </row>
    <row r="3432" spans="1:2" x14ac:dyDescent="0.25">
      <c r="A3432" s="1">
        <v>3432</v>
      </c>
      <c r="B3432" s="8">
        <v>8.0231999999999992</v>
      </c>
    </row>
    <row r="3433" spans="1:2" x14ac:dyDescent="0.25">
      <c r="A3433" s="1">
        <v>3433</v>
      </c>
      <c r="B3433" s="8">
        <v>8.0234780000000008</v>
      </c>
    </row>
    <row r="3434" spans="1:2" x14ac:dyDescent="0.25">
      <c r="A3434" s="1">
        <v>3434</v>
      </c>
      <c r="B3434" s="8">
        <v>8.0237560000000006</v>
      </c>
    </row>
    <row r="3435" spans="1:2" x14ac:dyDescent="0.25">
      <c r="A3435" s="1">
        <v>3435</v>
      </c>
      <c r="B3435" s="8">
        <v>8.0240340000000003</v>
      </c>
    </row>
    <row r="3436" spans="1:2" x14ac:dyDescent="0.25">
      <c r="A3436" s="1">
        <v>3436</v>
      </c>
      <c r="B3436" s="8">
        <v>8.0243120000000001</v>
      </c>
    </row>
    <row r="3437" spans="1:2" x14ac:dyDescent="0.25">
      <c r="A3437" s="1">
        <v>3437</v>
      </c>
      <c r="B3437" s="8">
        <v>8.0245899999999999</v>
      </c>
    </row>
    <row r="3438" spans="1:2" x14ac:dyDescent="0.25">
      <c r="A3438" s="1">
        <v>3438</v>
      </c>
      <c r="B3438" s="8">
        <v>8.0248679999999997</v>
      </c>
    </row>
    <row r="3439" spans="1:2" x14ac:dyDescent="0.25">
      <c r="A3439" s="1">
        <v>3439</v>
      </c>
      <c r="B3439" s="8">
        <v>8.0251459999999994</v>
      </c>
    </row>
    <row r="3440" spans="1:2" x14ac:dyDescent="0.25">
      <c r="A3440" s="1">
        <v>3440</v>
      </c>
      <c r="B3440" s="8">
        <v>8.0254239999999992</v>
      </c>
    </row>
    <row r="3441" spans="1:2" x14ac:dyDescent="0.25">
      <c r="A3441" s="1">
        <v>3441</v>
      </c>
      <c r="B3441" s="8">
        <v>8.0257020000000008</v>
      </c>
    </row>
    <row r="3442" spans="1:2" x14ac:dyDescent="0.25">
      <c r="A3442" s="1">
        <v>3442</v>
      </c>
      <c r="B3442" s="8">
        <v>8.0259800000000006</v>
      </c>
    </row>
    <row r="3443" spans="1:2" x14ac:dyDescent="0.25">
      <c r="A3443" s="1">
        <v>3443</v>
      </c>
      <c r="B3443" s="8">
        <v>8.0262580000000003</v>
      </c>
    </row>
    <row r="3444" spans="1:2" x14ac:dyDescent="0.25">
      <c r="A3444" s="1">
        <v>3444</v>
      </c>
      <c r="B3444" s="8">
        <v>8.0265360000000001</v>
      </c>
    </row>
    <row r="3445" spans="1:2" x14ac:dyDescent="0.25">
      <c r="A3445" s="1">
        <v>3445</v>
      </c>
      <c r="B3445" s="8">
        <v>8.0268139999999999</v>
      </c>
    </row>
    <row r="3446" spans="1:2" x14ac:dyDescent="0.25">
      <c r="A3446" s="1">
        <v>3446</v>
      </c>
      <c r="B3446" s="8">
        <v>8.0270919999999997</v>
      </c>
    </row>
    <row r="3447" spans="1:2" x14ac:dyDescent="0.25">
      <c r="A3447" s="1">
        <v>3447</v>
      </c>
      <c r="B3447" s="8">
        <v>8.0273690000000002</v>
      </c>
    </row>
    <row r="3448" spans="1:2" x14ac:dyDescent="0.25">
      <c r="A3448" s="1">
        <v>3448</v>
      </c>
      <c r="B3448" s="8">
        <v>8.0276479999999992</v>
      </c>
    </row>
    <row r="3449" spans="1:2" x14ac:dyDescent="0.25">
      <c r="A3449" s="1">
        <v>3449</v>
      </c>
      <c r="B3449" s="8">
        <v>8.0279249999999998</v>
      </c>
    </row>
    <row r="3450" spans="1:2" x14ac:dyDescent="0.25">
      <c r="A3450" s="1">
        <v>3450</v>
      </c>
      <c r="B3450" s="8">
        <v>8.0282040000000006</v>
      </c>
    </row>
    <row r="3451" spans="1:2" x14ac:dyDescent="0.25">
      <c r="A3451" s="1">
        <v>3451</v>
      </c>
      <c r="B3451" s="8">
        <v>8.0284809999999993</v>
      </c>
    </row>
    <row r="3452" spans="1:2" x14ac:dyDescent="0.25">
      <c r="A3452" s="1">
        <v>3452</v>
      </c>
      <c r="B3452" s="8">
        <v>8.0287600000000001</v>
      </c>
    </row>
    <row r="3453" spans="1:2" x14ac:dyDescent="0.25">
      <c r="A3453" s="1">
        <v>3453</v>
      </c>
      <c r="B3453" s="8">
        <v>8.0290370000000006</v>
      </c>
    </row>
    <row r="3454" spans="1:2" x14ac:dyDescent="0.25">
      <c r="A3454" s="1">
        <v>3454</v>
      </c>
      <c r="B3454" s="8">
        <v>8.0293159999999997</v>
      </c>
    </row>
    <row r="3455" spans="1:2" x14ac:dyDescent="0.25">
      <c r="A3455" s="1">
        <v>3455</v>
      </c>
      <c r="B3455" s="8">
        <v>8.0295930000000002</v>
      </c>
    </row>
    <row r="3456" spans="1:2" x14ac:dyDescent="0.25">
      <c r="A3456" s="1">
        <v>3456</v>
      </c>
      <c r="B3456" s="8">
        <v>8.0298719999999992</v>
      </c>
    </row>
    <row r="3457" spans="1:2" x14ac:dyDescent="0.25">
      <c r="A3457" s="1">
        <v>3457</v>
      </c>
      <c r="B3457" s="8">
        <v>8.0301489999999998</v>
      </c>
    </row>
    <row r="3458" spans="1:2" x14ac:dyDescent="0.25">
      <c r="A3458" s="1">
        <v>3458</v>
      </c>
      <c r="B3458" s="8">
        <v>8.0304280000000006</v>
      </c>
    </row>
    <row r="3459" spans="1:2" x14ac:dyDescent="0.25">
      <c r="A3459" s="1">
        <v>3459</v>
      </c>
      <c r="B3459" s="8">
        <v>8.0307049999999993</v>
      </c>
    </row>
    <row r="3460" spans="1:2" x14ac:dyDescent="0.25">
      <c r="A3460" s="1">
        <v>3460</v>
      </c>
      <c r="B3460" s="8">
        <v>8.0309840000000001</v>
      </c>
    </row>
    <row r="3461" spans="1:2" x14ac:dyDescent="0.25">
      <c r="A3461" s="1">
        <v>3461</v>
      </c>
      <c r="B3461" s="8">
        <v>8.0312610000000006</v>
      </c>
    </row>
    <row r="3462" spans="1:2" x14ac:dyDescent="0.25">
      <c r="A3462" s="1">
        <v>3462</v>
      </c>
      <c r="B3462" s="8">
        <v>8.0315399999999997</v>
      </c>
    </row>
    <row r="3463" spans="1:2" x14ac:dyDescent="0.25">
      <c r="A3463" s="1">
        <v>3463</v>
      </c>
      <c r="B3463" s="8">
        <v>8.0318170000000002</v>
      </c>
    </row>
    <row r="3464" spans="1:2" x14ac:dyDescent="0.25">
      <c r="A3464" s="1">
        <v>3464</v>
      </c>
      <c r="B3464" s="8">
        <v>8.0320959999999992</v>
      </c>
    </row>
    <row r="3465" spans="1:2" x14ac:dyDescent="0.25">
      <c r="A3465" s="1">
        <v>3465</v>
      </c>
      <c r="B3465" s="8">
        <v>8.0323729999999998</v>
      </c>
    </row>
    <row r="3466" spans="1:2" x14ac:dyDescent="0.25">
      <c r="A3466" s="1">
        <v>3466</v>
      </c>
      <c r="B3466" s="8">
        <v>8.0326520000000006</v>
      </c>
    </row>
    <row r="3467" spans="1:2" x14ac:dyDescent="0.25">
      <c r="A3467" s="1">
        <v>3467</v>
      </c>
      <c r="B3467" s="8">
        <v>8.0329289999999993</v>
      </c>
    </row>
    <row r="3468" spans="1:2" x14ac:dyDescent="0.25">
      <c r="A3468" s="1">
        <v>3468</v>
      </c>
      <c r="B3468" s="8">
        <v>8.0332080000000001</v>
      </c>
    </row>
    <row r="3469" spans="1:2" x14ac:dyDescent="0.25">
      <c r="A3469" s="1">
        <v>3469</v>
      </c>
      <c r="B3469" s="8">
        <v>8.0334850000000007</v>
      </c>
    </row>
    <row r="3470" spans="1:2" x14ac:dyDescent="0.25">
      <c r="A3470" s="1">
        <v>3470</v>
      </c>
      <c r="B3470" s="8">
        <v>8.0337639999999997</v>
      </c>
    </row>
    <row r="3471" spans="1:2" x14ac:dyDescent="0.25">
      <c r="A3471" s="1">
        <v>3471</v>
      </c>
      <c r="B3471" s="8">
        <v>8.0340410000000002</v>
      </c>
    </row>
    <row r="3472" spans="1:2" x14ac:dyDescent="0.25">
      <c r="A3472" s="1">
        <v>3472</v>
      </c>
      <c r="B3472" s="8">
        <v>8.0343199999999992</v>
      </c>
    </row>
    <row r="3473" spans="1:2" x14ac:dyDescent="0.25">
      <c r="A3473" s="1">
        <v>3473</v>
      </c>
      <c r="B3473" s="8">
        <v>8.0345969999999998</v>
      </c>
    </row>
    <row r="3474" spans="1:2" x14ac:dyDescent="0.25">
      <c r="A3474" s="1">
        <v>3474</v>
      </c>
      <c r="B3474" s="8">
        <v>8.0348760000000006</v>
      </c>
    </row>
    <row r="3475" spans="1:2" x14ac:dyDescent="0.25">
      <c r="A3475" s="1">
        <v>3475</v>
      </c>
      <c r="B3475" s="8">
        <v>8.0351529999999993</v>
      </c>
    </row>
    <row r="3476" spans="1:2" x14ac:dyDescent="0.25">
      <c r="A3476" s="1">
        <v>3476</v>
      </c>
      <c r="B3476" s="8">
        <v>8.0354320000000001</v>
      </c>
    </row>
    <row r="3477" spans="1:2" x14ac:dyDescent="0.25">
      <c r="A3477" s="1">
        <v>3477</v>
      </c>
      <c r="B3477" s="8">
        <v>8.0357090000000007</v>
      </c>
    </row>
    <row r="3478" spans="1:2" x14ac:dyDescent="0.25">
      <c r="A3478" s="1">
        <v>3478</v>
      </c>
      <c r="B3478" s="8">
        <v>8.0359879999999997</v>
      </c>
    </row>
    <row r="3479" spans="1:2" x14ac:dyDescent="0.25">
      <c r="A3479" s="1">
        <v>3479</v>
      </c>
      <c r="B3479" s="8">
        <v>8.0362650000000002</v>
      </c>
    </row>
    <row r="3480" spans="1:2" x14ac:dyDescent="0.25">
      <c r="A3480" s="1">
        <v>3480</v>
      </c>
      <c r="B3480" s="8">
        <v>8.0365439999999992</v>
      </c>
    </row>
    <row r="3481" spans="1:2" x14ac:dyDescent="0.25">
      <c r="A3481" s="1">
        <v>3481</v>
      </c>
      <c r="B3481" s="8">
        <v>8.0368209999999998</v>
      </c>
    </row>
    <row r="3482" spans="1:2" x14ac:dyDescent="0.25">
      <c r="A3482" s="1">
        <v>3482</v>
      </c>
      <c r="B3482" s="8">
        <v>8.0371000000000006</v>
      </c>
    </row>
    <row r="3483" spans="1:2" x14ac:dyDescent="0.25">
      <c r="A3483" s="1">
        <v>3483</v>
      </c>
      <c r="B3483" s="8">
        <v>8.0373769999999993</v>
      </c>
    </row>
    <row r="3484" spans="1:2" x14ac:dyDescent="0.25">
      <c r="A3484" s="1">
        <v>3484</v>
      </c>
      <c r="B3484" s="8">
        <v>8.0376560000000001</v>
      </c>
    </row>
    <row r="3485" spans="1:2" x14ac:dyDescent="0.25">
      <c r="A3485" s="1">
        <v>3485</v>
      </c>
      <c r="B3485" s="8">
        <v>8.0379330000000007</v>
      </c>
    </row>
    <row r="3486" spans="1:2" x14ac:dyDescent="0.25">
      <c r="A3486" s="1">
        <v>3486</v>
      </c>
      <c r="B3486" s="8">
        <v>8.0382119999999997</v>
      </c>
    </row>
    <row r="3487" spans="1:2" x14ac:dyDescent="0.25">
      <c r="A3487" s="1">
        <v>3487</v>
      </c>
      <c r="B3487" s="8">
        <v>8.0384890000000002</v>
      </c>
    </row>
    <row r="3488" spans="1:2" x14ac:dyDescent="0.25">
      <c r="A3488" s="1">
        <v>3488</v>
      </c>
      <c r="B3488" s="8">
        <v>8.0387679999999992</v>
      </c>
    </row>
    <row r="3489" spans="1:2" x14ac:dyDescent="0.25">
      <c r="A3489" s="1">
        <v>3489</v>
      </c>
      <c r="B3489" s="8">
        <v>8.0390449999999998</v>
      </c>
    </row>
    <row r="3490" spans="1:2" x14ac:dyDescent="0.25">
      <c r="A3490" s="1">
        <v>3490</v>
      </c>
      <c r="B3490" s="8">
        <v>8.0393240000000006</v>
      </c>
    </row>
    <row r="3491" spans="1:2" x14ac:dyDescent="0.25">
      <c r="A3491" s="1">
        <v>3491</v>
      </c>
      <c r="B3491" s="8">
        <v>8.0396009999999993</v>
      </c>
    </row>
    <row r="3492" spans="1:2" x14ac:dyDescent="0.25">
      <c r="A3492" s="1">
        <v>3492</v>
      </c>
      <c r="B3492" s="8">
        <v>8.0398800000000001</v>
      </c>
    </row>
    <row r="3493" spans="1:2" x14ac:dyDescent="0.25">
      <c r="A3493" s="1">
        <v>3493</v>
      </c>
      <c r="B3493" s="8">
        <v>8.0401570000000007</v>
      </c>
    </row>
    <row r="3494" spans="1:2" x14ac:dyDescent="0.25">
      <c r="A3494" s="1">
        <v>3494</v>
      </c>
      <c r="B3494" s="8">
        <v>8.0404359999999997</v>
      </c>
    </row>
    <row r="3495" spans="1:2" x14ac:dyDescent="0.25">
      <c r="A3495" s="1">
        <v>3495</v>
      </c>
      <c r="B3495" s="8">
        <v>8.0407130000000002</v>
      </c>
    </row>
    <row r="3496" spans="1:2" x14ac:dyDescent="0.25">
      <c r="A3496" s="1">
        <v>3496</v>
      </c>
      <c r="B3496" s="8">
        <v>8.0409919999999993</v>
      </c>
    </row>
    <row r="3497" spans="1:2" x14ac:dyDescent="0.25">
      <c r="A3497" s="1">
        <v>3497</v>
      </c>
      <c r="B3497" s="8">
        <v>8.0412689999999998</v>
      </c>
    </row>
    <row r="3498" spans="1:2" x14ac:dyDescent="0.25">
      <c r="A3498" s="1">
        <v>3498</v>
      </c>
      <c r="B3498" s="8">
        <v>8.0415480000000006</v>
      </c>
    </row>
    <row r="3499" spans="1:2" x14ac:dyDescent="0.25">
      <c r="A3499" s="1">
        <v>3499</v>
      </c>
      <c r="B3499" s="8">
        <v>8.0418249999999993</v>
      </c>
    </row>
    <row r="3500" spans="1:2" x14ac:dyDescent="0.25">
      <c r="A3500" s="1">
        <v>3500</v>
      </c>
      <c r="B3500" s="8">
        <v>8.0421040000000001</v>
      </c>
    </row>
    <row r="3501" spans="1:2" x14ac:dyDescent="0.25">
      <c r="A3501" s="1">
        <v>3501</v>
      </c>
      <c r="B3501" s="8">
        <v>8.0423810000000007</v>
      </c>
    </row>
    <row r="3502" spans="1:2" x14ac:dyDescent="0.25">
      <c r="A3502" s="1">
        <v>3502</v>
      </c>
      <c r="B3502" s="8">
        <v>8.0426599999999997</v>
      </c>
    </row>
    <row r="3503" spans="1:2" x14ac:dyDescent="0.25">
      <c r="A3503" s="1">
        <v>3503</v>
      </c>
      <c r="B3503" s="8">
        <v>8.0429379999999995</v>
      </c>
    </row>
    <row r="3504" spans="1:2" x14ac:dyDescent="0.25">
      <c r="A3504" s="1">
        <v>3504</v>
      </c>
      <c r="B3504" s="8">
        <v>8.0432159999999993</v>
      </c>
    </row>
    <row r="3505" spans="1:2" x14ac:dyDescent="0.25">
      <c r="A3505" s="1">
        <v>3505</v>
      </c>
      <c r="B3505" s="8">
        <v>8.0434929999999998</v>
      </c>
    </row>
    <row r="3506" spans="1:2" x14ac:dyDescent="0.25">
      <c r="A3506" s="1">
        <v>3506</v>
      </c>
      <c r="B3506" s="8">
        <v>8.0437720000000006</v>
      </c>
    </row>
    <row r="3507" spans="1:2" x14ac:dyDescent="0.25">
      <c r="A3507" s="1">
        <v>3507</v>
      </c>
      <c r="B3507" s="8">
        <v>8.0440500000000004</v>
      </c>
    </row>
    <row r="3508" spans="1:2" x14ac:dyDescent="0.25">
      <c r="A3508" s="1">
        <v>3508</v>
      </c>
      <c r="B3508" s="8">
        <v>8.0443280000000001</v>
      </c>
    </row>
    <row r="3509" spans="1:2" x14ac:dyDescent="0.25">
      <c r="A3509" s="1">
        <v>3509</v>
      </c>
      <c r="B3509" s="8">
        <v>8.0446050000000007</v>
      </c>
    </row>
    <row r="3510" spans="1:2" x14ac:dyDescent="0.25">
      <c r="A3510" s="1">
        <v>3510</v>
      </c>
      <c r="B3510" s="8">
        <v>8.0448839999999997</v>
      </c>
    </row>
    <row r="3511" spans="1:2" x14ac:dyDescent="0.25">
      <c r="A3511" s="1">
        <v>3511</v>
      </c>
      <c r="B3511" s="8">
        <v>8.0451619999999995</v>
      </c>
    </row>
    <row r="3512" spans="1:2" x14ac:dyDescent="0.25">
      <c r="A3512" s="1">
        <v>3512</v>
      </c>
      <c r="B3512" s="8">
        <v>8.0454399999999993</v>
      </c>
    </row>
    <row r="3513" spans="1:2" x14ac:dyDescent="0.25">
      <c r="A3513" s="1">
        <v>3513</v>
      </c>
      <c r="B3513" s="8">
        <v>8.0457169999999998</v>
      </c>
    </row>
    <row r="3514" spans="1:2" x14ac:dyDescent="0.25">
      <c r="A3514" s="1">
        <v>3514</v>
      </c>
      <c r="B3514" s="8">
        <v>8.0459960000000006</v>
      </c>
    </row>
    <row r="3515" spans="1:2" x14ac:dyDescent="0.25">
      <c r="A3515" s="1">
        <v>3515</v>
      </c>
      <c r="B3515" s="8">
        <v>8.0462740000000004</v>
      </c>
    </row>
    <row r="3516" spans="1:2" x14ac:dyDescent="0.25">
      <c r="A3516" s="1">
        <v>3516</v>
      </c>
      <c r="B3516" s="8">
        <v>8.0465520000000001</v>
      </c>
    </row>
    <row r="3517" spans="1:2" x14ac:dyDescent="0.25">
      <c r="A3517" s="1">
        <v>3517</v>
      </c>
      <c r="B3517" s="8">
        <v>8.0468290000000007</v>
      </c>
    </row>
    <row r="3518" spans="1:2" x14ac:dyDescent="0.25">
      <c r="A3518" s="1">
        <v>3518</v>
      </c>
      <c r="B3518" s="8">
        <v>8.0471079999999997</v>
      </c>
    </row>
    <row r="3519" spans="1:2" x14ac:dyDescent="0.25">
      <c r="A3519" s="1">
        <v>3519</v>
      </c>
      <c r="B3519" s="8">
        <v>8.0473859999999995</v>
      </c>
    </row>
    <row r="3520" spans="1:2" x14ac:dyDescent="0.25">
      <c r="A3520" s="1">
        <v>3520</v>
      </c>
      <c r="B3520" s="8">
        <v>8.0476639999999993</v>
      </c>
    </row>
    <row r="3521" spans="1:2" x14ac:dyDescent="0.25">
      <c r="A3521" s="1">
        <v>3521</v>
      </c>
      <c r="B3521" s="8">
        <v>8.0479409999999998</v>
      </c>
    </row>
    <row r="3522" spans="1:2" x14ac:dyDescent="0.25">
      <c r="A3522" s="1">
        <v>3522</v>
      </c>
      <c r="B3522" s="8">
        <v>8.0482200000000006</v>
      </c>
    </row>
    <row r="3523" spans="1:2" x14ac:dyDescent="0.25">
      <c r="A3523" s="1">
        <v>3523</v>
      </c>
      <c r="B3523" s="8">
        <v>8.0484980000000004</v>
      </c>
    </row>
    <row r="3524" spans="1:2" x14ac:dyDescent="0.25">
      <c r="A3524" s="1">
        <v>3524</v>
      </c>
      <c r="B3524" s="8">
        <v>8.0487760000000002</v>
      </c>
    </row>
    <row r="3525" spans="1:2" x14ac:dyDescent="0.25">
      <c r="A3525" s="1">
        <v>3525</v>
      </c>
      <c r="B3525" s="8">
        <v>8.0490539999999999</v>
      </c>
    </row>
    <row r="3526" spans="1:2" x14ac:dyDescent="0.25">
      <c r="A3526" s="1">
        <v>3526</v>
      </c>
      <c r="B3526" s="8">
        <v>8.0493319999999997</v>
      </c>
    </row>
    <row r="3527" spans="1:2" x14ac:dyDescent="0.25">
      <c r="A3527" s="1">
        <v>3527</v>
      </c>
      <c r="B3527" s="8">
        <v>8.0496099999999995</v>
      </c>
    </row>
    <row r="3528" spans="1:2" x14ac:dyDescent="0.25">
      <c r="A3528" s="1">
        <v>3528</v>
      </c>
      <c r="B3528" s="8">
        <v>8.0498879999999993</v>
      </c>
    </row>
    <row r="3529" spans="1:2" x14ac:dyDescent="0.25">
      <c r="A3529" s="1">
        <v>3529</v>
      </c>
      <c r="B3529" s="8">
        <v>8.0501660000000008</v>
      </c>
    </row>
    <row r="3530" spans="1:2" x14ac:dyDescent="0.25">
      <c r="A3530" s="1">
        <v>3530</v>
      </c>
      <c r="B3530" s="8">
        <v>8.0504440000000006</v>
      </c>
    </row>
    <row r="3531" spans="1:2" x14ac:dyDescent="0.25">
      <c r="A3531" s="1">
        <v>3531</v>
      </c>
      <c r="B3531" s="8">
        <v>8.0507220000000004</v>
      </c>
    </row>
    <row r="3532" spans="1:2" x14ac:dyDescent="0.25">
      <c r="A3532" s="1">
        <v>3532</v>
      </c>
      <c r="B3532" s="8">
        <v>8.0510000000000002</v>
      </c>
    </row>
    <row r="3533" spans="1:2" x14ac:dyDescent="0.25">
      <c r="A3533" s="1">
        <v>3534</v>
      </c>
      <c r="B3533" s="8">
        <v>8.4223809999999997</v>
      </c>
    </row>
    <row r="3534" spans="1:2" x14ac:dyDescent="0.25">
      <c r="A3534" s="1">
        <v>3535</v>
      </c>
      <c r="B3534" s="8">
        <v>8.4226600000000005</v>
      </c>
    </row>
    <row r="3535" spans="1:2" x14ac:dyDescent="0.25">
      <c r="A3535" s="1">
        <v>3536</v>
      </c>
      <c r="B3535" s="8">
        <v>8.4229369999999992</v>
      </c>
    </row>
    <row r="3536" spans="1:2" x14ac:dyDescent="0.25">
      <c r="A3536" s="1">
        <v>3537</v>
      </c>
      <c r="B3536" s="8">
        <v>8.423216</v>
      </c>
    </row>
    <row r="3537" spans="1:2" x14ac:dyDescent="0.25">
      <c r="A3537" s="1">
        <v>3538</v>
      </c>
      <c r="B3537" s="8">
        <v>8.4234930000000006</v>
      </c>
    </row>
    <row r="3538" spans="1:2" x14ac:dyDescent="0.25">
      <c r="A3538" s="1">
        <v>3539</v>
      </c>
      <c r="B3538" s="8">
        <v>8.4237719999999996</v>
      </c>
    </row>
    <row r="3539" spans="1:2" x14ac:dyDescent="0.25">
      <c r="A3539" s="1">
        <v>3540</v>
      </c>
      <c r="B3539" s="8">
        <v>8.4240490000000001</v>
      </c>
    </row>
    <row r="3540" spans="1:2" x14ac:dyDescent="0.25">
      <c r="A3540" s="1">
        <v>3541</v>
      </c>
      <c r="B3540" s="8">
        <v>8.4243279999999992</v>
      </c>
    </row>
    <row r="3541" spans="1:2" x14ac:dyDescent="0.25">
      <c r="A3541" s="1">
        <v>3542</v>
      </c>
      <c r="B3541" s="8">
        <v>8.4246049999999997</v>
      </c>
    </row>
    <row r="3542" spans="1:2" x14ac:dyDescent="0.25">
      <c r="A3542" s="1">
        <v>3543</v>
      </c>
      <c r="B3542" s="8">
        <v>8.4248840000000005</v>
      </c>
    </row>
    <row r="3543" spans="1:2" x14ac:dyDescent="0.25">
      <c r="A3543" s="1">
        <v>3544</v>
      </c>
      <c r="B3543" s="8">
        <v>8.4251609999999992</v>
      </c>
    </row>
    <row r="3544" spans="1:2" x14ac:dyDescent="0.25">
      <c r="A3544" s="1">
        <v>3545</v>
      </c>
      <c r="B3544" s="8">
        <v>8.42544</v>
      </c>
    </row>
    <row r="3545" spans="1:2" x14ac:dyDescent="0.25">
      <c r="A3545" s="1">
        <v>3546</v>
      </c>
      <c r="B3545" s="8">
        <v>8.4257170000000006</v>
      </c>
    </row>
    <row r="3546" spans="1:2" x14ac:dyDescent="0.25">
      <c r="A3546" s="1">
        <v>3547</v>
      </c>
      <c r="B3546" s="8">
        <v>8.4259959999999996</v>
      </c>
    </row>
    <row r="3547" spans="1:2" x14ac:dyDescent="0.25">
      <c r="A3547" s="1">
        <v>3548</v>
      </c>
      <c r="B3547" s="8">
        <v>8.4262730000000001</v>
      </c>
    </row>
    <row r="3548" spans="1:2" x14ac:dyDescent="0.25">
      <c r="A3548" s="1">
        <v>3549</v>
      </c>
      <c r="B3548" s="8">
        <v>8.4265519999999992</v>
      </c>
    </row>
    <row r="3549" spans="1:2" x14ac:dyDescent="0.25">
      <c r="A3549" s="1">
        <v>3550</v>
      </c>
      <c r="B3549" s="8">
        <v>8.4268289999999997</v>
      </c>
    </row>
    <row r="3550" spans="1:2" x14ac:dyDescent="0.25">
      <c r="A3550" s="1">
        <v>3551</v>
      </c>
      <c r="B3550" s="8">
        <v>8.4271080000000005</v>
      </c>
    </row>
    <row r="3551" spans="1:2" x14ac:dyDescent="0.25">
      <c r="A3551" s="1">
        <v>3552</v>
      </c>
      <c r="B3551" s="8">
        <v>8.4273849999999992</v>
      </c>
    </row>
    <row r="3552" spans="1:2" x14ac:dyDescent="0.25">
      <c r="A3552" s="1">
        <v>3553</v>
      </c>
      <c r="B3552" s="8">
        <v>8.427664</v>
      </c>
    </row>
    <row r="3553" spans="1:2" x14ac:dyDescent="0.25">
      <c r="A3553" s="1">
        <v>3554</v>
      </c>
      <c r="B3553" s="8">
        <v>8.4279410000000006</v>
      </c>
    </row>
    <row r="3554" spans="1:2" x14ac:dyDescent="0.25">
      <c r="A3554" s="1">
        <v>3555</v>
      </c>
      <c r="B3554" s="8">
        <v>8.4282199999999996</v>
      </c>
    </row>
    <row r="3555" spans="1:2" x14ac:dyDescent="0.25">
      <c r="A3555" s="1">
        <v>3556</v>
      </c>
      <c r="B3555" s="8">
        <v>8.4284970000000001</v>
      </c>
    </row>
    <row r="3556" spans="1:2" x14ac:dyDescent="0.25">
      <c r="A3556" s="1">
        <v>3557</v>
      </c>
      <c r="B3556" s="8">
        <v>8.4287759999999992</v>
      </c>
    </row>
    <row r="3557" spans="1:2" x14ac:dyDescent="0.25">
      <c r="A3557" s="1">
        <v>3558</v>
      </c>
      <c r="B3557" s="8">
        <v>8.4290529999999997</v>
      </c>
    </row>
    <row r="3558" spans="1:2" x14ac:dyDescent="0.25">
      <c r="A3558" s="1">
        <v>3559</v>
      </c>
      <c r="B3558" s="8">
        <v>8.4293320000000005</v>
      </c>
    </row>
    <row r="3559" spans="1:2" x14ac:dyDescent="0.25">
      <c r="A3559" s="1">
        <v>3560</v>
      </c>
      <c r="B3559" s="8">
        <v>8.4296089999999992</v>
      </c>
    </row>
    <row r="3560" spans="1:2" x14ac:dyDescent="0.25">
      <c r="A3560" s="1">
        <v>3561</v>
      </c>
      <c r="B3560" s="8">
        <v>8.429888</v>
      </c>
    </row>
    <row r="3561" spans="1:2" x14ac:dyDescent="0.25">
      <c r="A3561" s="1">
        <v>3562</v>
      </c>
      <c r="B3561" s="8">
        <v>8.4301650000000006</v>
      </c>
    </row>
    <row r="3562" spans="1:2" x14ac:dyDescent="0.25">
      <c r="A3562" s="1">
        <v>3563</v>
      </c>
      <c r="B3562" s="8">
        <v>8.4304439999999996</v>
      </c>
    </row>
    <row r="3563" spans="1:2" x14ac:dyDescent="0.25">
      <c r="A3563" s="1">
        <v>3564</v>
      </c>
      <c r="B3563" s="8">
        <v>8.4307210000000001</v>
      </c>
    </row>
    <row r="3564" spans="1:2" x14ac:dyDescent="0.25">
      <c r="A3564" s="1">
        <v>3565</v>
      </c>
      <c r="B3564" s="8">
        <v>8.4309999999999992</v>
      </c>
    </row>
    <row r="3565" spans="1:2" x14ac:dyDescent="0.25">
      <c r="A3565" s="1">
        <v>3566</v>
      </c>
      <c r="B3565" s="8">
        <v>8.8268299999999993</v>
      </c>
    </row>
    <row r="3566" spans="1:2" x14ac:dyDescent="0.25">
      <c r="A3566" s="1">
        <v>3567</v>
      </c>
      <c r="B3566" s="8">
        <v>8.8271080000000008</v>
      </c>
    </row>
    <row r="3567" spans="1:2" x14ac:dyDescent="0.25">
      <c r="A3567" s="1">
        <v>3568</v>
      </c>
      <c r="B3567" s="8">
        <v>8.8273860000000006</v>
      </c>
    </row>
    <row r="3568" spans="1:2" x14ac:dyDescent="0.25">
      <c r="A3568" s="1">
        <v>3569</v>
      </c>
      <c r="B3568" s="8">
        <v>8.8276640000000004</v>
      </c>
    </row>
    <row r="3569" spans="1:2" x14ac:dyDescent="0.25">
      <c r="A3569" s="1">
        <v>3570</v>
      </c>
      <c r="B3569" s="8">
        <v>8.8279420000000002</v>
      </c>
    </row>
    <row r="3570" spans="1:2" x14ac:dyDescent="0.25">
      <c r="A3570" s="1">
        <v>3571</v>
      </c>
      <c r="B3570" s="8">
        <v>8.82822</v>
      </c>
    </row>
    <row r="3571" spans="1:2" x14ac:dyDescent="0.25">
      <c r="A3571" s="1">
        <v>3572</v>
      </c>
      <c r="B3571" s="8">
        <v>8.8284979999999997</v>
      </c>
    </row>
    <row r="3572" spans="1:2" x14ac:dyDescent="0.25">
      <c r="A3572" s="1">
        <v>3573</v>
      </c>
      <c r="B3572" s="8">
        <v>8.8287759999999995</v>
      </c>
    </row>
    <row r="3573" spans="1:2" x14ac:dyDescent="0.25">
      <c r="A3573" s="1">
        <v>3574</v>
      </c>
      <c r="B3573" s="8">
        <v>8.8290539999999993</v>
      </c>
    </row>
    <row r="3574" spans="1:2" x14ac:dyDescent="0.25">
      <c r="A3574" s="1">
        <v>3575</v>
      </c>
      <c r="B3574" s="8">
        <v>8.8293320000000008</v>
      </c>
    </row>
    <row r="3575" spans="1:2" x14ac:dyDescent="0.25">
      <c r="A3575" s="1">
        <v>3576</v>
      </c>
      <c r="B3575" s="8">
        <v>8.8296100000000006</v>
      </c>
    </row>
    <row r="3576" spans="1:2" x14ac:dyDescent="0.25">
      <c r="A3576" s="1">
        <v>3577</v>
      </c>
      <c r="B3576" s="8">
        <v>8.8298880000000004</v>
      </c>
    </row>
    <row r="3577" spans="1:2" x14ac:dyDescent="0.25">
      <c r="A3577" s="1">
        <v>3578</v>
      </c>
      <c r="B3577" s="8">
        <v>8.8301660000000002</v>
      </c>
    </row>
    <row r="3578" spans="1:2" x14ac:dyDescent="0.25">
      <c r="A3578" s="1">
        <v>3579</v>
      </c>
      <c r="B3578" s="8">
        <v>8.830444</v>
      </c>
    </row>
    <row r="3579" spans="1:2" x14ac:dyDescent="0.25">
      <c r="A3579" s="1">
        <v>3580</v>
      </c>
      <c r="B3579" s="8">
        <v>8.8307219999999997</v>
      </c>
    </row>
    <row r="3580" spans="1:2" x14ac:dyDescent="0.25">
      <c r="A3580" s="1">
        <v>3581</v>
      </c>
      <c r="B3580" s="8">
        <v>8.8309999999999995</v>
      </c>
    </row>
    <row r="3581" spans="1:2" x14ac:dyDescent="0.25">
      <c r="A3581" s="1">
        <v>3582</v>
      </c>
      <c r="B3581" s="8">
        <v>8.3090530000000005</v>
      </c>
    </row>
    <row r="3582" spans="1:2" x14ac:dyDescent="0.25">
      <c r="A3582" s="1">
        <v>3583</v>
      </c>
      <c r="B3582" s="8">
        <v>8.3093319999999995</v>
      </c>
    </row>
    <row r="3583" spans="1:2" x14ac:dyDescent="0.25">
      <c r="A3583" s="1">
        <v>3584</v>
      </c>
      <c r="B3583" s="8">
        <v>8.309609</v>
      </c>
    </row>
    <row r="3584" spans="1:2" x14ac:dyDescent="0.25">
      <c r="A3584" s="1">
        <v>3585</v>
      </c>
      <c r="B3584" s="8">
        <v>8.3098880000000008</v>
      </c>
    </row>
    <row r="3585" spans="1:2" x14ac:dyDescent="0.25">
      <c r="A3585" s="1">
        <v>3586</v>
      </c>
      <c r="B3585" s="8">
        <v>8.3101649999999996</v>
      </c>
    </row>
    <row r="3586" spans="1:2" x14ac:dyDescent="0.25">
      <c r="A3586" s="1">
        <v>3587</v>
      </c>
      <c r="B3586" s="8">
        <v>8.3104440000000004</v>
      </c>
    </row>
    <row r="3587" spans="1:2" x14ac:dyDescent="0.25">
      <c r="A3587" s="1">
        <v>3588</v>
      </c>
      <c r="B3587" s="8">
        <v>8.3107209999999991</v>
      </c>
    </row>
    <row r="3588" spans="1:2" x14ac:dyDescent="0.25">
      <c r="A3588" s="1">
        <v>3589</v>
      </c>
      <c r="B3588" s="8">
        <v>8.3109999999999999</v>
      </c>
    </row>
    <row r="3589" spans="1:2" x14ac:dyDescent="0.25">
      <c r="A3589" s="1">
        <v>3590</v>
      </c>
      <c r="B3589" s="8">
        <v>7.914606</v>
      </c>
    </row>
    <row r="3590" spans="1:2" x14ac:dyDescent="0.25">
      <c r="A3590" s="1">
        <v>3591</v>
      </c>
      <c r="B3590" s="8">
        <v>7.9148839999999998</v>
      </c>
    </row>
    <row r="3591" spans="1:2" x14ac:dyDescent="0.25">
      <c r="A3591" s="1">
        <v>3592</v>
      </c>
      <c r="B3591" s="8">
        <v>7.9151619999999996</v>
      </c>
    </row>
    <row r="3592" spans="1:2" x14ac:dyDescent="0.25">
      <c r="A3592" s="1">
        <v>3593</v>
      </c>
      <c r="B3592" s="8">
        <v>7.9154400000000003</v>
      </c>
    </row>
    <row r="3593" spans="1:2" x14ac:dyDescent="0.25">
      <c r="A3593" s="1">
        <v>3594</v>
      </c>
      <c r="B3593" s="8">
        <v>7.915718</v>
      </c>
    </row>
    <row r="3594" spans="1:2" x14ac:dyDescent="0.25">
      <c r="A3594" s="1">
        <v>3595</v>
      </c>
      <c r="B3594" s="8">
        <v>7.9159959999999998</v>
      </c>
    </row>
    <row r="3595" spans="1:2" x14ac:dyDescent="0.25">
      <c r="A3595" s="1">
        <v>3596</v>
      </c>
      <c r="B3595" s="8">
        <v>7.9162739999999996</v>
      </c>
    </row>
    <row r="3596" spans="1:2" x14ac:dyDescent="0.25">
      <c r="A3596" s="1">
        <v>3597</v>
      </c>
      <c r="B3596" s="8">
        <v>7.9165520000000003</v>
      </c>
    </row>
    <row r="3597" spans="1:2" x14ac:dyDescent="0.25">
      <c r="A3597" s="1">
        <v>3598</v>
      </c>
      <c r="B3597" s="8">
        <v>7.91683</v>
      </c>
    </row>
    <row r="3598" spans="1:2" x14ac:dyDescent="0.25">
      <c r="A3598" s="1">
        <v>3599</v>
      </c>
      <c r="B3598" s="8">
        <v>7.9171079999999998</v>
      </c>
    </row>
    <row r="3599" spans="1:2" x14ac:dyDescent="0.25">
      <c r="A3599" s="1">
        <v>3600</v>
      </c>
      <c r="B3599" s="8">
        <v>7.9173859999999996</v>
      </c>
    </row>
    <row r="3600" spans="1:2" x14ac:dyDescent="0.25">
      <c r="A3600" s="1">
        <v>3601</v>
      </c>
      <c r="B3600" s="8">
        <v>7.9176640000000003</v>
      </c>
    </row>
    <row r="3601" spans="1:2" x14ac:dyDescent="0.25">
      <c r="A3601" s="1">
        <v>3602</v>
      </c>
      <c r="B3601" s="8">
        <v>7.917942</v>
      </c>
    </row>
    <row r="3602" spans="1:2" x14ac:dyDescent="0.25">
      <c r="A3602" s="1">
        <v>3603</v>
      </c>
      <c r="B3602" s="8">
        <v>7.9182199999999998</v>
      </c>
    </row>
    <row r="3603" spans="1:2" x14ac:dyDescent="0.25">
      <c r="A3603" s="1">
        <v>3604</v>
      </c>
      <c r="B3603" s="8">
        <v>7.9184979999999996</v>
      </c>
    </row>
    <row r="3604" spans="1:2" x14ac:dyDescent="0.25">
      <c r="A3604" s="1">
        <v>3605</v>
      </c>
      <c r="B3604" s="8">
        <v>7.9187760000000003</v>
      </c>
    </row>
    <row r="3605" spans="1:2" x14ac:dyDescent="0.25">
      <c r="A3605" s="1">
        <v>3606</v>
      </c>
      <c r="B3605" s="8">
        <v>7.919054</v>
      </c>
    </row>
    <row r="3606" spans="1:2" x14ac:dyDescent="0.25">
      <c r="A3606" s="1">
        <v>3607</v>
      </c>
      <c r="B3606" s="8">
        <v>7.9193319999999998</v>
      </c>
    </row>
    <row r="3607" spans="1:2" x14ac:dyDescent="0.25">
      <c r="A3607" s="1">
        <v>3608</v>
      </c>
      <c r="B3607" s="8">
        <v>7.9196099999999996</v>
      </c>
    </row>
    <row r="3608" spans="1:2" x14ac:dyDescent="0.25">
      <c r="A3608" s="1">
        <v>3609</v>
      </c>
      <c r="B3608" s="8">
        <v>7.9198880000000003</v>
      </c>
    </row>
    <row r="3609" spans="1:2" x14ac:dyDescent="0.25">
      <c r="A3609" s="1">
        <v>3610</v>
      </c>
      <c r="B3609" s="8">
        <v>7.920166</v>
      </c>
    </row>
    <row r="3610" spans="1:2" x14ac:dyDescent="0.25">
      <c r="A3610" s="1">
        <v>3611</v>
      </c>
      <c r="B3610" s="8">
        <v>7.9204439999999998</v>
      </c>
    </row>
    <row r="3611" spans="1:2" x14ac:dyDescent="0.25">
      <c r="A3611" s="1">
        <v>3612</v>
      </c>
      <c r="B3611" s="8">
        <v>7.9207219999999996</v>
      </c>
    </row>
    <row r="3612" spans="1:2" x14ac:dyDescent="0.25">
      <c r="A3612" s="1">
        <v>3613</v>
      </c>
      <c r="B3612" s="8">
        <v>7.9210000000000003</v>
      </c>
    </row>
    <row r="3613" spans="1:2" x14ac:dyDescent="0.25">
      <c r="A3613" s="1">
        <v>3614</v>
      </c>
      <c r="B3613" s="8">
        <v>7.2693320000000003</v>
      </c>
    </row>
    <row r="3614" spans="1:2" x14ac:dyDescent="0.25">
      <c r="A3614" s="1">
        <v>3615</v>
      </c>
      <c r="B3614" s="8">
        <v>7.2696100000000001</v>
      </c>
    </row>
    <row r="3615" spans="1:2" x14ac:dyDescent="0.25">
      <c r="A3615" s="1">
        <v>3616</v>
      </c>
      <c r="B3615" s="8">
        <v>7.2698879999999999</v>
      </c>
    </row>
    <row r="3616" spans="1:2" x14ac:dyDescent="0.25">
      <c r="A3616" s="1">
        <v>3617</v>
      </c>
      <c r="B3616" s="8">
        <v>7.2701659999999997</v>
      </c>
    </row>
    <row r="3617" spans="1:2" x14ac:dyDescent="0.25">
      <c r="A3617" s="1">
        <v>3618</v>
      </c>
      <c r="B3617" s="8">
        <v>7.2704440000000004</v>
      </c>
    </row>
    <row r="3618" spans="1:2" x14ac:dyDescent="0.25">
      <c r="A3618" s="1">
        <v>3619</v>
      </c>
      <c r="B3618" s="8">
        <v>7.2707220000000001</v>
      </c>
    </row>
    <row r="3619" spans="1:2" x14ac:dyDescent="0.25">
      <c r="A3619" s="1">
        <v>3620</v>
      </c>
      <c r="B3619" s="8">
        <v>7.2709999999999999</v>
      </c>
    </row>
    <row r="3620" spans="1:2" x14ac:dyDescent="0.25">
      <c r="A3620" s="1">
        <v>3621</v>
      </c>
      <c r="B3620" s="8">
        <v>7.5265519999999997</v>
      </c>
    </row>
    <row r="3621" spans="1:2" x14ac:dyDescent="0.25">
      <c r="A3621" s="1">
        <v>3622</v>
      </c>
      <c r="B3621" s="8">
        <v>7.5268300000000004</v>
      </c>
    </row>
    <row r="3622" spans="1:2" x14ac:dyDescent="0.25">
      <c r="A3622" s="1">
        <v>3623</v>
      </c>
      <c r="B3622" s="8">
        <v>7.5271080000000001</v>
      </c>
    </row>
    <row r="3623" spans="1:2" x14ac:dyDescent="0.25">
      <c r="A3623" s="1">
        <v>3624</v>
      </c>
      <c r="B3623" s="8">
        <v>7.5273859999999999</v>
      </c>
    </row>
    <row r="3624" spans="1:2" x14ac:dyDescent="0.25">
      <c r="A3624" s="1">
        <v>3625</v>
      </c>
      <c r="B3624" s="8">
        <v>7.5276639999999997</v>
      </c>
    </row>
    <row r="3625" spans="1:2" x14ac:dyDescent="0.25">
      <c r="A3625" s="1">
        <v>3626</v>
      </c>
      <c r="B3625" s="8">
        <v>7.5279420000000004</v>
      </c>
    </row>
    <row r="3626" spans="1:2" x14ac:dyDescent="0.25">
      <c r="A3626" s="1">
        <v>3627</v>
      </c>
      <c r="B3626" s="8">
        <v>7.5282200000000001</v>
      </c>
    </row>
    <row r="3627" spans="1:2" x14ac:dyDescent="0.25">
      <c r="A3627" s="1">
        <v>3628</v>
      </c>
      <c r="B3627" s="8">
        <v>7.5284979999999999</v>
      </c>
    </row>
    <row r="3628" spans="1:2" x14ac:dyDescent="0.25">
      <c r="A3628" s="1">
        <v>3629</v>
      </c>
      <c r="B3628" s="8">
        <v>7.5287759999999997</v>
      </c>
    </row>
    <row r="3629" spans="1:2" x14ac:dyDescent="0.25">
      <c r="A3629" s="1">
        <v>3630</v>
      </c>
      <c r="B3629" s="8">
        <v>7.5290540000000004</v>
      </c>
    </row>
    <row r="3630" spans="1:2" x14ac:dyDescent="0.25">
      <c r="A3630" s="1">
        <v>3631</v>
      </c>
      <c r="B3630" s="8">
        <v>7.5293320000000001</v>
      </c>
    </row>
    <row r="3631" spans="1:2" x14ac:dyDescent="0.25">
      <c r="A3631" s="1">
        <v>3632</v>
      </c>
      <c r="B3631" s="8">
        <v>7.5296099999999999</v>
      </c>
    </row>
    <row r="3632" spans="1:2" x14ac:dyDescent="0.25">
      <c r="A3632" s="1">
        <v>3633</v>
      </c>
      <c r="B3632" s="8">
        <v>7.5298879999999997</v>
      </c>
    </row>
    <row r="3633" spans="1:2" x14ac:dyDescent="0.25">
      <c r="A3633" s="1">
        <v>3634</v>
      </c>
      <c r="B3633" s="8">
        <v>7.5301660000000004</v>
      </c>
    </row>
    <row r="3634" spans="1:2" x14ac:dyDescent="0.25">
      <c r="A3634" s="1">
        <v>3635</v>
      </c>
      <c r="B3634" s="8">
        <v>7.5304440000000001</v>
      </c>
    </row>
    <row r="3635" spans="1:2" x14ac:dyDescent="0.25">
      <c r="A3635" s="1">
        <v>3636</v>
      </c>
      <c r="B3635" s="8">
        <v>7.5307219999999999</v>
      </c>
    </row>
    <row r="3636" spans="1:2" x14ac:dyDescent="0.25">
      <c r="A3636" s="1">
        <v>3637</v>
      </c>
      <c r="B3636" s="8">
        <v>7.5309999999999997</v>
      </c>
    </row>
    <row r="3637" spans="1:2" x14ac:dyDescent="0.25">
      <c r="A3637" s="1">
        <v>3638</v>
      </c>
      <c r="B3637" s="8">
        <v>7.6996099999999998</v>
      </c>
    </row>
    <row r="3638" spans="1:2" x14ac:dyDescent="0.25">
      <c r="A3638" s="1">
        <v>3639</v>
      </c>
      <c r="B3638" s="8">
        <v>7.6998879999999996</v>
      </c>
    </row>
    <row r="3639" spans="1:2" x14ac:dyDescent="0.25">
      <c r="A3639" s="1">
        <v>3640</v>
      </c>
      <c r="B3639" s="8">
        <v>7.7001660000000003</v>
      </c>
    </row>
    <row r="3640" spans="1:2" x14ac:dyDescent="0.25">
      <c r="A3640" s="1">
        <v>3641</v>
      </c>
      <c r="B3640" s="8">
        <v>7.7004440000000001</v>
      </c>
    </row>
    <row r="3641" spans="1:2" x14ac:dyDescent="0.25">
      <c r="A3641" s="1">
        <v>3642</v>
      </c>
      <c r="B3641" s="8">
        <v>7.7007219999999998</v>
      </c>
    </row>
    <row r="3642" spans="1:2" x14ac:dyDescent="0.25">
      <c r="A3642" s="1">
        <v>3643</v>
      </c>
      <c r="B3642" s="8">
        <v>7.7009999999999996</v>
      </c>
    </row>
    <row r="3643" spans="1:2" x14ac:dyDescent="0.25">
      <c r="A3643" s="1">
        <v>3644</v>
      </c>
      <c r="B3643" s="8">
        <v>7.858498</v>
      </c>
    </row>
    <row r="3644" spans="1:2" x14ac:dyDescent="0.25">
      <c r="A3644" s="1">
        <v>3645</v>
      </c>
      <c r="B3644" s="8">
        <v>7.8587759999999998</v>
      </c>
    </row>
    <row r="3645" spans="1:2" x14ac:dyDescent="0.25">
      <c r="A3645" s="1">
        <v>3646</v>
      </c>
      <c r="B3645" s="8">
        <v>7.8590540000000004</v>
      </c>
    </row>
    <row r="3646" spans="1:2" x14ac:dyDescent="0.25">
      <c r="A3646" s="1">
        <v>3647</v>
      </c>
      <c r="B3646" s="8">
        <v>7.8593320000000002</v>
      </c>
    </row>
    <row r="3647" spans="1:2" x14ac:dyDescent="0.25">
      <c r="A3647" s="1">
        <v>3648</v>
      </c>
      <c r="B3647" s="8">
        <v>7.85961</v>
      </c>
    </row>
    <row r="3648" spans="1:2" x14ac:dyDescent="0.25">
      <c r="A3648" s="1">
        <v>3649</v>
      </c>
      <c r="B3648" s="8">
        <v>7.8598879999999998</v>
      </c>
    </row>
    <row r="3649" spans="1:2" x14ac:dyDescent="0.25">
      <c r="A3649" s="1">
        <v>3650</v>
      </c>
      <c r="B3649" s="8">
        <v>7.8601660000000004</v>
      </c>
    </row>
    <row r="3650" spans="1:2" x14ac:dyDescent="0.25">
      <c r="A3650" s="1">
        <v>3651</v>
      </c>
      <c r="B3650" s="8">
        <v>7.8604440000000002</v>
      </c>
    </row>
    <row r="3651" spans="1:2" x14ac:dyDescent="0.25">
      <c r="A3651" s="1">
        <v>3652</v>
      </c>
      <c r="B3651" s="8">
        <v>7.860722</v>
      </c>
    </row>
    <row r="3652" spans="1:2" x14ac:dyDescent="0.25">
      <c r="A3652" s="1">
        <v>3653</v>
      </c>
      <c r="B3652" s="8">
        <v>7.8609999999999998</v>
      </c>
    </row>
    <row r="3653" spans="1:2" x14ac:dyDescent="0.25">
      <c r="A3653" s="1">
        <v>3654</v>
      </c>
      <c r="B3653" s="8">
        <v>7.8001659999999999</v>
      </c>
    </row>
    <row r="3654" spans="1:2" x14ac:dyDescent="0.25">
      <c r="A3654" s="1">
        <v>3655</v>
      </c>
      <c r="B3654" s="8">
        <v>7.8004439999999997</v>
      </c>
    </row>
    <row r="3655" spans="1:2" x14ac:dyDescent="0.25">
      <c r="A3655" s="1">
        <v>3656</v>
      </c>
      <c r="B3655" s="8">
        <v>7.8007220000000004</v>
      </c>
    </row>
    <row r="3656" spans="1:2" x14ac:dyDescent="0.25">
      <c r="A3656" s="1">
        <v>3657</v>
      </c>
      <c r="B3656" s="8">
        <v>7.8010000000000002</v>
      </c>
    </row>
    <row r="3657" spans="1:2" x14ac:dyDescent="0.25">
      <c r="A3657" s="1">
        <v>3658</v>
      </c>
      <c r="B3657" s="8">
        <v>7.9701659999999999</v>
      </c>
    </row>
    <row r="3658" spans="1:2" x14ac:dyDescent="0.25">
      <c r="A3658" s="1">
        <v>3659</v>
      </c>
      <c r="B3658" s="8">
        <v>7.9704439999999996</v>
      </c>
    </row>
    <row r="3659" spans="1:2" x14ac:dyDescent="0.25">
      <c r="A3659" s="1">
        <v>3660</v>
      </c>
      <c r="B3659" s="8">
        <v>7.9707220000000003</v>
      </c>
    </row>
    <row r="3660" spans="1:2" x14ac:dyDescent="0.25">
      <c r="A3660" s="1">
        <v>3661</v>
      </c>
      <c r="B3660" s="8">
        <v>7.9710000000000001</v>
      </c>
    </row>
    <row r="3661" spans="1:2" x14ac:dyDescent="0.25">
      <c r="A3661" s="1">
        <v>3662</v>
      </c>
      <c r="B3661" s="8">
        <v>7.9907219999999999</v>
      </c>
    </row>
    <row r="3662" spans="1:2" x14ac:dyDescent="0.25">
      <c r="A3662" s="1">
        <v>3663</v>
      </c>
      <c r="B3662" s="8">
        <v>7.9909999999999997</v>
      </c>
    </row>
    <row r="3663" spans="1:2" x14ac:dyDescent="0.25">
      <c r="A3663" s="1">
        <v>3664</v>
      </c>
      <c r="B3663" s="8">
        <v>8.1804439999999996</v>
      </c>
    </row>
    <row r="3664" spans="1:2" x14ac:dyDescent="0.25">
      <c r="A3664" s="1">
        <v>3665</v>
      </c>
      <c r="B3664" s="8">
        <v>8.1807219999999994</v>
      </c>
    </row>
    <row r="3665" spans="1:2" x14ac:dyDescent="0.25">
      <c r="A3665" s="1">
        <v>3666</v>
      </c>
      <c r="B3665" s="8">
        <v>8.1809999999999992</v>
      </c>
    </row>
    <row r="3666" spans="1:2" x14ac:dyDescent="0.25">
      <c r="A3666" s="1">
        <v>3667</v>
      </c>
      <c r="B3666" s="8">
        <v>8.6665519999999994</v>
      </c>
    </row>
    <row r="3667" spans="1:2" x14ac:dyDescent="0.25">
      <c r="A3667" s="1">
        <v>3668</v>
      </c>
      <c r="B3667" s="8">
        <v>8.6668299999999991</v>
      </c>
    </row>
    <row r="3668" spans="1:2" x14ac:dyDescent="0.25">
      <c r="A3668" s="1">
        <v>3669</v>
      </c>
      <c r="B3668" s="8">
        <v>8.6671080000000007</v>
      </c>
    </row>
    <row r="3669" spans="1:2" x14ac:dyDescent="0.25">
      <c r="A3669" s="1">
        <v>3670</v>
      </c>
      <c r="B3669" s="8">
        <v>8.6673860000000005</v>
      </c>
    </row>
    <row r="3670" spans="1:2" x14ac:dyDescent="0.25">
      <c r="A3670" s="1">
        <v>3671</v>
      </c>
      <c r="B3670" s="8">
        <v>8.6676640000000003</v>
      </c>
    </row>
    <row r="3671" spans="1:2" x14ac:dyDescent="0.25">
      <c r="A3671" s="1">
        <v>3672</v>
      </c>
      <c r="B3671" s="8">
        <v>8.667942</v>
      </c>
    </row>
    <row r="3672" spans="1:2" x14ac:dyDescent="0.25">
      <c r="A3672" s="1">
        <v>3673</v>
      </c>
      <c r="B3672" s="8">
        <v>8.6682199999999998</v>
      </c>
    </row>
    <row r="3673" spans="1:2" x14ac:dyDescent="0.25">
      <c r="A3673" s="1">
        <v>3674</v>
      </c>
      <c r="B3673" s="8">
        <v>8.6684979999999996</v>
      </c>
    </row>
    <row r="3674" spans="1:2" x14ac:dyDescent="0.25">
      <c r="A3674" s="1">
        <v>3675</v>
      </c>
      <c r="B3674" s="8">
        <v>8.6687759999999994</v>
      </c>
    </row>
    <row r="3675" spans="1:2" x14ac:dyDescent="0.25">
      <c r="A3675" s="1">
        <v>3676</v>
      </c>
      <c r="B3675" s="8">
        <v>8.6690539999999991</v>
      </c>
    </row>
    <row r="3676" spans="1:2" x14ac:dyDescent="0.25">
      <c r="A3676" s="1">
        <v>3677</v>
      </c>
      <c r="B3676" s="8">
        <v>8.6693320000000007</v>
      </c>
    </row>
    <row r="3677" spans="1:2" x14ac:dyDescent="0.25">
      <c r="A3677" s="1">
        <v>3678</v>
      </c>
      <c r="B3677" s="8">
        <v>8.6696100000000005</v>
      </c>
    </row>
    <row r="3678" spans="1:2" x14ac:dyDescent="0.25">
      <c r="A3678" s="1">
        <v>3679</v>
      </c>
      <c r="B3678" s="8">
        <v>8.6698880000000003</v>
      </c>
    </row>
    <row r="3679" spans="1:2" x14ac:dyDescent="0.25">
      <c r="A3679" s="1">
        <v>3680</v>
      </c>
      <c r="B3679" s="8">
        <v>8.670166</v>
      </c>
    </row>
    <row r="3680" spans="1:2" x14ac:dyDescent="0.25">
      <c r="A3680" s="1">
        <v>3681</v>
      </c>
      <c r="B3680" s="8">
        <v>8.6704439999999998</v>
      </c>
    </row>
    <row r="3681" spans="1:2" x14ac:dyDescent="0.25">
      <c r="A3681" s="1">
        <v>3682</v>
      </c>
      <c r="B3681" s="8">
        <v>8.6707219999999996</v>
      </c>
    </row>
    <row r="3682" spans="1:2" x14ac:dyDescent="0.25">
      <c r="A3682" s="1">
        <v>3683</v>
      </c>
      <c r="B3682" s="8">
        <v>8.6709999999999994</v>
      </c>
    </row>
  </sheetData>
  <sheetProtection selectLockedCells="1"/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37784-8B41-419B-8180-A620B9FAE3A9}">
  <sheetPr codeName="Planilha6"/>
  <dimension ref="A1:C940"/>
  <sheetViews>
    <sheetView workbookViewId="0">
      <selection activeCell="F48" sqref="F48"/>
    </sheetView>
  </sheetViews>
  <sheetFormatPr defaultColWidth="8.7109375" defaultRowHeight="15" x14ac:dyDescent="0.25"/>
  <cols>
    <col min="1" max="1" width="12.5703125" style="11" bestFit="1" customWidth="1"/>
    <col min="2" max="2" width="13.42578125" style="11" bestFit="1" customWidth="1"/>
    <col min="3" max="3" width="35.140625" style="11" bestFit="1" customWidth="1"/>
    <col min="4" max="16384" width="8.7109375" style="11"/>
  </cols>
  <sheetData>
    <row r="1" spans="1:3" ht="15.75" thickBot="1" x14ac:dyDescent="0.3">
      <c r="A1" s="101" t="s">
        <v>230</v>
      </c>
      <c r="B1" s="102" t="s">
        <v>231</v>
      </c>
      <c r="C1" s="103" t="s">
        <v>232</v>
      </c>
    </row>
    <row r="2" spans="1:3" ht="15.75" thickBot="1" x14ac:dyDescent="0.3">
      <c r="A2" s="104">
        <v>36892</v>
      </c>
      <c r="B2" s="105" t="s">
        <v>233</v>
      </c>
      <c r="C2" s="106" t="s">
        <v>234</v>
      </c>
    </row>
    <row r="3" spans="1:3" ht="15.75" thickBot="1" x14ac:dyDescent="0.3">
      <c r="A3" s="104">
        <v>36948</v>
      </c>
      <c r="B3" s="105" t="s">
        <v>233</v>
      </c>
      <c r="C3" s="106" t="s">
        <v>235</v>
      </c>
    </row>
    <row r="4" spans="1:3" ht="15.75" thickBot="1" x14ac:dyDescent="0.3">
      <c r="A4" s="104">
        <v>36949</v>
      </c>
      <c r="B4" s="105" t="s">
        <v>236</v>
      </c>
      <c r="C4" s="106" t="s">
        <v>235</v>
      </c>
    </row>
    <row r="5" spans="1:3" ht="15.75" thickBot="1" x14ac:dyDescent="0.3">
      <c r="A5" s="104">
        <v>36994</v>
      </c>
      <c r="B5" s="105" t="s">
        <v>237</v>
      </c>
      <c r="C5" s="106" t="s">
        <v>238</v>
      </c>
    </row>
    <row r="6" spans="1:3" ht="15.75" thickBot="1" x14ac:dyDescent="0.3">
      <c r="A6" s="104">
        <v>37002</v>
      </c>
      <c r="B6" s="105" t="s">
        <v>239</v>
      </c>
      <c r="C6" s="106" t="s">
        <v>240</v>
      </c>
    </row>
    <row r="7" spans="1:3" ht="15.75" thickBot="1" x14ac:dyDescent="0.3">
      <c r="A7" s="104">
        <v>37012</v>
      </c>
      <c r="B7" s="105" t="s">
        <v>236</v>
      </c>
      <c r="C7" s="106" t="s">
        <v>241</v>
      </c>
    </row>
    <row r="8" spans="1:3" ht="15.75" thickBot="1" x14ac:dyDescent="0.3">
      <c r="A8" s="104">
        <v>37056</v>
      </c>
      <c r="B8" s="105" t="s">
        <v>242</v>
      </c>
      <c r="C8" s="106" t="s">
        <v>243</v>
      </c>
    </row>
    <row r="9" spans="1:3" ht="15.75" thickBot="1" x14ac:dyDescent="0.3">
      <c r="A9" s="104">
        <v>37141</v>
      </c>
      <c r="B9" s="105" t="s">
        <v>237</v>
      </c>
      <c r="C9" s="106" t="s">
        <v>244</v>
      </c>
    </row>
    <row r="10" spans="1:3" ht="15.75" thickBot="1" x14ac:dyDescent="0.3">
      <c r="A10" s="104">
        <v>37176</v>
      </c>
      <c r="B10" s="105" t="s">
        <v>237</v>
      </c>
      <c r="C10" s="106" t="s">
        <v>245</v>
      </c>
    </row>
    <row r="11" spans="1:3" ht="15.75" thickBot="1" x14ac:dyDescent="0.3">
      <c r="A11" s="104">
        <v>37197</v>
      </c>
      <c r="B11" s="105" t="s">
        <v>237</v>
      </c>
      <c r="C11" s="106" t="s">
        <v>246</v>
      </c>
    </row>
    <row r="12" spans="1:3" ht="15.75" thickBot="1" x14ac:dyDescent="0.3">
      <c r="A12" s="104">
        <v>37210</v>
      </c>
      <c r="B12" s="105" t="s">
        <v>242</v>
      </c>
      <c r="C12" s="106" t="s">
        <v>247</v>
      </c>
    </row>
    <row r="13" spans="1:3" ht="15.75" thickBot="1" x14ac:dyDescent="0.3">
      <c r="A13" s="104">
        <v>37250</v>
      </c>
      <c r="B13" s="105" t="s">
        <v>236</v>
      </c>
      <c r="C13" s="106" t="s">
        <v>248</v>
      </c>
    </row>
    <row r="14" spans="1:3" ht="15.75" thickBot="1" x14ac:dyDescent="0.3">
      <c r="A14" s="107">
        <v>37257</v>
      </c>
      <c r="B14" s="108" t="s">
        <v>236</v>
      </c>
      <c r="C14" s="109" t="s">
        <v>234</v>
      </c>
    </row>
    <row r="15" spans="1:3" ht="15.75" thickBot="1" x14ac:dyDescent="0.3">
      <c r="A15" s="110">
        <v>37298</v>
      </c>
      <c r="B15" s="111" t="s">
        <v>233</v>
      </c>
      <c r="C15" s="112" t="s">
        <v>235</v>
      </c>
    </row>
    <row r="16" spans="1:3" ht="15.75" thickBot="1" x14ac:dyDescent="0.3">
      <c r="A16" s="110">
        <v>37299</v>
      </c>
      <c r="B16" s="111" t="s">
        <v>236</v>
      </c>
      <c r="C16" s="112" t="s">
        <v>235</v>
      </c>
    </row>
    <row r="17" spans="1:3" ht="15.75" thickBot="1" x14ac:dyDescent="0.3">
      <c r="A17" s="110">
        <v>37344</v>
      </c>
      <c r="B17" s="111" t="s">
        <v>237</v>
      </c>
      <c r="C17" s="112" t="s">
        <v>238</v>
      </c>
    </row>
    <row r="18" spans="1:3" ht="15.75" thickBot="1" x14ac:dyDescent="0.3">
      <c r="A18" s="110">
        <v>37367</v>
      </c>
      <c r="B18" s="111" t="s">
        <v>249</v>
      </c>
      <c r="C18" s="112" t="s">
        <v>240</v>
      </c>
    </row>
    <row r="19" spans="1:3" ht="15.75" thickBot="1" x14ac:dyDescent="0.3">
      <c r="A19" s="110">
        <v>37377</v>
      </c>
      <c r="B19" s="111" t="s">
        <v>250</v>
      </c>
      <c r="C19" s="112" t="s">
        <v>241</v>
      </c>
    </row>
    <row r="20" spans="1:3" ht="15.75" thickBot="1" x14ac:dyDescent="0.3">
      <c r="A20" s="110">
        <v>37406</v>
      </c>
      <c r="B20" s="111" t="s">
        <v>242</v>
      </c>
      <c r="C20" s="112" t="s">
        <v>243</v>
      </c>
    </row>
    <row r="21" spans="1:3" ht="15.75" thickBot="1" x14ac:dyDescent="0.3">
      <c r="A21" s="110">
        <v>37506</v>
      </c>
      <c r="B21" s="111" t="s">
        <v>239</v>
      </c>
      <c r="C21" s="112" t="s">
        <v>244</v>
      </c>
    </row>
    <row r="22" spans="1:3" ht="15.75" thickBot="1" x14ac:dyDescent="0.3">
      <c r="A22" s="110">
        <v>37541</v>
      </c>
      <c r="B22" s="111" t="s">
        <v>239</v>
      </c>
      <c r="C22" s="112" t="s">
        <v>245</v>
      </c>
    </row>
    <row r="23" spans="1:3" ht="15.75" thickBot="1" x14ac:dyDescent="0.3">
      <c r="A23" s="110">
        <v>37562</v>
      </c>
      <c r="B23" s="111" t="s">
        <v>239</v>
      </c>
      <c r="C23" s="112" t="s">
        <v>246</v>
      </c>
    </row>
    <row r="24" spans="1:3" ht="15.75" thickBot="1" x14ac:dyDescent="0.3">
      <c r="A24" s="110">
        <v>37575</v>
      </c>
      <c r="B24" s="111" t="s">
        <v>237</v>
      </c>
      <c r="C24" s="112" t="s">
        <v>247</v>
      </c>
    </row>
    <row r="25" spans="1:3" ht="15.75" thickBot="1" x14ac:dyDescent="0.3">
      <c r="A25" s="110">
        <v>37615</v>
      </c>
      <c r="B25" s="111" t="s">
        <v>250</v>
      </c>
      <c r="C25" s="112" t="s">
        <v>248</v>
      </c>
    </row>
    <row r="26" spans="1:3" ht="15.75" thickBot="1" x14ac:dyDescent="0.3">
      <c r="A26" s="113">
        <v>37622</v>
      </c>
      <c r="B26" s="114" t="s">
        <v>250</v>
      </c>
      <c r="C26" s="115" t="s">
        <v>234</v>
      </c>
    </row>
    <row r="27" spans="1:3" ht="15.75" thickBot="1" x14ac:dyDescent="0.3">
      <c r="A27" s="104">
        <v>37683</v>
      </c>
      <c r="B27" s="105" t="s">
        <v>233</v>
      </c>
      <c r="C27" s="106" t="s">
        <v>235</v>
      </c>
    </row>
    <row r="28" spans="1:3" ht="15.75" thickBot="1" x14ac:dyDescent="0.3">
      <c r="A28" s="104">
        <v>37684</v>
      </c>
      <c r="B28" s="105" t="s">
        <v>236</v>
      </c>
      <c r="C28" s="106" t="s">
        <v>235</v>
      </c>
    </row>
    <row r="29" spans="1:3" ht="15.75" thickBot="1" x14ac:dyDescent="0.3">
      <c r="A29" s="104">
        <v>37729</v>
      </c>
      <c r="B29" s="105" t="s">
        <v>237</v>
      </c>
      <c r="C29" s="106" t="s">
        <v>238</v>
      </c>
    </row>
    <row r="30" spans="1:3" ht="15.75" thickBot="1" x14ac:dyDescent="0.3">
      <c r="A30" s="104">
        <v>37732</v>
      </c>
      <c r="B30" s="105" t="s">
        <v>233</v>
      </c>
      <c r="C30" s="106" t="s">
        <v>240</v>
      </c>
    </row>
    <row r="31" spans="1:3" ht="15.75" thickBot="1" x14ac:dyDescent="0.3">
      <c r="A31" s="104">
        <v>37742</v>
      </c>
      <c r="B31" s="105" t="s">
        <v>242</v>
      </c>
      <c r="C31" s="106" t="s">
        <v>241</v>
      </c>
    </row>
    <row r="32" spans="1:3" ht="15.75" thickBot="1" x14ac:dyDescent="0.3">
      <c r="A32" s="104">
        <v>37791</v>
      </c>
      <c r="B32" s="105" t="s">
        <v>242</v>
      </c>
      <c r="C32" s="106" t="s">
        <v>243</v>
      </c>
    </row>
    <row r="33" spans="1:3" ht="15.75" thickBot="1" x14ac:dyDescent="0.3">
      <c r="A33" s="104">
        <v>37871</v>
      </c>
      <c r="B33" s="105" t="s">
        <v>249</v>
      </c>
      <c r="C33" s="106" t="s">
        <v>244</v>
      </c>
    </row>
    <row r="34" spans="1:3" ht="15.75" thickBot="1" x14ac:dyDescent="0.3">
      <c r="A34" s="104">
        <v>37906</v>
      </c>
      <c r="B34" s="105" t="s">
        <v>249</v>
      </c>
      <c r="C34" s="106" t="s">
        <v>245</v>
      </c>
    </row>
    <row r="35" spans="1:3" ht="15.75" thickBot="1" x14ac:dyDescent="0.3">
      <c r="A35" s="104">
        <v>37927</v>
      </c>
      <c r="B35" s="105" t="s">
        <v>249</v>
      </c>
      <c r="C35" s="106" t="s">
        <v>246</v>
      </c>
    </row>
    <row r="36" spans="1:3" ht="15.75" thickBot="1" x14ac:dyDescent="0.3">
      <c r="A36" s="104">
        <v>37940</v>
      </c>
      <c r="B36" s="105" t="s">
        <v>239</v>
      </c>
      <c r="C36" s="106" t="s">
        <v>247</v>
      </c>
    </row>
    <row r="37" spans="1:3" ht="15.75" thickBot="1" x14ac:dyDescent="0.3">
      <c r="A37" s="104">
        <v>37980</v>
      </c>
      <c r="B37" s="105" t="s">
        <v>242</v>
      </c>
      <c r="C37" s="106" t="s">
        <v>248</v>
      </c>
    </row>
    <row r="38" spans="1:3" ht="15.75" thickBot="1" x14ac:dyDescent="0.3">
      <c r="A38" s="107">
        <v>37987</v>
      </c>
      <c r="B38" s="108" t="s">
        <v>242</v>
      </c>
      <c r="C38" s="109" t="s">
        <v>234</v>
      </c>
    </row>
    <row r="39" spans="1:3" ht="15.75" thickBot="1" x14ac:dyDescent="0.3">
      <c r="A39" s="110">
        <v>38040</v>
      </c>
      <c r="B39" s="111" t="s">
        <v>233</v>
      </c>
      <c r="C39" s="112" t="s">
        <v>235</v>
      </c>
    </row>
    <row r="40" spans="1:3" ht="15.75" thickBot="1" x14ac:dyDescent="0.3">
      <c r="A40" s="110">
        <v>38041</v>
      </c>
      <c r="B40" s="111" t="s">
        <v>236</v>
      </c>
      <c r="C40" s="112" t="s">
        <v>235</v>
      </c>
    </row>
    <row r="41" spans="1:3" ht="15.75" thickBot="1" x14ac:dyDescent="0.3">
      <c r="A41" s="110">
        <v>38086</v>
      </c>
      <c r="B41" s="111" t="s">
        <v>237</v>
      </c>
      <c r="C41" s="112" t="s">
        <v>238</v>
      </c>
    </row>
    <row r="42" spans="1:3" ht="15.75" thickBot="1" x14ac:dyDescent="0.3">
      <c r="A42" s="110">
        <v>38098</v>
      </c>
      <c r="B42" s="111" t="s">
        <v>250</v>
      </c>
      <c r="C42" s="112" t="s">
        <v>240</v>
      </c>
    </row>
    <row r="43" spans="1:3" ht="15.75" thickBot="1" x14ac:dyDescent="0.3">
      <c r="A43" s="110">
        <v>38108</v>
      </c>
      <c r="B43" s="111" t="s">
        <v>239</v>
      </c>
      <c r="C43" s="112" t="s">
        <v>241</v>
      </c>
    </row>
    <row r="44" spans="1:3" ht="15.75" thickBot="1" x14ac:dyDescent="0.3">
      <c r="A44" s="110">
        <v>38148</v>
      </c>
      <c r="B44" s="111" t="s">
        <v>242</v>
      </c>
      <c r="C44" s="112" t="s">
        <v>243</v>
      </c>
    </row>
    <row r="45" spans="1:3" ht="15.75" thickBot="1" x14ac:dyDescent="0.3">
      <c r="A45" s="110">
        <v>38237</v>
      </c>
      <c r="B45" s="111" t="s">
        <v>236</v>
      </c>
      <c r="C45" s="112" t="s">
        <v>244</v>
      </c>
    </row>
    <row r="46" spans="1:3" ht="15.75" thickBot="1" x14ac:dyDescent="0.3">
      <c r="A46" s="110">
        <v>38272</v>
      </c>
      <c r="B46" s="111" t="s">
        <v>236</v>
      </c>
      <c r="C46" s="112" t="s">
        <v>245</v>
      </c>
    </row>
    <row r="47" spans="1:3" ht="15.75" thickBot="1" x14ac:dyDescent="0.3">
      <c r="A47" s="110">
        <v>38293</v>
      </c>
      <c r="B47" s="111" t="s">
        <v>236</v>
      </c>
      <c r="C47" s="112" t="s">
        <v>246</v>
      </c>
    </row>
    <row r="48" spans="1:3" ht="15.75" thickBot="1" x14ac:dyDescent="0.3">
      <c r="A48" s="110">
        <v>38306</v>
      </c>
      <c r="B48" s="111" t="s">
        <v>233</v>
      </c>
      <c r="C48" s="112" t="s">
        <v>247</v>
      </c>
    </row>
    <row r="49" spans="1:3" ht="15.75" thickBot="1" x14ac:dyDescent="0.3">
      <c r="A49" s="110">
        <v>38346</v>
      </c>
      <c r="B49" s="111" t="s">
        <v>239</v>
      </c>
      <c r="C49" s="112" t="s">
        <v>248</v>
      </c>
    </row>
    <row r="50" spans="1:3" ht="15.75" thickBot="1" x14ac:dyDescent="0.3">
      <c r="A50" s="113">
        <v>38353</v>
      </c>
      <c r="B50" s="114" t="s">
        <v>239</v>
      </c>
      <c r="C50" s="115" t="s">
        <v>234</v>
      </c>
    </row>
    <row r="51" spans="1:3" ht="15.75" thickBot="1" x14ac:dyDescent="0.3">
      <c r="A51" s="104">
        <v>38390</v>
      </c>
      <c r="B51" s="105" t="s">
        <v>233</v>
      </c>
      <c r="C51" s="106" t="s">
        <v>235</v>
      </c>
    </row>
    <row r="52" spans="1:3" ht="15.75" thickBot="1" x14ac:dyDescent="0.3">
      <c r="A52" s="104">
        <v>38391</v>
      </c>
      <c r="B52" s="105" t="s">
        <v>236</v>
      </c>
      <c r="C52" s="106" t="s">
        <v>235</v>
      </c>
    </row>
    <row r="53" spans="1:3" ht="15.75" thickBot="1" x14ac:dyDescent="0.3">
      <c r="A53" s="104">
        <v>38436</v>
      </c>
      <c r="B53" s="105" t="s">
        <v>237</v>
      </c>
      <c r="C53" s="106" t="s">
        <v>238</v>
      </c>
    </row>
    <row r="54" spans="1:3" ht="15.75" thickBot="1" x14ac:dyDescent="0.3">
      <c r="A54" s="104">
        <v>38463</v>
      </c>
      <c r="B54" s="105" t="s">
        <v>242</v>
      </c>
      <c r="C54" s="106" t="s">
        <v>240</v>
      </c>
    </row>
    <row r="55" spans="1:3" ht="15.75" thickBot="1" x14ac:dyDescent="0.3">
      <c r="A55" s="104">
        <v>38473</v>
      </c>
      <c r="B55" s="105" t="s">
        <v>249</v>
      </c>
      <c r="C55" s="106" t="s">
        <v>241</v>
      </c>
    </row>
    <row r="56" spans="1:3" ht="15.75" thickBot="1" x14ac:dyDescent="0.3">
      <c r="A56" s="104">
        <v>38498</v>
      </c>
      <c r="B56" s="105" t="s">
        <v>242</v>
      </c>
      <c r="C56" s="106" t="s">
        <v>243</v>
      </c>
    </row>
    <row r="57" spans="1:3" ht="15.75" thickBot="1" x14ac:dyDescent="0.3">
      <c r="A57" s="104">
        <v>38602</v>
      </c>
      <c r="B57" s="105" t="s">
        <v>250</v>
      </c>
      <c r="C57" s="106" t="s">
        <v>244</v>
      </c>
    </row>
    <row r="58" spans="1:3" ht="15.75" thickBot="1" x14ac:dyDescent="0.3">
      <c r="A58" s="104">
        <v>38637</v>
      </c>
      <c r="B58" s="105" t="s">
        <v>250</v>
      </c>
      <c r="C58" s="106" t="s">
        <v>245</v>
      </c>
    </row>
    <row r="59" spans="1:3" ht="15.75" thickBot="1" x14ac:dyDescent="0.3">
      <c r="A59" s="104">
        <v>38658</v>
      </c>
      <c r="B59" s="105" t="s">
        <v>250</v>
      </c>
      <c r="C59" s="106" t="s">
        <v>246</v>
      </c>
    </row>
    <row r="60" spans="1:3" ht="15.75" thickBot="1" x14ac:dyDescent="0.3">
      <c r="A60" s="104">
        <v>38671</v>
      </c>
      <c r="B60" s="105" t="s">
        <v>236</v>
      </c>
      <c r="C60" s="106" t="s">
        <v>247</v>
      </c>
    </row>
    <row r="61" spans="1:3" ht="15.75" thickBot="1" x14ac:dyDescent="0.3">
      <c r="A61" s="104">
        <v>38711</v>
      </c>
      <c r="B61" s="105" t="s">
        <v>249</v>
      </c>
      <c r="C61" s="106" t="s">
        <v>248</v>
      </c>
    </row>
    <row r="62" spans="1:3" ht="15.75" thickBot="1" x14ac:dyDescent="0.3">
      <c r="A62" s="107">
        <v>38718</v>
      </c>
      <c r="B62" s="108" t="s">
        <v>249</v>
      </c>
      <c r="C62" s="109" t="s">
        <v>234</v>
      </c>
    </row>
    <row r="63" spans="1:3" ht="15.75" thickBot="1" x14ac:dyDescent="0.3">
      <c r="A63" s="110">
        <v>38775</v>
      </c>
      <c r="B63" s="111" t="s">
        <v>233</v>
      </c>
      <c r="C63" s="112" t="s">
        <v>235</v>
      </c>
    </row>
    <row r="64" spans="1:3" ht="15.75" thickBot="1" x14ac:dyDescent="0.3">
      <c r="A64" s="110">
        <v>38776</v>
      </c>
      <c r="B64" s="111" t="s">
        <v>236</v>
      </c>
      <c r="C64" s="112" t="s">
        <v>235</v>
      </c>
    </row>
    <row r="65" spans="1:3" ht="15.75" thickBot="1" x14ac:dyDescent="0.3">
      <c r="A65" s="110">
        <v>38821</v>
      </c>
      <c r="B65" s="111" t="s">
        <v>237</v>
      </c>
      <c r="C65" s="112" t="s">
        <v>238</v>
      </c>
    </row>
    <row r="66" spans="1:3" ht="15.75" thickBot="1" x14ac:dyDescent="0.3">
      <c r="A66" s="110">
        <v>38828</v>
      </c>
      <c r="B66" s="111" t="s">
        <v>237</v>
      </c>
      <c r="C66" s="112" t="s">
        <v>240</v>
      </c>
    </row>
    <row r="67" spans="1:3" ht="15.75" thickBot="1" x14ac:dyDescent="0.3">
      <c r="A67" s="110">
        <v>38838</v>
      </c>
      <c r="B67" s="111" t="s">
        <v>233</v>
      </c>
      <c r="C67" s="112" t="s">
        <v>241</v>
      </c>
    </row>
    <row r="68" spans="1:3" ht="15.75" thickBot="1" x14ac:dyDescent="0.3">
      <c r="A68" s="110">
        <v>38883</v>
      </c>
      <c r="B68" s="111" t="s">
        <v>242</v>
      </c>
      <c r="C68" s="112" t="s">
        <v>243</v>
      </c>
    </row>
    <row r="69" spans="1:3" ht="15.75" thickBot="1" x14ac:dyDescent="0.3">
      <c r="A69" s="110">
        <v>38967</v>
      </c>
      <c r="B69" s="111" t="s">
        <v>242</v>
      </c>
      <c r="C69" s="112" t="s">
        <v>244</v>
      </c>
    </row>
    <row r="70" spans="1:3" ht="15.75" thickBot="1" x14ac:dyDescent="0.3">
      <c r="A70" s="110">
        <v>39002</v>
      </c>
      <c r="B70" s="111" t="s">
        <v>242</v>
      </c>
      <c r="C70" s="112" t="s">
        <v>245</v>
      </c>
    </row>
    <row r="71" spans="1:3" ht="15.75" thickBot="1" x14ac:dyDescent="0.3">
      <c r="A71" s="110">
        <v>39023</v>
      </c>
      <c r="B71" s="111" t="s">
        <v>242</v>
      </c>
      <c r="C71" s="112" t="s">
        <v>246</v>
      </c>
    </row>
    <row r="72" spans="1:3" ht="15.75" thickBot="1" x14ac:dyDescent="0.3">
      <c r="A72" s="110">
        <v>39036</v>
      </c>
      <c r="B72" s="111" t="s">
        <v>250</v>
      </c>
      <c r="C72" s="112" t="s">
        <v>247</v>
      </c>
    </row>
    <row r="73" spans="1:3" ht="15.75" thickBot="1" x14ac:dyDescent="0.3">
      <c r="A73" s="110">
        <v>39076</v>
      </c>
      <c r="B73" s="111" t="s">
        <v>233</v>
      </c>
      <c r="C73" s="112" t="s">
        <v>248</v>
      </c>
    </row>
    <row r="74" spans="1:3" ht="15.75" thickBot="1" x14ac:dyDescent="0.3">
      <c r="A74" s="113">
        <v>39083</v>
      </c>
      <c r="B74" s="114" t="s">
        <v>233</v>
      </c>
      <c r="C74" s="115" t="s">
        <v>234</v>
      </c>
    </row>
    <row r="75" spans="1:3" ht="15.75" thickBot="1" x14ac:dyDescent="0.3">
      <c r="A75" s="104">
        <v>39132</v>
      </c>
      <c r="B75" s="105" t="s">
        <v>233</v>
      </c>
      <c r="C75" s="106" t="s">
        <v>235</v>
      </c>
    </row>
    <row r="76" spans="1:3" ht="15.75" thickBot="1" x14ac:dyDescent="0.3">
      <c r="A76" s="104">
        <v>39133</v>
      </c>
      <c r="B76" s="105" t="s">
        <v>236</v>
      </c>
      <c r="C76" s="106" t="s">
        <v>235</v>
      </c>
    </row>
    <row r="77" spans="1:3" ht="15.75" thickBot="1" x14ac:dyDescent="0.3">
      <c r="A77" s="104">
        <v>39178</v>
      </c>
      <c r="B77" s="105" t="s">
        <v>237</v>
      </c>
      <c r="C77" s="106" t="s">
        <v>238</v>
      </c>
    </row>
    <row r="78" spans="1:3" ht="15.75" thickBot="1" x14ac:dyDescent="0.3">
      <c r="A78" s="104">
        <v>39193</v>
      </c>
      <c r="B78" s="105" t="s">
        <v>239</v>
      </c>
      <c r="C78" s="106" t="s">
        <v>240</v>
      </c>
    </row>
    <row r="79" spans="1:3" ht="15.75" thickBot="1" x14ac:dyDescent="0.3">
      <c r="A79" s="104">
        <v>39203</v>
      </c>
      <c r="B79" s="105" t="s">
        <v>236</v>
      </c>
      <c r="C79" s="106" t="s">
        <v>241</v>
      </c>
    </row>
    <row r="80" spans="1:3" ht="15.75" thickBot="1" x14ac:dyDescent="0.3">
      <c r="A80" s="104">
        <v>39240</v>
      </c>
      <c r="B80" s="105" t="s">
        <v>242</v>
      </c>
      <c r="C80" s="106" t="s">
        <v>243</v>
      </c>
    </row>
    <row r="81" spans="1:3" ht="15.75" thickBot="1" x14ac:dyDescent="0.3">
      <c r="A81" s="104">
        <v>39332</v>
      </c>
      <c r="B81" s="105" t="s">
        <v>237</v>
      </c>
      <c r="C81" s="106" t="s">
        <v>244</v>
      </c>
    </row>
    <row r="82" spans="1:3" ht="15.75" thickBot="1" x14ac:dyDescent="0.3">
      <c r="A82" s="104">
        <v>39367</v>
      </c>
      <c r="B82" s="105" t="s">
        <v>237</v>
      </c>
      <c r="C82" s="106" t="s">
        <v>245</v>
      </c>
    </row>
    <row r="83" spans="1:3" ht="15.75" thickBot="1" x14ac:dyDescent="0.3">
      <c r="A83" s="104">
        <v>39388</v>
      </c>
      <c r="B83" s="105" t="s">
        <v>237</v>
      </c>
      <c r="C83" s="106" t="s">
        <v>246</v>
      </c>
    </row>
    <row r="84" spans="1:3" ht="15.75" thickBot="1" x14ac:dyDescent="0.3">
      <c r="A84" s="104">
        <v>39401</v>
      </c>
      <c r="B84" s="105" t="s">
        <v>242</v>
      </c>
      <c r="C84" s="106" t="s">
        <v>247</v>
      </c>
    </row>
    <row r="85" spans="1:3" ht="15.75" thickBot="1" x14ac:dyDescent="0.3">
      <c r="A85" s="104">
        <v>39441</v>
      </c>
      <c r="B85" s="105" t="s">
        <v>236</v>
      </c>
      <c r="C85" s="106" t="s">
        <v>248</v>
      </c>
    </row>
    <row r="86" spans="1:3" ht="15.75" thickBot="1" x14ac:dyDescent="0.3">
      <c r="A86" s="107">
        <v>39448</v>
      </c>
      <c r="B86" s="108" t="s">
        <v>236</v>
      </c>
      <c r="C86" s="109" t="s">
        <v>234</v>
      </c>
    </row>
    <row r="87" spans="1:3" ht="15.75" thickBot="1" x14ac:dyDescent="0.3">
      <c r="A87" s="110">
        <v>39482</v>
      </c>
      <c r="B87" s="111" t="s">
        <v>233</v>
      </c>
      <c r="C87" s="112" t="s">
        <v>235</v>
      </c>
    </row>
    <row r="88" spans="1:3" ht="15.75" thickBot="1" x14ac:dyDescent="0.3">
      <c r="A88" s="110">
        <v>39483</v>
      </c>
      <c r="B88" s="111" t="s">
        <v>236</v>
      </c>
      <c r="C88" s="112" t="s">
        <v>235</v>
      </c>
    </row>
    <row r="89" spans="1:3" ht="15.75" thickBot="1" x14ac:dyDescent="0.3">
      <c r="A89" s="110">
        <v>39528</v>
      </c>
      <c r="B89" s="111" t="s">
        <v>237</v>
      </c>
      <c r="C89" s="112" t="s">
        <v>238</v>
      </c>
    </row>
    <row r="90" spans="1:3" ht="15.75" thickBot="1" x14ac:dyDescent="0.3">
      <c r="A90" s="110">
        <v>39559</v>
      </c>
      <c r="B90" s="111" t="s">
        <v>233</v>
      </c>
      <c r="C90" s="112" t="s">
        <v>240</v>
      </c>
    </row>
    <row r="91" spans="1:3" ht="15.75" thickBot="1" x14ac:dyDescent="0.3">
      <c r="A91" s="110">
        <v>39569</v>
      </c>
      <c r="B91" s="111" t="s">
        <v>242</v>
      </c>
      <c r="C91" s="112" t="s">
        <v>241</v>
      </c>
    </row>
    <row r="92" spans="1:3" ht="15.75" thickBot="1" x14ac:dyDescent="0.3">
      <c r="A92" s="110">
        <v>39590</v>
      </c>
      <c r="B92" s="111" t="s">
        <v>242</v>
      </c>
      <c r="C92" s="112" t="s">
        <v>243</v>
      </c>
    </row>
    <row r="93" spans="1:3" ht="15.75" thickBot="1" x14ac:dyDescent="0.3">
      <c r="A93" s="110">
        <v>39698</v>
      </c>
      <c r="B93" s="111" t="s">
        <v>249</v>
      </c>
      <c r="C93" s="112" t="s">
        <v>244</v>
      </c>
    </row>
    <row r="94" spans="1:3" ht="15.75" thickBot="1" x14ac:dyDescent="0.3">
      <c r="A94" s="110">
        <v>39733</v>
      </c>
      <c r="B94" s="111" t="s">
        <v>249</v>
      </c>
      <c r="C94" s="112" t="s">
        <v>245</v>
      </c>
    </row>
    <row r="95" spans="1:3" ht="15.75" thickBot="1" x14ac:dyDescent="0.3">
      <c r="A95" s="110">
        <v>39754</v>
      </c>
      <c r="B95" s="111" t="s">
        <v>249</v>
      </c>
      <c r="C95" s="112" t="s">
        <v>246</v>
      </c>
    </row>
    <row r="96" spans="1:3" ht="15.75" thickBot="1" x14ac:dyDescent="0.3">
      <c r="A96" s="110">
        <v>39767</v>
      </c>
      <c r="B96" s="111" t="s">
        <v>239</v>
      </c>
      <c r="C96" s="112" t="s">
        <v>247</v>
      </c>
    </row>
    <row r="97" spans="1:3" ht="15.75" thickBot="1" x14ac:dyDescent="0.3">
      <c r="A97" s="110">
        <v>39807</v>
      </c>
      <c r="B97" s="111" t="s">
        <v>242</v>
      </c>
      <c r="C97" s="112" t="s">
        <v>248</v>
      </c>
    </row>
    <row r="98" spans="1:3" ht="15.75" thickBot="1" x14ac:dyDescent="0.3">
      <c r="A98" s="113">
        <v>39814</v>
      </c>
      <c r="B98" s="114" t="s">
        <v>242</v>
      </c>
      <c r="C98" s="115" t="s">
        <v>234</v>
      </c>
    </row>
    <row r="99" spans="1:3" ht="15.75" thickBot="1" x14ac:dyDescent="0.3">
      <c r="A99" s="104">
        <v>39867</v>
      </c>
      <c r="B99" s="105" t="s">
        <v>233</v>
      </c>
      <c r="C99" s="106" t="s">
        <v>235</v>
      </c>
    </row>
    <row r="100" spans="1:3" ht="15.75" thickBot="1" x14ac:dyDescent="0.3">
      <c r="A100" s="104">
        <v>39868</v>
      </c>
      <c r="B100" s="105" t="s">
        <v>236</v>
      </c>
      <c r="C100" s="106" t="s">
        <v>235</v>
      </c>
    </row>
    <row r="101" spans="1:3" ht="15.75" thickBot="1" x14ac:dyDescent="0.3">
      <c r="A101" s="104">
        <v>39913</v>
      </c>
      <c r="B101" s="105" t="s">
        <v>237</v>
      </c>
      <c r="C101" s="106" t="s">
        <v>238</v>
      </c>
    </row>
    <row r="102" spans="1:3" ht="15.75" thickBot="1" x14ac:dyDescent="0.3">
      <c r="A102" s="104">
        <v>39924</v>
      </c>
      <c r="B102" s="105" t="s">
        <v>236</v>
      </c>
      <c r="C102" s="106" t="s">
        <v>240</v>
      </c>
    </row>
    <row r="103" spans="1:3" ht="15.75" thickBot="1" x14ac:dyDescent="0.3">
      <c r="A103" s="104">
        <v>39934</v>
      </c>
      <c r="B103" s="105" t="s">
        <v>237</v>
      </c>
      <c r="C103" s="106" t="s">
        <v>241</v>
      </c>
    </row>
    <row r="104" spans="1:3" ht="15.75" thickBot="1" x14ac:dyDescent="0.3">
      <c r="A104" s="104">
        <v>39975</v>
      </c>
      <c r="B104" s="105" t="s">
        <v>242</v>
      </c>
      <c r="C104" s="106" t="s">
        <v>243</v>
      </c>
    </row>
    <row r="105" spans="1:3" ht="15.75" thickBot="1" x14ac:dyDescent="0.3">
      <c r="A105" s="104">
        <v>40063</v>
      </c>
      <c r="B105" s="105" t="s">
        <v>233</v>
      </c>
      <c r="C105" s="106" t="s">
        <v>244</v>
      </c>
    </row>
    <row r="106" spans="1:3" ht="15.75" thickBot="1" x14ac:dyDescent="0.3">
      <c r="A106" s="104">
        <v>40098</v>
      </c>
      <c r="B106" s="105" t="s">
        <v>233</v>
      </c>
      <c r="C106" s="106" t="s">
        <v>245</v>
      </c>
    </row>
    <row r="107" spans="1:3" ht="15.75" thickBot="1" x14ac:dyDescent="0.3">
      <c r="A107" s="104">
        <v>40119</v>
      </c>
      <c r="B107" s="105" t="s">
        <v>233</v>
      </c>
      <c r="C107" s="106" t="s">
        <v>246</v>
      </c>
    </row>
    <row r="108" spans="1:3" ht="15.75" thickBot="1" x14ac:dyDescent="0.3">
      <c r="A108" s="104">
        <v>40132</v>
      </c>
      <c r="B108" s="105" t="s">
        <v>249</v>
      </c>
      <c r="C108" s="106" t="s">
        <v>247</v>
      </c>
    </row>
    <row r="109" spans="1:3" ht="15.75" thickBot="1" x14ac:dyDescent="0.3">
      <c r="A109" s="104">
        <v>40172</v>
      </c>
      <c r="B109" s="105" t="s">
        <v>237</v>
      </c>
      <c r="C109" s="106" t="s">
        <v>248</v>
      </c>
    </row>
    <row r="110" spans="1:3" ht="15.75" thickBot="1" x14ac:dyDescent="0.3">
      <c r="A110" s="107">
        <v>40179</v>
      </c>
      <c r="B110" s="108" t="s">
        <v>237</v>
      </c>
      <c r="C110" s="109" t="s">
        <v>234</v>
      </c>
    </row>
    <row r="111" spans="1:3" ht="15.75" thickBot="1" x14ac:dyDescent="0.3">
      <c r="A111" s="110">
        <v>40224</v>
      </c>
      <c r="B111" s="111" t="s">
        <v>233</v>
      </c>
      <c r="C111" s="112" t="s">
        <v>235</v>
      </c>
    </row>
    <row r="112" spans="1:3" ht="15.75" thickBot="1" x14ac:dyDescent="0.3">
      <c r="A112" s="110">
        <v>40225</v>
      </c>
      <c r="B112" s="111" t="s">
        <v>236</v>
      </c>
      <c r="C112" s="112" t="s">
        <v>235</v>
      </c>
    </row>
    <row r="113" spans="1:3" ht="15.75" thickBot="1" x14ac:dyDescent="0.3">
      <c r="A113" s="110">
        <v>40270</v>
      </c>
      <c r="B113" s="111" t="s">
        <v>237</v>
      </c>
      <c r="C113" s="112" t="s">
        <v>238</v>
      </c>
    </row>
    <row r="114" spans="1:3" ht="15.75" thickBot="1" x14ac:dyDescent="0.3">
      <c r="A114" s="110">
        <v>40289</v>
      </c>
      <c r="B114" s="111" t="s">
        <v>250</v>
      </c>
      <c r="C114" s="112" t="s">
        <v>240</v>
      </c>
    </row>
    <row r="115" spans="1:3" ht="15.75" thickBot="1" x14ac:dyDescent="0.3">
      <c r="A115" s="110">
        <v>40299</v>
      </c>
      <c r="B115" s="111" t="s">
        <v>239</v>
      </c>
      <c r="C115" s="112" t="s">
        <v>241</v>
      </c>
    </row>
    <row r="116" spans="1:3" ht="15.75" thickBot="1" x14ac:dyDescent="0.3">
      <c r="A116" s="110">
        <v>40332</v>
      </c>
      <c r="B116" s="111" t="s">
        <v>242</v>
      </c>
      <c r="C116" s="112" t="s">
        <v>243</v>
      </c>
    </row>
    <row r="117" spans="1:3" ht="15.75" thickBot="1" x14ac:dyDescent="0.3">
      <c r="A117" s="110">
        <v>40428</v>
      </c>
      <c r="B117" s="111" t="s">
        <v>236</v>
      </c>
      <c r="C117" s="112" t="s">
        <v>244</v>
      </c>
    </row>
    <row r="118" spans="1:3" ht="15.75" thickBot="1" x14ac:dyDescent="0.3">
      <c r="A118" s="110">
        <v>40463</v>
      </c>
      <c r="B118" s="111" t="s">
        <v>236</v>
      </c>
      <c r="C118" s="112" t="s">
        <v>245</v>
      </c>
    </row>
    <row r="119" spans="1:3" ht="15.75" thickBot="1" x14ac:dyDescent="0.3">
      <c r="A119" s="110">
        <v>40484</v>
      </c>
      <c r="B119" s="111" t="s">
        <v>236</v>
      </c>
      <c r="C119" s="112" t="s">
        <v>246</v>
      </c>
    </row>
    <row r="120" spans="1:3" ht="15.75" thickBot="1" x14ac:dyDescent="0.3">
      <c r="A120" s="110">
        <v>40497</v>
      </c>
      <c r="B120" s="111" t="s">
        <v>233</v>
      </c>
      <c r="C120" s="112" t="s">
        <v>247</v>
      </c>
    </row>
    <row r="121" spans="1:3" ht="15.75" thickBot="1" x14ac:dyDescent="0.3">
      <c r="A121" s="110">
        <v>40537</v>
      </c>
      <c r="B121" s="111" t="s">
        <v>239</v>
      </c>
      <c r="C121" s="112" t="s">
        <v>248</v>
      </c>
    </row>
    <row r="122" spans="1:3" ht="15.75" thickBot="1" x14ac:dyDescent="0.3">
      <c r="A122" s="113">
        <v>40544</v>
      </c>
      <c r="B122" s="114" t="s">
        <v>239</v>
      </c>
      <c r="C122" s="115" t="s">
        <v>234</v>
      </c>
    </row>
    <row r="123" spans="1:3" ht="15.75" thickBot="1" x14ac:dyDescent="0.3">
      <c r="A123" s="104">
        <v>40609</v>
      </c>
      <c r="B123" s="105" t="s">
        <v>233</v>
      </c>
      <c r="C123" s="106" t="s">
        <v>235</v>
      </c>
    </row>
    <row r="124" spans="1:3" ht="15.75" thickBot="1" x14ac:dyDescent="0.3">
      <c r="A124" s="104">
        <v>40610</v>
      </c>
      <c r="B124" s="105" t="s">
        <v>236</v>
      </c>
      <c r="C124" s="106" t="s">
        <v>235</v>
      </c>
    </row>
    <row r="125" spans="1:3" ht="15.75" thickBot="1" x14ac:dyDescent="0.3">
      <c r="A125" s="104">
        <v>40654</v>
      </c>
      <c r="B125" s="105" t="s">
        <v>242</v>
      </c>
      <c r="C125" s="106" t="s">
        <v>238</v>
      </c>
    </row>
    <row r="126" spans="1:3" ht="15.75" thickBot="1" x14ac:dyDescent="0.3">
      <c r="A126" s="104">
        <v>40655</v>
      </c>
      <c r="B126" s="105" t="s">
        <v>237</v>
      </c>
      <c r="C126" s="106" t="s">
        <v>240</v>
      </c>
    </row>
    <row r="127" spans="1:3" ht="15.75" thickBot="1" x14ac:dyDescent="0.3">
      <c r="A127" s="104">
        <v>40664</v>
      </c>
      <c r="B127" s="105" t="s">
        <v>249</v>
      </c>
      <c r="C127" s="106" t="s">
        <v>241</v>
      </c>
    </row>
    <row r="128" spans="1:3" ht="15.75" thickBot="1" x14ac:dyDescent="0.3">
      <c r="A128" s="104">
        <v>40717</v>
      </c>
      <c r="B128" s="105" t="s">
        <v>242</v>
      </c>
      <c r="C128" s="106" t="s">
        <v>243</v>
      </c>
    </row>
    <row r="129" spans="1:3" ht="15.75" thickBot="1" x14ac:dyDescent="0.3">
      <c r="A129" s="104">
        <v>40793</v>
      </c>
      <c r="B129" s="105" t="s">
        <v>250</v>
      </c>
      <c r="C129" s="106" t="s">
        <v>244</v>
      </c>
    </row>
    <row r="130" spans="1:3" ht="15.75" thickBot="1" x14ac:dyDescent="0.3">
      <c r="A130" s="104">
        <v>40828</v>
      </c>
      <c r="B130" s="105" t="s">
        <v>250</v>
      </c>
      <c r="C130" s="106" t="s">
        <v>245</v>
      </c>
    </row>
    <row r="131" spans="1:3" ht="15.75" thickBot="1" x14ac:dyDescent="0.3">
      <c r="A131" s="104">
        <v>40849</v>
      </c>
      <c r="B131" s="105" t="s">
        <v>250</v>
      </c>
      <c r="C131" s="106" t="s">
        <v>246</v>
      </c>
    </row>
    <row r="132" spans="1:3" ht="15.75" thickBot="1" x14ac:dyDescent="0.3">
      <c r="A132" s="104">
        <v>40862</v>
      </c>
      <c r="B132" s="105" t="s">
        <v>236</v>
      </c>
      <c r="C132" s="106" t="s">
        <v>247</v>
      </c>
    </row>
    <row r="133" spans="1:3" ht="15.75" thickBot="1" x14ac:dyDescent="0.3">
      <c r="A133" s="104">
        <v>40902</v>
      </c>
      <c r="B133" s="105" t="s">
        <v>249</v>
      </c>
      <c r="C133" s="106" t="s">
        <v>248</v>
      </c>
    </row>
    <row r="134" spans="1:3" ht="15.75" thickBot="1" x14ac:dyDescent="0.3">
      <c r="A134" s="107">
        <v>40909</v>
      </c>
      <c r="B134" s="108" t="s">
        <v>249</v>
      </c>
      <c r="C134" s="109" t="s">
        <v>234</v>
      </c>
    </row>
    <row r="135" spans="1:3" ht="15.75" thickBot="1" x14ac:dyDescent="0.3">
      <c r="A135" s="110">
        <v>40959</v>
      </c>
      <c r="B135" s="111" t="s">
        <v>233</v>
      </c>
      <c r="C135" s="112" t="s">
        <v>235</v>
      </c>
    </row>
    <row r="136" spans="1:3" ht="15.75" thickBot="1" x14ac:dyDescent="0.3">
      <c r="A136" s="110">
        <v>40960</v>
      </c>
      <c r="B136" s="111" t="s">
        <v>236</v>
      </c>
      <c r="C136" s="112" t="s">
        <v>235</v>
      </c>
    </row>
    <row r="137" spans="1:3" ht="15.75" thickBot="1" x14ac:dyDescent="0.3">
      <c r="A137" s="110">
        <v>41005</v>
      </c>
      <c r="B137" s="111" t="s">
        <v>237</v>
      </c>
      <c r="C137" s="112" t="s">
        <v>238</v>
      </c>
    </row>
    <row r="138" spans="1:3" ht="15.75" thickBot="1" x14ac:dyDescent="0.3">
      <c r="A138" s="110">
        <v>41020</v>
      </c>
      <c r="B138" s="111" t="s">
        <v>239</v>
      </c>
      <c r="C138" s="112" t="s">
        <v>240</v>
      </c>
    </row>
    <row r="139" spans="1:3" ht="15.75" thickBot="1" x14ac:dyDescent="0.3">
      <c r="A139" s="110">
        <v>41030</v>
      </c>
      <c r="B139" s="111" t="s">
        <v>236</v>
      </c>
      <c r="C139" s="112" t="s">
        <v>241</v>
      </c>
    </row>
    <row r="140" spans="1:3" ht="15.75" thickBot="1" x14ac:dyDescent="0.3">
      <c r="A140" s="110">
        <v>41067</v>
      </c>
      <c r="B140" s="111" t="s">
        <v>242</v>
      </c>
      <c r="C140" s="112" t="s">
        <v>243</v>
      </c>
    </row>
    <row r="141" spans="1:3" ht="15.75" thickBot="1" x14ac:dyDescent="0.3">
      <c r="A141" s="110">
        <v>41159</v>
      </c>
      <c r="B141" s="111" t="s">
        <v>237</v>
      </c>
      <c r="C141" s="112" t="s">
        <v>244</v>
      </c>
    </row>
    <row r="142" spans="1:3" ht="15.75" thickBot="1" x14ac:dyDescent="0.3">
      <c r="A142" s="110">
        <v>41194</v>
      </c>
      <c r="B142" s="111" t="s">
        <v>237</v>
      </c>
      <c r="C142" s="112" t="s">
        <v>245</v>
      </c>
    </row>
    <row r="143" spans="1:3" ht="15.75" thickBot="1" x14ac:dyDescent="0.3">
      <c r="A143" s="110">
        <v>41215</v>
      </c>
      <c r="B143" s="111" t="s">
        <v>237</v>
      </c>
      <c r="C143" s="112" t="s">
        <v>246</v>
      </c>
    </row>
    <row r="144" spans="1:3" ht="15.75" thickBot="1" x14ac:dyDescent="0.3">
      <c r="A144" s="110">
        <v>41228</v>
      </c>
      <c r="B144" s="111" t="s">
        <v>242</v>
      </c>
      <c r="C144" s="112" t="s">
        <v>247</v>
      </c>
    </row>
    <row r="145" spans="1:3" ht="15.75" thickBot="1" x14ac:dyDescent="0.3">
      <c r="A145" s="110">
        <v>41268</v>
      </c>
      <c r="B145" s="111" t="s">
        <v>236</v>
      </c>
      <c r="C145" s="112" t="s">
        <v>248</v>
      </c>
    </row>
    <row r="146" spans="1:3" ht="15.75" thickBot="1" x14ac:dyDescent="0.3">
      <c r="A146" s="113">
        <v>41275</v>
      </c>
      <c r="B146" s="114" t="s">
        <v>236</v>
      </c>
      <c r="C146" s="115" t="s">
        <v>234</v>
      </c>
    </row>
    <row r="147" spans="1:3" ht="15.75" thickBot="1" x14ac:dyDescent="0.3">
      <c r="A147" s="104">
        <v>41316</v>
      </c>
      <c r="B147" s="105" t="s">
        <v>233</v>
      </c>
      <c r="C147" s="106" t="s">
        <v>235</v>
      </c>
    </row>
    <row r="148" spans="1:3" ht="15.75" thickBot="1" x14ac:dyDescent="0.3">
      <c r="A148" s="104">
        <v>41317</v>
      </c>
      <c r="B148" s="105" t="s">
        <v>236</v>
      </c>
      <c r="C148" s="106" t="s">
        <v>235</v>
      </c>
    </row>
    <row r="149" spans="1:3" ht="15.75" thickBot="1" x14ac:dyDescent="0.3">
      <c r="A149" s="104">
        <v>41362</v>
      </c>
      <c r="B149" s="105" t="s">
        <v>237</v>
      </c>
      <c r="C149" s="106" t="s">
        <v>238</v>
      </c>
    </row>
    <row r="150" spans="1:3" ht="15.75" thickBot="1" x14ac:dyDescent="0.3">
      <c r="A150" s="104">
        <v>41385</v>
      </c>
      <c r="B150" s="105" t="s">
        <v>249</v>
      </c>
      <c r="C150" s="106" t="s">
        <v>240</v>
      </c>
    </row>
    <row r="151" spans="1:3" ht="15.75" thickBot="1" x14ac:dyDescent="0.3">
      <c r="A151" s="104">
        <v>41395</v>
      </c>
      <c r="B151" s="105" t="s">
        <v>250</v>
      </c>
      <c r="C151" s="106" t="s">
        <v>241</v>
      </c>
    </row>
    <row r="152" spans="1:3" ht="15.75" thickBot="1" x14ac:dyDescent="0.3">
      <c r="A152" s="104">
        <v>41424</v>
      </c>
      <c r="B152" s="105" t="s">
        <v>242</v>
      </c>
      <c r="C152" s="106" t="s">
        <v>243</v>
      </c>
    </row>
    <row r="153" spans="1:3" ht="15.75" thickBot="1" x14ac:dyDescent="0.3">
      <c r="A153" s="104">
        <v>41524</v>
      </c>
      <c r="B153" s="105" t="s">
        <v>239</v>
      </c>
      <c r="C153" s="106" t="s">
        <v>244</v>
      </c>
    </row>
    <row r="154" spans="1:3" ht="15.75" thickBot="1" x14ac:dyDescent="0.3">
      <c r="A154" s="104">
        <v>41559</v>
      </c>
      <c r="B154" s="105" t="s">
        <v>239</v>
      </c>
      <c r="C154" s="106" t="s">
        <v>245</v>
      </c>
    </row>
    <row r="155" spans="1:3" ht="15.75" thickBot="1" x14ac:dyDescent="0.3">
      <c r="A155" s="104">
        <v>41580</v>
      </c>
      <c r="B155" s="105" t="s">
        <v>239</v>
      </c>
      <c r="C155" s="106" t="s">
        <v>246</v>
      </c>
    </row>
    <row r="156" spans="1:3" ht="15.75" thickBot="1" x14ac:dyDescent="0.3">
      <c r="A156" s="104">
        <v>41593</v>
      </c>
      <c r="B156" s="105" t="s">
        <v>237</v>
      </c>
      <c r="C156" s="106" t="s">
        <v>247</v>
      </c>
    </row>
    <row r="157" spans="1:3" ht="15.75" thickBot="1" x14ac:dyDescent="0.3">
      <c r="A157" s="104">
        <v>41633</v>
      </c>
      <c r="B157" s="105" t="s">
        <v>250</v>
      </c>
      <c r="C157" s="106" t="s">
        <v>248</v>
      </c>
    </row>
    <row r="158" spans="1:3" ht="15.75" thickBot="1" x14ac:dyDescent="0.3">
      <c r="A158" s="107">
        <v>41640</v>
      </c>
      <c r="B158" s="108" t="s">
        <v>250</v>
      </c>
      <c r="C158" s="109" t="s">
        <v>234</v>
      </c>
    </row>
    <row r="159" spans="1:3" ht="15.75" thickBot="1" x14ac:dyDescent="0.3">
      <c r="A159" s="110">
        <v>41701</v>
      </c>
      <c r="B159" s="111" t="s">
        <v>233</v>
      </c>
      <c r="C159" s="112" t="s">
        <v>235</v>
      </c>
    </row>
    <row r="160" spans="1:3" ht="15.75" thickBot="1" x14ac:dyDescent="0.3">
      <c r="A160" s="110">
        <v>41702</v>
      </c>
      <c r="B160" s="111" t="s">
        <v>236</v>
      </c>
      <c r="C160" s="112" t="s">
        <v>235</v>
      </c>
    </row>
    <row r="161" spans="1:3" ht="15.75" thickBot="1" x14ac:dyDescent="0.3">
      <c r="A161" s="110">
        <v>41747</v>
      </c>
      <c r="B161" s="111" t="s">
        <v>237</v>
      </c>
      <c r="C161" s="112" t="s">
        <v>238</v>
      </c>
    </row>
    <row r="162" spans="1:3" ht="15.75" thickBot="1" x14ac:dyDescent="0.3">
      <c r="A162" s="110">
        <v>41750</v>
      </c>
      <c r="B162" s="111" t="s">
        <v>233</v>
      </c>
      <c r="C162" s="112" t="s">
        <v>240</v>
      </c>
    </row>
    <row r="163" spans="1:3" ht="15.75" thickBot="1" x14ac:dyDescent="0.3">
      <c r="A163" s="110">
        <v>41760</v>
      </c>
      <c r="B163" s="111" t="s">
        <v>242</v>
      </c>
      <c r="C163" s="112" t="s">
        <v>241</v>
      </c>
    </row>
    <row r="164" spans="1:3" ht="15.75" thickBot="1" x14ac:dyDescent="0.3">
      <c r="A164" s="110">
        <v>41809</v>
      </c>
      <c r="B164" s="111" t="s">
        <v>242</v>
      </c>
      <c r="C164" s="112" t="s">
        <v>243</v>
      </c>
    </row>
    <row r="165" spans="1:3" ht="15.75" thickBot="1" x14ac:dyDescent="0.3">
      <c r="A165" s="110">
        <v>41889</v>
      </c>
      <c r="B165" s="111" t="s">
        <v>249</v>
      </c>
      <c r="C165" s="112" t="s">
        <v>244</v>
      </c>
    </row>
    <row r="166" spans="1:3" ht="15.75" thickBot="1" x14ac:dyDescent="0.3">
      <c r="A166" s="110">
        <v>41924</v>
      </c>
      <c r="B166" s="111" t="s">
        <v>249</v>
      </c>
      <c r="C166" s="112" t="s">
        <v>245</v>
      </c>
    </row>
    <row r="167" spans="1:3" ht="15.75" thickBot="1" x14ac:dyDescent="0.3">
      <c r="A167" s="110">
        <v>41945</v>
      </c>
      <c r="B167" s="111" t="s">
        <v>249</v>
      </c>
      <c r="C167" s="112" t="s">
        <v>246</v>
      </c>
    </row>
    <row r="168" spans="1:3" ht="15.75" thickBot="1" x14ac:dyDescent="0.3">
      <c r="A168" s="110">
        <v>41958</v>
      </c>
      <c r="B168" s="111" t="s">
        <v>239</v>
      </c>
      <c r="C168" s="112" t="s">
        <v>247</v>
      </c>
    </row>
    <row r="169" spans="1:3" ht="15.75" thickBot="1" x14ac:dyDescent="0.3">
      <c r="A169" s="110">
        <v>41998</v>
      </c>
      <c r="B169" s="111" t="s">
        <v>242</v>
      </c>
      <c r="C169" s="112" t="s">
        <v>248</v>
      </c>
    </row>
    <row r="170" spans="1:3" ht="15.75" thickBot="1" x14ac:dyDescent="0.3">
      <c r="A170" s="113">
        <v>42005</v>
      </c>
      <c r="B170" s="114" t="s">
        <v>242</v>
      </c>
      <c r="C170" s="115" t="s">
        <v>234</v>
      </c>
    </row>
    <row r="171" spans="1:3" ht="15.75" thickBot="1" x14ac:dyDescent="0.3">
      <c r="A171" s="104">
        <v>42051</v>
      </c>
      <c r="B171" s="105" t="s">
        <v>233</v>
      </c>
      <c r="C171" s="106" t="s">
        <v>235</v>
      </c>
    </row>
    <row r="172" spans="1:3" ht="15.75" thickBot="1" x14ac:dyDescent="0.3">
      <c r="A172" s="104">
        <v>42052</v>
      </c>
      <c r="B172" s="105" t="s">
        <v>236</v>
      </c>
      <c r="C172" s="106" t="s">
        <v>235</v>
      </c>
    </row>
    <row r="173" spans="1:3" ht="15.75" thickBot="1" x14ac:dyDescent="0.3">
      <c r="A173" s="104">
        <v>42097</v>
      </c>
      <c r="B173" s="105" t="s">
        <v>237</v>
      </c>
      <c r="C173" s="106" t="s">
        <v>238</v>
      </c>
    </row>
    <row r="174" spans="1:3" ht="15.75" thickBot="1" x14ac:dyDescent="0.3">
      <c r="A174" s="104">
        <v>42115</v>
      </c>
      <c r="B174" s="105" t="s">
        <v>236</v>
      </c>
      <c r="C174" s="106" t="s">
        <v>240</v>
      </c>
    </row>
    <row r="175" spans="1:3" ht="15.75" thickBot="1" x14ac:dyDescent="0.3">
      <c r="A175" s="104">
        <v>42125</v>
      </c>
      <c r="B175" s="105" t="s">
        <v>237</v>
      </c>
      <c r="C175" s="106" t="s">
        <v>241</v>
      </c>
    </row>
    <row r="176" spans="1:3" ht="15.75" thickBot="1" x14ac:dyDescent="0.3">
      <c r="A176" s="104">
        <v>42159</v>
      </c>
      <c r="B176" s="105" t="s">
        <v>242</v>
      </c>
      <c r="C176" s="106" t="s">
        <v>243</v>
      </c>
    </row>
    <row r="177" spans="1:3" ht="15.75" thickBot="1" x14ac:dyDescent="0.3">
      <c r="A177" s="104">
        <v>42254</v>
      </c>
      <c r="B177" s="105" t="s">
        <v>233</v>
      </c>
      <c r="C177" s="106" t="s">
        <v>244</v>
      </c>
    </row>
    <row r="178" spans="1:3" ht="15.75" thickBot="1" x14ac:dyDescent="0.3">
      <c r="A178" s="104">
        <v>42289</v>
      </c>
      <c r="B178" s="105" t="s">
        <v>233</v>
      </c>
      <c r="C178" s="106" t="s">
        <v>245</v>
      </c>
    </row>
    <row r="179" spans="1:3" ht="15.75" thickBot="1" x14ac:dyDescent="0.3">
      <c r="A179" s="104">
        <v>42310</v>
      </c>
      <c r="B179" s="105" t="s">
        <v>233</v>
      </c>
      <c r="C179" s="106" t="s">
        <v>246</v>
      </c>
    </row>
    <row r="180" spans="1:3" ht="15.75" thickBot="1" x14ac:dyDescent="0.3">
      <c r="A180" s="104">
        <v>42323</v>
      </c>
      <c r="B180" s="105" t="s">
        <v>249</v>
      </c>
      <c r="C180" s="106" t="s">
        <v>247</v>
      </c>
    </row>
    <row r="181" spans="1:3" ht="15.75" thickBot="1" x14ac:dyDescent="0.3">
      <c r="A181" s="104">
        <v>42363</v>
      </c>
      <c r="B181" s="105" t="s">
        <v>237</v>
      </c>
      <c r="C181" s="106" t="s">
        <v>248</v>
      </c>
    </row>
    <row r="182" spans="1:3" ht="15.75" thickBot="1" x14ac:dyDescent="0.3">
      <c r="A182" s="107">
        <v>42370</v>
      </c>
      <c r="B182" s="108" t="s">
        <v>237</v>
      </c>
      <c r="C182" s="109" t="s">
        <v>234</v>
      </c>
    </row>
    <row r="183" spans="1:3" ht="15.75" thickBot="1" x14ac:dyDescent="0.3">
      <c r="A183" s="110">
        <v>42408</v>
      </c>
      <c r="B183" s="111" t="s">
        <v>233</v>
      </c>
      <c r="C183" s="112" t="s">
        <v>235</v>
      </c>
    </row>
    <row r="184" spans="1:3" ht="15.75" thickBot="1" x14ac:dyDescent="0.3">
      <c r="A184" s="110">
        <v>42409</v>
      </c>
      <c r="B184" s="111" t="s">
        <v>236</v>
      </c>
      <c r="C184" s="112" t="s">
        <v>235</v>
      </c>
    </row>
    <row r="185" spans="1:3" ht="15.75" thickBot="1" x14ac:dyDescent="0.3">
      <c r="A185" s="110">
        <v>42454</v>
      </c>
      <c r="B185" s="111" t="s">
        <v>237</v>
      </c>
      <c r="C185" s="112" t="s">
        <v>238</v>
      </c>
    </row>
    <row r="186" spans="1:3" ht="15.75" thickBot="1" x14ac:dyDescent="0.3">
      <c r="A186" s="110">
        <v>42481</v>
      </c>
      <c r="B186" s="111" t="s">
        <v>242</v>
      </c>
      <c r="C186" s="112" t="s">
        <v>240</v>
      </c>
    </row>
    <row r="187" spans="1:3" ht="15.75" thickBot="1" x14ac:dyDescent="0.3">
      <c r="A187" s="110">
        <v>42491</v>
      </c>
      <c r="B187" s="111" t="s">
        <v>249</v>
      </c>
      <c r="C187" s="112" t="s">
        <v>241</v>
      </c>
    </row>
    <row r="188" spans="1:3" ht="15.75" thickBot="1" x14ac:dyDescent="0.3">
      <c r="A188" s="110">
        <v>42516</v>
      </c>
      <c r="B188" s="111" t="s">
        <v>242</v>
      </c>
      <c r="C188" s="112" t="s">
        <v>243</v>
      </c>
    </row>
    <row r="189" spans="1:3" ht="15.75" thickBot="1" x14ac:dyDescent="0.3">
      <c r="A189" s="110">
        <v>42620</v>
      </c>
      <c r="B189" s="111" t="s">
        <v>250</v>
      </c>
      <c r="C189" s="112" t="s">
        <v>244</v>
      </c>
    </row>
    <row r="190" spans="1:3" ht="15.75" thickBot="1" x14ac:dyDescent="0.3">
      <c r="A190" s="110">
        <v>42655</v>
      </c>
      <c r="B190" s="111" t="s">
        <v>250</v>
      </c>
      <c r="C190" s="112" t="s">
        <v>245</v>
      </c>
    </row>
    <row r="191" spans="1:3" ht="15.75" thickBot="1" x14ac:dyDescent="0.3">
      <c r="A191" s="110">
        <v>42676</v>
      </c>
      <c r="B191" s="111" t="s">
        <v>250</v>
      </c>
      <c r="C191" s="112" t="s">
        <v>246</v>
      </c>
    </row>
    <row r="192" spans="1:3" ht="15.75" thickBot="1" x14ac:dyDescent="0.3">
      <c r="A192" s="110">
        <v>42689</v>
      </c>
      <c r="B192" s="111" t="s">
        <v>236</v>
      </c>
      <c r="C192" s="112" t="s">
        <v>247</v>
      </c>
    </row>
    <row r="193" spans="1:3" ht="15.75" thickBot="1" x14ac:dyDescent="0.3">
      <c r="A193" s="110">
        <v>42729</v>
      </c>
      <c r="B193" s="111" t="s">
        <v>249</v>
      </c>
      <c r="C193" s="112" t="s">
        <v>248</v>
      </c>
    </row>
    <row r="194" spans="1:3" ht="15.75" thickBot="1" x14ac:dyDescent="0.3">
      <c r="A194" s="113">
        <v>42736</v>
      </c>
      <c r="B194" s="114" t="s">
        <v>249</v>
      </c>
      <c r="C194" s="115" t="s">
        <v>234</v>
      </c>
    </row>
    <row r="195" spans="1:3" ht="15.75" thickBot="1" x14ac:dyDescent="0.3">
      <c r="A195" s="104">
        <v>42793</v>
      </c>
      <c r="B195" s="105" t="s">
        <v>233</v>
      </c>
      <c r="C195" s="106" t="s">
        <v>235</v>
      </c>
    </row>
    <row r="196" spans="1:3" ht="15.75" thickBot="1" x14ac:dyDescent="0.3">
      <c r="A196" s="104">
        <v>42794</v>
      </c>
      <c r="B196" s="105" t="s">
        <v>236</v>
      </c>
      <c r="C196" s="106" t="s">
        <v>235</v>
      </c>
    </row>
    <row r="197" spans="1:3" ht="15.75" thickBot="1" x14ac:dyDescent="0.3">
      <c r="A197" s="104">
        <v>42839</v>
      </c>
      <c r="B197" s="105" t="s">
        <v>237</v>
      </c>
      <c r="C197" s="106" t="s">
        <v>238</v>
      </c>
    </row>
    <row r="198" spans="1:3" ht="15.75" thickBot="1" x14ac:dyDescent="0.3">
      <c r="A198" s="104">
        <v>42846</v>
      </c>
      <c r="B198" s="105" t="s">
        <v>237</v>
      </c>
      <c r="C198" s="106" t="s">
        <v>240</v>
      </c>
    </row>
    <row r="199" spans="1:3" ht="15.75" thickBot="1" x14ac:dyDescent="0.3">
      <c r="A199" s="104">
        <v>42856</v>
      </c>
      <c r="B199" s="105" t="s">
        <v>233</v>
      </c>
      <c r="C199" s="106" t="s">
        <v>241</v>
      </c>
    </row>
    <row r="200" spans="1:3" ht="15.75" thickBot="1" x14ac:dyDescent="0.3">
      <c r="A200" s="104">
        <v>42901</v>
      </c>
      <c r="B200" s="105" t="s">
        <v>242</v>
      </c>
      <c r="C200" s="106" t="s">
        <v>243</v>
      </c>
    </row>
    <row r="201" spans="1:3" ht="15.75" thickBot="1" x14ac:dyDescent="0.3">
      <c r="A201" s="104">
        <v>42985</v>
      </c>
      <c r="B201" s="105" t="s">
        <v>242</v>
      </c>
      <c r="C201" s="106" t="s">
        <v>244</v>
      </c>
    </row>
    <row r="202" spans="1:3" ht="15.75" thickBot="1" x14ac:dyDescent="0.3">
      <c r="A202" s="104">
        <v>43020</v>
      </c>
      <c r="B202" s="105" t="s">
        <v>242</v>
      </c>
      <c r="C202" s="106" t="s">
        <v>245</v>
      </c>
    </row>
    <row r="203" spans="1:3" ht="15.75" thickBot="1" x14ac:dyDescent="0.3">
      <c r="A203" s="104">
        <v>43041</v>
      </c>
      <c r="B203" s="105" t="s">
        <v>242</v>
      </c>
      <c r="C203" s="106" t="s">
        <v>246</v>
      </c>
    </row>
    <row r="204" spans="1:3" ht="15.75" thickBot="1" x14ac:dyDescent="0.3">
      <c r="A204" s="104">
        <v>43054</v>
      </c>
      <c r="B204" s="105" t="s">
        <v>250</v>
      </c>
      <c r="C204" s="106" t="s">
        <v>247</v>
      </c>
    </row>
    <row r="205" spans="1:3" ht="15.75" thickBot="1" x14ac:dyDescent="0.3">
      <c r="A205" s="104">
        <v>43094</v>
      </c>
      <c r="B205" s="105" t="s">
        <v>233</v>
      </c>
      <c r="C205" s="106" t="s">
        <v>248</v>
      </c>
    </row>
    <row r="206" spans="1:3" ht="15.75" thickBot="1" x14ac:dyDescent="0.3">
      <c r="A206" s="107">
        <v>43101</v>
      </c>
      <c r="B206" s="108" t="s">
        <v>233</v>
      </c>
      <c r="C206" s="109" t="s">
        <v>234</v>
      </c>
    </row>
    <row r="207" spans="1:3" ht="15.75" thickBot="1" x14ac:dyDescent="0.3">
      <c r="A207" s="110">
        <v>43143</v>
      </c>
      <c r="B207" s="111" t="s">
        <v>233</v>
      </c>
      <c r="C207" s="112" t="s">
        <v>235</v>
      </c>
    </row>
    <row r="208" spans="1:3" ht="15.75" thickBot="1" x14ac:dyDescent="0.3">
      <c r="A208" s="110">
        <v>43144</v>
      </c>
      <c r="B208" s="111" t="s">
        <v>236</v>
      </c>
      <c r="C208" s="112" t="s">
        <v>235</v>
      </c>
    </row>
    <row r="209" spans="1:3" ht="15.75" thickBot="1" x14ac:dyDescent="0.3">
      <c r="A209" s="110">
        <v>43189</v>
      </c>
      <c r="B209" s="111" t="s">
        <v>237</v>
      </c>
      <c r="C209" s="112" t="s">
        <v>238</v>
      </c>
    </row>
    <row r="210" spans="1:3" ht="15.75" thickBot="1" x14ac:dyDescent="0.3">
      <c r="A210" s="110">
        <v>43211</v>
      </c>
      <c r="B210" s="111" t="s">
        <v>239</v>
      </c>
      <c r="C210" s="112" t="s">
        <v>240</v>
      </c>
    </row>
    <row r="211" spans="1:3" ht="15.75" thickBot="1" x14ac:dyDescent="0.3">
      <c r="A211" s="110">
        <v>43221</v>
      </c>
      <c r="B211" s="111" t="s">
        <v>236</v>
      </c>
      <c r="C211" s="112" t="s">
        <v>241</v>
      </c>
    </row>
    <row r="212" spans="1:3" ht="15.75" thickBot="1" x14ac:dyDescent="0.3">
      <c r="A212" s="110">
        <v>43251</v>
      </c>
      <c r="B212" s="111" t="s">
        <v>242</v>
      </c>
      <c r="C212" s="112" t="s">
        <v>243</v>
      </c>
    </row>
    <row r="213" spans="1:3" ht="15.75" thickBot="1" x14ac:dyDescent="0.3">
      <c r="A213" s="110">
        <v>43290</v>
      </c>
      <c r="B213" s="111" t="s">
        <v>237</v>
      </c>
      <c r="C213" s="112"/>
    </row>
    <row r="214" spans="1:3" ht="15.75" thickBot="1" x14ac:dyDescent="0.3">
      <c r="A214" s="110">
        <v>43350</v>
      </c>
      <c r="B214" s="111" t="s">
        <v>237</v>
      </c>
      <c r="C214" s="112" t="s">
        <v>244</v>
      </c>
    </row>
    <row r="215" spans="1:3" ht="15.75" thickBot="1" x14ac:dyDescent="0.3">
      <c r="A215" s="110">
        <v>43385</v>
      </c>
      <c r="B215" s="111" t="s">
        <v>237</v>
      </c>
      <c r="C215" s="112" t="s">
        <v>245</v>
      </c>
    </row>
    <row r="216" spans="1:3" ht="15.75" thickBot="1" x14ac:dyDescent="0.3">
      <c r="A216" s="110">
        <v>43406</v>
      </c>
      <c r="B216" s="111" t="s">
        <v>237</v>
      </c>
      <c r="C216" s="112" t="s">
        <v>246</v>
      </c>
    </row>
    <row r="217" spans="1:3" ht="15.75" thickBot="1" x14ac:dyDescent="0.3">
      <c r="A217" s="110">
        <v>43419</v>
      </c>
      <c r="B217" s="111" t="s">
        <v>242</v>
      </c>
      <c r="C217" s="112" t="s">
        <v>247</v>
      </c>
    </row>
    <row r="218" spans="1:3" ht="15.75" thickBot="1" x14ac:dyDescent="0.3">
      <c r="A218" s="110">
        <v>43459</v>
      </c>
      <c r="B218" s="111" t="s">
        <v>236</v>
      </c>
      <c r="C218" s="112" t="s">
        <v>248</v>
      </c>
    </row>
    <row r="219" spans="1:3" ht="15.75" thickBot="1" x14ac:dyDescent="0.3">
      <c r="A219" s="110"/>
      <c r="B219" s="111"/>
      <c r="C219" s="112" t="s">
        <v>251</v>
      </c>
    </row>
    <row r="220" spans="1:3" ht="15.75" thickBot="1" x14ac:dyDescent="0.3">
      <c r="A220" s="113">
        <v>43466</v>
      </c>
      <c r="B220" s="114" t="s">
        <v>236</v>
      </c>
      <c r="C220" s="115" t="s">
        <v>234</v>
      </c>
    </row>
    <row r="221" spans="1:3" ht="15.75" thickBot="1" x14ac:dyDescent="0.3">
      <c r="A221" s="104">
        <v>43528</v>
      </c>
      <c r="B221" s="105" t="s">
        <v>233</v>
      </c>
      <c r="C221" s="106" t="s">
        <v>235</v>
      </c>
    </row>
    <row r="222" spans="1:3" ht="15.75" thickBot="1" x14ac:dyDescent="0.3">
      <c r="A222" s="104">
        <v>43529</v>
      </c>
      <c r="B222" s="105" t="s">
        <v>236</v>
      </c>
      <c r="C222" s="106" t="s">
        <v>235</v>
      </c>
    </row>
    <row r="223" spans="1:3" ht="15.75" thickBot="1" x14ac:dyDescent="0.3">
      <c r="A223" s="104">
        <v>43574</v>
      </c>
      <c r="B223" s="105" t="s">
        <v>237</v>
      </c>
      <c r="C223" s="106" t="s">
        <v>238</v>
      </c>
    </row>
    <row r="224" spans="1:3" ht="15.75" thickBot="1" x14ac:dyDescent="0.3">
      <c r="A224" s="104">
        <v>43576</v>
      </c>
      <c r="B224" s="105" t="s">
        <v>249</v>
      </c>
      <c r="C224" s="106" t="s">
        <v>240</v>
      </c>
    </row>
    <row r="225" spans="1:3" ht="15.75" thickBot="1" x14ac:dyDescent="0.3">
      <c r="A225" s="104">
        <v>43586</v>
      </c>
      <c r="B225" s="105" t="s">
        <v>250</v>
      </c>
      <c r="C225" s="106" t="s">
        <v>241</v>
      </c>
    </row>
    <row r="226" spans="1:3" ht="15.75" thickBot="1" x14ac:dyDescent="0.3">
      <c r="A226" s="104">
        <v>43636</v>
      </c>
      <c r="B226" s="105" t="s">
        <v>242</v>
      </c>
      <c r="C226" s="106" t="s">
        <v>243</v>
      </c>
    </row>
    <row r="227" spans="1:3" ht="15.75" thickBot="1" x14ac:dyDescent="0.3">
      <c r="A227" s="104">
        <v>43715</v>
      </c>
      <c r="B227" s="105" t="s">
        <v>239</v>
      </c>
      <c r="C227" s="106" t="s">
        <v>244</v>
      </c>
    </row>
    <row r="228" spans="1:3" ht="15.75" thickBot="1" x14ac:dyDescent="0.3">
      <c r="A228" s="104">
        <v>43750</v>
      </c>
      <c r="B228" s="105" t="s">
        <v>239</v>
      </c>
      <c r="C228" s="106" t="s">
        <v>245</v>
      </c>
    </row>
    <row r="229" spans="1:3" ht="15.75" thickBot="1" x14ac:dyDescent="0.3">
      <c r="A229" s="104">
        <v>43771</v>
      </c>
      <c r="B229" s="105" t="s">
        <v>239</v>
      </c>
      <c r="C229" s="106" t="s">
        <v>246</v>
      </c>
    </row>
    <row r="230" spans="1:3" ht="15.75" thickBot="1" x14ac:dyDescent="0.3">
      <c r="A230" s="104">
        <v>43784</v>
      </c>
      <c r="B230" s="105" t="s">
        <v>237</v>
      </c>
      <c r="C230" s="106" t="s">
        <v>247</v>
      </c>
    </row>
    <row r="231" spans="1:3" ht="15.75" thickBot="1" x14ac:dyDescent="0.3">
      <c r="A231" s="104">
        <v>43824</v>
      </c>
      <c r="B231" s="105" t="s">
        <v>250</v>
      </c>
      <c r="C231" s="106" t="s">
        <v>248</v>
      </c>
    </row>
    <row r="232" spans="1:3" ht="15.75" thickBot="1" x14ac:dyDescent="0.3">
      <c r="A232" s="107">
        <v>43831</v>
      </c>
      <c r="B232" s="108" t="s">
        <v>250</v>
      </c>
      <c r="C232" s="109" t="s">
        <v>234</v>
      </c>
    </row>
    <row r="233" spans="1:3" ht="15.75" thickBot="1" x14ac:dyDescent="0.3">
      <c r="A233" s="110">
        <v>43885</v>
      </c>
      <c r="B233" s="111" t="s">
        <v>233</v>
      </c>
      <c r="C233" s="112" t="s">
        <v>235</v>
      </c>
    </row>
    <row r="234" spans="1:3" ht="15.75" thickBot="1" x14ac:dyDescent="0.3">
      <c r="A234" s="110">
        <v>43886</v>
      </c>
      <c r="B234" s="111" t="s">
        <v>236</v>
      </c>
      <c r="C234" s="112" t="s">
        <v>235</v>
      </c>
    </row>
    <row r="235" spans="1:3" ht="15.75" thickBot="1" x14ac:dyDescent="0.3">
      <c r="A235" s="110">
        <v>43931</v>
      </c>
      <c r="B235" s="111" t="s">
        <v>237</v>
      </c>
      <c r="C235" s="112" t="s">
        <v>238</v>
      </c>
    </row>
    <row r="236" spans="1:3" ht="15.75" thickBot="1" x14ac:dyDescent="0.3">
      <c r="A236" s="110">
        <v>43942</v>
      </c>
      <c r="B236" s="111" t="s">
        <v>236</v>
      </c>
      <c r="C236" s="112" t="s">
        <v>240</v>
      </c>
    </row>
    <row r="237" spans="1:3" ht="15.75" thickBot="1" x14ac:dyDescent="0.3">
      <c r="A237" s="110">
        <v>43952</v>
      </c>
      <c r="B237" s="111" t="s">
        <v>237</v>
      </c>
      <c r="C237" s="112" t="s">
        <v>241</v>
      </c>
    </row>
    <row r="238" spans="1:3" ht="15.75" thickBot="1" x14ac:dyDescent="0.3">
      <c r="A238" s="110">
        <v>43993</v>
      </c>
      <c r="B238" s="111" t="s">
        <v>242</v>
      </c>
      <c r="C238" s="112" t="s">
        <v>243</v>
      </c>
    </row>
    <row r="239" spans="1:3" ht="15.75" thickBot="1" x14ac:dyDescent="0.3">
      <c r="A239" s="110">
        <v>44081</v>
      </c>
      <c r="B239" s="111" t="s">
        <v>233</v>
      </c>
      <c r="C239" s="112" t="s">
        <v>244</v>
      </c>
    </row>
    <row r="240" spans="1:3" ht="15.75" thickBot="1" x14ac:dyDescent="0.3">
      <c r="A240" s="110">
        <v>44116</v>
      </c>
      <c r="B240" s="111" t="s">
        <v>233</v>
      </c>
      <c r="C240" s="112" t="s">
        <v>245</v>
      </c>
    </row>
    <row r="241" spans="1:3" ht="15.75" thickBot="1" x14ac:dyDescent="0.3">
      <c r="A241" s="110">
        <v>44137</v>
      </c>
      <c r="B241" s="111" t="s">
        <v>233</v>
      </c>
      <c r="C241" s="112" t="s">
        <v>246</v>
      </c>
    </row>
    <row r="242" spans="1:3" ht="15.75" thickBot="1" x14ac:dyDescent="0.3">
      <c r="A242" s="110">
        <v>44150</v>
      </c>
      <c r="B242" s="111" t="s">
        <v>249</v>
      </c>
      <c r="C242" s="112" t="s">
        <v>247</v>
      </c>
    </row>
    <row r="243" spans="1:3" ht="15.75" thickBot="1" x14ac:dyDescent="0.3">
      <c r="A243" s="110">
        <v>44190</v>
      </c>
      <c r="B243" s="111" t="s">
        <v>237</v>
      </c>
      <c r="C243" s="112" t="s">
        <v>248</v>
      </c>
    </row>
    <row r="244" spans="1:3" ht="15.75" thickBot="1" x14ac:dyDescent="0.3">
      <c r="A244" s="113">
        <v>44197</v>
      </c>
      <c r="B244" s="114" t="s">
        <v>237</v>
      </c>
      <c r="C244" s="115" t="s">
        <v>234</v>
      </c>
    </row>
    <row r="245" spans="1:3" ht="15.75" thickBot="1" x14ac:dyDescent="0.3">
      <c r="A245" s="104">
        <v>44242</v>
      </c>
      <c r="B245" s="105" t="s">
        <v>233</v>
      </c>
      <c r="C245" s="106" t="s">
        <v>235</v>
      </c>
    </row>
    <row r="246" spans="1:3" ht="15.75" thickBot="1" x14ac:dyDescent="0.3">
      <c r="A246" s="104">
        <v>44243</v>
      </c>
      <c r="B246" s="105" t="s">
        <v>236</v>
      </c>
      <c r="C246" s="106" t="s">
        <v>235</v>
      </c>
    </row>
    <row r="247" spans="1:3" ht="15.75" thickBot="1" x14ac:dyDescent="0.3">
      <c r="A247" s="104">
        <v>44288</v>
      </c>
      <c r="B247" s="105" t="s">
        <v>237</v>
      </c>
      <c r="C247" s="106" t="s">
        <v>238</v>
      </c>
    </row>
    <row r="248" spans="1:3" ht="15.75" thickBot="1" x14ac:dyDescent="0.3">
      <c r="A248" s="104">
        <v>44307</v>
      </c>
      <c r="B248" s="105" t="s">
        <v>250</v>
      </c>
      <c r="C248" s="106" t="s">
        <v>240</v>
      </c>
    </row>
    <row r="249" spans="1:3" ht="15.75" thickBot="1" x14ac:dyDescent="0.3">
      <c r="A249" s="104">
        <v>44317</v>
      </c>
      <c r="B249" s="105" t="s">
        <v>239</v>
      </c>
      <c r="C249" s="106" t="s">
        <v>241</v>
      </c>
    </row>
    <row r="250" spans="1:3" ht="15.75" thickBot="1" x14ac:dyDescent="0.3">
      <c r="A250" s="104">
        <v>44350</v>
      </c>
      <c r="B250" s="105" t="s">
        <v>242</v>
      </c>
      <c r="C250" s="106" t="s">
        <v>243</v>
      </c>
    </row>
    <row r="251" spans="1:3" ht="15.75" thickBot="1" x14ac:dyDescent="0.3">
      <c r="A251" s="104">
        <v>44446</v>
      </c>
      <c r="B251" s="105" t="s">
        <v>236</v>
      </c>
      <c r="C251" s="106" t="s">
        <v>244</v>
      </c>
    </row>
    <row r="252" spans="1:3" ht="15.75" thickBot="1" x14ac:dyDescent="0.3">
      <c r="A252" s="104">
        <v>44481</v>
      </c>
      <c r="B252" s="105" t="s">
        <v>236</v>
      </c>
      <c r="C252" s="106" t="s">
        <v>245</v>
      </c>
    </row>
    <row r="253" spans="1:3" ht="15.75" thickBot="1" x14ac:dyDescent="0.3">
      <c r="A253" s="104">
        <v>44502</v>
      </c>
      <c r="B253" s="105" t="s">
        <v>236</v>
      </c>
      <c r="C253" s="106" t="s">
        <v>246</v>
      </c>
    </row>
    <row r="254" spans="1:3" ht="15.75" thickBot="1" x14ac:dyDescent="0.3">
      <c r="A254" s="104">
        <v>44515</v>
      </c>
      <c r="B254" s="105" t="s">
        <v>233</v>
      </c>
      <c r="C254" s="106" t="s">
        <v>247</v>
      </c>
    </row>
    <row r="255" spans="1:3" ht="15.75" thickBot="1" x14ac:dyDescent="0.3">
      <c r="A255" s="104">
        <v>44555</v>
      </c>
      <c r="B255" s="105" t="s">
        <v>239</v>
      </c>
      <c r="C255" s="106" t="s">
        <v>248</v>
      </c>
    </row>
    <row r="256" spans="1:3" ht="15.75" thickBot="1" x14ac:dyDescent="0.3">
      <c r="A256" s="107">
        <v>44562</v>
      </c>
      <c r="B256" s="108" t="s">
        <v>239</v>
      </c>
      <c r="C256" s="109" t="s">
        <v>234</v>
      </c>
    </row>
    <row r="257" spans="1:3" ht="15.75" thickBot="1" x14ac:dyDescent="0.3">
      <c r="A257" s="110">
        <v>44620</v>
      </c>
      <c r="B257" s="111" t="s">
        <v>233</v>
      </c>
      <c r="C257" s="112" t="s">
        <v>235</v>
      </c>
    </row>
    <row r="258" spans="1:3" ht="15.75" thickBot="1" x14ac:dyDescent="0.3">
      <c r="A258" s="110">
        <v>44621</v>
      </c>
      <c r="B258" s="111" t="s">
        <v>236</v>
      </c>
      <c r="C258" s="112" t="s">
        <v>235</v>
      </c>
    </row>
    <row r="259" spans="1:3" ht="15.75" thickBot="1" x14ac:dyDescent="0.3">
      <c r="A259" s="110">
        <v>44666</v>
      </c>
      <c r="B259" s="111" t="s">
        <v>237</v>
      </c>
      <c r="C259" s="112" t="s">
        <v>238</v>
      </c>
    </row>
    <row r="260" spans="1:3" ht="15.75" thickBot="1" x14ac:dyDescent="0.3">
      <c r="A260" s="110">
        <v>44672</v>
      </c>
      <c r="B260" s="111" t="s">
        <v>242</v>
      </c>
      <c r="C260" s="112" t="s">
        <v>240</v>
      </c>
    </row>
    <row r="261" spans="1:3" ht="15.75" thickBot="1" x14ac:dyDescent="0.3">
      <c r="A261" s="110">
        <v>44682</v>
      </c>
      <c r="B261" s="111" t="s">
        <v>249</v>
      </c>
      <c r="C261" s="112" t="s">
        <v>241</v>
      </c>
    </row>
    <row r="262" spans="1:3" ht="15.75" thickBot="1" x14ac:dyDescent="0.3">
      <c r="A262" s="110">
        <v>44728</v>
      </c>
      <c r="B262" s="111" t="s">
        <v>242</v>
      </c>
      <c r="C262" s="112" t="s">
        <v>243</v>
      </c>
    </row>
    <row r="263" spans="1:3" ht="15.75" thickBot="1" x14ac:dyDescent="0.3">
      <c r="A263" s="110">
        <v>44811</v>
      </c>
      <c r="B263" s="111" t="s">
        <v>250</v>
      </c>
      <c r="C263" s="112" t="s">
        <v>244</v>
      </c>
    </row>
    <row r="264" spans="1:3" ht="15.75" thickBot="1" x14ac:dyDescent="0.3">
      <c r="A264" s="110">
        <v>44846</v>
      </c>
      <c r="B264" s="111" t="s">
        <v>250</v>
      </c>
      <c r="C264" s="112" t="s">
        <v>245</v>
      </c>
    </row>
    <row r="265" spans="1:3" ht="15.75" thickBot="1" x14ac:dyDescent="0.3">
      <c r="A265" s="110">
        <v>44867</v>
      </c>
      <c r="B265" s="111" t="s">
        <v>250</v>
      </c>
      <c r="C265" s="112" t="s">
        <v>246</v>
      </c>
    </row>
    <row r="266" spans="1:3" ht="15.75" thickBot="1" x14ac:dyDescent="0.3">
      <c r="A266" s="110">
        <v>44880</v>
      </c>
      <c r="B266" s="111" t="s">
        <v>236</v>
      </c>
      <c r="C266" s="112" t="s">
        <v>247</v>
      </c>
    </row>
    <row r="267" spans="1:3" ht="15.75" thickBot="1" x14ac:dyDescent="0.3">
      <c r="A267" s="110">
        <v>44920</v>
      </c>
      <c r="B267" s="111" t="s">
        <v>249</v>
      </c>
      <c r="C267" s="112" t="s">
        <v>248</v>
      </c>
    </row>
    <row r="268" spans="1:3" ht="15.75" thickBot="1" x14ac:dyDescent="0.3">
      <c r="A268" s="113">
        <v>44927</v>
      </c>
      <c r="B268" s="114" t="s">
        <v>249</v>
      </c>
      <c r="C268" s="115" t="s">
        <v>234</v>
      </c>
    </row>
    <row r="269" spans="1:3" ht="15.75" thickBot="1" x14ac:dyDescent="0.3">
      <c r="A269" s="104">
        <v>44977</v>
      </c>
      <c r="B269" s="105" t="s">
        <v>233</v>
      </c>
      <c r="C269" s="106" t="s">
        <v>235</v>
      </c>
    </row>
    <row r="270" spans="1:3" ht="15.75" thickBot="1" x14ac:dyDescent="0.3">
      <c r="A270" s="104">
        <v>44978</v>
      </c>
      <c r="B270" s="105" t="s">
        <v>236</v>
      </c>
      <c r="C270" s="106" t="s">
        <v>235</v>
      </c>
    </row>
    <row r="271" spans="1:3" ht="15.75" thickBot="1" x14ac:dyDescent="0.3">
      <c r="A271" s="104">
        <v>45023</v>
      </c>
      <c r="B271" s="105" t="s">
        <v>237</v>
      </c>
      <c r="C271" s="106" t="s">
        <v>238</v>
      </c>
    </row>
    <row r="272" spans="1:3" ht="15.75" thickBot="1" x14ac:dyDescent="0.3">
      <c r="A272" s="104">
        <v>45037</v>
      </c>
      <c r="B272" s="105" t="s">
        <v>237</v>
      </c>
      <c r="C272" s="106" t="s">
        <v>240</v>
      </c>
    </row>
    <row r="273" spans="1:3" ht="15.75" thickBot="1" x14ac:dyDescent="0.3">
      <c r="A273" s="104">
        <v>45047</v>
      </c>
      <c r="B273" s="105" t="s">
        <v>233</v>
      </c>
      <c r="C273" s="106" t="s">
        <v>241</v>
      </c>
    </row>
    <row r="274" spans="1:3" ht="15.75" thickBot="1" x14ac:dyDescent="0.3">
      <c r="A274" s="104">
        <v>45085</v>
      </c>
      <c r="B274" s="105" t="s">
        <v>242</v>
      </c>
      <c r="C274" s="106" t="s">
        <v>243</v>
      </c>
    </row>
    <row r="275" spans="1:3" ht="15.75" thickBot="1" x14ac:dyDescent="0.3">
      <c r="A275" s="104">
        <v>45176</v>
      </c>
      <c r="B275" s="105" t="s">
        <v>242</v>
      </c>
      <c r="C275" s="106" t="s">
        <v>244</v>
      </c>
    </row>
    <row r="276" spans="1:3" ht="15.75" thickBot="1" x14ac:dyDescent="0.3">
      <c r="A276" s="104">
        <v>45211</v>
      </c>
      <c r="B276" s="105" t="s">
        <v>242</v>
      </c>
      <c r="C276" s="106" t="s">
        <v>245</v>
      </c>
    </row>
    <row r="277" spans="1:3" ht="15.75" thickBot="1" x14ac:dyDescent="0.3">
      <c r="A277" s="104">
        <v>45232</v>
      </c>
      <c r="B277" s="105" t="s">
        <v>242</v>
      </c>
      <c r="C277" s="106" t="s">
        <v>246</v>
      </c>
    </row>
    <row r="278" spans="1:3" ht="15.75" thickBot="1" x14ac:dyDescent="0.3">
      <c r="A278" s="104">
        <v>45245</v>
      </c>
      <c r="B278" s="105" t="s">
        <v>250</v>
      </c>
      <c r="C278" s="106" t="s">
        <v>247</v>
      </c>
    </row>
    <row r="279" spans="1:3" ht="15.75" thickBot="1" x14ac:dyDescent="0.3">
      <c r="A279" s="104">
        <v>45285</v>
      </c>
      <c r="B279" s="105" t="s">
        <v>233</v>
      </c>
      <c r="C279" s="106" t="s">
        <v>248</v>
      </c>
    </row>
    <row r="280" spans="1:3" ht="15.75" thickBot="1" x14ac:dyDescent="0.3">
      <c r="A280" s="107">
        <v>45292</v>
      </c>
      <c r="B280" s="108" t="s">
        <v>233</v>
      </c>
      <c r="C280" s="109" t="s">
        <v>234</v>
      </c>
    </row>
    <row r="281" spans="1:3" ht="15.75" thickBot="1" x14ac:dyDescent="0.3">
      <c r="A281" s="110">
        <v>45334</v>
      </c>
      <c r="B281" s="111" t="s">
        <v>233</v>
      </c>
      <c r="C281" s="112" t="s">
        <v>235</v>
      </c>
    </row>
    <row r="282" spans="1:3" ht="15.75" thickBot="1" x14ac:dyDescent="0.3">
      <c r="A282" s="110">
        <v>45335</v>
      </c>
      <c r="B282" s="111" t="s">
        <v>236</v>
      </c>
      <c r="C282" s="112" t="s">
        <v>235</v>
      </c>
    </row>
    <row r="283" spans="1:3" ht="15.75" thickBot="1" x14ac:dyDescent="0.3">
      <c r="A283" s="110">
        <v>45380</v>
      </c>
      <c r="B283" s="111" t="s">
        <v>237</v>
      </c>
      <c r="C283" s="112" t="s">
        <v>238</v>
      </c>
    </row>
    <row r="284" spans="1:3" ht="15.75" thickBot="1" x14ac:dyDescent="0.3">
      <c r="A284" s="110">
        <v>45403</v>
      </c>
      <c r="B284" s="111" t="s">
        <v>249</v>
      </c>
      <c r="C284" s="112" t="s">
        <v>240</v>
      </c>
    </row>
    <row r="285" spans="1:3" ht="15.75" thickBot="1" x14ac:dyDescent="0.3">
      <c r="A285" s="110">
        <v>45413</v>
      </c>
      <c r="B285" s="111" t="s">
        <v>250</v>
      </c>
      <c r="C285" s="112" t="s">
        <v>241</v>
      </c>
    </row>
    <row r="286" spans="1:3" ht="15.75" thickBot="1" x14ac:dyDescent="0.3">
      <c r="A286" s="110">
        <v>45442</v>
      </c>
      <c r="B286" s="111" t="s">
        <v>242</v>
      </c>
      <c r="C286" s="112" t="s">
        <v>243</v>
      </c>
    </row>
    <row r="287" spans="1:3" ht="15.75" thickBot="1" x14ac:dyDescent="0.3">
      <c r="A287" s="110">
        <v>45542</v>
      </c>
      <c r="B287" s="111" t="s">
        <v>239</v>
      </c>
      <c r="C287" s="112" t="s">
        <v>244</v>
      </c>
    </row>
    <row r="288" spans="1:3" ht="15.75" thickBot="1" x14ac:dyDescent="0.3">
      <c r="A288" s="110">
        <v>45577</v>
      </c>
      <c r="B288" s="111" t="s">
        <v>239</v>
      </c>
      <c r="C288" s="112" t="s">
        <v>245</v>
      </c>
    </row>
    <row r="289" spans="1:3" ht="15.75" thickBot="1" x14ac:dyDescent="0.3">
      <c r="A289" s="110">
        <v>45598</v>
      </c>
      <c r="B289" s="111" t="s">
        <v>239</v>
      </c>
      <c r="C289" s="112" t="s">
        <v>246</v>
      </c>
    </row>
    <row r="290" spans="1:3" ht="15.75" thickBot="1" x14ac:dyDescent="0.3">
      <c r="A290" s="110">
        <v>45611</v>
      </c>
      <c r="B290" s="111" t="s">
        <v>237</v>
      </c>
      <c r="C290" s="112" t="s">
        <v>247</v>
      </c>
    </row>
    <row r="291" spans="1:3" ht="15.75" thickBot="1" x14ac:dyDescent="0.3">
      <c r="A291" s="110">
        <v>45651</v>
      </c>
      <c r="B291" s="111" t="s">
        <v>250</v>
      </c>
      <c r="C291" s="112" t="s">
        <v>248</v>
      </c>
    </row>
    <row r="292" spans="1:3" ht="15.75" thickBot="1" x14ac:dyDescent="0.3">
      <c r="A292" s="113">
        <v>45658</v>
      </c>
      <c r="B292" s="114" t="s">
        <v>250</v>
      </c>
      <c r="C292" s="115" t="s">
        <v>234</v>
      </c>
    </row>
    <row r="293" spans="1:3" ht="15.75" thickBot="1" x14ac:dyDescent="0.3">
      <c r="A293" s="104">
        <v>45719</v>
      </c>
      <c r="B293" s="105" t="s">
        <v>233</v>
      </c>
      <c r="C293" s="106" t="s">
        <v>235</v>
      </c>
    </row>
    <row r="294" spans="1:3" ht="15.75" thickBot="1" x14ac:dyDescent="0.3">
      <c r="A294" s="104">
        <v>45720</v>
      </c>
      <c r="B294" s="105" t="s">
        <v>236</v>
      </c>
      <c r="C294" s="106" t="s">
        <v>235</v>
      </c>
    </row>
    <row r="295" spans="1:3" ht="15.75" thickBot="1" x14ac:dyDescent="0.3">
      <c r="A295" s="104">
        <v>45765</v>
      </c>
      <c r="B295" s="105" t="s">
        <v>237</v>
      </c>
      <c r="C295" s="106" t="s">
        <v>238</v>
      </c>
    </row>
    <row r="296" spans="1:3" ht="15.75" thickBot="1" x14ac:dyDescent="0.3">
      <c r="A296" s="104">
        <v>45768</v>
      </c>
      <c r="B296" s="105" t="s">
        <v>233</v>
      </c>
      <c r="C296" s="106" t="s">
        <v>240</v>
      </c>
    </row>
    <row r="297" spans="1:3" ht="15.75" thickBot="1" x14ac:dyDescent="0.3">
      <c r="A297" s="104">
        <v>45778</v>
      </c>
      <c r="B297" s="105" t="s">
        <v>242</v>
      </c>
      <c r="C297" s="106" t="s">
        <v>241</v>
      </c>
    </row>
    <row r="298" spans="1:3" ht="15.75" thickBot="1" x14ac:dyDescent="0.3">
      <c r="A298" s="104">
        <v>45827</v>
      </c>
      <c r="B298" s="105" t="s">
        <v>242</v>
      </c>
      <c r="C298" s="106" t="s">
        <v>243</v>
      </c>
    </row>
    <row r="299" spans="1:3" ht="15.75" thickBot="1" x14ac:dyDescent="0.3">
      <c r="A299" s="104">
        <v>45907</v>
      </c>
      <c r="B299" s="105" t="s">
        <v>249</v>
      </c>
      <c r="C299" s="106" t="s">
        <v>244</v>
      </c>
    </row>
    <row r="300" spans="1:3" ht="15.75" thickBot="1" x14ac:dyDescent="0.3">
      <c r="A300" s="104">
        <v>45942</v>
      </c>
      <c r="B300" s="105" t="s">
        <v>249</v>
      </c>
      <c r="C300" s="106" t="s">
        <v>245</v>
      </c>
    </row>
    <row r="301" spans="1:3" ht="15.75" thickBot="1" x14ac:dyDescent="0.3">
      <c r="A301" s="104">
        <v>45963</v>
      </c>
      <c r="B301" s="105" t="s">
        <v>249</v>
      </c>
      <c r="C301" s="106" t="s">
        <v>246</v>
      </c>
    </row>
    <row r="302" spans="1:3" ht="15.75" thickBot="1" x14ac:dyDescent="0.3">
      <c r="A302" s="104">
        <v>45976</v>
      </c>
      <c r="B302" s="105" t="s">
        <v>239</v>
      </c>
      <c r="C302" s="106" t="s">
        <v>247</v>
      </c>
    </row>
    <row r="303" spans="1:3" ht="15.75" thickBot="1" x14ac:dyDescent="0.3">
      <c r="A303" s="104">
        <v>46016</v>
      </c>
      <c r="B303" s="105" t="s">
        <v>242</v>
      </c>
      <c r="C303" s="106" t="s">
        <v>248</v>
      </c>
    </row>
    <row r="304" spans="1:3" ht="15.75" thickBot="1" x14ac:dyDescent="0.3">
      <c r="A304" s="107">
        <v>46023</v>
      </c>
      <c r="B304" s="108" t="s">
        <v>242</v>
      </c>
      <c r="C304" s="109" t="s">
        <v>234</v>
      </c>
    </row>
    <row r="305" spans="1:3" ht="15.75" thickBot="1" x14ac:dyDescent="0.3">
      <c r="A305" s="110">
        <v>46069</v>
      </c>
      <c r="B305" s="111" t="s">
        <v>233</v>
      </c>
      <c r="C305" s="112" t="s">
        <v>235</v>
      </c>
    </row>
    <row r="306" spans="1:3" ht="15.75" thickBot="1" x14ac:dyDescent="0.3">
      <c r="A306" s="110">
        <v>46070</v>
      </c>
      <c r="B306" s="111" t="s">
        <v>236</v>
      </c>
      <c r="C306" s="112" t="s">
        <v>235</v>
      </c>
    </row>
    <row r="307" spans="1:3" ht="15.75" thickBot="1" x14ac:dyDescent="0.3">
      <c r="A307" s="110">
        <v>46115</v>
      </c>
      <c r="B307" s="111" t="s">
        <v>237</v>
      </c>
      <c r="C307" s="112" t="s">
        <v>238</v>
      </c>
    </row>
    <row r="308" spans="1:3" ht="15.75" thickBot="1" x14ac:dyDescent="0.3">
      <c r="A308" s="110">
        <v>46133</v>
      </c>
      <c r="B308" s="111" t="s">
        <v>236</v>
      </c>
      <c r="C308" s="112" t="s">
        <v>240</v>
      </c>
    </row>
    <row r="309" spans="1:3" ht="15.75" thickBot="1" x14ac:dyDescent="0.3">
      <c r="A309" s="110">
        <v>46143</v>
      </c>
      <c r="B309" s="111" t="s">
        <v>237</v>
      </c>
      <c r="C309" s="112" t="s">
        <v>241</v>
      </c>
    </row>
    <row r="310" spans="1:3" ht="15.75" thickBot="1" x14ac:dyDescent="0.3">
      <c r="A310" s="110">
        <v>46177</v>
      </c>
      <c r="B310" s="111" t="s">
        <v>242</v>
      </c>
      <c r="C310" s="112" t="s">
        <v>243</v>
      </c>
    </row>
    <row r="311" spans="1:3" ht="15.75" thickBot="1" x14ac:dyDescent="0.3">
      <c r="A311" s="110">
        <v>46272</v>
      </c>
      <c r="B311" s="111" t="s">
        <v>233</v>
      </c>
      <c r="C311" s="112" t="s">
        <v>244</v>
      </c>
    </row>
    <row r="312" spans="1:3" ht="15.75" thickBot="1" x14ac:dyDescent="0.3">
      <c r="A312" s="110">
        <v>46307</v>
      </c>
      <c r="B312" s="111" t="s">
        <v>233</v>
      </c>
      <c r="C312" s="112" t="s">
        <v>245</v>
      </c>
    </row>
    <row r="313" spans="1:3" ht="15.75" thickBot="1" x14ac:dyDescent="0.3">
      <c r="A313" s="110">
        <v>46328</v>
      </c>
      <c r="B313" s="111" t="s">
        <v>233</v>
      </c>
      <c r="C313" s="112" t="s">
        <v>246</v>
      </c>
    </row>
    <row r="314" spans="1:3" ht="15.75" thickBot="1" x14ac:dyDescent="0.3">
      <c r="A314" s="110">
        <v>46341</v>
      </c>
      <c r="B314" s="111" t="s">
        <v>249</v>
      </c>
      <c r="C314" s="112" t="s">
        <v>247</v>
      </c>
    </row>
    <row r="315" spans="1:3" ht="15.75" thickBot="1" x14ac:dyDescent="0.3">
      <c r="A315" s="110">
        <v>46381</v>
      </c>
      <c r="B315" s="111" t="s">
        <v>237</v>
      </c>
      <c r="C315" s="112" t="s">
        <v>248</v>
      </c>
    </row>
    <row r="316" spans="1:3" ht="15.75" thickBot="1" x14ac:dyDescent="0.3">
      <c r="A316" s="113">
        <v>46388</v>
      </c>
      <c r="B316" s="114" t="s">
        <v>237</v>
      </c>
      <c r="C316" s="115" t="s">
        <v>234</v>
      </c>
    </row>
    <row r="317" spans="1:3" ht="15.75" thickBot="1" x14ac:dyDescent="0.3">
      <c r="A317" s="104">
        <v>46426</v>
      </c>
      <c r="B317" s="105" t="s">
        <v>233</v>
      </c>
      <c r="C317" s="106" t="s">
        <v>235</v>
      </c>
    </row>
    <row r="318" spans="1:3" ht="15.75" thickBot="1" x14ac:dyDescent="0.3">
      <c r="A318" s="104">
        <v>46427</v>
      </c>
      <c r="B318" s="105" t="s">
        <v>236</v>
      </c>
      <c r="C318" s="106" t="s">
        <v>235</v>
      </c>
    </row>
    <row r="319" spans="1:3" ht="15.75" thickBot="1" x14ac:dyDescent="0.3">
      <c r="A319" s="104">
        <v>46472</v>
      </c>
      <c r="B319" s="105" t="s">
        <v>237</v>
      </c>
      <c r="C319" s="106" t="s">
        <v>238</v>
      </c>
    </row>
    <row r="320" spans="1:3" ht="15.75" thickBot="1" x14ac:dyDescent="0.3">
      <c r="A320" s="104">
        <v>46498</v>
      </c>
      <c r="B320" s="105" t="s">
        <v>250</v>
      </c>
      <c r="C320" s="106" t="s">
        <v>240</v>
      </c>
    </row>
    <row r="321" spans="1:3" ht="15.75" thickBot="1" x14ac:dyDescent="0.3">
      <c r="A321" s="104">
        <v>46508</v>
      </c>
      <c r="B321" s="105" t="s">
        <v>239</v>
      </c>
      <c r="C321" s="106" t="s">
        <v>241</v>
      </c>
    </row>
    <row r="322" spans="1:3" ht="15.75" thickBot="1" x14ac:dyDescent="0.3">
      <c r="A322" s="104">
        <v>46534</v>
      </c>
      <c r="B322" s="105" t="s">
        <v>242</v>
      </c>
      <c r="C322" s="106" t="s">
        <v>243</v>
      </c>
    </row>
    <row r="323" spans="1:3" ht="15.75" thickBot="1" x14ac:dyDescent="0.3">
      <c r="A323" s="104">
        <v>46637</v>
      </c>
      <c r="B323" s="105" t="s">
        <v>236</v>
      </c>
      <c r="C323" s="106" t="s">
        <v>244</v>
      </c>
    </row>
    <row r="324" spans="1:3" ht="15.75" thickBot="1" x14ac:dyDescent="0.3">
      <c r="A324" s="104">
        <v>46672</v>
      </c>
      <c r="B324" s="105" t="s">
        <v>236</v>
      </c>
      <c r="C324" s="106" t="s">
        <v>245</v>
      </c>
    </row>
    <row r="325" spans="1:3" ht="15.75" thickBot="1" x14ac:dyDescent="0.3">
      <c r="A325" s="104">
        <v>46693</v>
      </c>
      <c r="B325" s="105" t="s">
        <v>236</v>
      </c>
      <c r="C325" s="106" t="s">
        <v>246</v>
      </c>
    </row>
    <row r="326" spans="1:3" ht="15.75" thickBot="1" x14ac:dyDescent="0.3">
      <c r="A326" s="104">
        <v>46706</v>
      </c>
      <c r="B326" s="105" t="s">
        <v>233</v>
      </c>
      <c r="C326" s="106" t="s">
        <v>247</v>
      </c>
    </row>
    <row r="327" spans="1:3" ht="15.75" thickBot="1" x14ac:dyDescent="0.3">
      <c r="A327" s="104">
        <v>46746</v>
      </c>
      <c r="B327" s="105" t="s">
        <v>239</v>
      </c>
      <c r="C327" s="106" t="s">
        <v>248</v>
      </c>
    </row>
    <row r="328" spans="1:3" ht="15.75" thickBot="1" x14ac:dyDescent="0.3">
      <c r="A328" s="107">
        <v>46753</v>
      </c>
      <c r="B328" s="108" t="s">
        <v>239</v>
      </c>
      <c r="C328" s="109" t="s">
        <v>234</v>
      </c>
    </row>
    <row r="329" spans="1:3" ht="15.75" thickBot="1" x14ac:dyDescent="0.3">
      <c r="A329" s="110">
        <v>46811</v>
      </c>
      <c r="B329" s="111" t="s">
        <v>233</v>
      </c>
      <c r="C329" s="112" t="s">
        <v>235</v>
      </c>
    </row>
    <row r="330" spans="1:3" ht="15.75" thickBot="1" x14ac:dyDescent="0.3">
      <c r="A330" s="110">
        <v>46812</v>
      </c>
      <c r="B330" s="111" t="s">
        <v>236</v>
      </c>
      <c r="C330" s="112" t="s">
        <v>235</v>
      </c>
    </row>
    <row r="331" spans="1:3" ht="15.75" thickBot="1" x14ac:dyDescent="0.3">
      <c r="A331" s="110">
        <v>46857</v>
      </c>
      <c r="B331" s="111" t="s">
        <v>237</v>
      </c>
      <c r="C331" s="112" t="s">
        <v>238</v>
      </c>
    </row>
    <row r="332" spans="1:3" ht="15.75" thickBot="1" x14ac:dyDescent="0.3">
      <c r="A332" s="110">
        <v>46864</v>
      </c>
      <c r="B332" s="111" t="s">
        <v>237</v>
      </c>
      <c r="C332" s="112" t="s">
        <v>240</v>
      </c>
    </row>
    <row r="333" spans="1:3" ht="15.75" thickBot="1" x14ac:dyDescent="0.3">
      <c r="A333" s="110">
        <v>46874</v>
      </c>
      <c r="B333" s="111" t="s">
        <v>233</v>
      </c>
      <c r="C333" s="112" t="s">
        <v>241</v>
      </c>
    </row>
    <row r="334" spans="1:3" ht="15.75" thickBot="1" x14ac:dyDescent="0.3">
      <c r="A334" s="110">
        <v>46919</v>
      </c>
      <c r="B334" s="111" t="s">
        <v>242</v>
      </c>
      <c r="C334" s="112" t="s">
        <v>243</v>
      </c>
    </row>
    <row r="335" spans="1:3" ht="15.75" thickBot="1" x14ac:dyDescent="0.3">
      <c r="A335" s="110">
        <v>47003</v>
      </c>
      <c r="B335" s="111" t="s">
        <v>242</v>
      </c>
      <c r="C335" s="112" t="s">
        <v>244</v>
      </c>
    </row>
    <row r="336" spans="1:3" ht="15.75" thickBot="1" x14ac:dyDescent="0.3">
      <c r="A336" s="110">
        <v>47038</v>
      </c>
      <c r="B336" s="111" t="s">
        <v>242</v>
      </c>
      <c r="C336" s="112" t="s">
        <v>245</v>
      </c>
    </row>
    <row r="337" spans="1:3" ht="15.75" thickBot="1" x14ac:dyDescent="0.3">
      <c r="A337" s="110">
        <v>47059</v>
      </c>
      <c r="B337" s="111" t="s">
        <v>242</v>
      </c>
      <c r="C337" s="112" t="s">
        <v>246</v>
      </c>
    </row>
    <row r="338" spans="1:3" ht="15.75" thickBot="1" x14ac:dyDescent="0.3">
      <c r="A338" s="110">
        <v>47072</v>
      </c>
      <c r="B338" s="111" t="s">
        <v>250</v>
      </c>
      <c r="C338" s="112" t="s">
        <v>247</v>
      </c>
    </row>
    <row r="339" spans="1:3" ht="15.75" thickBot="1" x14ac:dyDescent="0.3">
      <c r="A339" s="110">
        <v>47112</v>
      </c>
      <c r="B339" s="111" t="s">
        <v>233</v>
      </c>
      <c r="C339" s="112" t="s">
        <v>248</v>
      </c>
    </row>
    <row r="340" spans="1:3" ht="15.75" thickBot="1" x14ac:dyDescent="0.3">
      <c r="A340" s="113">
        <v>47119</v>
      </c>
      <c r="B340" s="114" t="s">
        <v>233</v>
      </c>
      <c r="C340" s="115" t="s">
        <v>234</v>
      </c>
    </row>
    <row r="341" spans="1:3" ht="15.75" thickBot="1" x14ac:dyDescent="0.3">
      <c r="A341" s="104">
        <v>47161</v>
      </c>
      <c r="B341" s="105" t="s">
        <v>233</v>
      </c>
      <c r="C341" s="106" t="s">
        <v>235</v>
      </c>
    </row>
    <row r="342" spans="1:3" ht="15.75" thickBot="1" x14ac:dyDescent="0.3">
      <c r="A342" s="104">
        <v>47162</v>
      </c>
      <c r="B342" s="105" t="s">
        <v>236</v>
      </c>
      <c r="C342" s="106" t="s">
        <v>235</v>
      </c>
    </row>
    <row r="343" spans="1:3" ht="15.75" thickBot="1" x14ac:dyDescent="0.3">
      <c r="A343" s="104">
        <v>47207</v>
      </c>
      <c r="B343" s="105" t="s">
        <v>237</v>
      </c>
      <c r="C343" s="106" t="s">
        <v>238</v>
      </c>
    </row>
    <row r="344" spans="1:3" ht="15.75" thickBot="1" x14ac:dyDescent="0.3">
      <c r="A344" s="104">
        <v>47229</v>
      </c>
      <c r="B344" s="105" t="s">
        <v>239</v>
      </c>
      <c r="C344" s="106" t="s">
        <v>240</v>
      </c>
    </row>
    <row r="345" spans="1:3" ht="15.75" thickBot="1" x14ac:dyDescent="0.3">
      <c r="A345" s="104">
        <v>47239</v>
      </c>
      <c r="B345" s="105" t="s">
        <v>236</v>
      </c>
      <c r="C345" s="106" t="s">
        <v>241</v>
      </c>
    </row>
    <row r="346" spans="1:3" ht="15.75" thickBot="1" x14ac:dyDescent="0.3">
      <c r="A346" s="104">
        <v>47269</v>
      </c>
      <c r="B346" s="105" t="s">
        <v>242</v>
      </c>
      <c r="C346" s="106" t="s">
        <v>243</v>
      </c>
    </row>
    <row r="347" spans="1:3" ht="15.75" thickBot="1" x14ac:dyDescent="0.3">
      <c r="A347" s="104">
        <v>47368</v>
      </c>
      <c r="B347" s="105" t="s">
        <v>237</v>
      </c>
      <c r="C347" s="106" t="s">
        <v>244</v>
      </c>
    </row>
    <row r="348" spans="1:3" ht="15.75" thickBot="1" x14ac:dyDescent="0.3">
      <c r="A348" s="104">
        <v>47403</v>
      </c>
      <c r="B348" s="105" t="s">
        <v>237</v>
      </c>
      <c r="C348" s="106" t="s">
        <v>245</v>
      </c>
    </row>
    <row r="349" spans="1:3" ht="15.75" thickBot="1" x14ac:dyDescent="0.3">
      <c r="A349" s="104">
        <v>47424</v>
      </c>
      <c r="B349" s="105" t="s">
        <v>237</v>
      </c>
      <c r="C349" s="106" t="s">
        <v>246</v>
      </c>
    </row>
    <row r="350" spans="1:3" ht="15.75" thickBot="1" x14ac:dyDescent="0.3">
      <c r="A350" s="104">
        <v>47437</v>
      </c>
      <c r="B350" s="105" t="s">
        <v>242</v>
      </c>
      <c r="C350" s="106" t="s">
        <v>247</v>
      </c>
    </row>
    <row r="351" spans="1:3" ht="15.75" thickBot="1" x14ac:dyDescent="0.3">
      <c r="A351" s="104">
        <v>47477</v>
      </c>
      <c r="B351" s="105" t="s">
        <v>236</v>
      </c>
      <c r="C351" s="106" t="s">
        <v>248</v>
      </c>
    </row>
    <row r="352" spans="1:3" ht="15.75" thickBot="1" x14ac:dyDescent="0.3">
      <c r="A352" s="107">
        <v>47484</v>
      </c>
      <c r="B352" s="108" t="s">
        <v>236</v>
      </c>
      <c r="C352" s="109" t="s">
        <v>234</v>
      </c>
    </row>
    <row r="353" spans="1:3" ht="15.75" thickBot="1" x14ac:dyDescent="0.3">
      <c r="A353" s="110">
        <v>47546</v>
      </c>
      <c r="B353" s="111" t="s">
        <v>233</v>
      </c>
      <c r="C353" s="112" t="s">
        <v>235</v>
      </c>
    </row>
    <row r="354" spans="1:3" ht="15.75" thickBot="1" x14ac:dyDescent="0.3">
      <c r="A354" s="110">
        <v>47547</v>
      </c>
      <c r="B354" s="111" t="s">
        <v>236</v>
      </c>
      <c r="C354" s="112" t="s">
        <v>235</v>
      </c>
    </row>
    <row r="355" spans="1:3" ht="15.75" thickBot="1" x14ac:dyDescent="0.3">
      <c r="A355" s="110">
        <v>47592</v>
      </c>
      <c r="B355" s="111" t="s">
        <v>237</v>
      </c>
      <c r="C355" s="112" t="s">
        <v>238</v>
      </c>
    </row>
    <row r="356" spans="1:3" ht="15.75" thickBot="1" x14ac:dyDescent="0.3">
      <c r="A356" s="110">
        <v>47594</v>
      </c>
      <c r="B356" s="111" t="s">
        <v>249</v>
      </c>
      <c r="C356" s="112" t="s">
        <v>240</v>
      </c>
    </row>
    <row r="357" spans="1:3" ht="15.75" thickBot="1" x14ac:dyDescent="0.3">
      <c r="A357" s="110">
        <v>47604</v>
      </c>
      <c r="B357" s="111" t="s">
        <v>250</v>
      </c>
      <c r="C357" s="112" t="s">
        <v>241</v>
      </c>
    </row>
    <row r="358" spans="1:3" ht="15.75" thickBot="1" x14ac:dyDescent="0.3">
      <c r="A358" s="110">
        <v>47654</v>
      </c>
      <c r="B358" s="111" t="s">
        <v>242</v>
      </c>
      <c r="C358" s="112" t="s">
        <v>243</v>
      </c>
    </row>
    <row r="359" spans="1:3" ht="15.75" thickBot="1" x14ac:dyDescent="0.3">
      <c r="A359" s="110">
        <v>47733</v>
      </c>
      <c r="B359" s="111" t="s">
        <v>239</v>
      </c>
      <c r="C359" s="112" t="s">
        <v>244</v>
      </c>
    </row>
    <row r="360" spans="1:3" ht="15.75" thickBot="1" x14ac:dyDescent="0.3">
      <c r="A360" s="110">
        <v>47768</v>
      </c>
      <c r="B360" s="111" t="s">
        <v>239</v>
      </c>
      <c r="C360" s="112" t="s">
        <v>245</v>
      </c>
    </row>
    <row r="361" spans="1:3" ht="15.75" thickBot="1" x14ac:dyDescent="0.3">
      <c r="A361" s="110">
        <v>47789</v>
      </c>
      <c r="B361" s="111" t="s">
        <v>239</v>
      </c>
      <c r="C361" s="112" t="s">
        <v>246</v>
      </c>
    </row>
    <row r="362" spans="1:3" ht="15.75" thickBot="1" x14ac:dyDescent="0.3">
      <c r="A362" s="110">
        <v>47802</v>
      </c>
      <c r="B362" s="111" t="s">
        <v>237</v>
      </c>
      <c r="C362" s="112" t="s">
        <v>247</v>
      </c>
    </row>
    <row r="363" spans="1:3" ht="15.75" thickBot="1" x14ac:dyDescent="0.3">
      <c r="A363" s="110">
        <v>47842</v>
      </c>
      <c r="B363" s="111" t="s">
        <v>250</v>
      </c>
      <c r="C363" s="112" t="s">
        <v>248</v>
      </c>
    </row>
    <row r="364" spans="1:3" ht="15.75" thickBot="1" x14ac:dyDescent="0.3">
      <c r="A364" s="113">
        <v>47849</v>
      </c>
      <c r="B364" s="114" t="s">
        <v>250</v>
      </c>
      <c r="C364" s="115" t="s">
        <v>234</v>
      </c>
    </row>
    <row r="365" spans="1:3" ht="15.75" thickBot="1" x14ac:dyDescent="0.3">
      <c r="A365" s="104">
        <v>47903</v>
      </c>
      <c r="B365" s="105" t="s">
        <v>233</v>
      </c>
      <c r="C365" s="106" t="s">
        <v>235</v>
      </c>
    </row>
    <row r="366" spans="1:3" ht="15.75" thickBot="1" x14ac:dyDescent="0.3">
      <c r="A366" s="104">
        <v>47904</v>
      </c>
      <c r="B366" s="105" t="s">
        <v>236</v>
      </c>
      <c r="C366" s="106" t="s">
        <v>235</v>
      </c>
    </row>
    <row r="367" spans="1:3" ht="15.75" thickBot="1" x14ac:dyDescent="0.3">
      <c r="A367" s="104">
        <v>47949</v>
      </c>
      <c r="B367" s="105" t="s">
        <v>237</v>
      </c>
      <c r="C367" s="106" t="s">
        <v>238</v>
      </c>
    </row>
    <row r="368" spans="1:3" ht="15.75" thickBot="1" x14ac:dyDescent="0.3">
      <c r="A368" s="104">
        <v>47959</v>
      </c>
      <c r="B368" s="105" t="s">
        <v>233</v>
      </c>
      <c r="C368" s="106" t="s">
        <v>240</v>
      </c>
    </row>
    <row r="369" spans="1:3" ht="15.75" thickBot="1" x14ac:dyDescent="0.3">
      <c r="A369" s="104">
        <v>47969</v>
      </c>
      <c r="B369" s="105" t="s">
        <v>242</v>
      </c>
      <c r="C369" s="106" t="s">
        <v>241</v>
      </c>
    </row>
    <row r="370" spans="1:3" ht="15.75" thickBot="1" x14ac:dyDescent="0.3">
      <c r="A370" s="104">
        <v>48011</v>
      </c>
      <c r="B370" s="105" t="s">
        <v>242</v>
      </c>
      <c r="C370" s="106" t="s">
        <v>243</v>
      </c>
    </row>
    <row r="371" spans="1:3" ht="15.75" thickBot="1" x14ac:dyDescent="0.3">
      <c r="A371" s="104">
        <v>48098</v>
      </c>
      <c r="B371" s="105" t="s">
        <v>249</v>
      </c>
      <c r="C371" s="106" t="s">
        <v>244</v>
      </c>
    </row>
    <row r="372" spans="1:3" ht="15.75" thickBot="1" x14ac:dyDescent="0.3">
      <c r="A372" s="104">
        <v>48133</v>
      </c>
      <c r="B372" s="105" t="s">
        <v>249</v>
      </c>
      <c r="C372" s="106" t="s">
        <v>245</v>
      </c>
    </row>
    <row r="373" spans="1:3" ht="15.75" thickBot="1" x14ac:dyDescent="0.3">
      <c r="A373" s="104">
        <v>48154</v>
      </c>
      <c r="B373" s="105" t="s">
        <v>249</v>
      </c>
      <c r="C373" s="106" t="s">
        <v>246</v>
      </c>
    </row>
    <row r="374" spans="1:3" ht="15.75" thickBot="1" x14ac:dyDescent="0.3">
      <c r="A374" s="104">
        <v>48167</v>
      </c>
      <c r="B374" s="105" t="s">
        <v>239</v>
      </c>
      <c r="C374" s="106" t="s">
        <v>247</v>
      </c>
    </row>
    <row r="375" spans="1:3" ht="15.75" thickBot="1" x14ac:dyDescent="0.3">
      <c r="A375" s="104">
        <v>48207</v>
      </c>
      <c r="B375" s="105" t="s">
        <v>242</v>
      </c>
      <c r="C375" s="106" t="s">
        <v>248</v>
      </c>
    </row>
    <row r="376" spans="1:3" ht="15.75" thickBot="1" x14ac:dyDescent="0.3">
      <c r="A376" s="107">
        <v>48214</v>
      </c>
      <c r="B376" s="108" t="s">
        <v>242</v>
      </c>
      <c r="C376" s="109" t="s">
        <v>234</v>
      </c>
    </row>
    <row r="377" spans="1:3" ht="15.75" thickBot="1" x14ac:dyDescent="0.3">
      <c r="A377" s="110">
        <v>48253</v>
      </c>
      <c r="B377" s="111" t="s">
        <v>233</v>
      </c>
      <c r="C377" s="112" t="s">
        <v>235</v>
      </c>
    </row>
    <row r="378" spans="1:3" ht="15.75" thickBot="1" x14ac:dyDescent="0.3">
      <c r="A378" s="110">
        <v>48254</v>
      </c>
      <c r="B378" s="111" t="s">
        <v>236</v>
      </c>
      <c r="C378" s="112" t="s">
        <v>235</v>
      </c>
    </row>
    <row r="379" spans="1:3" ht="15.75" thickBot="1" x14ac:dyDescent="0.3">
      <c r="A379" s="110">
        <v>48299</v>
      </c>
      <c r="B379" s="111" t="s">
        <v>237</v>
      </c>
      <c r="C379" s="112" t="s">
        <v>238</v>
      </c>
    </row>
    <row r="380" spans="1:3" ht="15.75" thickBot="1" x14ac:dyDescent="0.3">
      <c r="A380" s="110">
        <v>48325</v>
      </c>
      <c r="B380" s="111" t="s">
        <v>250</v>
      </c>
      <c r="C380" s="112" t="s">
        <v>240</v>
      </c>
    </row>
    <row r="381" spans="1:3" ht="15.75" thickBot="1" x14ac:dyDescent="0.3">
      <c r="A381" s="110">
        <v>48335</v>
      </c>
      <c r="B381" s="111" t="s">
        <v>239</v>
      </c>
      <c r="C381" s="112" t="s">
        <v>241</v>
      </c>
    </row>
    <row r="382" spans="1:3" ht="15.75" thickBot="1" x14ac:dyDescent="0.3">
      <c r="A382" s="110">
        <v>48361</v>
      </c>
      <c r="B382" s="111" t="s">
        <v>242</v>
      </c>
      <c r="C382" s="112" t="s">
        <v>243</v>
      </c>
    </row>
    <row r="383" spans="1:3" ht="15.75" thickBot="1" x14ac:dyDescent="0.3">
      <c r="A383" s="110">
        <v>48464</v>
      </c>
      <c r="B383" s="111" t="s">
        <v>236</v>
      </c>
      <c r="C383" s="112" t="s">
        <v>244</v>
      </c>
    </row>
    <row r="384" spans="1:3" ht="15.75" thickBot="1" x14ac:dyDescent="0.3">
      <c r="A384" s="110">
        <v>48499</v>
      </c>
      <c r="B384" s="111" t="s">
        <v>236</v>
      </c>
      <c r="C384" s="112" t="s">
        <v>245</v>
      </c>
    </row>
    <row r="385" spans="1:3" ht="15.75" thickBot="1" x14ac:dyDescent="0.3">
      <c r="A385" s="110">
        <v>48520</v>
      </c>
      <c r="B385" s="111" t="s">
        <v>236</v>
      </c>
      <c r="C385" s="112" t="s">
        <v>246</v>
      </c>
    </row>
    <row r="386" spans="1:3" ht="15.75" thickBot="1" x14ac:dyDescent="0.3">
      <c r="A386" s="110">
        <v>48533</v>
      </c>
      <c r="B386" s="111" t="s">
        <v>233</v>
      </c>
      <c r="C386" s="112" t="s">
        <v>247</v>
      </c>
    </row>
    <row r="387" spans="1:3" ht="15.75" thickBot="1" x14ac:dyDescent="0.3">
      <c r="A387" s="110">
        <v>48573</v>
      </c>
      <c r="B387" s="111" t="s">
        <v>239</v>
      </c>
      <c r="C387" s="112" t="s">
        <v>248</v>
      </c>
    </row>
    <row r="388" spans="1:3" ht="15.75" thickBot="1" x14ac:dyDescent="0.3">
      <c r="A388" s="107">
        <v>48580</v>
      </c>
      <c r="B388" s="108" t="s">
        <v>239</v>
      </c>
      <c r="C388" s="109" t="s">
        <v>234</v>
      </c>
    </row>
    <row r="389" spans="1:3" ht="15.75" thickBot="1" x14ac:dyDescent="0.3">
      <c r="A389" s="104">
        <v>48638</v>
      </c>
      <c r="B389" s="105" t="s">
        <v>233</v>
      </c>
      <c r="C389" s="106" t="s">
        <v>235</v>
      </c>
    </row>
    <row r="390" spans="1:3" ht="15.75" thickBot="1" x14ac:dyDescent="0.3">
      <c r="A390" s="104">
        <v>48639</v>
      </c>
      <c r="B390" s="105" t="s">
        <v>236</v>
      </c>
      <c r="C390" s="106" t="s">
        <v>235</v>
      </c>
    </row>
    <row r="391" spans="1:3" ht="15.75" thickBot="1" x14ac:dyDescent="0.3">
      <c r="A391" s="104">
        <v>48684</v>
      </c>
      <c r="B391" s="105" t="s">
        <v>237</v>
      </c>
      <c r="C391" s="106" t="s">
        <v>238</v>
      </c>
    </row>
    <row r="392" spans="1:3" ht="15.75" thickBot="1" x14ac:dyDescent="0.3">
      <c r="A392" s="104">
        <v>48690</v>
      </c>
      <c r="B392" s="105" t="s">
        <v>242</v>
      </c>
      <c r="C392" s="106" t="s">
        <v>240</v>
      </c>
    </row>
    <row r="393" spans="1:3" ht="15.75" thickBot="1" x14ac:dyDescent="0.3">
      <c r="A393" s="104">
        <v>48700</v>
      </c>
      <c r="B393" s="105" t="s">
        <v>249</v>
      </c>
      <c r="C393" s="106" t="s">
        <v>241</v>
      </c>
    </row>
    <row r="394" spans="1:3" ht="15.75" thickBot="1" x14ac:dyDescent="0.3">
      <c r="A394" s="104">
        <v>48746</v>
      </c>
      <c r="B394" s="105" t="s">
        <v>242</v>
      </c>
      <c r="C394" s="106" t="s">
        <v>243</v>
      </c>
    </row>
    <row r="395" spans="1:3" ht="15.75" thickBot="1" x14ac:dyDescent="0.3">
      <c r="A395" s="104">
        <v>48829</v>
      </c>
      <c r="B395" s="105" t="s">
        <v>250</v>
      </c>
      <c r="C395" s="106" t="s">
        <v>244</v>
      </c>
    </row>
    <row r="396" spans="1:3" ht="15.75" thickBot="1" x14ac:dyDescent="0.3">
      <c r="A396" s="104">
        <v>48864</v>
      </c>
      <c r="B396" s="105" t="s">
        <v>250</v>
      </c>
      <c r="C396" s="106" t="s">
        <v>245</v>
      </c>
    </row>
    <row r="397" spans="1:3" ht="15.75" thickBot="1" x14ac:dyDescent="0.3">
      <c r="A397" s="104">
        <v>48885</v>
      </c>
      <c r="B397" s="105" t="s">
        <v>250</v>
      </c>
      <c r="C397" s="106" t="s">
        <v>246</v>
      </c>
    </row>
    <row r="398" spans="1:3" ht="15.75" thickBot="1" x14ac:dyDescent="0.3">
      <c r="A398" s="104">
        <v>48898</v>
      </c>
      <c r="B398" s="105" t="s">
        <v>236</v>
      </c>
      <c r="C398" s="106" t="s">
        <v>247</v>
      </c>
    </row>
    <row r="399" spans="1:3" ht="15.75" thickBot="1" x14ac:dyDescent="0.3">
      <c r="A399" s="104">
        <v>48938</v>
      </c>
      <c r="B399" s="105" t="s">
        <v>249</v>
      </c>
      <c r="C399" s="106" t="s">
        <v>248</v>
      </c>
    </row>
    <row r="400" spans="1:3" ht="15.75" thickBot="1" x14ac:dyDescent="0.3">
      <c r="A400" s="107">
        <v>48945</v>
      </c>
      <c r="B400" s="108" t="s">
        <v>249</v>
      </c>
      <c r="C400" s="109" t="s">
        <v>234</v>
      </c>
    </row>
    <row r="401" spans="1:3" ht="15.75" thickBot="1" x14ac:dyDescent="0.3">
      <c r="A401" s="110">
        <v>48995</v>
      </c>
      <c r="B401" s="111" t="s">
        <v>233</v>
      </c>
      <c r="C401" s="112" t="s">
        <v>235</v>
      </c>
    </row>
    <row r="402" spans="1:3" ht="15.75" thickBot="1" x14ac:dyDescent="0.3">
      <c r="A402" s="110">
        <v>48996</v>
      </c>
      <c r="B402" s="111" t="s">
        <v>236</v>
      </c>
      <c r="C402" s="112" t="s">
        <v>235</v>
      </c>
    </row>
    <row r="403" spans="1:3" ht="15.75" thickBot="1" x14ac:dyDescent="0.3">
      <c r="A403" s="110">
        <v>49041</v>
      </c>
      <c r="B403" s="111" t="s">
        <v>237</v>
      </c>
      <c r="C403" s="112" t="s">
        <v>238</v>
      </c>
    </row>
    <row r="404" spans="1:3" ht="15.75" thickBot="1" x14ac:dyDescent="0.3">
      <c r="A404" s="110">
        <v>49055</v>
      </c>
      <c r="B404" s="111" t="s">
        <v>237</v>
      </c>
      <c r="C404" s="112" t="s">
        <v>240</v>
      </c>
    </row>
    <row r="405" spans="1:3" ht="15.75" thickBot="1" x14ac:dyDescent="0.3">
      <c r="A405" s="110">
        <v>49065</v>
      </c>
      <c r="B405" s="111" t="s">
        <v>233</v>
      </c>
      <c r="C405" s="112" t="s">
        <v>241</v>
      </c>
    </row>
    <row r="406" spans="1:3" ht="15.75" thickBot="1" x14ac:dyDescent="0.3">
      <c r="A406" s="110">
        <v>49103</v>
      </c>
      <c r="B406" s="111" t="s">
        <v>242</v>
      </c>
      <c r="C406" s="112" t="s">
        <v>243</v>
      </c>
    </row>
    <row r="407" spans="1:3" ht="15.75" thickBot="1" x14ac:dyDescent="0.3">
      <c r="A407" s="110">
        <v>49194</v>
      </c>
      <c r="B407" s="111" t="s">
        <v>242</v>
      </c>
      <c r="C407" s="112" t="s">
        <v>244</v>
      </c>
    </row>
    <row r="408" spans="1:3" ht="15.75" thickBot="1" x14ac:dyDescent="0.3">
      <c r="A408" s="110">
        <v>49229</v>
      </c>
      <c r="B408" s="111" t="s">
        <v>242</v>
      </c>
      <c r="C408" s="112" t="s">
        <v>245</v>
      </c>
    </row>
    <row r="409" spans="1:3" ht="15.75" thickBot="1" x14ac:dyDescent="0.3">
      <c r="A409" s="110">
        <v>49250</v>
      </c>
      <c r="B409" s="111" t="s">
        <v>242</v>
      </c>
      <c r="C409" s="112" t="s">
        <v>246</v>
      </c>
    </row>
    <row r="410" spans="1:3" ht="15.75" thickBot="1" x14ac:dyDescent="0.3">
      <c r="A410" s="110">
        <v>49263</v>
      </c>
      <c r="B410" s="111" t="s">
        <v>250</v>
      </c>
      <c r="C410" s="112" t="s">
        <v>247</v>
      </c>
    </row>
    <row r="411" spans="1:3" ht="15.75" thickBot="1" x14ac:dyDescent="0.3">
      <c r="A411" s="110">
        <v>49303</v>
      </c>
      <c r="B411" s="111" t="s">
        <v>233</v>
      </c>
      <c r="C411" s="112" t="s">
        <v>248</v>
      </c>
    </row>
    <row r="412" spans="1:3" ht="15.75" thickBot="1" x14ac:dyDescent="0.3">
      <c r="A412" s="113">
        <v>49310</v>
      </c>
      <c r="B412" s="114" t="s">
        <v>233</v>
      </c>
      <c r="C412" s="115" t="s">
        <v>234</v>
      </c>
    </row>
    <row r="413" spans="1:3" ht="15.75" thickBot="1" x14ac:dyDescent="0.3">
      <c r="A413" s="104">
        <v>49345</v>
      </c>
      <c r="B413" s="105" t="s">
        <v>233</v>
      </c>
      <c r="C413" s="106" t="s">
        <v>235</v>
      </c>
    </row>
    <row r="414" spans="1:3" ht="15.75" thickBot="1" x14ac:dyDescent="0.3">
      <c r="A414" s="104">
        <v>49346</v>
      </c>
      <c r="B414" s="105" t="s">
        <v>236</v>
      </c>
      <c r="C414" s="106" t="s">
        <v>235</v>
      </c>
    </row>
    <row r="415" spans="1:3" ht="15.75" thickBot="1" x14ac:dyDescent="0.3">
      <c r="A415" s="104">
        <v>49391</v>
      </c>
      <c r="B415" s="105" t="s">
        <v>237</v>
      </c>
      <c r="C415" s="106" t="s">
        <v>238</v>
      </c>
    </row>
    <row r="416" spans="1:3" ht="15.75" thickBot="1" x14ac:dyDescent="0.3">
      <c r="A416" s="104">
        <v>49420</v>
      </c>
      <c r="B416" s="105" t="s">
        <v>239</v>
      </c>
      <c r="C416" s="106" t="s">
        <v>240</v>
      </c>
    </row>
    <row r="417" spans="1:3" ht="15.75" thickBot="1" x14ac:dyDescent="0.3">
      <c r="A417" s="104">
        <v>49430</v>
      </c>
      <c r="B417" s="105" t="s">
        <v>236</v>
      </c>
      <c r="C417" s="106" t="s">
        <v>241</v>
      </c>
    </row>
    <row r="418" spans="1:3" ht="15.75" thickBot="1" x14ac:dyDescent="0.3">
      <c r="A418" s="104">
        <v>49453</v>
      </c>
      <c r="B418" s="105" t="s">
        <v>242</v>
      </c>
      <c r="C418" s="106" t="s">
        <v>243</v>
      </c>
    </row>
    <row r="419" spans="1:3" ht="15.75" thickBot="1" x14ac:dyDescent="0.3">
      <c r="A419" s="104">
        <v>49559</v>
      </c>
      <c r="B419" s="105" t="s">
        <v>237</v>
      </c>
      <c r="C419" s="106" t="s">
        <v>244</v>
      </c>
    </row>
    <row r="420" spans="1:3" ht="15.75" thickBot="1" x14ac:dyDescent="0.3">
      <c r="A420" s="104">
        <v>49594</v>
      </c>
      <c r="B420" s="105" t="s">
        <v>237</v>
      </c>
      <c r="C420" s="106" t="s">
        <v>245</v>
      </c>
    </row>
    <row r="421" spans="1:3" ht="15.75" thickBot="1" x14ac:dyDescent="0.3">
      <c r="A421" s="104">
        <v>49615</v>
      </c>
      <c r="B421" s="105" t="s">
        <v>237</v>
      </c>
      <c r="C421" s="106" t="s">
        <v>246</v>
      </c>
    </row>
    <row r="422" spans="1:3" ht="15.75" thickBot="1" x14ac:dyDescent="0.3">
      <c r="A422" s="104">
        <v>49628</v>
      </c>
      <c r="B422" s="105" t="s">
        <v>242</v>
      </c>
      <c r="C422" s="106" t="s">
        <v>247</v>
      </c>
    </row>
    <row r="423" spans="1:3" ht="15.75" thickBot="1" x14ac:dyDescent="0.3">
      <c r="A423" s="104">
        <v>49668</v>
      </c>
      <c r="B423" s="105" t="s">
        <v>236</v>
      </c>
      <c r="C423" s="106" t="s">
        <v>248</v>
      </c>
    </row>
    <row r="424" spans="1:3" ht="15.75" thickBot="1" x14ac:dyDescent="0.3">
      <c r="A424" s="107">
        <v>49675</v>
      </c>
      <c r="B424" s="108" t="s">
        <v>236</v>
      </c>
      <c r="C424" s="109" t="s">
        <v>234</v>
      </c>
    </row>
    <row r="425" spans="1:3" ht="15.75" thickBot="1" x14ac:dyDescent="0.3">
      <c r="A425" s="110">
        <v>49730</v>
      </c>
      <c r="B425" s="111" t="s">
        <v>233</v>
      </c>
      <c r="C425" s="112" t="s">
        <v>235</v>
      </c>
    </row>
    <row r="426" spans="1:3" ht="15.75" thickBot="1" x14ac:dyDescent="0.3">
      <c r="A426" s="110">
        <v>49731</v>
      </c>
      <c r="B426" s="111" t="s">
        <v>236</v>
      </c>
      <c r="C426" s="112" t="s">
        <v>235</v>
      </c>
    </row>
    <row r="427" spans="1:3" ht="15.75" thickBot="1" x14ac:dyDescent="0.3">
      <c r="A427" s="110">
        <v>49776</v>
      </c>
      <c r="B427" s="111" t="s">
        <v>237</v>
      </c>
      <c r="C427" s="112" t="s">
        <v>238</v>
      </c>
    </row>
    <row r="428" spans="1:3" ht="15.75" thickBot="1" x14ac:dyDescent="0.3">
      <c r="A428" s="110">
        <v>49786</v>
      </c>
      <c r="B428" s="111" t="s">
        <v>233</v>
      </c>
      <c r="C428" s="112" t="s">
        <v>240</v>
      </c>
    </row>
    <row r="429" spans="1:3" ht="15.75" thickBot="1" x14ac:dyDescent="0.3">
      <c r="A429" s="110">
        <v>49796</v>
      </c>
      <c r="B429" s="111" t="s">
        <v>242</v>
      </c>
      <c r="C429" s="112" t="s">
        <v>241</v>
      </c>
    </row>
    <row r="430" spans="1:3" ht="15.75" thickBot="1" x14ac:dyDescent="0.3">
      <c r="A430" s="110">
        <v>49838</v>
      </c>
      <c r="B430" s="111" t="s">
        <v>242</v>
      </c>
      <c r="C430" s="112" t="s">
        <v>243</v>
      </c>
    </row>
    <row r="431" spans="1:3" ht="15.75" thickBot="1" x14ac:dyDescent="0.3">
      <c r="A431" s="110">
        <v>49925</v>
      </c>
      <c r="B431" s="111" t="s">
        <v>249</v>
      </c>
      <c r="C431" s="112" t="s">
        <v>244</v>
      </c>
    </row>
    <row r="432" spans="1:3" ht="15.75" thickBot="1" x14ac:dyDescent="0.3">
      <c r="A432" s="110">
        <v>49960</v>
      </c>
      <c r="B432" s="111" t="s">
        <v>249</v>
      </c>
      <c r="C432" s="112" t="s">
        <v>245</v>
      </c>
    </row>
    <row r="433" spans="1:3" ht="15.75" thickBot="1" x14ac:dyDescent="0.3">
      <c r="A433" s="110">
        <v>49981</v>
      </c>
      <c r="B433" s="111" t="s">
        <v>249</v>
      </c>
      <c r="C433" s="112" t="s">
        <v>246</v>
      </c>
    </row>
    <row r="434" spans="1:3" ht="15.75" thickBot="1" x14ac:dyDescent="0.3">
      <c r="A434" s="110">
        <v>49994</v>
      </c>
      <c r="B434" s="111" t="s">
        <v>239</v>
      </c>
      <c r="C434" s="112" t="s">
        <v>247</v>
      </c>
    </row>
    <row r="435" spans="1:3" ht="15.75" thickBot="1" x14ac:dyDescent="0.3">
      <c r="A435" s="110">
        <v>50034</v>
      </c>
      <c r="B435" s="111" t="s">
        <v>242</v>
      </c>
      <c r="C435" s="112" t="s">
        <v>248</v>
      </c>
    </row>
    <row r="436" spans="1:3" ht="15.75" thickBot="1" x14ac:dyDescent="0.3">
      <c r="A436" s="113">
        <v>50041</v>
      </c>
      <c r="B436" s="114" t="s">
        <v>242</v>
      </c>
      <c r="C436" s="115" t="s">
        <v>234</v>
      </c>
    </row>
    <row r="437" spans="1:3" ht="15.75" thickBot="1" x14ac:dyDescent="0.3">
      <c r="A437" s="104">
        <v>50087</v>
      </c>
      <c r="B437" s="105" t="s">
        <v>233</v>
      </c>
      <c r="C437" s="106" t="s">
        <v>235</v>
      </c>
    </row>
    <row r="438" spans="1:3" ht="15.75" thickBot="1" x14ac:dyDescent="0.3">
      <c r="A438" s="104">
        <v>50088</v>
      </c>
      <c r="B438" s="105" t="s">
        <v>236</v>
      </c>
      <c r="C438" s="106" t="s">
        <v>235</v>
      </c>
    </row>
    <row r="439" spans="1:3" ht="15.75" thickBot="1" x14ac:dyDescent="0.3">
      <c r="A439" s="104">
        <v>50133</v>
      </c>
      <c r="B439" s="105" t="s">
        <v>237</v>
      </c>
      <c r="C439" s="106" t="s">
        <v>238</v>
      </c>
    </row>
    <row r="440" spans="1:3" ht="15.75" thickBot="1" x14ac:dyDescent="0.3">
      <c r="A440" s="104">
        <v>50151</v>
      </c>
      <c r="B440" s="105" t="s">
        <v>236</v>
      </c>
      <c r="C440" s="106" t="s">
        <v>240</v>
      </c>
    </row>
    <row r="441" spans="1:3" ht="15.75" thickBot="1" x14ac:dyDescent="0.3">
      <c r="A441" s="104">
        <v>50161</v>
      </c>
      <c r="B441" s="105" t="s">
        <v>237</v>
      </c>
      <c r="C441" s="106" t="s">
        <v>241</v>
      </c>
    </row>
    <row r="442" spans="1:3" ht="15.75" thickBot="1" x14ac:dyDescent="0.3">
      <c r="A442" s="104">
        <v>50195</v>
      </c>
      <c r="B442" s="105" t="s">
        <v>242</v>
      </c>
      <c r="C442" s="106" t="s">
        <v>243</v>
      </c>
    </row>
    <row r="443" spans="1:3" ht="15.75" thickBot="1" x14ac:dyDescent="0.3">
      <c r="A443" s="104">
        <v>50290</v>
      </c>
      <c r="B443" s="105" t="s">
        <v>233</v>
      </c>
      <c r="C443" s="106" t="s">
        <v>244</v>
      </c>
    </row>
    <row r="444" spans="1:3" ht="15.75" thickBot="1" x14ac:dyDescent="0.3">
      <c r="A444" s="104">
        <v>50325</v>
      </c>
      <c r="B444" s="105" t="s">
        <v>233</v>
      </c>
      <c r="C444" s="106" t="s">
        <v>245</v>
      </c>
    </row>
    <row r="445" spans="1:3" ht="15.75" thickBot="1" x14ac:dyDescent="0.3">
      <c r="A445" s="104">
        <v>50346</v>
      </c>
      <c r="B445" s="105" t="s">
        <v>233</v>
      </c>
      <c r="C445" s="106" t="s">
        <v>246</v>
      </c>
    </row>
    <row r="446" spans="1:3" ht="15.75" thickBot="1" x14ac:dyDescent="0.3">
      <c r="A446" s="104">
        <v>50359</v>
      </c>
      <c r="B446" s="105" t="s">
        <v>249</v>
      </c>
      <c r="C446" s="106" t="s">
        <v>247</v>
      </c>
    </row>
    <row r="447" spans="1:3" ht="15.75" thickBot="1" x14ac:dyDescent="0.3">
      <c r="A447" s="104">
        <v>50399</v>
      </c>
      <c r="B447" s="105" t="s">
        <v>237</v>
      </c>
      <c r="C447" s="106" t="s">
        <v>248</v>
      </c>
    </row>
    <row r="448" spans="1:3" ht="15.75" thickBot="1" x14ac:dyDescent="0.3">
      <c r="A448" s="107">
        <v>50406</v>
      </c>
      <c r="B448" s="108" t="s">
        <v>237</v>
      </c>
      <c r="C448" s="109" t="s">
        <v>234</v>
      </c>
    </row>
    <row r="449" spans="1:3" ht="15.75" thickBot="1" x14ac:dyDescent="0.3">
      <c r="A449" s="110">
        <v>50472</v>
      </c>
      <c r="B449" s="111" t="s">
        <v>233</v>
      </c>
      <c r="C449" s="112" t="s">
        <v>235</v>
      </c>
    </row>
    <row r="450" spans="1:3" ht="15.75" thickBot="1" x14ac:dyDescent="0.3">
      <c r="A450" s="110">
        <v>50473</v>
      </c>
      <c r="B450" s="111" t="s">
        <v>236</v>
      </c>
      <c r="C450" s="112" t="s">
        <v>235</v>
      </c>
    </row>
    <row r="451" spans="1:3" ht="15.75" thickBot="1" x14ac:dyDescent="0.3">
      <c r="A451" s="110">
        <v>50516</v>
      </c>
      <c r="B451" s="111" t="s">
        <v>250</v>
      </c>
      <c r="C451" s="112" t="s">
        <v>240</v>
      </c>
    </row>
    <row r="452" spans="1:3" ht="15.75" thickBot="1" x14ac:dyDescent="0.3">
      <c r="A452" s="110">
        <v>50518</v>
      </c>
      <c r="B452" s="111" t="s">
        <v>237</v>
      </c>
      <c r="C452" s="112" t="s">
        <v>238</v>
      </c>
    </row>
    <row r="453" spans="1:3" ht="15.75" thickBot="1" x14ac:dyDescent="0.3">
      <c r="A453" s="110">
        <v>50526</v>
      </c>
      <c r="B453" s="111" t="s">
        <v>239</v>
      </c>
      <c r="C453" s="112" t="s">
        <v>241</v>
      </c>
    </row>
    <row r="454" spans="1:3" ht="15.75" thickBot="1" x14ac:dyDescent="0.3">
      <c r="A454" s="110">
        <v>50580</v>
      </c>
      <c r="B454" s="111" t="s">
        <v>242</v>
      </c>
      <c r="C454" s="112" t="s">
        <v>243</v>
      </c>
    </row>
    <row r="455" spans="1:3" ht="15.75" thickBot="1" x14ac:dyDescent="0.3">
      <c r="A455" s="110">
        <v>50655</v>
      </c>
      <c r="B455" s="111" t="s">
        <v>236</v>
      </c>
      <c r="C455" s="112" t="s">
        <v>244</v>
      </c>
    </row>
    <row r="456" spans="1:3" ht="15.75" thickBot="1" x14ac:dyDescent="0.3">
      <c r="A456" s="110">
        <v>50690</v>
      </c>
      <c r="B456" s="111" t="s">
        <v>236</v>
      </c>
      <c r="C456" s="112" t="s">
        <v>245</v>
      </c>
    </row>
    <row r="457" spans="1:3" ht="15.75" thickBot="1" x14ac:dyDescent="0.3">
      <c r="A457" s="110">
        <v>50711</v>
      </c>
      <c r="B457" s="111" t="s">
        <v>236</v>
      </c>
      <c r="C457" s="112" t="s">
        <v>246</v>
      </c>
    </row>
    <row r="458" spans="1:3" ht="15.75" thickBot="1" x14ac:dyDescent="0.3">
      <c r="A458" s="110">
        <v>50724</v>
      </c>
      <c r="B458" s="111" t="s">
        <v>233</v>
      </c>
      <c r="C458" s="112" t="s">
        <v>247</v>
      </c>
    </row>
    <row r="459" spans="1:3" ht="15.75" thickBot="1" x14ac:dyDescent="0.3">
      <c r="A459" s="110">
        <v>50764</v>
      </c>
      <c r="B459" s="111" t="s">
        <v>239</v>
      </c>
      <c r="C459" s="112" t="s">
        <v>248</v>
      </c>
    </row>
    <row r="460" spans="1:3" ht="15.75" thickBot="1" x14ac:dyDescent="0.3">
      <c r="A460" s="113">
        <v>50771</v>
      </c>
      <c r="B460" s="114" t="s">
        <v>239</v>
      </c>
      <c r="C460" s="115" t="s">
        <v>234</v>
      </c>
    </row>
    <row r="461" spans="1:3" ht="15.75" thickBot="1" x14ac:dyDescent="0.3">
      <c r="A461" s="104">
        <v>50822</v>
      </c>
      <c r="B461" s="105" t="s">
        <v>233</v>
      </c>
      <c r="C461" s="106" t="s">
        <v>235</v>
      </c>
    </row>
    <row r="462" spans="1:3" ht="15.75" thickBot="1" x14ac:dyDescent="0.3">
      <c r="A462" s="104">
        <v>50823</v>
      </c>
      <c r="B462" s="105" t="s">
        <v>236</v>
      </c>
      <c r="C462" s="106" t="s">
        <v>235</v>
      </c>
    </row>
    <row r="463" spans="1:3" ht="15.75" thickBot="1" x14ac:dyDescent="0.3">
      <c r="A463" s="104">
        <v>50868</v>
      </c>
      <c r="B463" s="105" t="s">
        <v>237</v>
      </c>
      <c r="C463" s="106" t="s">
        <v>238</v>
      </c>
    </row>
    <row r="464" spans="1:3" ht="15.75" thickBot="1" x14ac:dyDescent="0.3">
      <c r="A464" s="104">
        <v>50881</v>
      </c>
      <c r="B464" s="105" t="s">
        <v>242</v>
      </c>
      <c r="C464" s="106" t="s">
        <v>240</v>
      </c>
    </row>
    <row r="465" spans="1:3" ht="15.75" thickBot="1" x14ac:dyDescent="0.3">
      <c r="A465" s="104">
        <v>50891</v>
      </c>
      <c r="B465" s="105" t="s">
        <v>249</v>
      </c>
      <c r="C465" s="106" t="s">
        <v>241</v>
      </c>
    </row>
    <row r="466" spans="1:3" ht="15.75" thickBot="1" x14ac:dyDescent="0.3">
      <c r="A466" s="104">
        <v>50930</v>
      </c>
      <c r="B466" s="105" t="s">
        <v>242</v>
      </c>
      <c r="C466" s="106" t="s">
        <v>243</v>
      </c>
    </row>
    <row r="467" spans="1:3" ht="15.75" thickBot="1" x14ac:dyDescent="0.3">
      <c r="A467" s="104">
        <v>51020</v>
      </c>
      <c r="B467" s="105" t="s">
        <v>250</v>
      </c>
      <c r="C467" s="106" t="s">
        <v>244</v>
      </c>
    </row>
    <row r="468" spans="1:3" ht="15.75" thickBot="1" x14ac:dyDescent="0.3">
      <c r="A468" s="104">
        <v>51055</v>
      </c>
      <c r="B468" s="105" t="s">
        <v>250</v>
      </c>
      <c r="C468" s="106" t="s">
        <v>245</v>
      </c>
    </row>
    <row r="469" spans="1:3" ht="15.75" thickBot="1" x14ac:dyDescent="0.3">
      <c r="A469" s="104">
        <v>51076</v>
      </c>
      <c r="B469" s="105" t="s">
        <v>250</v>
      </c>
      <c r="C469" s="106" t="s">
        <v>246</v>
      </c>
    </row>
    <row r="470" spans="1:3" ht="15.75" thickBot="1" x14ac:dyDescent="0.3">
      <c r="A470" s="104">
        <v>51089</v>
      </c>
      <c r="B470" s="105" t="s">
        <v>236</v>
      </c>
      <c r="C470" s="106" t="s">
        <v>247</v>
      </c>
    </row>
    <row r="471" spans="1:3" ht="15.75" thickBot="1" x14ac:dyDescent="0.3">
      <c r="A471" s="104">
        <v>51129</v>
      </c>
      <c r="B471" s="105" t="s">
        <v>249</v>
      </c>
      <c r="C471" s="106" t="s">
        <v>248</v>
      </c>
    </row>
    <row r="472" spans="1:3" ht="15.75" thickBot="1" x14ac:dyDescent="0.3">
      <c r="A472" s="107">
        <v>51136</v>
      </c>
      <c r="B472" s="108" t="s">
        <v>249</v>
      </c>
      <c r="C472" s="109" t="s">
        <v>234</v>
      </c>
    </row>
    <row r="473" spans="1:3" ht="15.75" thickBot="1" x14ac:dyDescent="0.3">
      <c r="A473" s="110">
        <v>51179</v>
      </c>
      <c r="B473" s="111" t="s">
        <v>233</v>
      </c>
      <c r="C473" s="112" t="s">
        <v>235</v>
      </c>
    </row>
    <row r="474" spans="1:3" ht="15.75" thickBot="1" x14ac:dyDescent="0.3">
      <c r="A474" s="110">
        <v>51180</v>
      </c>
      <c r="B474" s="111" t="s">
        <v>236</v>
      </c>
      <c r="C474" s="112" t="s">
        <v>235</v>
      </c>
    </row>
    <row r="475" spans="1:3" ht="15.75" thickBot="1" x14ac:dyDescent="0.3">
      <c r="A475" s="110">
        <v>51225</v>
      </c>
      <c r="B475" s="111" t="s">
        <v>237</v>
      </c>
      <c r="C475" s="112" t="s">
        <v>238</v>
      </c>
    </row>
    <row r="476" spans="1:3" ht="15.75" thickBot="1" x14ac:dyDescent="0.3">
      <c r="A476" s="110">
        <v>51247</v>
      </c>
      <c r="B476" s="111" t="s">
        <v>239</v>
      </c>
      <c r="C476" s="112" t="s">
        <v>240</v>
      </c>
    </row>
    <row r="477" spans="1:3" ht="15.75" thickBot="1" x14ac:dyDescent="0.3">
      <c r="A477" s="110">
        <v>51257</v>
      </c>
      <c r="B477" s="111" t="s">
        <v>236</v>
      </c>
      <c r="C477" s="112" t="s">
        <v>241</v>
      </c>
    </row>
    <row r="478" spans="1:3" ht="15.75" thickBot="1" x14ac:dyDescent="0.3">
      <c r="A478" s="110">
        <v>51287</v>
      </c>
      <c r="B478" s="111" t="s">
        <v>242</v>
      </c>
      <c r="C478" s="112" t="s">
        <v>243</v>
      </c>
    </row>
    <row r="479" spans="1:3" ht="15.75" thickBot="1" x14ac:dyDescent="0.3">
      <c r="A479" s="110">
        <v>51386</v>
      </c>
      <c r="B479" s="111" t="s">
        <v>237</v>
      </c>
      <c r="C479" s="112" t="s">
        <v>244</v>
      </c>
    </row>
    <row r="480" spans="1:3" ht="15.75" thickBot="1" x14ac:dyDescent="0.3">
      <c r="A480" s="110">
        <v>51421</v>
      </c>
      <c r="B480" s="111" t="s">
        <v>237</v>
      </c>
      <c r="C480" s="112" t="s">
        <v>245</v>
      </c>
    </row>
    <row r="481" spans="1:3" ht="15.75" thickBot="1" x14ac:dyDescent="0.3">
      <c r="A481" s="110">
        <v>51442</v>
      </c>
      <c r="B481" s="111" t="s">
        <v>237</v>
      </c>
      <c r="C481" s="112" t="s">
        <v>246</v>
      </c>
    </row>
    <row r="482" spans="1:3" ht="15.75" thickBot="1" x14ac:dyDescent="0.3">
      <c r="A482" s="110">
        <v>51455</v>
      </c>
      <c r="B482" s="111" t="s">
        <v>242</v>
      </c>
      <c r="C482" s="112" t="s">
        <v>247</v>
      </c>
    </row>
    <row r="483" spans="1:3" ht="15.75" thickBot="1" x14ac:dyDescent="0.3">
      <c r="A483" s="110">
        <v>51495</v>
      </c>
      <c r="B483" s="111" t="s">
        <v>236</v>
      </c>
      <c r="C483" s="112" t="s">
        <v>248</v>
      </c>
    </row>
    <row r="484" spans="1:3" ht="15.75" thickBot="1" x14ac:dyDescent="0.3">
      <c r="A484" s="113">
        <v>51502</v>
      </c>
      <c r="B484" s="114" t="s">
        <v>236</v>
      </c>
      <c r="C484" s="115" t="s">
        <v>234</v>
      </c>
    </row>
    <row r="485" spans="1:3" ht="15.75" thickBot="1" x14ac:dyDescent="0.3">
      <c r="A485" s="104">
        <v>51564</v>
      </c>
      <c r="B485" s="105" t="s">
        <v>233</v>
      </c>
      <c r="C485" s="106" t="s">
        <v>235</v>
      </c>
    </row>
    <row r="486" spans="1:3" ht="15.75" thickBot="1" x14ac:dyDescent="0.3">
      <c r="A486" s="104">
        <v>51565</v>
      </c>
      <c r="B486" s="105" t="s">
        <v>236</v>
      </c>
      <c r="C486" s="106" t="s">
        <v>235</v>
      </c>
    </row>
    <row r="487" spans="1:3" ht="15.75" thickBot="1" x14ac:dyDescent="0.3">
      <c r="A487" s="104">
        <v>51610</v>
      </c>
      <c r="B487" s="105" t="s">
        <v>237</v>
      </c>
      <c r="C487" s="106" t="s">
        <v>238</v>
      </c>
    </row>
    <row r="488" spans="1:3" ht="15.75" thickBot="1" x14ac:dyDescent="0.3">
      <c r="A488" s="104">
        <v>51612</v>
      </c>
      <c r="B488" s="105" t="s">
        <v>249</v>
      </c>
      <c r="C488" s="106" t="s">
        <v>240</v>
      </c>
    </row>
    <row r="489" spans="1:3" ht="15.75" thickBot="1" x14ac:dyDescent="0.3">
      <c r="A489" s="104">
        <v>51622</v>
      </c>
      <c r="B489" s="105" t="s">
        <v>250</v>
      </c>
      <c r="C489" s="106" t="s">
        <v>241</v>
      </c>
    </row>
    <row r="490" spans="1:3" ht="15.75" thickBot="1" x14ac:dyDescent="0.3">
      <c r="A490" s="104">
        <v>51672</v>
      </c>
      <c r="B490" s="105" t="s">
        <v>242</v>
      </c>
      <c r="C490" s="106" t="s">
        <v>243</v>
      </c>
    </row>
    <row r="491" spans="1:3" ht="15.75" thickBot="1" x14ac:dyDescent="0.3">
      <c r="A491" s="104">
        <v>51751</v>
      </c>
      <c r="B491" s="105" t="s">
        <v>239</v>
      </c>
      <c r="C491" s="106" t="s">
        <v>244</v>
      </c>
    </row>
    <row r="492" spans="1:3" ht="15.75" thickBot="1" x14ac:dyDescent="0.3">
      <c r="A492" s="104">
        <v>51786</v>
      </c>
      <c r="B492" s="105" t="s">
        <v>239</v>
      </c>
      <c r="C492" s="106" t="s">
        <v>245</v>
      </c>
    </row>
    <row r="493" spans="1:3" ht="15.75" thickBot="1" x14ac:dyDescent="0.3">
      <c r="A493" s="104">
        <v>51807</v>
      </c>
      <c r="B493" s="105" t="s">
        <v>239</v>
      </c>
      <c r="C493" s="106" t="s">
        <v>246</v>
      </c>
    </row>
    <row r="494" spans="1:3" ht="15.75" thickBot="1" x14ac:dyDescent="0.3">
      <c r="A494" s="104">
        <v>51820</v>
      </c>
      <c r="B494" s="105" t="s">
        <v>237</v>
      </c>
      <c r="C494" s="106" t="s">
        <v>247</v>
      </c>
    </row>
    <row r="495" spans="1:3" ht="15.75" thickBot="1" x14ac:dyDescent="0.3">
      <c r="A495" s="104">
        <v>51860</v>
      </c>
      <c r="B495" s="105" t="s">
        <v>250</v>
      </c>
      <c r="C495" s="106" t="s">
        <v>248</v>
      </c>
    </row>
    <row r="496" spans="1:3" ht="15.75" thickBot="1" x14ac:dyDescent="0.3">
      <c r="A496" s="107">
        <v>51867</v>
      </c>
      <c r="B496" s="108" t="s">
        <v>250</v>
      </c>
      <c r="C496" s="109" t="s">
        <v>234</v>
      </c>
    </row>
    <row r="497" spans="1:3" ht="15.75" thickBot="1" x14ac:dyDescent="0.3">
      <c r="A497" s="110">
        <v>51914</v>
      </c>
      <c r="B497" s="111" t="s">
        <v>233</v>
      </c>
      <c r="C497" s="112" t="s">
        <v>235</v>
      </c>
    </row>
    <row r="498" spans="1:3" ht="15.75" thickBot="1" x14ac:dyDescent="0.3">
      <c r="A498" s="110">
        <v>51915</v>
      </c>
      <c r="B498" s="111" t="s">
        <v>236</v>
      </c>
      <c r="C498" s="112" t="s">
        <v>235</v>
      </c>
    </row>
    <row r="499" spans="1:3" ht="15.75" thickBot="1" x14ac:dyDescent="0.3">
      <c r="A499" s="110">
        <v>51960</v>
      </c>
      <c r="B499" s="111" t="s">
        <v>237</v>
      </c>
      <c r="C499" s="112" t="s">
        <v>238</v>
      </c>
    </row>
    <row r="500" spans="1:3" ht="15.75" thickBot="1" x14ac:dyDescent="0.3">
      <c r="A500" s="110">
        <v>51977</v>
      </c>
      <c r="B500" s="111" t="s">
        <v>233</v>
      </c>
      <c r="C500" s="112" t="s">
        <v>240</v>
      </c>
    </row>
    <row r="501" spans="1:3" ht="15.75" thickBot="1" x14ac:dyDescent="0.3">
      <c r="A501" s="110">
        <v>51987</v>
      </c>
      <c r="B501" s="111" t="s">
        <v>242</v>
      </c>
      <c r="C501" s="112" t="s">
        <v>241</v>
      </c>
    </row>
    <row r="502" spans="1:3" ht="15.75" thickBot="1" x14ac:dyDescent="0.3">
      <c r="A502" s="110">
        <v>52022</v>
      </c>
      <c r="B502" s="111" t="s">
        <v>242</v>
      </c>
      <c r="C502" s="112" t="s">
        <v>243</v>
      </c>
    </row>
    <row r="503" spans="1:3" ht="15.75" thickBot="1" x14ac:dyDescent="0.3">
      <c r="A503" s="110">
        <v>52116</v>
      </c>
      <c r="B503" s="111" t="s">
        <v>249</v>
      </c>
      <c r="C503" s="112" t="s">
        <v>244</v>
      </c>
    </row>
    <row r="504" spans="1:3" ht="15.75" thickBot="1" x14ac:dyDescent="0.3">
      <c r="A504" s="110">
        <v>52151</v>
      </c>
      <c r="B504" s="111" t="s">
        <v>249</v>
      </c>
      <c r="C504" s="112" t="s">
        <v>245</v>
      </c>
    </row>
    <row r="505" spans="1:3" ht="15.75" thickBot="1" x14ac:dyDescent="0.3">
      <c r="A505" s="110">
        <v>52172</v>
      </c>
      <c r="B505" s="111" t="s">
        <v>249</v>
      </c>
      <c r="C505" s="112" t="s">
        <v>246</v>
      </c>
    </row>
    <row r="506" spans="1:3" ht="15.75" thickBot="1" x14ac:dyDescent="0.3">
      <c r="A506" s="110">
        <v>52185</v>
      </c>
      <c r="B506" s="111" t="s">
        <v>239</v>
      </c>
      <c r="C506" s="112" t="s">
        <v>247</v>
      </c>
    </row>
    <row r="507" spans="1:3" ht="15.75" thickBot="1" x14ac:dyDescent="0.3">
      <c r="A507" s="110">
        <v>52225</v>
      </c>
      <c r="B507" s="111" t="s">
        <v>242</v>
      </c>
      <c r="C507" s="112" t="s">
        <v>248</v>
      </c>
    </row>
    <row r="508" spans="1:3" ht="15.75" thickBot="1" x14ac:dyDescent="0.3">
      <c r="A508" s="113">
        <v>52232</v>
      </c>
      <c r="B508" s="114" t="s">
        <v>242</v>
      </c>
      <c r="C508" s="115" t="s">
        <v>234</v>
      </c>
    </row>
    <row r="509" spans="1:3" ht="15.75" thickBot="1" x14ac:dyDescent="0.3">
      <c r="A509" s="104">
        <v>52271</v>
      </c>
      <c r="B509" s="105" t="s">
        <v>233</v>
      </c>
      <c r="C509" s="106" t="s">
        <v>235</v>
      </c>
    </row>
    <row r="510" spans="1:3" ht="15.75" thickBot="1" x14ac:dyDescent="0.3">
      <c r="A510" s="104">
        <v>52272</v>
      </c>
      <c r="B510" s="105" t="s">
        <v>236</v>
      </c>
      <c r="C510" s="106" t="s">
        <v>235</v>
      </c>
    </row>
    <row r="511" spans="1:3" ht="15.75" thickBot="1" x14ac:dyDescent="0.3">
      <c r="A511" s="104">
        <v>52317</v>
      </c>
      <c r="B511" s="105" t="s">
        <v>237</v>
      </c>
      <c r="C511" s="106" t="s">
        <v>238</v>
      </c>
    </row>
    <row r="512" spans="1:3" ht="15.75" thickBot="1" x14ac:dyDescent="0.3">
      <c r="A512" s="104">
        <v>52342</v>
      </c>
      <c r="B512" s="105" t="s">
        <v>236</v>
      </c>
      <c r="C512" s="106" t="s">
        <v>240</v>
      </c>
    </row>
    <row r="513" spans="1:3" ht="15.75" thickBot="1" x14ac:dyDescent="0.3">
      <c r="A513" s="104">
        <v>52352</v>
      </c>
      <c r="B513" s="105" t="s">
        <v>237</v>
      </c>
      <c r="C513" s="106" t="s">
        <v>241</v>
      </c>
    </row>
    <row r="514" spans="1:3" ht="15.75" thickBot="1" x14ac:dyDescent="0.3">
      <c r="A514" s="104">
        <v>52379</v>
      </c>
      <c r="B514" s="105" t="s">
        <v>242</v>
      </c>
      <c r="C514" s="106" t="s">
        <v>243</v>
      </c>
    </row>
    <row r="515" spans="1:3" ht="15.75" thickBot="1" x14ac:dyDescent="0.3">
      <c r="A515" s="104">
        <v>52481</v>
      </c>
      <c r="B515" s="105" t="s">
        <v>233</v>
      </c>
      <c r="C515" s="106" t="s">
        <v>244</v>
      </c>
    </row>
    <row r="516" spans="1:3" ht="15.75" thickBot="1" x14ac:dyDescent="0.3">
      <c r="A516" s="104">
        <v>52516</v>
      </c>
      <c r="B516" s="105" t="s">
        <v>233</v>
      </c>
      <c r="C516" s="106" t="s">
        <v>245</v>
      </c>
    </row>
    <row r="517" spans="1:3" ht="15.75" thickBot="1" x14ac:dyDescent="0.3">
      <c r="A517" s="104">
        <v>52537</v>
      </c>
      <c r="B517" s="105" t="s">
        <v>233</v>
      </c>
      <c r="C517" s="106" t="s">
        <v>246</v>
      </c>
    </row>
    <row r="518" spans="1:3" ht="15.75" thickBot="1" x14ac:dyDescent="0.3">
      <c r="A518" s="104">
        <v>52550</v>
      </c>
      <c r="B518" s="105" t="s">
        <v>249</v>
      </c>
      <c r="C518" s="106" t="s">
        <v>247</v>
      </c>
    </row>
    <row r="519" spans="1:3" ht="15.75" thickBot="1" x14ac:dyDescent="0.3">
      <c r="A519" s="104">
        <v>52590</v>
      </c>
      <c r="B519" s="105" t="s">
        <v>237</v>
      </c>
      <c r="C519" s="106" t="s">
        <v>248</v>
      </c>
    </row>
    <row r="520" spans="1:3" ht="15.75" thickBot="1" x14ac:dyDescent="0.3">
      <c r="A520" s="107">
        <v>52597</v>
      </c>
      <c r="B520" s="108" t="s">
        <v>237</v>
      </c>
      <c r="C520" s="109" t="s">
        <v>234</v>
      </c>
    </row>
    <row r="521" spans="1:3" ht="15.75" thickBot="1" x14ac:dyDescent="0.3">
      <c r="A521" s="110">
        <v>52656</v>
      </c>
      <c r="B521" s="111" t="s">
        <v>233</v>
      </c>
      <c r="C521" s="112" t="s">
        <v>235</v>
      </c>
    </row>
    <row r="522" spans="1:3" ht="15.75" thickBot="1" x14ac:dyDescent="0.3">
      <c r="A522" s="110">
        <v>52657</v>
      </c>
      <c r="B522" s="111" t="s">
        <v>236</v>
      </c>
      <c r="C522" s="112" t="s">
        <v>235</v>
      </c>
    </row>
    <row r="523" spans="1:3" ht="15.75" thickBot="1" x14ac:dyDescent="0.3">
      <c r="A523" s="110">
        <v>52702</v>
      </c>
      <c r="B523" s="111" t="s">
        <v>237</v>
      </c>
      <c r="C523" s="112" t="s">
        <v>238</v>
      </c>
    </row>
    <row r="524" spans="1:3" ht="15.75" thickBot="1" x14ac:dyDescent="0.3">
      <c r="A524" s="110">
        <v>52708</v>
      </c>
      <c r="B524" s="111" t="s">
        <v>242</v>
      </c>
      <c r="C524" s="112" t="s">
        <v>240</v>
      </c>
    </row>
    <row r="525" spans="1:3" ht="15.75" thickBot="1" x14ac:dyDescent="0.3">
      <c r="A525" s="110">
        <v>52718</v>
      </c>
      <c r="B525" s="111" t="s">
        <v>249</v>
      </c>
      <c r="C525" s="112" t="s">
        <v>241</v>
      </c>
    </row>
    <row r="526" spans="1:3" ht="15.75" thickBot="1" x14ac:dyDescent="0.3">
      <c r="A526" s="110">
        <v>52764</v>
      </c>
      <c r="B526" s="111" t="s">
        <v>242</v>
      </c>
      <c r="C526" s="112" t="s">
        <v>243</v>
      </c>
    </row>
    <row r="527" spans="1:3" ht="15.75" thickBot="1" x14ac:dyDescent="0.3">
      <c r="A527" s="110">
        <v>52847</v>
      </c>
      <c r="B527" s="111" t="s">
        <v>250</v>
      </c>
      <c r="C527" s="112" t="s">
        <v>244</v>
      </c>
    </row>
    <row r="528" spans="1:3" ht="15.75" thickBot="1" x14ac:dyDescent="0.3">
      <c r="A528" s="110">
        <v>52882</v>
      </c>
      <c r="B528" s="111" t="s">
        <v>250</v>
      </c>
      <c r="C528" s="112" t="s">
        <v>245</v>
      </c>
    </row>
    <row r="529" spans="1:3" ht="15.75" thickBot="1" x14ac:dyDescent="0.3">
      <c r="A529" s="110">
        <v>52903</v>
      </c>
      <c r="B529" s="111" t="s">
        <v>250</v>
      </c>
      <c r="C529" s="112" t="s">
        <v>246</v>
      </c>
    </row>
    <row r="530" spans="1:3" ht="15.75" thickBot="1" x14ac:dyDescent="0.3">
      <c r="A530" s="110">
        <v>52916</v>
      </c>
      <c r="B530" s="111" t="s">
        <v>236</v>
      </c>
      <c r="C530" s="112" t="s">
        <v>247</v>
      </c>
    </row>
    <row r="531" spans="1:3" ht="15.75" thickBot="1" x14ac:dyDescent="0.3">
      <c r="A531" s="107">
        <v>52956</v>
      </c>
      <c r="B531" s="108" t="s">
        <v>249</v>
      </c>
      <c r="C531" s="109" t="s">
        <v>248</v>
      </c>
    </row>
    <row r="532" spans="1:3" ht="15.75" thickBot="1" x14ac:dyDescent="0.3">
      <c r="A532" s="113">
        <v>52963</v>
      </c>
      <c r="B532" s="114" t="s">
        <v>249</v>
      </c>
      <c r="C532" s="115" t="s">
        <v>234</v>
      </c>
    </row>
    <row r="533" spans="1:3" ht="15.75" thickBot="1" x14ac:dyDescent="0.3">
      <c r="A533" s="104">
        <v>53013</v>
      </c>
      <c r="B533" s="105" t="s">
        <v>233</v>
      </c>
      <c r="C533" s="106" t="s">
        <v>235</v>
      </c>
    </row>
    <row r="534" spans="1:3" ht="15.75" thickBot="1" x14ac:dyDescent="0.3">
      <c r="A534" s="104">
        <v>53014</v>
      </c>
      <c r="B534" s="105" t="s">
        <v>236</v>
      </c>
      <c r="C534" s="106" t="s">
        <v>235</v>
      </c>
    </row>
    <row r="535" spans="1:3" ht="15.75" thickBot="1" x14ac:dyDescent="0.3">
      <c r="A535" s="104">
        <v>53059</v>
      </c>
      <c r="B535" s="105" t="s">
        <v>237</v>
      </c>
      <c r="C535" s="106" t="s">
        <v>238</v>
      </c>
    </row>
    <row r="536" spans="1:3" ht="15.75" thickBot="1" x14ac:dyDescent="0.3">
      <c r="A536" s="104">
        <v>53073</v>
      </c>
      <c r="B536" s="105" t="s">
        <v>237</v>
      </c>
      <c r="C536" s="106" t="s">
        <v>240</v>
      </c>
    </row>
    <row r="537" spans="1:3" ht="15.75" thickBot="1" x14ac:dyDescent="0.3">
      <c r="A537" s="104">
        <v>53083</v>
      </c>
      <c r="B537" s="105" t="s">
        <v>233</v>
      </c>
      <c r="C537" s="106" t="s">
        <v>241</v>
      </c>
    </row>
    <row r="538" spans="1:3" ht="15.75" thickBot="1" x14ac:dyDescent="0.3">
      <c r="A538" s="104">
        <v>53121</v>
      </c>
      <c r="B538" s="105" t="s">
        <v>242</v>
      </c>
      <c r="C538" s="106" t="s">
        <v>243</v>
      </c>
    </row>
    <row r="539" spans="1:3" ht="15.75" thickBot="1" x14ac:dyDescent="0.3">
      <c r="A539" s="104">
        <v>53212</v>
      </c>
      <c r="B539" s="105" t="s">
        <v>242</v>
      </c>
      <c r="C539" s="106" t="s">
        <v>244</v>
      </c>
    </row>
    <row r="540" spans="1:3" ht="15.75" thickBot="1" x14ac:dyDescent="0.3">
      <c r="A540" s="104">
        <v>53247</v>
      </c>
      <c r="B540" s="105" t="s">
        <v>242</v>
      </c>
      <c r="C540" s="106" t="s">
        <v>245</v>
      </c>
    </row>
    <row r="541" spans="1:3" ht="15.75" thickBot="1" x14ac:dyDescent="0.3">
      <c r="A541" s="104">
        <v>53268</v>
      </c>
      <c r="B541" s="105" t="s">
        <v>242</v>
      </c>
      <c r="C541" s="106" t="s">
        <v>246</v>
      </c>
    </row>
    <row r="542" spans="1:3" ht="15.75" thickBot="1" x14ac:dyDescent="0.3">
      <c r="A542" s="104">
        <v>53281</v>
      </c>
      <c r="B542" s="105" t="s">
        <v>250</v>
      </c>
      <c r="C542" s="106" t="s">
        <v>247</v>
      </c>
    </row>
    <row r="543" spans="1:3" ht="15.75" thickBot="1" x14ac:dyDescent="0.3">
      <c r="A543" s="104">
        <v>53321</v>
      </c>
      <c r="B543" s="105" t="s">
        <v>233</v>
      </c>
      <c r="C543" s="106" t="s">
        <v>248</v>
      </c>
    </row>
    <row r="544" spans="1:3" ht="15.75" thickBot="1" x14ac:dyDescent="0.3">
      <c r="A544" s="107">
        <v>53328</v>
      </c>
      <c r="B544" s="108" t="s">
        <v>233</v>
      </c>
      <c r="C544" s="109" t="s">
        <v>234</v>
      </c>
    </row>
    <row r="545" spans="1:3" ht="15.75" thickBot="1" x14ac:dyDescent="0.3">
      <c r="A545" s="110">
        <v>53363</v>
      </c>
      <c r="B545" s="111" t="s">
        <v>233</v>
      </c>
      <c r="C545" s="112" t="s">
        <v>235</v>
      </c>
    </row>
    <row r="546" spans="1:3" ht="15.75" thickBot="1" x14ac:dyDescent="0.3">
      <c r="A546" s="110">
        <v>53364</v>
      </c>
      <c r="B546" s="111" t="s">
        <v>236</v>
      </c>
      <c r="C546" s="112" t="s">
        <v>235</v>
      </c>
    </row>
    <row r="547" spans="1:3" ht="15.75" thickBot="1" x14ac:dyDescent="0.3">
      <c r="A547" s="110">
        <v>53409</v>
      </c>
      <c r="B547" s="111" t="s">
        <v>237</v>
      </c>
      <c r="C547" s="112" t="s">
        <v>238</v>
      </c>
    </row>
    <row r="548" spans="1:3" ht="15.75" thickBot="1" x14ac:dyDescent="0.3">
      <c r="A548" s="110">
        <v>53438</v>
      </c>
      <c r="B548" s="111" t="s">
        <v>239</v>
      </c>
      <c r="C548" s="112" t="s">
        <v>240</v>
      </c>
    </row>
    <row r="549" spans="1:3" ht="15.75" thickBot="1" x14ac:dyDescent="0.3">
      <c r="A549" s="110">
        <v>53448</v>
      </c>
      <c r="B549" s="111" t="s">
        <v>236</v>
      </c>
      <c r="C549" s="112" t="s">
        <v>241</v>
      </c>
    </row>
    <row r="550" spans="1:3" ht="15.75" thickBot="1" x14ac:dyDescent="0.3">
      <c r="A550" s="110">
        <v>53471</v>
      </c>
      <c r="B550" s="111" t="s">
        <v>242</v>
      </c>
      <c r="C550" s="112" t="s">
        <v>243</v>
      </c>
    </row>
    <row r="551" spans="1:3" ht="15.75" thickBot="1" x14ac:dyDescent="0.3">
      <c r="A551" s="110">
        <v>53577</v>
      </c>
      <c r="B551" s="111" t="s">
        <v>237</v>
      </c>
      <c r="C551" s="112" t="s">
        <v>244</v>
      </c>
    </row>
    <row r="552" spans="1:3" ht="15.75" thickBot="1" x14ac:dyDescent="0.3">
      <c r="A552" s="110">
        <v>53612</v>
      </c>
      <c r="B552" s="111" t="s">
        <v>237</v>
      </c>
      <c r="C552" s="112" t="s">
        <v>245</v>
      </c>
    </row>
    <row r="553" spans="1:3" ht="15.75" thickBot="1" x14ac:dyDescent="0.3">
      <c r="A553" s="110">
        <v>53633</v>
      </c>
      <c r="B553" s="111" t="s">
        <v>237</v>
      </c>
      <c r="C553" s="112" t="s">
        <v>246</v>
      </c>
    </row>
    <row r="554" spans="1:3" ht="15.75" thickBot="1" x14ac:dyDescent="0.3">
      <c r="A554" s="110">
        <v>53646</v>
      </c>
      <c r="B554" s="111" t="s">
        <v>242</v>
      </c>
      <c r="C554" s="112" t="s">
        <v>247</v>
      </c>
    </row>
    <row r="555" spans="1:3" ht="15.75" thickBot="1" x14ac:dyDescent="0.3">
      <c r="A555" s="110">
        <v>53686</v>
      </c>
      <c r="B555" s="111" t="s">
        <v>236</v>
      </c>
      <c r="C555" s="112" t="s">
        <v>248</v>
      </c>
    </row>
    <row r="556" spans="1:3" ht="15.75" thickBot="1" x14ac:dyDescent="0.3">
      <c r="A556" s="113">
        <v>53693</v>
      </c>
      <c r="B556" s="114" t="s">
        <v>236</v>
      </c>
      <c r="C556" s="115" t="s">
        <v>234</v>
      </c>
    </row>
    <row r="557" spans="1:3" ht="15.75" thickBot="1" x14ac:dyDescent="0.3">
      <c r="A557" s="104">
        <v>53748</v>
      </c>
      <c r="B557" s="105" t="s">
        <v>233</v>
      </c>
      <c r="C557" s="106" t="s">
        <v>235</v>
      </c>
    </row>
    <row r="558" spans="1:3" ht="15.75" thickBot="1" x14ac:dyDescent="0.3">
      <c r="A558" s="104">
        <v>53749</v>
      </c>
      <c r="B558" s="105" t="s">
        <v>236</v>
      </c>
      <c r="C558" s="106" t="s">
        <v>235</v>
      </c>
    </row>
    <row r="559" spans="1:3" ht="15.75" thickBot="1" x14ac:dyDescent="0.3">
      <c r="A559" s="104">
        <v>53794</v>
      </c>
      <c r="B559" s="105" t="s">
        <v>237</v>
      </c>
      <c r="C559" s="106" t="s">
        <v>238</v>
      </c>
    </row>
    <row r="560" spans="1:3" ht="15.75" thickBot="1" x14ac:dyDescent="0.3">
      <c r="A560" s="104">
        <v>53803</v>
      </c>
      <c r="B560" s="105" t="s">
        <v>236</v>
      </c>
      <c r="C560" s="106" t="s">
        <v>240</v>
      </c>
    </row>
    <row r="561" spans="1:3" ht="15.75" thickBot="1" x14ac:dyDescent="0.3">
      <c r="A561" s="104">
        <v>53813</v>
      </c>
      <c r="B561" s="105" t="s">
        <v>250</v>
      </c>
      <c r="C561" s="106" t="s">
        <v>241</v>
      </c>
    </row>
    <row r="562" spans="1:3" ht="15.75" thickBot="1" x14ac:dyDescent="0.3">
      <c r="A562" s="104">
        <v>53856</v>
      </c>
      <c r="B562" s="105" t="s">
        <v>242</v>
      </c>
      <c r="C562" s="106" t="s">
        <v>243</v>
      </c>
    </row>
    <row r="563" spans="1:3" ht="15.75" thickBot="1" x14ac:dyDescent="0.3">
      <c r="A563" s="104">
        <v>53942</v>
      </c>
      <c r="B563" s="105" t="s">
        <v>239</v>
      </c>
      <c r="C563" s="106" t="s">
        <v>244</v>
      </c>
    </row>
    <row r="564" spans="1:3" ht="15.75" thickBot="1" x14ac:dyDescent="0.3">
      <c r="A564" s="104">
        <v>53977</v>
      </c>
      <c r="B564" s="105" t="s">
        <v>239</v>
      </c>
      <c r="C564" s="106" t="s">
        <v>245</v>
      </c>
    </row>
    <row r="565" spans="1:3" ht="15.75" thickBot="1" x14ac:dyDescent="0.3">
      <c r="A565" s="104">
        <v>53998</v>
      </c>
      <c r="B565" s="105" t="s">
        <v>239</v>
      </c>
      <c r="C565" s="106" t="s">
        <v>246</v>
      </c>
    </row>
    <row r="566" spans="1:3" ht="15.75" thickBot="1" x14ac:dyDescent="0.3">
      <c r="A566" s="104">
        <v>54011</v>
      </c>
      <c r="B566" s="105" t="s">
        <v>237</v>
      </c>
      <c r="C566" s="106" t="s">
        <v>247</v>
      </c>
    </row>
    <row r="567" spans="1:3" ht="15.75" thickBot="1" x14ac:dyDescent="0.3">
      <c r="A567" s="104">
        <v>54051</v>
      </c>
      <c r="B567" s="105" t="s">
        <v>250</v>
      </c>
      <c r="C567" s="106" t="s">
        <v>248</v>
      </c>
    </row>
    <row r="568" spans="1:3" ht="15.75" thickBot="1" x14ac:dyDescent="0.3">
      <c r="A568" s="107">
        <v>54058</v>
      </c>
      <c r="B568" s="108" t="s">
        <v>250</v>
      </c>
      <c r="C568" s="109" t="s">
        <v>234</v>
      </c>
    </row>
    <row r="569" spans="1:3" ht="15.75" thickBot="1" x14ac:dyDescent="0.3">
      <c r="A569" s="110">
        <v>54105</v>
      </c>
      <c r="B569" s="111" t="s">
        <v>233</v>
      </c>
      <c r="C569" s="112" t="s">
        <v>235</v>
      </c>
    </row>
    <row r="570" spans="1:3" ht="15.75" thickBot="1" x14ac:dyDescent="0.3">
      <c r="A570" s="110">
        <v>54106</v>
      </c>
      <c r="B570" s="111" t="s">
        <v>236</v>
      </c>
      <c r="C570" s="112" t="s">
        <v>235</v>
      </c>
    </row>
    <row r="571" spans="1:3" ht="15.75" thickBot="1" x14ac:dyDescent="0.3">
      <c r="A571" s="110">
        <v>54151</v>
      </c>
      <c r="B571" s="111" t="s">
        <v>237</v>
      </c>
      <c r="C571" s="112" t="s">
        <v>238</v>
      </c>
    </row>
    <row r="572" spans="1:3" ht="15.75" thickBot="1" x14ac:dyDescent="0.3">
      <c r="A572" s="110">
        <v>54169</v>
      </c>
      <c r="B572" s="111" t="s">
        <v>236</v>
      </c>
      <c r="C572" s="112" t="s">
        <v>240</v>
      </c>
    </row>
    <row r="573" spans="1:3" ht="15.75" thickBot="1" x14ac:dyDescent="0.3">
      <c r="A573" s="110">
        <v>54179</v>
      </c>
      <c r="B573" s="111" t="s">
        <v>237</v>
      </c>
      <c r="C573" s="112" t="s">
        <v>241</v>
      </c>
    </row>
    <row r="574" spans="1:3" ht="15.75" thickBot="1" x14ac:dyDescent="0.3">
      <c r="A574" s="110">
        <v>54213</v>
      </c>
      <c r="B574" s="111" t="s">
        <v>242</v>
      </c>
      <c r="C574" s="112" t="s">
        <v>243</v>
      </c>
    </row>
    <row r="575" spans="1:3" ht="15.75" thickBot="1" x14ac:dyDescent="0.3">
      <c r="A575" s="110">
        <v>54308</v>
      </c>
      <c r="B575" s="111" t="s">
        <v>233</v>
      </c>
      <c r="C575" s="112" t="s">
        <v>244</v>
      </c>
    </row>
    <row r="576" spans="1:3" ht="15.75" thickBot="1" x14ac:dyDescent="0.3">
      <c r="A576" s="110">
        <v>54343</v>
      </c>
      <c r="B576" s="111" t="s">
        <v>233</v>
      </c>
      <c r="C576" s="112" t="s">
        <v>245</v>
      </c>
    </row>
    <row r="577" spans="1:3" ht="15.75" thickBot="1" x14ac:dyDescent="0.3">
      <c r="A577" s="110">
        <v>54364</v>
      </c>
      <c r="B577" s="111" t="s">
        <v>233</v>
      </c>
      <c r="C577" s="112" t="s">
        <v>246</v>
      </c>
    </row>
    <row r="578" spans="1:3" ht="15.75" thickBot="1" x14ac:dyDescent="0.3">
      <c r="A578" s="110">
        <v>54377</v>
      </c>
      <c r="B578" s="111" t="s">
        <v>249</v>
      </c>
      <c r="C578" s="112" t="s">
        <v>247</v>
      </c>
    </row>
    <row r="579" spans="1:3" ht="15.75" thickBot="1" x14ac:dyDescent="0.3">
      <c r="A579" s="110">
        <v>54417</v>
      </c>
      <c r="B579" s="111" t="s">
        <v>237</v>
      </c>
      <c r="C579" s="112" t="s">
        <v>248</v>
      </c>
    </row>
    <row r="580" spans="1:3" ht="15.75" thickBot="1" x14ac:dyDescent="0.3">
      <c r="A580" s="113">
        <v>54424</v>
      </c>
      <c r="B580" s="114" t="s">
        <v>237</v>
      </c>
      <c r="C580" s="115" t="s">
        <v>234</v>
      </c>
    </row>
    <row r="581" spans="1:3" ht="15.75" thickBot="1" x14ac:dyDescent="0.3">
      <c r="A581" s="104">
        <v>54483</v>
      </c>
      <c r="B581" s="105" t="s">
        <v>233</v>
      </c>
      <c r="C581" s="106" t="s">
        <v>235</v>
      </c>
    </row>
    <row r="582" spans="1:3" ht="15.75" thickBot="1" x14ac:dyDescent="0.3">
      <c r="A582" s="104">
        <v>54484</v>
      </c>
      <c r="B582" s="105" t="s">
        <v>236</v>
      </c>
      <c r="C582" s="106" t="s">
        <v>235</v>
      </c>
    </row>
    <row r="583" spans="1:3" ht="15.75" thickBot="1" x14ac:dyDescent="0.3">
      <c r="A583" s="104">
        <v>54529</v>
      </c>
      <c r="B583" s="105" t="s">
        <v>237</v>
      </c>
      <c r="C583" s="106" t="s">
        <v>238</v>
      </c>
    </row>
    <row r="584" spans="1:3" ht="15.75" thickBot="1" x14ac:dyDescent="0.3">
      <c r="A584" s="104">
        <v>54534</v>
      </c>
      <c r="B584" s="105" t="s">
        <v>250</v>
      </c>
      <c r="C584" s="106" t="s">
        <v>240</v>
      </c>
    </row>
    <row r="585" spans="1:3" ht="15.75" thickBot="1" x14ac:dyDescent="0.3">
      <c r="A585" s="104">
        <v>54544</v>
      </c>
      <c r="B585" s="105" t="s">
        <v>239</v>
      </c>
      <c r="C585" s="106" t="s">
        <v>241</v>
      </c>
    </row>
    <row r="586" spans="1:3" ht="15.75" thickBot="1" x14ac:dyDescent="0.3">
      <c r="A586" s="104">
        <v>54591</v>
      </c>
      <c r="B586" s="105" t="s">
        <v>242</v>
      </c>
      <c r="C586" s="106" t="s">
        <v>243</v>
      </c>
    </row>
    <row r="587" spans="1:3" ht="15.75" thickBot="1" x14ac:dyDescent="0.3">
      <c r="A587" s="104">
        <v>54673</v>
      </c>
      <c r="B587" s="105" t="s">
        <v>236</v>
      </c>
      <c r="C587" s="106" t="s">
        <v>244</v>
      </c>
    </row>
    <row r="588" spans="1:3" ht="15.75" thickBot="1" x14ac:dyDescent="0.3">
      <c r="A588" s="104">
        <v>54708</v>
      </c>
      <c r="B588" s="105" t="s">
        <v>236</v>
      </c>
      <c r="C588" s="106" t="s">
        <v>245</v>
      </c>
    </row>
    <row r="589" spans="1:3" ht="15.75" thickBot="1" x14ac:dyDescent="0.3">
      <c r="A589" s="104">
        <v>54729</v>
      </c>
      <c r="B589" s="105" t="s">
        <v>236</v>
      </c>
      <c r="C589" s="106" t="s">
        <v>246</v>
      </c>
    </row>
    <row r="590" spans="1:3" ht="15.75" thickBot="1" x14ac:dyDescent="0.3">
      <c r="A590" s="104">
        <v>54742</v>
      </c>
      <c r="B590" s="105" t="s">
        <v>233</v>
      </c>
      <c r="C590" s="106" t="s">
        <v>247</v>
      </c>
    </row>
    <row r="591" spans="1:3" ht="15.75" thickBot="1" x14ac:dyDescent="0.3">
      <c r="A591" s="104">
        <v>54782</v>
      </c>
      <c r="B591" s="105" t="s">
        <v>239</v>
      </c>
      <c r="C591" s="106" t="s">
        <v>248</v>
      </c>
    </row>
    <row r="592" spans="1:3" ht="15.75" thickBot="1" x14ac:dyDescent="0.3">
      <c r="A592" s="107">
        <v>54789</v>
      </c>
      <c r="B592" s="108" t="s">
        <v>239</v>
      </c>
      <c r="C592" s="109" t="s">
        <v>234</v>
      </c>
    </row>
    <row r="593" spans="1:3" ht="15.75" thickBot="1" x14ac:dyDescent="0.3">
      <c r="A593" s="110">
        <v>54840</v>
      </c>
      <c r="B593" s="111" t="s">
        <v>233</v>
      </c>
      <c r="C593" s="112" t="s">
        <v>235</v>
      </c>
    </row>
    <row r="594" spans="1:3" ht="15.75" thickBot="1" x14ac:dyDescent="0.3">
      <c r="A594" s="110">
        <v>54841</v>
      </c>
      <c r="B594" s="111" t="s">
        <v>236</v>
      </c>
      <c r="C594" s="112" t="s">
        <v>235</v>
      </c>
    </row>
    <row r="595" spans="1:3" ht="15.75" thickBot="1" x14ac:dyDescent="0.3">
      <c r="A595" s="110">
        <v>54886</v>
      </c>
      <c r="B595" s="111" t="s">
        <v>237</v>
      </c>
      <c r="C595" s="112" t="s">
        <v>238</v>
      </c>
    </row>
    <row r="596" spans="1:3" ht="15.75" thickBot="1" x14ac:dyDescent="0.3">
      <c r="A596" s="110">
        <v>54899</v>
      </c>
      <c r="B596" s="111" t="s">
        <v>242</v>
      </c>
      <c r="C596" s="112" t="s">
        <v>240</v>
      </c>
    </row>
    <row r="597" spans="1:3" ht="15.75" thickBot="1" x14ac:dyDescent="0.3">
      <c r="A597" s="110">
        <v>54909</v>
      </c>
      <c r="B597" s="111" t="s">
        <v>249</v>
      </c>
      <c r="C597" s="112" t="s">
        <v>241</v>
      </c>
    </row>
    <row r="598" spans="1:3" ht="15.75" thickBot="1" x14ac:dyDescent="0.3">
      <c r="A598" s="110">
        <v>54948</v>
      </c>
      <c r="B598" s="111" t="s">
        <v>242</v>
      </c>
      <c r="C598" s="112" t="s">
        <v>243</v>
      </c>
    </row>
    <row r="599" spans="1:3" ht="15.75" thickBot="1" x14ac:dyDescent="0.3">
      <c r="A599" s="110">
        <v>55038</v>
      </c>
      <c r="B599" s="111" t="s">
        <v>250</v>
      </c>
      <c r="C599" s="112" t="s">
        <v>244</v>
      </c>
    </row>
    <row r="600" spans="1:3" ht="15.75" thickBot="1" x14ac:dyDescent="0.3">
      <c r="A600" s="110">
        <v>55073</v>
      </c>
      <c r="B600" s="111" t="s">
        <v>250</v>
      </c>
      <c r="C600" s="112" t="s">
        <v>245</v>
      </c>
    </row>
    <row r="601" spans="1:3" ht="15.75" thickBot="1" x14ac:dyDescent="0.3">
      <c r="A601" s="110">
        <v>55094</v>
      </c>
      <c r="B601" s="111" t="s">
        <v>250</v>
      </c>
      <c r="C601" s="112" t="s">
        <v>246</v>
      </c>
    </row>
    <row r="602" spans="1:3" ht="15.75" thickBot="1" x14ac:dyDescent="0.3">
      <c r="A602" s="110">
        <v>55107</v>
      </c>
      <c r="B602" s="111" t="s">
        <v>236</v>
      </c>
      <c r="C602" s="112" t="s">
        <v>247</v>
      </c>
    </row>
    <row r="603" spans="1:3" ht="15.75" thickBot="1" x14ac:dyDescent="0.3">
      <c r="A603" s="110">
        <v>55147</v>
      </c>
      <c r="B603" s="111" t="s">
        <v>249</v>
      </c>
      <c r="C603" s="112" t="s">
        <v>248</v>
      </c>
    </row>
    <row r="604" spans="1:3" ht="15.75" thickBot="1" x14ac:dyDescent="0.3">
      <c r="A604" s="113">
        <v>55154</v>
      </c>
      <c r="B604" s="114" t="s">
        <v>249</v>
      </c>
      <c r="C604" s="115" t="s">
        <v>234</v>
      </c>
    </row>
    <row r="605" spans="1:3" ht="15.75" thickBot="1" x14ac:dyDescent="0.3">
      <c r="A605" s="104">
        <v>55197</v>
      </c>
      <c r="B605" s="105" t="s">
        <v>233</v>
      </c>
      <c r="C605" s="106" t="s">
        <v>235</v>
      </c>
    </row>
    <row r="606" spans="1:3" ht="15.75" thickBot="1" x14ac:dyDescent="0.3">
      <c r="A606" s="104">
        <v>55198</v>
      </c>
      <c r="B606" s="105" t="s">
        <v>236</v>
      </c>
      <c r="C606" s="106" t="s">
        <v>235</v>
      </c>
    </row>
    <row r="607" spans="1:3" ht="15.75" thickBot="1" x14ac:dyDescent="0.3">
      <c r="A607" s="104">
        <v>55243</v>
      </c>
      <c r="B607" s="105" t="s">
        <v>237</v>
      </c>
      <c r="C607" s="106" t="s">
        <v>238</v>
      </c>
    </row>
    <row r="608" spans="1:3" ht="15.75" thickBot="1" x14ac:dyDescent="0.3">
      <c r="A608" s="104">
        <v>55264</v>
      </c>
      <c r="B608" s="105" t="s">
        <v>237</v>
      </c>
      <c r="C608" s="106" t="s">
        <v>240</v>
      </c>
    </row>
    <row r="609" spans="1:3" ht="15.75" thickBot="1" x14ac:dyDescent="0.3">
      <c r="A609" s="104">
        <v>55274</v>
      </c>
      <c r="B609" s="105" t="s">
        <v>233</v>
      </c>
      <c r="C609" s="106" t="s">
        <v>241</v>
      </c>
    </row>
    <row r="610" spans="1:3" ht="15.75" thickBot="1" x14ac:dyDescent="0.3">
      <c r="A610" s="104">
        <v>55305</v>
      </c>
      <c r="B610" s="105" t="s">
        <v>242</v>
      </c>
      <c r="C610" s="106" t="s">
        <v>243</v>
      </c>
    </row>
    <row r="611" spans="1:3" ht="15.75" thickBot="1" x14ac:dyDescent="0.3">
      <c r="A611" s="104">
        <v>55403</v>
      </c>
      <c r="B611" s="105" t="s">
        <v>242</v>
      </c>
      <c r="C611" s="106" t="s">
        <v>244</v>
      </c>
    </row>
    <row r="612" spans="1:3" ht="15.75" thickBot="1" x14ac:dyDescent="0.3">
      <c r="A612" s="104">
        <v>55438</v>
      </c>
      <c r="B612" s="105" t="s">
        <v>242</v>
      </c>
      <c r="C612" s="106" t="s">
        <v>245</v>
      </c>
    </row>
    <row r="613" spans="1:3" ht="15.75" thickBot="1" x14ac:dyDescent="0.3">
      <c r="A613" s="104">
        <v>55459</v>
      </c>
      <c r="B613" s="105" t="s">
        <v>242</v>
      </c>
      <c r="C613" s="106" t="s">
        <v>246</v>
      </c>
    </row>
    <row r="614" spans="1:3" ht="15.75" thickBot="1" x14ac:dyDescent="0.3">
      <c r="A614" s="104">
        <v>55472</v>
      </c>
      <c r="B614" s="105" t="s">
        <v>250</v>
      </c>
      <c r="C614" s="106" t="s">
        <v>247</v>
      </c>
    </row>
    <row r="615" spans="1:3" ht="15.75" thickBot="1" x14ac:dyDescent="0.3">
      <c r="A615" s="104">
        <v>55512</v>
      </c>
      <c r="B615" s="105" t="s">
        <v>233</v>
      </c>
      <c r="C615" s="106" t="s">
        <v>248</v>
      </c>
    </row>
    <row r="616" spans="1:3" ht="15.75" thickBot="1" x14ac:dyDescent="0.3">
      <c r="A616" s="107">
        <v>55519</v>
      </c>
      <c r="B616" s="108" t="s">
        <v>233</v>
      </c>
      <c r="C616" s="109" t="s">
        <v>234</v>
      </c>
    </row>
    <row r="617" spans="1:3" ht="15.75" thickBot="1" x14ac:dyDescent="0.3">
      <c r="A617" s="110">
        <v>55582</v>
      </c>
      <c r="B617" s="111" t="s">
        <v>233</v>
      </c>
      <c r="C617" s="112" t="s">
        <v>235</v>
      </c>
    </row>
    <row r="618" spans="1:3" ht="15.75" thickBot="1" x14ac:dyDescent="0.3">
      <c r="A618" s="110">
        <v>55583</v>
      </c>
      <c r="B618" s="111" t="s">
        <v>236</v>
      </c>
      <c r="C618" s="112" t="s">
        <v>235</v>
      </c>
    </row>
    <row r="619" spans="1:3" ht="15.75" thickBot="1" x14ac:dyDescent="0.3">
      <c r="A619" s="110">
        <v>55628</v>
      </c>
      <c r="B619" s="111" t="s">
        <v>237</v>
      </c>
      <c r="C619" s="112" t="s">
        <v>238</v>
      </c>
    </row>
    <row r="620" spans="1:3" ht="15.75" thickBot="1" x14ac:dyDescent="0.3">
      <c r="A620" s="110">
        <v>55630</v>
      </c>
      <c r="B620" s="111" t="s">
        <v>249</v>
      </c>
      <c r="C620" s="112" t="s">
        <v>240</v>
      </c>
    </row>
    <row r="621" spans="1:3" ht="15.75" thickBot="1" x14ac:dyDescent="0.3">
      <c r="A621" s="110">
        <v>55640</v>
      </c>
      <c r="B621" s="111" t="s">
        <v>250</v>
      </c>
      <c r="C621" s="112" t="s">
        <v>241</v>
      </c>
    </row>
    <row r="622" spans="1:3" ht="15.75" thickBot="1" x14ac:dyDescent="0.3">
      <c r="A622" s="110">
        <v>55690</v>
      </c>
      <c r="B622" s="111" t="s">
        <v>242</v>
      </c>
      <c r="C622" s="112" t="s">
        <v>243</v>
      </c>
    </row>
    <row r="623" spans="1:3" ht="15.75" thickBot="1" x14ac:dyDescent="0.3">
      <c r="A623" s="110">
        <v>55769</v>
      </c>
      <c r="B623" s="111" t="s">
        <v>239</v>
      </c>
      <c r="C623" s="112" t="s">
        <v>244</v>
      </c>
    </row>
    <row r="624" spans="1:3" ht="15.75" thickBot="1" x14ac:dyDescent="0.3">
      <c r="A624" s="110">
        <v>55804</v>
      </c>
      <c r="B624" s="111" t="s">
        <v>239</v>
      </c>
      <c r="C624" s="112" t="s">
        <v>245</v>
      </c>
    </row>
    <row r="625" spans="1:3" ht="15.75" thickBot="1" x14ac:dyDescent="0.3">
      <c r="A625" s="110">
        <v>55825</v>
      </c>
      <c r="B625" s="111" t="s">
        <v>239</v>
      </c>
      <c r="C625" s="112" t="s">
        <v>246</v>
      </c>
    </row>
    <row r="626" spans="1:3" ht="15.75" thickBot="1" x14ac:dyDescent="0.3">
      <c r="A626" s="110">
        <v>55838</v>
      </c>
      <c r="B626" s="111" t="s">
        <v>237</v>
      </c>
      <c r="C626" s="112" t="s">
        <v>247</v>
      </c>
    </row>
    <row r="627" spans="1:3" ht="15.75" thickBot="1" x14ac:dyDescent="0.3">
      <c r="A627" s="110">
        <v>55878</v>
      </c>
      <c r="B627" s="111" t="s">
        <v>250</v>
      </c>
      <c r="C627" s="112" t="s">
        <v>248</v>
      </c>
    </row>
    <row r="628" spans="1:3" ht="15.75" thickBot="1" x14ac:dyDescent="0.3">
      <c r="A628" s="113">
        <v>55885</v>
      </c>
      <c r="B628" s="114" t="s">
        <v>250</v>
      </c>
      <c r="C628" s="115" t="s">
        <v>234</v>
      </c>
    </row>
    <row r="629" spans="1:3" ht="15.75" thickBot="1" x14ac:dyDescent="0.3">
      <c r="A629" s="104">
        <v>55932</v>
      </c>
      <c r="B629" s="105" t="s">
        <v>233</v>
      </c>
      <c r="C629" s="106" t="s">
        <v>235</v>
      </c>
    </row>
    <row r="630" spans="1:3" ht="15.75" thickBot="1" x14ac:dyDescent="0.3">
      <c r="A630" s="104">
        <v>55933</v>
      </c>
      <c r="B630" s="105" t="s">
        <v>236</v>
      </c>
      <c r="C630" s="106" t="s">
        <v>235</v>
      </c>
    </row>
    <row r="631" spans="1:3" ht="15.75" thickBot="1" x14ac:dyDescent="0.3">
      <c r="A631" s="104">
        <v>55978</v>
      </c>
      <c r="B631" s="105" t="s">
        <v>237</v>
      </c>
      <c r="C631" s="106" t="s">
        <v>238</v>
      </c>
    </row>
    <row r="632" spans="1:3" ht="15.75" thickBot="1" x14ac:dyDescent="0.3">
      <c r="A632" s="104">
        <v>55995</v>
      </c>
      <c r="B632" s="105" t="s">
        <v>233</v>
      </c>
      <c r="C632" s="106" t="s">
        <v>240</v>
      </c>
    </row>
    <row r="633" spans="1:3" ht="15.75" thickBot="1" x14ac:dyDescent="0.3">
      <c r="A633" s="104">
        <v>56005</v>
      </c>
      <c r="B633" s="105" t="s">
        <v>242</v>
      </c>
      <c r="C633" s="106" t="s">
        <v>241</v>
      </c>
    </row>
    <row r="634" spans="1:3" ht="15.75" thickBot="1" x14ac:dyDescent="0.3">
      <c r="A634" s="104">
        <v>56040</v>
      </c>
      <c r="B634" s="105" t="s">
        <v>242</v>
      </c>
      <c r="C634" s="106" t="s">
        <v>243</v>
      </c>
    </row>
    <row r="635" spans="1:3" ht="15.75" thickBot="1" x14ac:dyDescent="0.3">
      <c r="A635" s="104">
        <v>56134</v>
      </c>
      <c r="B635" s="105" t="s">
        <v>249</v>
      </c>
      <c r="C635" s="106" t="s">
        <v>244</v>
      </c>
    </row>
    <row r="636" spans="1:3" ht="15.75" thickBot="1" x14ac:dyDescent="0.3">
      <c r="A636" s="104">
        <v>56169</v>
      </c>
      <c r="B636" s="105" t="s">
        <v>249</v>
      </c>
      <c r="C636" s="106" t="s">
        <v>245</v>
      </c>
    </row>
    <row r="637" spans="1:3" ht="15.75" thickBot="1" x14ac:dyDescent="0.3">
      <c r="A637" s="104">
        <v>56190</v>
      </c>
      <c r="B637" s="105" t="s">
        <v>249</v>
      </c>
      <c r="C637" s="106" t="s">
        <v>246</v>
      </c>
    </row>
    <row r="638" spans="1:3" ht="15.75" thickBot="1" x14ac:dyDescent="0.3">
      <c r="A638" s="104">
        <v>56203</v>
      </c>
      <c r="B638" s="105" t="s">
        <v>239</v>
      </c>
      <c r="C638" s="106" t="s">
        <v>247</v>
      </c>
    </row>
    <row r="639" spans="1:3" ht="15.75" thickBot="1" x14ac:dyDescent="0.3">
      <c r="A639" s="104">
        <v>56243</v>
      </c>
      <c r="B639" s="105" t="s">
        <v>242</v>
      </c>
      <c r="C639" s="106" t="s">
        <v>248</v>
      </c>
    </row>
    <row r="640" spans="1:3" ht="15.75" thickBot="1" x14ac:dyDescent="0.3">
      <c r="A640" s="107">
        <v>56250</v>
      </c>
      <c r="B640" s="108" t="s">
        <v>242</v>
      </c>
      <c r="C640" s="109" t="s">
        <v>234</v>
      </c>
    </row>
    <row r="641" spans="1:3" ht="15.75" thickBot="1" x14ac:dyDescent="0.3">
      <c r="A641" s="110">
        <v>56289</v>
      </c>
      <c r="B641" s="111" t="s">
        <v>233</v>
      </c>
      <c r="C641" s="112" t="s">
        <v>235</v>
      </c>
    </row>
    <row r="642" spans="1:3" ht="15.75" thickBot="1" x14ac:dyDescent="0.3">
      <c r="A642" s="110">
        <v>56290</v>
      </c>
      <c r="B642" s="111" t="s">
        <v>236</v>
      </c>
      <c r="C642" s="112" t="s">
        <v>235</v>
      </c>
    </row>
    <row r="643" spans="1:3" ht="15.75" thickBot="1" x14ac:dyDescent="0.3">
      <c r="A643" s="110">
        <v>56335</v>
      </c>
      <c r="B643" s="111" t="s">
        <v>237</v>
      </c>
      <c r="C643" s="112" t="s">
        <v>238</v>
      </c>
    </row>
    <row r="644" spans="1:3" ht="15.75" thickBot="1" x14ac:dyDescent="0.3">
      <c r="A644" s="110">
        <v>56360</v>
      </c>
      <c r="B644" s="111" t="s">
        <v>236</v>
      </c>
      <c r="C644" s="112" t="s">
        <v>240</v>
      </c>
    </row>
    <row r="645" spans="1:3" ht="15.75" thickBot="1" x14ac:dyDescent="0.3">
      <c r="A645" s="110">
        <v>56370</v>
      </c>
      <c r="B645" s="111" t="s">
        <v>237</v>
      </c>
      <c r="C645" s="112" t="s">
        <v>241</v>
      </c>
    </row>
    <row r="646" spans="1:3" ht="15.75" thickBot="1" x14ac:dyDescent="0.3">
      <c r="A646" s="110">
        <v>56397</v>
      </c>
      <c r="B646" s="111" t="s">
        <v>242</v>
      </c>
      <c r="C646" s="112" t="s">
        <v>243</v>
      </c>
    </row>
    <row r="647" spans="1:3" ht="15.75" thickBot="1" x14ac:dyDescent="0.3">
      <c r="A647" s="110">
        <v>56499</v>
      </c>
      <c r="B647" s="111" t="s">
        <v>233</v>
      </c>
      <c r="C647" s="112" t="s">
        <v>244</v>
      </c>
    </row>
    <row r="648" spans="1:3" ht="15.75" thickBot="1" x14ac:dyDescent="0.3">
      <c r="A648" s="110">
        <v>56534</v>
      </c>
      <c r="B648" s="111" t="s">
        <v>233</v>
      </c>
      <c r="C648" s="112" t="s">
        <v>245</v>
      </c>
    </row>
    <row r="649" spans="1:3" ht="15.75" thickBot="1" x14ac:dyDescent="0.3">
      <c r="A649" s="110">
        <v>56555</v>
      </c>
      <c r="B649" s="111" t="s">
        <v>233</v>
      </c>
      <c r="C649" s="112" t="s">
        <v>246</v>
      </c>
    </row>
    <row r="650" spans="1:3" ht="15.75" thickBot="1" x14ac:dyDescent="0.3">
      <c r="A650" s="110">
        <v>56568</v>
      </c>
      <c r="B650" s="111" t="s">
        <v>249</v>
      </c>
      <c r="C650" s="112" t="s">
        <v>247</v>
      </c>
    </row>
    <row r="651" spans="1:3" ht="15.75" thickBot="1" x14ac:dyDescent="0.3">
      <c r="A651" s="110">
        <v>56608</v>
      </c>
      <c r="B651" s="111" t="s">
        <v>237</v>
      </c>
      <c r="C651" s="112" t="s">
        <v>248</v>
      </c>
    </row>
    <row r="652" spans="1:3" ht="15.75" thickBot="1" x14ac:dyDescent="0.3">
      <c r="A652" s="113">
        <v>56615</v>
      </c>
      <c r="B652" s="114" t="s">
        <v>237</v>
      </c>
      <c r="C652" s="115" t="s">
        <v>234</v>
      </c>
    </row>
    <row r="653" spans="1:3" ht="15.75" thickBot="1" x14ac:dyDescent="0.3">
      <c r="A653" s="104">
        <v>56674</v>
      </c>
      <c r="B653" s="105" t="s">
        <v>233</v>
      </c>
      <c r="C653" s="106" t="s">
        <v>235</v>
      </c>
    </row>
    <row r="654" spans="1:3" ht="15.75" thickBot="1" x14ac:dyDescent="0.3">
      <c r="A654" s="104">
        <v>56675</v>
      </c>
      <c r="B654" s="105" t="s">
        <v>236</v>
      </c>
      <c r="C654" s="106" t="s">
        <v>235</v>
      </c>
    </row>
    <row r="655" spans="1:3" ht="15.75" thickBot="1" x14ac:dyDescent="0.3">
      <c r="A655" s="104">
        <v>56720</v>
      </c>
      <c r="B655" s="105" t="s">
        <v>237</v>
      </c>
      <c r="C655" s="106" t="s">
        <v>238</v>
      </c>
    </row>
    <row r="656" spans="1:3" ht="15.75" thickBot="1" x14ac:dyDescent="0.3">
      <c r="A656" s="104">
        <v>56725</v>
      </c>
      <c r="B656" s="105" t="s">
        <v>250</v>
      </c>
      <c r="C656" s="106" t="s">
        <v>240</v>
      </c>
    </row>
    <row r="657" spans="1:3" ht="15.75" thickBot="1" x14ac:dyDescent="0.3">
      <c r="A657" s="104">
        <v>56735</v>
      </c>
      <c r="B657" s="105" t="s">
        <v>239</v>
      </c>
      <c r="C657" s="106" t="s">
        <v>241</v>
      </c>
    </row>
    <row r="658" spans="1:3" ht="15.75" thickBot="1" x14ac:dyDescent="0.3">
      <c r="A658" s="104">
        <v>56782</v>
      </c>
      <c r="B658" s="105" t="s">
        <v>242</v>
      </c>
      <c r="C658" s="106" t="s">
        <v>243</v>
      </c>
    </row>
    <row r="659" spans="1:3" ht="15.75" thickBot="1" x14ac:dyDescent="0.3">
      <c r="A659" s="104">
        <v>56864</v>
      </c>
      <c r="B659" s="105" t="s">
        <v>236</v>
      </c>
      <c r="C659" s="106" t="s">
        <v>244</v>
      </c>
    </row>
    <row r="660" spans="1:3" ht="15.75" thickBot="1" x14ac:dyDescent="0.3">
      <c r="A660" s="104">
        <v>56899</v>
      </c>
      <c r="B660" s="105" t="s">
        <v>236</v>
      </c>
      <c r="C660" s="106" t="s">
        <v>245</v>
      </c>
    </row>
    <row r="661" spans="1:3" ht="15.75" thickBot="1" x14ac:dyDescent="0.3">
      <c r="A661" s="104">
        <v>56920</v>
      </c>
      <c r="B661" s="105" t="s">
        <v>236</v>
      </c>
      <c r="C661" s="106" t="s">
        <v>246</v>
      </c>
    </row>
    <row r="662" spans="1:3" ht="15.75" thickBot="1" x14ac:dyDescent="0.3">
      <c r="A662" s="104">
        <v>56933</v>
      </c>
      <c r="B662" s="105" t="s">
        <v>233</v>
      </c>
      <c r="C662" s="106" t="s">
        <v>247</v>
      </c>
    </row>
    <row r="663" spans="1:3" ht="15.75" thickBot="1" x14ac:dyDescent="0.3">
      <c r="A663" s="104">
        <v>56973</v>
      </c>
      <c r="B663" s="105" t="s">
        <v>239</v>
      </c>
      <c r="C663" s="106" t="s">
        <v>248</v>
      </c>
    </row>
    <row r="664" spans="1:3" ht="15.75" thickBot="1" x14ac:dyDescent="0.3">
      <c r="A664" s="107">
        <v>56980</v>
      </c>
      <c r="B664" s="108" t="s">
        <v>239</v>
      </c>
      <c r="C664" s="109" t="s">
        <v>234</v>
      </c>
    </row>
    <row r="665" spans="1:3" ht="15.75" thickBot="1" x14ac:dyDescent="0.3">
      <c r="A665" s="110">
        <v>57024</v>
      </c>
      <c r="B665" s="111" t="s">
        <v>233</v>
      </c>
      <c r="C665" s="112" t="s">
        <v>235</v>
      </c>
    </row>
    <row r="666" spans="1:3" ht="15.75" thickBot="1" x14ac:dyDescent="0.3">
      <c r="A666" s="110">
        <v>57025</v>
      </c>
      <c r="B666" s="111" t="s">
        <v>236</v>
      </c>
      <c r="C666" s="112" t="s">
        <v>235</v>
      </c>
    </row>
    <row r="667" spans="1:3" ht="15.75" thickBot="1" x14ac:dyDescent="0.3">
      <c r="A667" s="110">
        <v>57070</v>
      </c>
      <c r="B667" s="111" t="s">
        <v>237</v>
      </c>
      <c r="C667" s="112" t="s">
        <v>238</v>
      </c>
    </row>
    <row r="668" spans="1:3" ht="15.75" thickBot="1" x14ac:dyDescent="0.3">
      <c r="A668" s="110">
        <v>57091</v>
      </c>
      <c r="B668" s="111" t="s">
        <v>237</v>
      </c>
      <c r="C668" s="112" t="s">
        <v>240</v>
      </c>
    </row>
    <row r="669" spans="1:3" ht="15.75" thickBot="1" x14ac:dyDescent="0.3">
      <c r="A669" s="110">
        <v>57101</v>
      </c>
      <c r="B669" s="111" t="s">
        <v>233</v>
      </c>
      <c r="C669" s="112" t="s">
        <v>241</v>
      </c>
    </row>
    <row r="670" spans="1:3" ht="15.75" thickBot="1" x14ac:dyDescent="0.3">
      <c r="A670" s="110">
        <v>57132</v>
      </c>
      <c r="B670" s="111" t="s">
        <v>242</v>
      </c>
      <c r="C670" s="112" t="s">
        <v>243</v>
      </c>
    </row>
    <row r="671" spans="1:3" ht="15.75" thickBot="1" x14ac:dyDescent="0.3">
      <c r="A671" s="110">
        <v>57230</v>
      </c>
      <c r="B671" s="111" t="s">
        <v>242</v>
      </c>
      <c r="C671" s="112" t="s">
        <v>244</v>
      </c>
    </row>
    <row r="672" spans="1:3" ht="15.75" thickBot="1" x14ac:dyDescent="0.3">
      <c r="A672" s="110">
        <v>57265</v>
      </c>
      <c r="B672" s="111" t="s">
        <v>242</v>
      </c>
      <c r="C672" s="112" t="s">
        <v>245</v>
      </c>
    </row>
    <row r="673" spans="1:3" ht="15.75" thickBot="1" x14ac:dyDescent="0.3">
      <c r="A673" s="110">
        <v>57286</v>
      </c>
      <c r="B673" s="111" t="s">
        <v>242</v>
      </c>
      <c r="C673" s="112" t="s">
        <v>246</v>
      </c>
    </row>
    <row r="674" spans="1:3" ht="15.75" thickBot="1" x14ac:dyDescent="0.3">
      <c r="A674" s="110">
        <v>57299</v>
      </c>
      <c r="B674" s="111" t="s">
        <v>250</v>
      </c>
      <c r="C674" s="112" t="s">
        <v>247</v>
      </c>
    </row>
    <row r="675" spans="1:3" ht="15.75" thickBot="1" x14ac:dyDescent="0.3">
      <c r="A675" s="110">
        <v>57339</v>
      </c>
      <c r="B675" s="111" t="s">
        <v>233</v>
      </c>
      <c r="C675" s="112" t="s">
        <v>248</v>
      </c>
    </row>
    <row r="676" spans="1:3" ht="15.75" thickBot="1" x14ac:dyDescent="0.3">
      <c r="A676" s="113">
        <v>57346</v>
      </c>
      <c r="B676" s="114" t="s">
        <v>233</v>
      </c>
      <c r="C676" s="115" t="s">
        <v>234</v>
      </c>
    </row>
    <row r="677" spans="1:3" ht="15.75" thickBot="1" x14ac:dyDescent="0.3">
      <c r="A677" s="104">
        <v>57409</v>
      </c>
      <c r="B677" s="105" t="s">
        <v>233</v>
      </c>
      <c r="C677" s="106" t="s">
        <v>235</v>
      </c>
    </row>
    <row r="678" spans="1:3" ht="15.75" thickBot="1" x14ac:dyDescent="0.3">
      <c r="A678" s="104">
        <v>57410</v>
      </c>
      <c r="B678" s="105" t="s">
        <v>236</v>
      </c>
      <c r="C678" s="106" t="s">
        <v>235</v>
      </c>
    </row>
    <row r="679" spans="1:3" ht="15.75" thickBot="1" x14ac:dyDescent="0.3">
      <c r="A679" s="104">
        <v>57455</v>
      </c>
      <c r="B679" s="105" t="s">
        <v>237</v>
      </c>
      <c r="C679" s="106" t="s">
        <v>238</v>
      </c>
    </row>
    <row r="680" spans="1:3" ht="15.75" thickBot="1" x14ac:dyDescent="0.3">
      <c r="A680" s="104">
        <v>57456</v>
      </c>
      <c r="B680" s="105" t="s">
        <v>239</v>
      </c>
      <c r="C680" s="106" t="s">
        <v>240</v>
      </c>
    </row>
    <row r="681" spans="1:3" ht="15.75" thickBot="1" x14ac:dyDescent="0.3">
      <c r="A681" s="104">
        <v>57466</v>
      </c>
      <c r="B681" s="105" t="s">
        <v>236</v>
      </c>
      <c r="C681" s="106" t="s">
        <v>241</v>
      </c>
    </row>
    <row r="682" spans="1:3" ht="15.75" thickBot="1" x14ac:dyDescent="0.3">
      <c r="A682" s="104">
        <v>57517</v>
      </c>
      <c r="B682" s="105" t="s">
        <v>242</v>
      </c>
      <c r="C682" s="106" t="s">
        <v>243</v>
      </c>
    </row>
    <row r="683" spans="1:3" ht="15.75" thickBot="1" x14ac:dyDescent="0.3">
      <c r="A683" s="104">
        <v>57595</v>
      </c>
      <c r="B683" s="105" t="s">
        <v>237</v>
      </c>
      <c r="C683" s="106" t="s">
        <v>244</v>
      </c>
    </row>
    <row r="684" spans="1:3" ht="15.75" thickBot="1" x14ac:dyDescent="0.3">
      <c r="A684" s="104">
        <v>57630</v>
      </c>
      <c r="B684" s="105" t="s">
        <v>237</v>
      </c>
      <c r="C684" s="106" t="s">
        <v>245</v>
      </c>
    </row>
    <row r="685" spans="1:3" ht="15.75" thickBot="1" x14ac:dyDescent="0.3">
      <c r="A685" s="104">
        <v>57651</v>
      </c>
      <c r="B685" s="105" t="s">
        <v>237</v>
      </c>
      <c r="C685" s="106" t="s">
        <v>246</v>
      </c>
    </row>
    <row r="686" spans="1:3" ht="15.75" thickBot="1" x14ac:dyDescent="0.3">
      <c r="A686" s="104">
        <v>57664</v>
      </c>
      <c r="B686" s="105" t="s">
        <v>242</v>
      </c>
      <c r="C686" s="106" t="s">
        <v>247</v>
      </c>
    </row>
    <row r="687" spans="1:3" ht="15.75" thickBot="1" x14ac:dyDescent="0.3">
      <c r="A687" s="104">
        <v>57704</v>
      </c>
      <c r="B687" s="105" t="s">
        <v>236</v>
      </c>
      <c r="C687" s="106" t="s">
        <v>248</v>
      </c>
    </row>
    <row r="688" spans="1:3" ht="15.75" thickBot="1" x14ac:dyDescent="0.3">
      <c r="A688" s="107">
        <v>57711</v>
      </c>
      <c r="B688" s="108" t="s">
        <v>236</v>
      </c>
      <c r="C688" s="109" t="s">
        <v>234</v>
      </c>
    </row>
    <row r="689" spans="1:3" ht="15.75" thickBot="1" x14ac:dyDescent="0.3">
      <c r="A689" s="110">
        <v>57766</v>
      </c>
      <c r="B689" s="111" t="s">
        <v>233</v>
      </c>
      <c r="C689" s="112" t="s">
        <v>235</v>
      </c>
    </row>
    <row r="690" spans="1:3" ht="15.75" thickBot="1" x14ac:dyDescent="0.3">
      <c r="A690" s="110">
        <v>57767</v>
      </c>
      <c r="B690" s="111" t="s">
        <v>236</v>
      </c>
      <c r="C690" s="112" t="s">
        <v>235</v>
      </c>
    </row>
    <row r="691" spans="1:3" ht="15.75" thickBot="1" x14ac:dyDescent="0.3">
      <c r="A691" s="110">
        <v>57812</v>
      </c>
      <c r="B691" s="111" t="s">
        <v>237</v>
      </c>
      <c r="C691" s="112" t="s">
        <v>238</v>
      </c>
    </row>
    <row r="692" spans="1:3" ht="15.75" thickBot="1" x14ac:dyDescent="0.3">
      <c r="A692" s="110">
        <v>57821</v>
      </c>
      <c r="B692" s="111" t="s">
        <v>249</v>
      </c>
      <c r="C692" s="112" t="s">
        <v>240</v>
      </c>
    </row>
    <row r="693" spans="1:3" ht="15.75" thickBot="1" x14ac:dyDescent="0.3">
      <c r="A693" s="110">
        <v>57831</v>
      </c>
      <c r="B693" s="111" t="s">
        <v>250</v>
      </c>
      <c r="C693" s="112" t="s">
        <v>241</v>
      </c>
    </row>
    <row r="694" spans="1:3" ht="15.75" thickBot="1" x14ac:dyDescent="0.3">
      <c r="A694" s="110">
        <v>57874</v>
      </c>
      <c r="B694" s="111" t="s">
        <v>242</v>
      </c>
      <c r="C694" s="112" t="s">
        <v>243</v>
      </c>
    </row>
    <row r="695" spans="1:3" ht="15.75" thickBot="1" x14ac:dyDescent="0.3">
      <c r="A695" s="110">
        <v>57960</v>
      </c>
      <c r="B695" s="111" t="s">
        <v>239</v>
      </c>
      <c r="C695" s="112" t="s">
        <v>244</v>
      </c>
    </row>
    <row r="696" spans="1:3" ht="15.75" thickBot="1" x14ac:dyDescent="0.3">
      <c r="A696" s="110">
        <v>57995</v>
      </c>
      <c r="B696" s="111" t="s">
        <v>239</v>
      </c>
      <c r="C696" s="112" t="s">
        <v>245</v>
      </c>
    </row>
    <row r="697" spans="1:3" ht="15.75" thickBot="1" x14ac:dyDescent="0.3">
      <c r="A697" s="110">
        <v>58016</v>
      </c>
      <c r="B697" s="111" t="s">
        <v>239</v>
      </c>
      <c r="C697" s="112" t="s">
        <v>246</v>
      </c>
    </row>
    <row r="698" spans="1:3" ht="15.75" thickBot="1" x14ac:dyDescent="0.3">
      <c r="A698" s="110">
        <v>58029</v>
      </c>
      <c r="B698" s="111" t="s">
        <v>237</v>
      </c>
      <c r="C698" s="112" t="s">
        <v>247</v>
      </c>
    </row>
    <row r="699" spans="1:3" ht="15.75" thickBot="1" x14ac:dyDescent="0.3">
      <c r="A699" s="110">
        <v>58069</v>
      </c>
      <c r="B699" s="111" t="s">
        <v>250</v>
      </c>
      <c r="C699" s="112" t="s">
        <v>248</v>
      </c>
    </row>
    <row r="700" spans="1:3" ht="15.75" thickBot="1" x14ac:dyDescent="0.3">
      <c r="A700" s="113">
        <v>58076</v>
      </c>
      <c r="B700" s="114" t="s">
        <v>250</v>
      </c>
      <c r="C700" s="115" t="s">
        <v>234</v>
      </c>
    </row>
    <row r="701" spans="1:3" ht="15.75" thickBot="1" x14ac:dyDescent="0.3">
      <c r="A701" s="104">
        <v>58116</v>
      </c>
      <c r="B701" s="105" t="s">
        <v>233</v>
      </c>
      <c r="C701" s="106" t="s">
        <v>235</v>
      </c>
    </row>
    <row r="702" spans="1:3" ht="15.75" thickBot="1" x14ac:dyDescent="0.3">
      <c r="A702" s="104">
        <v>58117</v>
      </c>
      <c r="B702" s="105" t="s">
        <v>236</v>
      </c>
      <c r="C702" s="106" t="s">
        <v>235</v>
      </c>
    </row>
    <row r="703" spans="1:3" ht="15.75" thickBot="1" x14ac:dyDescent="0.3">
      <c r="A703" s="104">
        <v>58162</v>
      </c>
      <c r="B703" s="105" t="s">
        <v>237</v>
      </c>
      <c r="C703" s="106" t="s">
        <v>238</v>
      </c>
    </row>
    <row r="704" spans="1:3" ht="15.75" thickBot="1" x14ac:dyDescent="0.3">
      <c r="A704" s="104">
        <v>58186</v>
      </c>
      <c r="B704" s="105" t="s">
        <v>233</v>
      </c>
      <c r="C704" s="106" t="s">
        <v>240</v>
      </c>
    </row>
    <row r="705" spans="1:3" ht="15.75" thickBot="1" x14ac:dyDescent="0.3">
      <c r="A705" s="104">
        <v>58196</v>
      </c>
      <c r="B705" s="105" t="s">
        <v>242</v>
      </c>
      <c r="C705" s="106" t="s">
        <v>241</v>
      </c>
    </row>
    <row r="706" spans="1:3" ht="15.75" thickBot="1" x14ac:dyDescent="0.3">
      <c r="A706" s="104">
        <v>58224</v>
      </c>
      <c r="B706" s="105" t="s">
        <v>242</v>
      </c>
      <c r="C706" s="106" t="s">
        <v>243</v>
      </c>
    </row>
    <row r="707" spans="1:3" ht="15.75" thickBot="1" x14ac:dyDescent="0.3">
      <c r="A707" s="104">
        <v>58325</v>
      </c>
      <c r="B707" s="105" t="s">
        <v>249</v>
      </c>
      <c r="C707" s="106" t="s">
        <v>244</v>
      </c>
    </row>
    <row r="708" spans="1:3" ht="15.75" thickBot="1" x14ac:dyDescent="0.3">
      <c r="A708" s="104">
        <v>58360</v>
      </c>
      <c r="B708" s="105" t="s">
        <v>249</v>
      </c>
      <c r="C708" s="106" t="s">
        <v>245</v>
      </c>
    </row>
    <row r="709" spans="1:3" ht="15.75" thickBot="1" x14ac:dyDescent="0.3">
      <c r="A709" s="104">
        <v>58381</v>
      </c>
      <c r="B709" s="105" t="s">
        <v>249</v>
      </c>
      <c r="C709" s="106" t="s">
        <v>246</v>
      </c>
    </row>
    <row r="710" spans="1:3" ht="15.75" thickBot="1" x14ac:dyDescent="0.3">
      <c r="A710" s="104">
        <v>58394</v>
      </c>
      <c r="B710" s="105" t="s">
        <v>239</v>
      </c>
      <c r="C710" s="106" t="s">
        <v>247</v>
      </c>
    </row>
    <row r="711" spans="1:3" ht="15.75" thickBot="1" x14ac:dyDescent="0.3">
      <c r="A711" s="104">
        <v>58434</v>
      </c>
      <c r="B711" s="105" t="s">
        <v>242</v>
      </c>
      <c r="C711" s="106" t="s">
        <v>248</v>
      </c>
    </row>
    <row r="712" spans="1:3" ht="15.75" thickBot="1" x14ac:dyDescent="0.3">
      <c r="A712" s="107">
        <v>58441</v>
      </c>
      <c r="B712" s="108" t="s">
        <v>242</v>
      </c>
      <c r="C712" s="109" t="s">
        <v>234</v>
      </c>
    </row>
    <row r="713" spans="1:3" ht="15.75" thickBot="1" x14ac:dyDescent="0.3">
      <c r="A713" s="110">
        <v>58501</v>
      </c>
      <c r="B713" s="111" t="s">
        <v>233</v>
      </c>
      <c r="C713" s="112" t="s">
        <v>235</v>
      </c>
    </row>
    <row r="714" spans="1:3" ht="15.75" thickBot="1" x14ac:dyDescent="0.3">
      <c r="A714" s="110">
        <v>58502</v>
      </c>
      <c r="B714" s="111" t="s">
        <v>236</v>
      </c>
      <c r="C714" s="112" t="s">
        <v>235</v>
      </c>
    </row>
    <row r="715" spans="1:3" ht="15.75" thickBot="1" x14ac:dyDescent="0.3">
      <c r="A715" s="110">
        <v>58547</v>
      </c>
      <c r="B715" s="111" t="s">
        <v>237</v>
      </c>
      <c r="C715" s="112" t="s">
        <v>238</v>
      </c>
    </row>
    <row r="716" spans="1:3" ht="15.75" thickBot="1" x14ac:dyDescent="0.3">
      <c r="A716" s="110">
        <v>58552</v>
      </c>
      <c r="B716" s="111" t="s">
        <v>250</v>
      </c>
      <c r="C716" s="112" t="s">
        <v>240</v>
      </c>
    </row>
    <row r="717" spans="1:3" ht="15.75" thickBot="1" x14ac:dyDescent="0.3">
      <c r="A717" s="110">
        <v>58562</v>
      </c>
      <c r="B717" s="111" t="s">
        <v>239</v>
      </c>
      <c r="C717" s="112" t="s">
        <v>241</v>
      </c>
    </row>
    <row r="718" spans="1:3" ht="15.75" thickBot="1" x14ac:dyDescent="0.3">
      <c r="A718" s="110">
        <v>58609</v>
      </c>
      <c r="B718" s="111" t="s">
        <v>242</v>
      </c>
      <c r="C718" s="112" t="s">
        <v>243</v>
      </c>
    </row>
    <row r="719" spans="1:3" ht="15.75" thickBot="1" x14ac:dyDescent="0.3">
      <c r="A719" s="110">
        <v>58691</v>
      </c>
      <c r="B719" s="111" t="s">
        <v>236</v>
      </c>
      <c r="C719" s="112" t="s">
        <v>244</v>
      </c>
    </row>
    <row r="720" spans="1:3" ht="15.75" thickBot="1" x14ac:dyDescent="0.3">
      <c r="A720" s="110">
        <v>58726</v>
      </c>
      <c r="B720" s="111" t="s">
        <v>236</v>
      </c>
      <c r="C720" s="112" t="s">
        <v>245</v>
      </c>
    </row>
    <row r="721" spans="1:3" ht="15.75" thickBot="1" x14ac:dyDescent="0.3">
      <c r="A721" s="110">
        <v>58747</v>
      </c>
      <c r="B721" s="111" t="s">
        <v>236</v>
      </c>
      <c r="C721" s="112" t="s">
        <v>246</v>
      </c>
    </row>
    <row r="722" spans="1:3" ht="15.75" thickBot="1" x14ac:dyDescent="0.3">
      <c r="A722" s="110">
        <v>58760</v>
      </c>
      <c r="B722" s="111" t="s">
        <v>233</v>
      </c>
      <c r="C722" s="112" t="s">
        <v>247</v>
      </c>
    </row>
    <row r="723" spans="1:3" ht="15.75" thickBot="1" x14ac:dyDescent="0.3">
      <c r="A723" s="110">
        <v>58800</v>
      </c>
      <c r="B723" s="111" t="s">
        <v>239</v>
      </c>
      <c r="C723" s="112" t="s">
        <v>248</v>
      </c>
    </row>
    <row r="724" spans="1:3" ht="15.75" thickBot="1" x14ac:dyDescent="0.3">
      <c r="A724" s="113">
        <v>58807</v>
      </c>
      <c r="B724" s="114" t="s">
        <v>239</v>
      </c>
      <c r="C724" s="115" t="s">
        <v>234</v>
      </c>
    </row>
    <row r="725" spans="1:3" ht="15.75" thickBot="1" x14ac:dyDescent="0.3">
      <c r="A725" s="104">
        <v>58858</v>
      </c>
      <c r="B725" s="105" t="s">
        <v>233</v>
      </c>
      <c r="C725" s="106" t="s">
        <v>235</v>
      </c>
    </row>
    <row r="726" spans="1:3" ht="15.75" thickBot="1" x14ac:dyDescent="0.3">
      <c r="A726" s="104">
        <v>58859</v>
      </c>
      <c r="B726" s="105" t="s">
        <v>236</v>
      </c>
      <c r="C726" s="106" t="s">
        <v>235</v>
      </c>
    </row>
    <row r="727" spans="1:3" ht="15.75" thickBot="1" x14ac:dyDescent="0.3">
      <c r="A727" s="104">
        <v>58904</v>
      </c>
      <c r="B727" s="105" t="s">
        <v>237</v>
      </c>
      <c r="C727" s="106" t="s">
        <v>238</v>
      </c>
    </row>
    <row r="728" spans="1:3" ht="15.75" thickBot="1" x14ac:dyDescent="0.3">
      <c r="A728" s="104">
        <v>58917</v>
      </c>
      <c r="B728" s="105" t="s">
        <v>242</v>
      </c>
      <c r="C728" s="106" t="s">
        <v>240</v>
      </c>
    </row>
    <row r="729" spans="1:3" ht="15.75" thickBot="1" x14ac:dyDescent="0.3">
      <c r="A729" s="104">
        <v>58927</v>
      </c>
      <c r="B729" s="105" t="s">
        <v>249</v>
      </c>
      <c r="C729" s="106" t="s">
        <v>241</v>
      </c>
    </row>
    <row r="730" spans="1:3" ht="15.75" thickBot="1" x14ac:dyDescent="0.3">
      <c r="A730" s="104">
        <v>58966</v>
      </c>
      <c r="B730" s="105" t="s">
        <v>242</v>
      </c>
      <c r="C730" s="106" t="s">
        <v>243</v>
      </c>
    </row>
    <row r="731" spans="1:3" ht="15.75" thickBot="1" x14ac:dyDescent="0.3">
      <c r="A731" s="104">
        <v>59056</v>
      </c>
      <c r="B731" s="105" t="s">
        <v>250</v>
      </c>
      <c r="C731" s="106" t="s">
        <v>244</v>
      </c>
    </row>
    <row r="732" spans="1:3" ht="15.75" thickBot="1" x14ac:dyDescent="0.3">
      <c r="A732" s="104">
        <v>59091</v>
      </c>
      <c r="B732" s="105" t="s">
        <v>250</v>
      </c>
      <c r="C732" s="106" t="s">
        <v>245</v>
      </c>
    </row>
    <row r="733" spans="1:3" ht="15.75" thickBot="1" x14ac:dyDescent="0.3">
      <c r="A733" s="104">
        <v>59112</v>
      </c>
      <c r="B733" s="105" t="s">
        <v>250</v>
      </c>
      <c r="C733" s="106" t="s">
        <v>246</v>
      </c>
    </row>
    <row r="734" spans="1:3" ht="15.75" thickBot="1" x14ac:dyDescent="0.3">
      <c r="A734" s="104">
        <v>59125</v>
      </c>
      <c r="B734" s="105" t="s">
        <v>236</v>
      </c>
      <c r="C734" s="106" t="s">
        <v>247</v>
      </c>
    </row>
    <row r="735" spans="1:3" ht="15.75" thickBot="1" x14ac:dyDescent="0.3">
      <c r="A735" s="104">
        <v>59165</v>
      </c>
      <c r="B735" s="105" t="s">
        <v>249</v>
      </c>
      <c r="C735" s="106" t="s">
        <v>248</v>
      </c>
    </row>
    <row r="736" spans="1:3" ht="15.75" thickBot="1" x14ac:dyDescent="0.3">
      <c r="A736" s="107">
        <v>59172</v>
      </c>
      <c r="B736" s="108" t="s">
        <v>249</v>
      </c>
      <c r="C736" s="109" t="s">
        <v>234</v>
      </c>
    </row>
    <row r="737" spans="1:3" ht="15.75" thickBot="1" x14ac:dyDescent="0.3">
      <c r="A737" s="110">
        <v>59208</v>
      </c>
      <c r="B737" s="111" t="s">
        <v>233</v>
      </c>
      <c r="C737" s="112" t="s">
        <v>235</v>
      </c>
    </row>
    <row r="738" spans="1:3" ht="15.75" thickBot="1" x14ac:dyDescent="0.3">
      <c r="A738" s="110">
        <v>59209</v>
      </c>
      <c r="B738" s="111" t="s">
        <v>236</v>
      </c>
      <c r="C738" s="112" t="s">
        <v>235</v>
      </c>
    </row>
    <row r="739" spans="1:3" ht="15.75" thickBot="1" x14ac:dyDescent="0.3">
      <c r="A739" s="110">
        <v>59254</v>
      </c>
      <c r="B739" s="111" t="s">
        <v>237</v>
      </c>
      <c r="C739" s="112" t="s">
        <v>238</v>
      </c>
    </row>
    <row r="740" spans="1:3" ht="15.75" thickBot="1" x14ac:dyDescent="0.3">
      <c r="A740" s="110">
        <v>59282</v>
      </c>
      <c r="B740" s="111" t="s">
        <v>237</v>
      </c>
      <c r="C740" s="112" t="s">
        <v>240</v>
      </c>
    </row>
    <row r="741" spans="1:3" ht="15.75" thickBot="1" x14ac:dyDescent="0.3">
      <c r="A741" s="110">
        <v>59292</v>
      </c>
      <c r="B741" s="111" t="s">
        <v>233</v>
      </c>
      <c r="C741" s="112" t="s">
        <v>241</v>
      </c>
    </row>
    <row r="742" spans="1:3" ht="15.75" thickBot="1" x14ac:dyDescent="0.3">
      <c r="A742" s="110">
        <v>59316</v>
      </c>
      <c r="B742" s="111" t="s">
        <v>242</v>
      </c>
      <c r="C742" s="112" t="s">
        <v>243</v>
      </c>
    </row>
    <row r="743" spans="1:3" ht="15.75" thickBot="1" x14ac:dyDescent="0.3">
      <c r="A743" s="110">
        <v>59421</v>
      </c>
      <c r="B743" s="111" t="s">
        <v>242</v>
      </c>
      <c r="C743" s="112" t="s">
        <v>244</v>
      </c>
    </row>
    <row r="744" spans="1:3" ht="15.75" thickBot="1" x14ac:dyDescent="0.3">
      <c r="A744" s="110">
        <v>59456</v>
      </c>
      <c r="B744" s="111" t="s">
        <v>242</v>
      </c>
      <c r="C744" s="112" t="s">
        <v>245</v>
      </c>
    </row>
    <row r="745" spans="1:3" ht="15.75" thickBot="1" x14ac:dyDescent="0.3">
      <c r="A745" s="110">
        <v>59477</v>
      </c>
      <c r="B745" s="111" t="s">
        <v>242</v>
      </c>
      <c r="C745" s="112" t="s">
        <v>246</v>
      </c>
    </row>
    <row r="746" spans="1:3" ht="15.75" thickBot="1" x14ac:dyDescent="0.3">
      <c r="A746" s="110">
        <v>59490</v>
      </c>
      <c r="B746" s="111" t="s">
        <v>250</v>
      </c>
      <c r="C746" s="112" t="s">
        <v>247</v>
      </c>
    </row>
    <row r="747" spans="1:3" ht="15.75" thickBot="1" x14ac:dyDescent="0.3">
      <c r="A747" s="110">
        <v>59530</v>
      </c>
      <c r="B747" s="111" t="s">
        <v>233</v>
      </c>
      <c r="C747" s="112" t="s">
        <v>248</v>
      </c>
    </row>
    <row r="748" spans="1:3" ht="15.75" thickBot="1" x14ac:dyDescent="0.3">
      <c r="A748" s="113">
        <v>59537</v>
      </c>
      <c r="B748" s="114" t="s">
        <v>233</v>
      </c>
      <c r="C748" s="115" t="s">
        <v>234</v>
      </c>
    </row>
    <row r="749" spans="1:3" ht="15.75" thickBot="1" x14ac:dyDescent="0.3">
      <c r="A749" s="104">
        <v>59593</v>
      </c>
      <c r="B749" s="105" t="s">
        <v>233</v>
      </c>
      <c r="C749" s="106" t="s">
        <v>235</v>
      </c>
    </row>
    <row r="750" spans="1:3" ht="15.75" thickBot="1" x14ac:dyDescent="0.3">
      <c r="A750" s="104">
        <v>59594</v>
      </c>
      <c r="B750" s="105" t="s">
        <v>236</v>
      </c>
      <c r="C750" s="106" t="s">
        <v>235</v>
      </c>
    </row>
    <row r="751" spans="1:3" ht="15.75" thickBot="1" x14ac:dyDescent="0.3">
      <c r="A751" s="104">
        <v>59639</v>
      </c>
      <c r="B751" s="105" t="s">
        <v>237</v>
      </c>
      <c r="C751" s="106" t="s">
        <v>238</v>
      </c>
    </row>
    <row r="752" spans="1:3" ht="15.75" thickBot="1" x14ac:dyDescent="0.3">
      <c r="A752" s="104">
        <v>59647</v>
      </c>
      <c r="B752" s="105" t="s">
        <v>239</v>
      </c>
      <c r="C752" s="106" t="s">
        <v>240</v>
      </c>
    </row>
    <row r="753" spans="1:3" ht="15.75" thickBot="1" x14ac:dyDescent="0.3">
      <c r="A753" s="104">
        <v>59657</v>
      </c>
      <c r="B753" s="105" t="s">
        <v>236</v>
      </c>
      <c r="C753" s="106" t="s">
        <v>241</v>
      </c>
    </row>
    <row r="754" spans="1:3" ht="15.75" thickBot="1" x14ac:dyDescent="0.3">
      <c r="A754" s="104">
        <v>59701</v>
      </c>
      <c r="B754" s="105" t="s">
        <v>242</v>
      </c>
      <c r="C754" s="106" t="s">
        <v>243</v>
      </c>
    </row>
    <row r="755" spans="1:3" ht="15.75" thickBot="1" x14ac:dyDescent="0.3">
      <c r="A755" s="104">
        <v>59786</v>
      </c>
      <c r="B755" s="105" t="s">
        <v>237</v>
      </c>
      <c r="C755" s="106" t="s">
        <v>244</v>
      </c>
    </row>
    <row r="756" spans="1:3" ht="15.75" thickBot="1" x14ac:dyDescent="0.3">
      <c r="A756" s="104">
        <v>59821</v>
      </c>
      <c r="B756" s="105" t="s">
        <v>237</v>
      </c>
      <c r="C756" s="106" t="s">
        <v>245</v>
      </c>
    </row>
    <row r="757" spans="1:3" ht="15.75" thickBot="1" x14ac:dyDescent="0.3">
      <c r="A757" s="104">
        <v>59842</v>
      </c>
      <c r="B757" s="105" t="s">
        <v>237</v>
      </c>
      <c r="C757" s="106" t="s">
        <v>246</v>
      </c>
    </row>
    <row r="758" spans="1:3" ht="15.75" thickBot="1" x14ac:dyDescent="0.3">
      <c r="A758" s="104">
        <v>59855</v>
      </c>
      <c r="B758" s="105" t="s">
        <v>242</v>
      </c>
      <c r="C758" s="106" t="s">
        <v>247</v>
      </c>
    </row>
    <row r="759" spans="1:3" ht="15.75" thickBot="1" x14ac:dyDescent="0.3">
      <c r="A759" s="104">
        <v>59895</v>
      </c>
      <c r="B759" s="105" t="s">
        <v>236</v>
      </c>
      <c r="C759" s="106" t="s">
        <v>248</v>
      </c>
    </row>
    <row r="760" spans="1:3" ht="15.75" thickBot="1" x14ac:dyDescent="0.3">
      <c r="A760" s="107">
        <v>59902</v>
      </c>
      <c r="B760" s="108" t="s">
        <v>236</v>
      </c>
      <c r="C760" s="109" t="s">
        <v>234</v>
      </c>
    </row>
    <row r="761" spans="1:3" ht="15.75" thickBot="1" x14ac:dyDescent="0.3">
      <c r="A761" s="110">
        <v>59950</v>
      </c>
      <c r="B761" s="111" t="s">
        <v>233</v>
      </c>
      <c r="C761" s="112" t="s">
        <v>235</v>
      </c>
    </row>
    <row r="762" spans="1:3" ht="15.75" thickBot="1" x14ac:dyDescent="0.3">
      <c r="A762" s="110">
        <v>59951</v>
      </c>
      <c r="B762" s="111" t="s">
        <v>236</v>
      </c>
      <c r="C762" s="112" t="s">
        <v>235</v>
      </c>
    </row>
    <row r="763" spans="1:3" ht="15.75" thickBot="1" x14ac:dyDescent="0.3">
      <c r="A763" s="110">
        <v>59996</v>
      </c>
      <c r="B763" s="111" t="s">
        <v>237</v>
      </c>
      <c r="C763" s="112" t="s">
        <v>238</v>
      </c>
    </row>
    <row r="764" spans="1:3" ht="15.75" thickBot="1" x14ac:dyDescent="0.3">
      <c r="A764" s="110">
        <v>60013</v>
      </c>
      <c r="B764" s="111" t="s">
        <v>233</v>
      </c>
      <c r="C764" s="112" t="s">
        <v>240</v>
      </c>
    </row>
    <row r="765" spans="1:3" ht="15.75" thickBot="1" x14ac:dyDescent="0.3">
      <c r="A765" s="110">
        <v>60023</v>
      </c>
      <c r="B765" s="111" t="s">
        <v>242</v>
      </c>
      <c r="C765" s="112" t="s">
        <v>241</v>
      </c>
    </row>
    <row r="766" spans="1:3" ht="15.75" thickBot="1" x14ac:dyDescent="0.3">
      <c r="A766" s="110">
        <v>60058</v>
      </c>
      <c r="B766" s="111" t="s">
        <v>242</v>
      </c>
      <c r="C766" s="112" t="s">
        <v>243</v>
      </c>
    </row>
    <row r="767" spans="1:3" ht="15.75" thickBot="1" x14ac:dyDescent="0.3">
      <c r="A767" s="110">
        <v>60152</v>
      </c>
      <c r="B767" s="111" t="s">
        <v>249</v>
      </c>
      <c r="C767" s="112" t="s">
        <v>244</v>
      </c>
    </row>
    <row r="768" spans="1:3" ht="15.75" thickBot="1" x14ac:dyDescent="0.3">
      <c r="A768" s="110">
        <v>60187</v>
      </c>
      <c r="B768" s="111" t="s">
        <v>249</v>
      </c>
      <c r="C768" s="112" t="s">
        <v>245</v>
      </c>
    </row>
    <row r="769" spans="1:3" ht="15.75" thickBot="1" x14ac:dyDescent="0.3">
      <c r="A769" s="110">
        <v>60208</v>
      </c>
      <c r="B769" s="111" t="s">
        <v>249</v>
      </c>
      <c r="C769" s="112" t="s">
        <v>246</v>
      </c>
    </row>
    <row r="770" spans="1:3" ht="15.75" thickBot="1" x14ac:dyDescent="0.3">
      <c r="A770" s="110">
        <v>60221</v>
      </c>
      <c r="B770" s="111" t="s">
        <v>239</v>
      </c>
      <c r="C770" s="112" t="s">
        <v>247</v>
      </c>
    </row>
    <row r="771" spans="1:3" ht="15.75" thickBot="1" x14ac:dyDescent="0.3">
      <c r="A771" s="110">
        <v>60261</v>
      </c>
      <c r="B771" s="111" t="s">
        <v>242</v>
      </c>
      <c r="C771" s="112" t="s">
        <v>248</v>
      </c>
    </row>
    <row r="772" spans="1:3" ht="15.75" thickBot="1" x14ac:dyDescent="0.3">
      <c r="A772" s="113">
        <v>60268</v>
      </c>
      <c r="B772" s="114" t="s">
        <v>242</v>
      </c>
      <c r="C772" s="115" t="s">
        <v>234</v>
      </c>
    </row>
    <row r="773" spans="1:3" ht="15.75" thickBot="1" x14ac:dyDescent="0.3">
      <c r="A773" s="104">
        <v>60307</v>
      </c>
      <c r="B773" s="105" t="s">
        <v>233</v>
      </c>
      <c r="C773" s="106" t="s">
        <v>235</v>
      </c>
    </row>
    <row r="774" spans="1:3" ht="15.75" thickBot="1" x14ac:dyDescent="0.3">
      <c r="A774" s="104">
        <v>60308</v>
      </c>
      <c r="B774" s="105" t="s">
        <v>236</v>
      </c>
      <c r="C774" s="106" t="s">
        <v>235</v>
      </c>
    </row>
    <row r="775" spans="1:3" ht="15.75" thickBot="1" x14ac:dyDescent="0.3">
      <c r="A775" s="104">
        <v>60353</v>
      </c>
      <c r="B775" s="105" t="s">
        <v>237</v>
      </c>
      <c r="C775" s="106" t="s">
        <v>238</v>
      </c>
    </row>
    <row r="776" spans="1:3" ht="15.75" thickBot="1" x14ac:dyDescent="0.3">
      <c r="A776" s="104">
        <v>60378</v>
      </c>
      <c r="B776" s="105" t="s">
        <v>236</v>
      </c>
      <c r="C776" s="106" t="s">
        <v>240</v>
      </c>
    </row>
    <row r="777" spans="1:3" ht="15.75" thickBot="1" x14ac:dyDescent="0.3">
      <c r="A777" s="104">
        <v>60388</v>
      </c>
      <c r="B777" s="105" t="s">
        <v>237</v>
      </c>
      <c r="C777" s="106" t="s">
        <v>241</v>
      </c>
    </row>
    <row r="778" spans="1:3" ht="15.75" thickBot="1" x14ac:dyDescent="0.3">
      <c r="A778" s="104">
        <v>60415</v>
      </c>
      <c r="B778" s="105" t="s">
        <v>242</v>
      </c>
      <c r="C778" s="106" t="s">
        <v>243</v>
      </c>
    </row>
    <row r="779" spans="1:3" ht="15.75" thickBot="1" x14ac:dyDescent="0.3">
      <c r="A779" s="104">
        <v>60517</v>
      </c>
      <c r="B779" s="105" t="s">
        <v>233</v>
      </c>
      <c r="C779" s="106" t="s">
        <v>244</v>
      </c>
    </row>
    <row r="780" spans="1:3" ht="15.75" thickBot="1" x14ac:dyDescent="0.3">
      <c r="A780" s="104">
        <v>60552</v>
      </c>
      <c r="B780" s="105" t="s">
        <v>233</v>
      </c>
      <c r="C780" s="106" t="s">
        <v>245</v>
      </c>
    </row>
    <row r="781" spans="1:3" ht="15.75" thickBot="1" x14ac:dyDescent="0.3">
      <c r="A781" s="104">
        <v>60573</v>
      </c>
      <c r="B781" s="105" t="s">
        <v>233</v>
      </c>
      <c r="C781" s="106" t="s">
        <v>246</v>
      </c>
    </row>
    <row r="782" spans="1:3" ht="15.75" thickBot="1" x14ac:dyDescent="0.3">
      <c r="A782" s="104">
        <v>60586</v>
      </c>
      <c r="B782" s="105" t="s">
        <v>249</v>
      </c>
      <c r="C782" s="106" t="s">
        <v>247</v>
      </c>
    </row>
    <row r="783" spans="1:3" ht="15.75" thickBot="1" x14ac:dyDescent="0.3">
      <c r="A783" s="104">
        <v>60626</v>
      </c>
      <c r="B783" s="105" t="s">
        <v>237</v>
      </c>
      <c r="C783" s="106" t="s">
        <v>248</v>
      </c>
    </row>
    <row r="784" spans="1:3" ht="15.75" thickBot="1" x14ac:dyDescent="0.3">
      <c r="A784" s="107">
        <v>60633</v>
      </c>
      <c r="B784" s="108" t="s">
        <v>237</v>
      </c>
      <c r="C784" s="109" t="s">
        <v>234</v>
      </c>
    </row>
    <row r="785" spans="1:3" ht="15.75" thickBot="1" x14ac:dyDescent="0.3">
      <c r="A785" s="110">
        <v>60685</v>
      </c>
      <c r="B785" s="111" t="s">
        <v>233</v>
      </c>
      <c r="C785" s="112" t="s">
        <v>235</v>
      </c>
    </row>
    <row r="786" spans="1:3" ht="15.75" thickBot="1" x14ac:dyDescent="0.3">
      <c r="A786" s="110">
        <v>60686</v>
      </c>
      <c r="B786" s="111" t="s">
        <v>236</v>
      </c>
      <c r="C786" s="112" t="s">
        <v>235</v>
      </c>
    </row>
    <row r="787" spans="1:3" ht="15.75" thickBot="1" x14ac:dyDescent="0.3">
      <c r="A787" s="110">
        <v>60731</v>
      </c>
      <c r="B787" s="111" t="s">
        <v>237</v>
      </c>
      <c r="C787" s="112" t="s">
        <v>238</v>
      </c>
    </row>
    <row r="788" spans="1:3" ht="15.75" thickBot="1" x14ac:dyDescent="0.3">
      <c r="A788" s="110">
        <v>60743</v>
      </c>
      <c r="B788" s="111" t="s">
        <v>250</v>
      </c>
      <c r="C788" s="112" t="s">
        <v>240</v>
      </c>
    </row>
    <row r="789" spans="1:3" ht="15.75" thickBot="1" x14ac:dyDescent="0.3">
      <c r="A789" s="110">
        <v>60753</v>
      </c>
      <c r="B789" s="111" t="s">
        <v>239</v>
      </c>
      <c r="C789" s="112" t="s">
        <v>241</v>
      </c>
    </row>
    <row r="790" spans="1:3" ht="15.75" thickBot="1" x14ac:dyDescent="0.3">
      <c r="A790" s="110">
        <v>60793</v>
      </c>
      <c r="B790" s="111" t="s">
        <v>242</v>
      </c>
      <c r="C790" s="112" t="s">
        <v>243</v>
      </c>
    </row>
    <row r="791" spans="1:3" ht="15.75" thickBot="1" x14ac:dyDescent="0.3">
      <c r="A791" s="110">
        <v>60882</v>
      </c>
      <c r="B791" s="111" t="s">
        <v>236</v>
      </c>
      <c r="C791" s="112" t="s">
        <v>244</v>
      </c>
    </row>
    <row r="792" spans="1:3" ht="15.75" thickBot="1" x14ac:dyDescent="0.3">
      <c r="A792" s="110">
        <v>60917</v>
      </c>
      <c r="B792" s="111" t="s">
        <v>236</v>
      </c>
      <c r="C792" s="112" t="s">
        <v>245</v>
      </c>
    </row>
    <row r="793" spans="1:3" ht="15.75" thickBot="1" x14ac:dyDescent="0.3">
      <c r="A793" s="110">
        <v>60938</v>
      </c>
      <c r="B793" s="111" t="s">
        <v>236</v>
      </c>
      <c r="C793" s="112" t="s">
        <v>246</v>
      </c>
    </row>
    <row r="794" spans="1:3" ht="15.75" thickBot="1" x14ac:dyDescent="0.3">
      <c r="A794" s="110">
        <v>60951</v>
      </c>
      <c r="B794" s="111" t="s">
        <v>233</v>
      </c>
      <c r="C794" s="112" t="s">
        <v>247</v>
      </c>
    </row>
    <row r="795" spans="1:3" ht="15.75" thickBot="1" x14ac:dyDescent="0.3">
      <c r="A795" s="110">
        <v>60991</v>
      </c>
      <c r="B795" s="111" t="s">
        <v>239</v>
      </c>
      <c r="C795" s="112" t="s">
        <v>248</v>
      </c>
    </row>
    <row r="796" spans="1:3" ht="15.75" thickBot="1" x14ac:dyDescent="0.3">
      <c r="A796" s="113">
        <v>60998</v>
      </c>
      <c r="B796" s="114" t="s">
        <v>239</v>
      </c>
      <c r="C796" s="115" t="s">
        <v>234</v>
      </c>
    </row>
    <row r="797" spans="1:3" ht="15.75" thickBot="1" x14ac:dyDescent="0.3">
      <c r="A797" s="104">
        <v>61042</v>
      </c>
      <c r="B797" s="105" t="s">
        <v>233</v>
      </c>
      <c r="C797" s="106" t="s">
        <v>235</v>
      </c>
    </row>
    <row r="798" spans="1:3" ht="15.75" thickBot="1" x14ac:dyDescent="0.3">
      <c r="A798" s="104">
        <v>61043</v>
      </c>
      <c r="B798" s="105" t="s">
        <v>236</v>
      </c>
      <c r="C798" s="106" t="s">
        <v>235</v>
      </c>
    </row>
    <row r="799" spans="1:3" ht="15.75" thickBot="1" x14ac:dyDescent="0.3">
      <c r="A799" s="104">
        <v>61088</v>
      </c>
      <c r="B799" s="105" t="s">
        <v>237</v>
      </c>
      <c r="C799" s="106" t="s">
        <v>238</v>
      </c>
    </row>
    <row r="800" spans="1:3" ht="15.75" thickBot="1" x14ac:dyDescent="0.3">
      <c r="A800" s="104">
        <v>61108</v>
      </c>
      <c r="B800" s="105" t="s">
        <v>242</v>
      </c>
      <c r="C800" s="106" t="s">
        <v>240</v>
      </c>
    </row>
    <row r="801" spans="1:3" ht="15.75" thickBot="1" x14ac:dyDescent="0.3">
      <c r="A801" s="104">
        <v>61118</v>
      </c>
      <c r="B801" s="105" t="s">
        <v>249</v>
      </c>
      <c r="C801" s="106" t="s">
        <v>241</v>
      </c>
    </row>
    <row r="802" spans="1:3" ht="15.75" thickBot="1" x14ac:dyDescent="0.3">
      <c r="A802" s="104">
        <v>61150</v>
      </c>
      <c r="B802" s="105" t="s">
        <v>242</v>
      </c>
      <c r="C802" s="106" t="s">
        <v>243</v>
      </c>
    </row>
    <row r="803" spans="1:3" ht="15.75" thickBot="1" x14ac:dyDescent="0.3">
      <c r="A803" s="104">
        <v>61247</v>
      </c>
      <c r="B803" s="105" t="s">
        <v>250</v>
      </c>
      <c r="C803" s="106" t="s">
        <v>244</v>
      </c>
    </row>
    <row r="804" spans="1:3" ht="15.75" thickBot="1" x14ac:dyDescent="0.3">
      <c r="A804" s="104">
        <v>61282</v>
      </c>
      <c r="B804" s="105" t="s">
        <v>250</v>
      </c>
      <c r="C804" s="106" t="s">
        <v>245</v>
      </c>
    </row>
    <row r="805" spans="1:3" ht="15.75" thickBot="1" x14ac:dyDescent="0.3">
      <c r="A805" s="104">
        <v>61303</v>
      </c>
      <c r="B805" s="105" t="s">
        <v>250</v>
      </c>
      <c r="C805" s="106" t="s">
        <v>246</v>
      </c>
    </row>
    <row r="806" spans="1:3" ht="15.75" thickBot="1" x14ac:dyDescent="0.3">
      <c r="A806" s="104">
        <v>61316</v>
      </c>
      <c r="B806" s="105" t="s">
        <v>236</v>
      </c>
      <c r="C806" s="106" t="s">
        <v>247</v>
      </c>
    </row>
    <row r="807" spans="1:3" ht="15.75" thickBot="1" x14ac:dyDescent="0.3">
      <c r="A807" s="104">
        <v>61356</v>
      </c>
      <c r="B807" s="105" t="s">
        <v>249</v>
      </c>
      <c r="C807" s="106" t="s">
        <v>248</v>
      </c>
    </row>
    <row r="808" spans="1:3" ht="15.75" thickBot="1" x14ac:dyDescent="0.3">
      <c r="A808" s="107">
        <v>61363</v>
      </c>
      <c r="B808" s="108" t="s">
        <v>249</v>
      </c>
      <c r="C808" s="109" t="s">
        <v>234</v>
      </c>
    </row>
    <row r="809" spans="1:3" ht="15.75" thickBot="1" x14ac:dyDescent="0.3">
      <c r="A809" s="110">
        <v>61427</v>
      </c>
      <c r="B809" s="111" t="s">
        <v>233</v>
      </c>
      <c r="C809" s="112" t="s">
        <v>235</v>
      </c>
    </row>
    <row r="810" spans="1:3" ht="15.75" thickBot="1" x14ac:dyDescent="0.3">
      <c r="A810" s="110">
        <v>61428</v>
      </c>
      <c r="B810" s="111" t="s">
        <v>236</v>
      </c>
      <c r="C810" s="112" t="s">
        <v>235</v>
      </c>
    </row>
    <row r="811" spans="1:3" ht="15.75" thickBot="1" x14ac:dyDescent="0.3">
      <c r="A811" s="110">
        <v>61473</v>
      </c>
      <c r="B811" s="111" t="s">
        <v>237</v>
      </c>
      <c r="C811" s="112" t="s">
        <v>238</v>
      </c>
    </row>
    <row r="812" spans="1:3" ht="15.75" thickBot="1" x14ac:dyDescent="0.3">
      <c r="A812" s="110">
        <v>61474</v>
      </c>
      <c r="B812" s="111" t="s">
        <v>239</v>
      </c>
      <c r="C812" s="112" t="s">
        <v>240</v>
      </c>
    </row>
    <row r="813" spans="1:3" ht="15.75" thickBot="1" x14ac:dyDescent="0.3">
      <c r="A813" s="110">
        <v>61484</v>
      </c>
      <c r="B813" s="111" t="s">
        <v>236</v>
      </c>
      <c r="C813" s="112" t="s">
        <v>241</v>
      </c>
    </row>
    <row r="814" spans="1:3" ht="15.75" thickBot="1" x14ac:dyDescent="0.3">
      <c r="A814" s="110">
        <v>61535</v>
      </c>
      <c r="B814" s="111" t="s">
        <v>242</v>
      </c>
      <c r="C814" s="112" t="s">
        <v>243</v>
      </c>
    </row>
    <row r="815" spans="1:3" ht="15.75" thickBot="1" x14ac:dyDescent="0.3">
      <c r="A815" s="110">
        <v>61613</v>
      </c>
      <c r="B815" s="111" t="s">
        <v>237</v>
      </c>
      <c r="C815" s="112" t="s">
        <v>244</v>
      </c>
    </row>
    <row r="816" spans="1:3" ht="15.75" thickBot="1" x14ac:dyDescent="0.3">
      <c r="A816" s="110">
        <v>61648</v>
      </c>
      <c r="B816" s="111" t="s">
        <v>237</v>
      </c>
      <c r="C816" s="112" t="s">
        <v>245</v>
      </c>
    </row>
    <row r="817" spans="1:3" ht="15.75" thickBot="1" x14ac:dyDescent="0.3">
      <c r="A817" s="110">
        <v>61669</v>
      </c>
      <c r="B817" s="111" t="s">
        <v>237</v>
      </c>
      <c r="C817" s="112" t="s">
        <v>246</v>
      </c>
    </row>
    <row r="818" spans="1:3" ht="15.75" thickBot="1" x14ac:dyDescent="0.3">
      <c r="A818" s="110">
        <v>61682</v>
      </c>
      <c r="B818" s="111" t="s">
        <v>242</v>
      </c>
      <c r="C818" s="112" t="s">
        <v>247</v>
      </c>
    </row>
    <row r="819" spans="1:3" ht="15.75" thickBot="1" x14ac:dyDescent="0.3">
      <c r="A819" s="110">
        <v>61722</v>
      </c>
      <c r="B819" s="111" t="s">
        <v>236</v>
      </c>
      <c r="C819" s="112" t="s">
        <v>248</v>
      </c>
    </row>
    <row r="820" spans="1:3" ht="15.75" thickBot="1" x14ac:dyDescent="0.3">
      <c r="A820" s="113">
        <v>61729</v>
      </c>
      <c r="B820" s="114" t="s">
        <v>236</v>
      </c>
      <c r="C820" s="115" t="s">
        <v>234</v>
      </c>
    </row>
    <row r="821" spans="1:3" ht="15.75" thickBot="1" x14ac:dyDescent="0.3">
      <c r="A821" s="104">
        <v>61784</v>
      </c>
      <c r="B821" s="105" t="s">
        <v>233</v>
      </c>
      <c r="C821" s="106" t="s">
        <v>235</v>
      </c>
    </row>
    <row r="822" spans="1:3" ht="15.75" thickBot="1" x14ac:dyDescent="0.3">
      <c r="A822" s="104">
        <v>61785</v>
      </c>
      <c r="B822" s="105" t="s">
        <v>236</v>
      </c>
      <c r="C822" s="106" t="s">
        <v>235</v>
      </c>
    </row>
    <row r="823" spans="1:3" ht="15.75" thickBot="1" x14ac:dyDescent="0.3">
      <c r="A823" s="104">
        <v>61830</v>
      </c>
      <c r="B823" s="105" t="s">
        <v>237</v>
      </c>
      <c r="C823" s="106" t="s">
        <v>238</v>
      </c>
    </row>
    <row r="824" spans="1:3" ht="15.75" thickBot="1" x14ac:dyDescent="0.3">
      <c r="A824" s="104">
        <v>61839</v>
      </c>
      <c r="B824" s="105" t="s">
        <v>249</v>
      </c>
      <c r="C824" s="106" t="s">
        <v>240</v>
      </c>
    </row>
    <row r="825" spans="1:3" ht="15.75" thickBot="1" x14ac:dyDescent="0.3">
      <c r="A825" s="104">
        <v>61849</v>
      </c>
      <c r="B825" s="105" t="s">
        <v>250</v>
      </c>
      <c r="C825" s="106" t="s">
        <v>241</v>
      </c>
    </row>
    <row r="826" spans="1:3" ht="15.75" thickBot="1" x14ac:dyDescent="0.3">
      <c r="A826" s="104">
        <v>61892</v>
      </c>
      <c r="B826" s="105" t="s">
        <v>242</v>
      </c>
      <c r="C826" s="106" t="s">
        <v>243</v>
      </c>
    </row>
    <row r="827" spans="1:3" ht="15.75" thickBot="1" x14ac:dyDescent="0.3">
      <c r="A827" s="104">
        <v>61978</v>
      </c>
      <c r="B827" s="105" t="s">
        <v>239</v>
      </c>
      <c r="C827" s="106" t="s">
        <v>244</v>
      </c>
    </row>
    <row r="828" spans="1:3" ht="15.75" thickBot="1" x14ac:dyDescent="0.3">
      <c r="A828" s="104">
        <v>62013</v>
      </c>
      <c r="B828" s="105" t="s">
        <v>239</v>
      </c>
      <c r="C828" s="106" t="s">
        <v>245</v>
      </c>
    </row>
    <row r="829" spans="1:3" ht="15.75" thickBot="1" x14ac:dyDescent="0.3">
      <c r="A829" s="104">
        <v>62034</v>
      </c>
      <c r="B829" s="105" t="s">
        <v>239</v>
      </c>
      <c r="C829" s="106" t="s">
        <v>246</v>
      </c>
    </row>
    <row r="830" spans="1:3" ht="15.75" thickBot="1" x14ac:dyDescent="0.3">
      <c r="A830" s="104">
        <v>62047</v>
      </c>
      <c r="B830" s="105" t="s">
        <v>237</v>
      </c>
      <c r="C830" s="106" t="s">
        <v>247</v>
      </c>
    </row>
    <row r="831" spans="1:3" ht="15.75" thickBot="1" x14ac:dyDescent="0.3">
      <c r="A831" s="104">
        <v>62087</v>
      </c>
      <c r="B831" s="105" t="s">
        <v>250</v>
      </c>
      <c r="C831" s="106" t="s">
        <v>248</v>
      </c>
    </row>
    <row r="832" spans="1:3" ht="15.75" thickBot="1" x14ac:dyDescent="0.3">
      <c r="A832" s="107">
        <v>62094</v>
      </c>
      <c r="B832" s="108" t="s">
        <v>250</v>
      </c>
      <c r="C832" s="109" t="s">
        <v>234</v>
      </c>
    </row>
    <row r="833" spans="1:3" ht="15.75" thickBot="1" x14ac:dyDescent="0.3">
      <c r="A833" s="110">
        <v>62134</v>
      </c>
      <c r="B833" s="111" t="s">
        <v>233</v>
      </c>
      <c r="C833" s="112" t="s">
        <v>235</v>
      </c>
    </row>
    <row r="834" spans="1:3" ht="15.75" thickBot="1" x14ac:dyDescent="0.3">
      <c r="A834" s="110">
        <v>62135</v>
      </c>
      <c r="B834" s="111" t="s">
        <v>236</v>
      </c>
      <c r="C834" s="112" t="s">
        <v>235</v>
      </c>
    </row>
    <row r="835" spans="1:3" ht="15.75" thickBot="1" x14ac:dyDescent="0.3">
      <c r="A835" s="110">
        <v>62180</v>
      </c>
      <c r="B835" s="111" t="s">
        <v>237</v>
      </c>
      <c r="C835" s="112" t="s">
        <v>238</v>
      </c>
    </row>
    <row r="836" spans="1:3" ht="15.75" thickBot="1" x14ac:dyDescent="0.3">
      <c r="A836" s="110">
        <v>62204</v>
      </c>
      <c r="B836" s="111" t="s">
        <v>233</v>
      </c>
      <c r="C836" s="112" t="s">
        <v>240</v>
      </c>
    </row>
    <row r="837" spans="1:3" ht="15.75" thickBot="1" x14ac:dyDescent="0.3">
      <c r="A837" s="110">
        <v>62214</v>
      </c>
      <c r="B837" s="111" t="s">
        <v>242</v>
      </c>
      <c r="C837" s="112" t="s">
        <v>241</v>
      </c>
    </row>
    <row r="838" spans="1:3" ht="15.75" thickBot="1" x14ac:dyDescent="0.3">
      <c r="A838" s="110">
        <v>62242</v>
      </c>
      <c r="B838" s="111" t="s">
        <v>242</v>
      </c>
      <c r="C838" s="112" t="s">
        <v>243</v>
      </c>
    </row>
    <row r="839" spans="1:3" ht="15.75" thickBot="1" x14ac:dyDescent="0.3">
      <c r="A839" s="110">
        <v>62343</v>
      </c>
      <c r="B839" s="111" t="s">
        <v>249</v>
      </c>
      <c r="C839" s="112" t="s">
        <v>244</v>
      </c>
    </row>
    <row r="840" spans="1:3" ht="15.75" thickBot="1" x14ac:dyDescent="0.3">
      <c r="A840" s="110">
        <v>62378</v>
      </c>
      <c r="B840" s="111" t="s">
        <v>249</v>
      </c>
      <c r="C840" s="112" t="s">
        <v>245</v>
      </c>
    </row>
    <row r="841" spans="1:3" ht="15.75" thickBot="1" x14ac:dyDescent="0.3">
      <c r="A841" s="110">
        <v>62399</v>
      </c>
      <c r="B841" s="111" t="s">
        <v>249</v>
      </c>
      <c r="C841" s="112" t="s">
        <v>246</v>
      </c>
    </row>
    <row r="842" spans="1:3" ht="15.75" thickBot="1" x14ac:dyDescent="0.3">
      <c r="A842" s="110">
        <v>62412</v>
      </c>
      <c r="B842" s="111" t="s">
        <v>239</v>
      </c>
      <c r="C842" s="112" t="s">
        <v>247</v>
      </c>
    </row>
    <row r="843" spans="1:3" ht="15.75" thickBot="1" x14ac:dyDescent="0.3">
      <c r="A843" s="110">
        <v>62452</v>
      </c>
      <c r="B843" s="111" t="s">
        <v>242</v>
      </c>
      <c r="C843" s="112" t="s">
        <v>248</v>
      </c>
    </row>
    <row r="844" spans="1:3" ht="15.75" thickBot="1" x14ac:dyDescent="0.3">
      <c r="A844" s="113">
        <v>62459</v>
      </c>
      <c r="B844" s="114" t="s">
        <v>242</v>
      </c>
      <c r="C844" s="115" t="s">
        <v>234</v>
      </c>
    </row>
    <row r="845" spans="1:3" ht="15.75" thickBot="1" x14ac:dyDescent="0.3">
      <c r="A845" s="104">
        <v>62519</v>
      </c>
      <c r="B845" s="105" t="s">
        <v>233</v>
      </c>
      <c r="C845" s="106" t="s">
        <v>235</v>
      </c>
    </row>
    <row r="846" spans="1:3" ht="15.75" thickBot="1" x14ac:dyDescent="0.3">
      <c r="A846" s="104">
        <v>62520</v>
      </c>
      <c r="B846" s="105" t="s">
        <v>236</v>
      </c>
      <c r="C846" s="106" t="s">
        <v>235</v>
      </c>
    </row>
    <row r="847" spans="1:3" ht="15.75" thickBot="1" x14ac:dyDescent="0.3">
      <c r="A847" s="104">
        <v>62565</v>
      </c>
      <c r="B847" s="105" t="s">
        <v>237</v>
      </c>
      <c r="C847" s="106" t="s">
        <v>238</v>
      </c>
    </row>
    <row r="848" spans="1:3" ht="15.75" thickBot="1" x14ac:dyDescent="0.3">
      <c r="A848" s="104">
        <v>62569</v>
      </c>
      <c r="B848" s="105" t="s">
        <v>236</v>
      </c>
      <c r="C848" s="106" t="s">
        <v>240</v>
      </c>
    </row>
    <row r="849" spans="1:3" ht="15.75" thickBot="1" x14ac:dyDescent="0.3">
      <c r="A849" s="104">
        <v>62579</v>
      </c>
      <c r="B849" s="105" t="s">
        <v>237</v>
      </c>
      <c r="C849" s="106" t="s">
        <v>241</v>
      </c>
    </row>
    <row r="850" spans="1:3" ht="15.75" thickBot="1" x14ac:dyDescent="0.3">
      <c r="A850" s="104">
        <v>62627</v>
      </c>
      <c r="B850" s="105" t="s">
        <v>242</v>
      </c>
      <c r="C850" s="106" t="s">
        <v>243</v>
      </c>
    </row>
    <row r="851" spans="1:3" ht="15.75" thickBot="1" x14ac:dyDescent="0.3">
      <c r="A851" s="104">
        <v>62708</v>
      </c>
      <c r="B851" s="105" t="s">
        <v>233</v>
      </c>
      <c r="C851" s="106" t="s">
        <v>244</v>
      </c>
    </row>
    <row r="852" spans="1:3" ht="15.75" thickBot="1" x14ac:dyDescent="0.3">
      <c r="A852" s="104">
        <v>62743</v>
      </c>
      <c r="B852" s="105" t="s">
        <v>233</v>
      </c>
      <c r="C852" s="106" t="s">
        <v>245</v>
      </c>
    </row>
    <row r="853" spans="1:3" ht="15.75" thickBot="1" x14ac:dyDescent="0.3">
      <c r="A853" s="104">
        <v>62764</v>
      </c>
      <c r="B853" s="105" t="s">
        <v>233</v>
      </c>
      <c r="C853" s="106" t="s">
        <v>246</v>
      </c>
    </row>
    <row r="854" spans="1:3" ht="15.75" thickBot="1" x14ac:dyDescent="0.3">
      <c r="A854" s="104">
        <v>62777</v>
      </c>
      <c r="B854" s="105" t="s">
        <v>249</v>
      </c>
      <c r="C854" s="106" t="s">
        <v>247</v>
      </c>
    </row>
    <row r="855" spans="1:3" ht="15.75" thickBot="1" x14ac:dyDescent="0.3">
      <c r="A855" s="104">
        <v>62817</v>
      </c>
      <c r="B855" s="105" t="s">
        <v>237</v>
      </c>
      <c r="C855" s="106" t="s">
        <v>248</v>
      </c>
    </row>
    <row r="856" spans="1:3" ht="15.75" thickBot="1" x14ac:dyDescent="0.3">
      <c r="A856" s="107">
        <v>62824</v>
      </c>
      <c r="B856" s="108" t="s">
        <v>237</v>
      </c>
      <c r="C856" s="109" t="s">
        <v>234</v>
      </c>
    </row>
    <row r="857" spans="1:3" ht="15.75" thickBot="1" x14ac:dyDescent="0.3">
      <c r="A857" s="110">
        <v>62876</v>
      </c>
      <c r="B857" s="111" t="s">
        <v>233</v>
      </c>
      <c r="C857" s="112" t="s">
        <v>235</v>
      </c>
    </row>
    <row r="858" spans="1:3" ht="15.75" thickBot="1" x14ac:dyDescent="0.3">
      <c r="A858" s="110">
        <v>62877</v>
      </c>
      <c r="B858" s="111" t="s">
        <v>236</v>
      </c>
      <c r="C858" s="112" t="s">
        <v>235</v>
      </c>
    </row>
    <row r="859" spans="1:3" ht="15.75" thickBot="1" x14ac:dyDescent="0.3">
      <c r="A859" s="110">
        <v>62922</v>
      </c>
      <c r="B859" s="111" t="s">
        <v>237</v>
      </c>
      <c r="C859" s="112" t="s">
        <v>238</v>
      </c>
    </row>
    <row r="860" spans="1:3" ht="15.75" thickBot="1" x14ac:dyDescent="0.3">
      <c r="A860" s="110">
        <v>62935</v>
      </c>
      <c r="B860" s="111" t="s">
        <v>242</v>
      </c>
      <c r="C860" s="112" t="s">
        <v>240</v>
      </c>
    </row>
    <row r="861" spans="1:3" ht="15.75" thickBot="1" x14ac:dyDescent="0.3">
      <c r="A861" s="110">
        <v>62945</v>
      </c>
      <c r="B861" s="111" t="s">
        <v>249</v>
      </c>
      <c r="C861" s="112" t="s">
        <v>241</v>
      </c>
    </row>
    <row r="862" spans="1:3" ht="15.75" thickBot="1" x14ac:dyDescent="0.3">
      <c r="A862" s="110">
        <v>62984</v>
      </c>
      <c r="B862" s="111" t="s">
        <v>242</v>
      </c>
      <c r="C862" s="112" t="s">
        <v>243</v>
      </c>
    </row>
    <row r="863" spans="1:3" ht="15.75" thickBot="1" x14ac:dyDescent="0.3">
      <c r="A863" s="110">
        <v>63074</v>
      </c>
      <c r="B863" s="111" t="s">
        <v>250</v>
      </c>
      <c r="C863" s="112" t="s">
        <v>244</v>
      </c>
    </row>
    <row r="864" spans="1:3" ht="15.75" thickBot="1" x14ac:dyDescent="0.3">
      <c r="A864" s="110">
        <v>63109</v>
      </c>
      <c r="B864" s="111" t="s">
        <v>250</v>
      </c>
      <c r="C864" s="112" t="s">
        <v>245</v>
      </c>
    </row>
    <row r="865" spans="1:3" ht="15.75" thickBot="1" x14ac:dyDescent="0.3">
      <c r="A865" s="110">
        <v>63130</v>
      </c>
      <c r="B865" s="111" t="s">
        <v>250</v>
      </c>
      <c r="C865" s="112" t="s">
        <v>246</v>
      </c>
    </row>
    <row r="866" spans="1:3" ht="15.75" thickBot="1" x14ac:dyDescent="0.3">
      <c r="A866" s="110">
        <v>63143</v>
      </c>
      <c r="B866" s="111" t="s">
        <v>236</v>
      </c>
      <c r="C866" s="112" t="s">
        <v>247</v>
      </c>
    </row>
    <row r="867" spans="1:3" ht="15.75" thickBot="1" x14ac:dyDescent="0.3">
      <c r="A867" s="110">
        <v>63183</v>
      </c>
      <c r="B867" s="111" t="s">
        <v>249</v>
      </c>
      <c r="C867" s="112" t="s">
        <v>248</v>
      </c>
    </row>
    <row r="868" spans="1:3" ht="15.75" thickBot="1" x14ac:dyDescent="0.3">
      <c r="A868" s="113">
        <v>63190</v>
      </c>
      <c r="B868" s="114" t="s">
        <v>249</v>
      </c>
      <c r="C868" s="115" t="s">
        <v>234</v>
      </c>
    </row>
    <row r="869" spans="1:3" ht="15.75" thickBot="1" x14ac:dyDescent="0.3">
      <c r="A869" s="104">
        <v>63226</v>
      </c>
      <c r="B869" s="105" t="s">
        <v>233</v>
      </c>
      <c r="C869" s="106" t="s">
        <v>235</v>
      </c>
    </row>
    <row r="870" spans="1:3" ht="15.75" thickBot="1" x14ac:dyDescent="0.3">
      <c r="A870" s="104">
        <v>63227</v>
      </c>
      <c r="B870" s="105" t="s">
        <v>236</v>
      </c>
      <c r="C870" s="106" t="s">
        <v>235</v>
      </c>
    </row>
    <row r="871" spans="1:3" ht="15.75" thickBot="1" x14ac:dyDescent="0.3">
      <c r="A871" s="104">
        <v>63272</v>
      </c>
      <c r="B871" s="105" t="s">
        <v>237</v>
      </c>
      <c r="C871" s="106" t="s">
        <v>238</v>
      </c>
    </row>
    <row r="872" spans="1:3" ht="15.75" thickBot="1" x14ac:dyDescent="0.3">
      <c r="A872" s="104">
        <v>63300</v>
      </c>
      <c r="B872" s="105" t="s">
        <v>237</v>
      </c>
      <c r="C872" s="106" t="s">
        <v>240</v>
      </c>
    </row>
    <row r="873" spans="1:3" ht="15.75" thickBot="1" x14ac:dyDescent="0.3">
      <c r="A873" s="104">
        <v>63310</v>
      </c>
      <c r="B873" s="105" t="s">
        <v>233</v>
      </c>
      <c r="C873" s="106" t="s">
        <v>241</v>
      </c>
    </row>
    <row r="874" spans="1:3" ht="15.75" thickBot="1" x14ac:dyDescent="0.3">
      <c r="A874" s="104">
        <v>63334</v>
      </c>
      <c r="B874" s="105" t="s">
        <v>242</v>
      </c>
      <c r="C874" s="106" t="s">
        <v>243</v>
      </c>
    </row>
    <row r="875" spans="1:3" ht="15.75" thickBot="1" x14ac:dyDescent="0.3">
      <c r="A875" s="104">
        <v>63439</v>
      </c>
      <c r="B875" s="105" t="s">
        <v>242</v>
      </c>
      <c r="C875" s="106" t="s">
        <v>244</v>
      </c>
    </row>
    <row r="876" spans="1:3" ht="15.75" thickBot="1" x14ac:dyDescent="0.3">
      <c r="A876" s="104">
        <v>63474</v>
      </c>
      <c r="B876" s="105" t="s">
        <v>242</v>
      </c>
      <c r="C876" s="106" t="s">
        <v>245</v>
      </c>
    </row>
    <row r="877" spans="1:3" ht="15.75" thickBot="1" x14ac:dyDescent="0.3">
      <c r="A877" s="104">
        <v>63495</v>
      </c>
      <c r="B877" s="105" t="s">
        <v>242</v>
      </c>
      <c r="C877" s="106" t="s">
        <v>246</v>
      </c>
    </row>
    <row r="878" spans="1:3" ht="15.75" thickBot="1" x14ac:dyDescent="0.3">
      <c r="A878" s="104">
        <v>63508</v>
      </c>
      <c r="B878" s="105" t="s">
        <v>250</v>
      </c>
      <c r="C878" s="106" t="s">
        <v>247</v>
      </c>
    </row>
    <row r="879" spans="1:3" ht="15.75" thickBot="1" x14ac:dyDescent="0.3">
      <c r="A879" s="104">
        <v>63548</v>
      </c>
      <c r="B879" s="105" t="s">
        <v>233</v>
      </c>
      <c r="C879" s="106" t="s">
        <v>248</v>
      </c>
    </row>
    <row r="880" spans="1:3" ht="15.75" thickBot="1" x14ac:dyDescent="0.3">
      <c r="A880" s="107">
        <v>63555</v>
      </c>
      <c r="B880" s="108" t="s">
        <v>233</v>
      </c>
      <c r="C880" s="109" t="s">
        <v>234</v>
      </c>
    </row>
    <row r="881" spans="1:3" ht="15.75" thickBot="1" x14ac:dyDescent="0.3">
      <c r="A881" s="110">
        <v>63611</v>
      </c>
      <c r="B881" s="111" t="s">
        <v>233</v>
      </c>
      <c r="C881" s="112" t="s">
        <v>235</v>
      </c>
    </row>
    <row r="882" spans="1:3" ht="15.75" thickBot="1" x14ac:dyDescent="0.3">
      <c r="A882" s="110">
        <v>63612</v>
      </c>
      <c r="B882" s="111" t="s">
        <v>236</v>
      </c>
      <c r="C882" s="112" t="s">
        <v>235</v>
      </c>
    </row>
    <row r="883" spans="1:3" ht="15.75" thickBot="1" x14ac:dyDescent="0.3">
      <c r="A883" s="110">
        <v>63657</v>
      </c>
      <c r="B883" s="111" t="s">
        <v>237</v>
      </c>
      <c r="C883" s="112" t="s">
        <v>238</v>
      </c>
    </row>
    <row r="884" spans="1:3" ht="15.75" thickBot="1" x14ac:dyDescent="0.3">
      <c r="A884" s="110">
        <v>63665</v>
      </c>
      <c r="B884" s="111" t="s">
        <v>239</v>
      </c>
      <c r="C884" s="112" t="s">
        <v>240</v>
      </c>
    </row>
    <row r="885" spans="1:3" ht="15.75" thickBot="1" x14ac:dyDescent="0.3">
      <c r="A885" s="110">
        <v>63675</v>
      </c>
      <c r="B885" s="111" t="s">
        <v>236</v>
      </c>
      <c r="C885" s="112" t="s">
        <v>241</v>
      </c>
    </row>
    <row r="886" spans="1:3" ht="15.75" thickBot="1" x14ac:dyDescent="0.3">
      <c r="A886" s="110">
        <v>63719</v>
      </c>
      <c r="B886" s="111" t="s">
        <v>242</v>
      </c>
      <c r="C886" s="112" t="s">
        <v>243</v>
      </c>
    </row>
    <row r="887" spans="1:3" ht="15.75" thickBot="1" x14ac:dyDescent="0.3">
      <c r="A887" s="110">
        <v>63804</v>
      </c>
      <c r="B887" s="111" t="s">
        <v>237</v>
      </c>
      <c r="C887" s="112" t="s">
        <v>244</v>
      </c>
    </row>
    <row r="888" spans="1:3" ht="15.75" thickBot="1" x14ac:dyDescent="0.3">
      <c r="A888" s="110">
        <v>63839</v>
      </c>
      <c r="B888" s="111" t="s">
        <v>237</v>
      </c>
      <c r="C888" s="112" t="s">
        <v>245</v>
      </c>
    </row>
    <row r="889" spans="1:3" ht="15.75" thickBot="1" x14ac:dyDescent="0.3">
      <c r="A889" s="110">
        <v>63860</v>
      </c>
      <c r="B889" s="111" t="s">
        <v>237</v>
      </c>
      <c r="C889" s="112" t="s">
        <v>246</v>
      </c>
    </row>
    <row r="890" spans="1:3" ht="15.75" thickBot="1" x14ac:dyDescent="0.3">
      <c r="A890" s="110">
        <v>63873</v>
      </c>
      <c r="B890" s="111" t="s">
        <v>242</v>
      </c>
      <c r="C890" s="112" t="s">
        <v>247</v>
      </c>
    </row>
    <row r="891" spans="1:3" ht="15.75" thickBot="1" x14ac:dyDescent="0.3">
      <c r="A891" s="110">
        <v>63913</v>
      </c>
      <c r="B891" s="111" t="s">
        <v>236</v>
      </c>
      <c r="C891" s="112" t="s">
        <v>248</v>
      </c>
    </row>
    <row r="892" spans="1:3" ht="15.75" thickBot="1" x14ac:dyDescent="0.3">
      <c r="A892" s="113">
        <v>63920</v>
      </c>
      <c r="B892" s="114" t="s">
        <v>236</v>
      </c>
      <c r="C892" s="115" t="s">
        <v>234</v>
      </c>
    </row>
    <row r="893" spans="1:3" ht="15.75" thickBot="1" x14ac:dyDescent="0.3">
      <c r="A893" s="104">
        <v>63968</v>
      </c>
      <c r="B893" s="105" t="s">
        <v>233</v>
      </c>
      <c r="C893" s="106" t="s">
        <v>235</v>
      </c>
    </row>
    <row r="894" spans="1:3" ht="15.75" thickBot="1" x14ac:dyDescent="0.3">
      <c r="A894" s="104">
        <v>63969</v>
      </c>
      <c r="B894" s="105" t="s">
        <v>236</v>
      </c>
      <c r="C894" s="106" t="s">
        <v>235</v>
      </c>
    </row>
    <row r="895" spans="1:3" ht="15.75" thickBot="1" x14ac:dyDescent="0.3">
      <c r="A895" s="104">
        <v>64014</v>
      </c>
      <c r="B895" s="105" t="s">
        <v>237</v>
      </c>
      <c r="C895" s="106" t="s">
        <v>238</v>
      </c>
    </row>
    <row r="896" spans="1:3" ht="15.75" thickBot="1" x14ac:dyDescent="0.3">
      <c r="A896" s="104">
        <v>64030</v>
      </c>
      <c r="B896" s="105" t="s">
        <v>249</v>
      </c>
      <c r="C896" s="106" t="s">
        <v>240</v>
      </c>
    </row>
    <row r="897" spans="1:3" ht="15.75" thickBot="1" x14ac:dyDescent="0.3">
      <c r="A897" s="104">
        <v>64040</v>
      </c>
      <c r="B897" s="105" t="s">
        <v>250</v>
      </c>
      <c r="C897" s="106" t="s">
        <v>241</v>
      </c>
    </row>
    <row r="898" spans="1:3" ht="15.75" thickBot="1" x14ac:dyDescent="0.3">
      <c r="A898" s="104">
        <v>64076</v>
      </c>
      <c r="B898" s="105" t="s">
        <v>242</v>
      </c>
      <c r="C898" s="106" t="s">
        <v>243</v>
      </c>
    </row>
    <row r="899" spans="1:3" ht="15.75" thickBot="1" x14ac:dyDescent="0.3">
      <c r="A899" s="104">
        <v>64169</v>
      </c>
      <c r="B899" s="105" t="s">
        <v>239</v>
      </c>
      <c r="C899" s="106" t="s">
        <v>244</v>
      </c>
    </row>
    <row r="900" spans="1:3" ht="15.75" thickBot="1" x14ac:dyDescent="0.3">
      <c r="A900" s="104">
        <v>64204</v>
      </c>
      <c r="B900" s="105" t="s">
        <v>239</v>
      </c>
      <c r="C900" s="106" t="s">
        <v>245</v>
      </c>
    </row>
    <row r="901" spans="1:3" ht="15.75" thickBot="1" x14ac:dyDescent="0.3">
      <c r="A901" s="104">
        <v>64225</v>
      </c>
      <c r="B901" s="105" t="s">
        <v>239</v>
      </c>
      <c r="C901" s="106" t="s">
        <v>246</v>
      </c>
    </row>
    <row r="902" spans="1:3" ht="15.75" thickBot="1" x14ac:dyDescent="0.3">
      <c r="A902" s="104">
        <v>64238</v>
      </c>
      <c r="B902" s="105" t="s">
        <v>237</v>
      </c>
      <c r="C902" s="106" t="s">
        <v>247</v>
      </c>
    </row>
    <row r="903" spans="1:3" ht="15.75" thickBot="1" x14ac:dyDescent="0.3">
      <c r="A903" s="104">
        <v>64278</v>
      </c>
      <c r="B903" s="105" t="s">
        <v>250</v>
      </c>
      <c r="C903" s="106" t="s">
        <v>248</v>
      </c>
    </row>
    <row r="904" spans="1:3" ht="15.75" thickBot="1" x14ac:dyDescent="0.3">
      <c r="A904" s="107">
        <v>64285</v>
      </c>
      <c r="B904" s="108" t="s">
        <v>250</v>
      </c>
      <c r="C904" s="109" t="s">
        <v>234</v>
      </c>
    </row>
    <row r="905" spans="1:3" ht="15.75" thickBot="1" x14ac:dyDescent="0.3">
      <c r="A905" s="110">
        <v>64346</v>
      </c>
      <c r="B905" s="111" t="s">
        <v>233</v>
      </c>
      <c r="C905" s="112" t="s">
        <v>235</v>
      </c>
    </row>
    <row r="906" spans="1:3" ht="15.75" thickBot="1" x14ac:dyDescent="0.3">
      <c r="A906" s="110">
        <v>64347</v>
      </c>
      <c r="B906" s="111" t="s">
        <v>236</v>
      </c>
      <c r="C906" s="112" t="s">
        <v>235</v>
      </c>
    </row>
    <row r="907" spans="1:3" ht="15.75" thickBot="1" x14ac:dyDescent="0.3">
      <c r="A907" s="110">
        <v>64392</v>
      </c>
      <c r="B907" s="111" t="s">
        <v>237</v>
      </c>
      <c r="C907" s="112" t="s">
        <v>238</v>
      </c>
    </row>
    <row r="908" spans="1:3" ht="15.75" thickBot="1" x14ac:dyDescent="0.3">
      <c r="A908" s="110">
        <v>64396</v>
      </c>
      <c r="B908" s="111" t="s">
        <v>236</v>
      </c>
      <c r="C908" s="112" t="s">
        <v>240</v>
      </c>
    </row>
    <row r="909" spans="1:3" ht="15.75" thickBot="1" x14ac:dyDescent="0.3">
      <c r="A909" s="110">
        <v>64406</v>
      </c>
      <c r="B909" s="111" t="s">
        <v>237</v>
      </c>
      <c r="C909" s="112" t="s">
        <v>241</v>
      </c>
    </row>
    <row r="910" spans="1:3" ht="15.75" thickBot="1" x14ac:dyDescent="0.3">
      <c r="A910" s="110">
        <v>64454</v>
      </c>
      <c r="B910" s="111" t="s">
        <v>242</v>
      </c>
      <c r="C910" s="112" t="s">
        <v>243</v>
      </c>
    </row>
    <row r="911" spans="1:3" ht="15.75" thickBot="1" x14ac:dyDescent="0.3">
      <c r="A911" s="110">
        <v>64535</v>
      </c>
      <c r="B911" s="111" t="s">
        <v>233</v>
      </c>
      <c r="C911" s="112" t="s">
        <v>244</v>
      </c>
    </row>
    <row r="912" spans="1:3" ht="15.75" thickBot="1" x14ac:dyDescent="0.3">
      <c r="A912" s="110">
        <v>64570</v>
      </c>
      <c r="B912" s="111" t="s">
        <v>233</v>
      </c>
      <c r="C912" s="112" t="s">
        <v>245</v>
      </c>
    </row>
    <row r="913" spans="1:3" ht="15.75" thickBot="1" x14ac:dyDescent="0.3">
      <c r="A913" s="110">
        <v>64591</v>
      </c>
      <c r="B913" s="111" t="s">
        <v>233</v>
      </c>
      <c r="C913" s="112" t="s">
        <v>246</v>
      </c>
    </row>
    <row r="914" spans="1:3" ht="15.75" thickBot="1" x14ac:dyDescent="0.3">
      <c r="A914" s="110">
        <v>64604</v>
      </c>
      <c r="B914" s="111" t="s">
        <v>249</v>
      </c>
      <c r="C914" s="112" t="s">
        <v>247</v>
      </c>
    </row>
    <row r="915" spans="1:3" ht="15.75" thickBot="1" x14ac:dyDescent="0.3">
      <c r="A915" s="110">
        <v>64644</v>
      </c>
      <c r="B915" s="111" t="s">
        <v>237</v>
      </c>
      <c r="C915" s="112" t="s">
        <v>248</v>
      </c>
    </row>
    <row r="916" spans="1:3" ht="15.75" thickBot="1" x14ac:dyDescent="0.3">
      <c r="A916" s="113">
        <v>64651</v>
      </c>
      <c r="B916" s="114" t="s">
        <v>237</v>
      </c>
      <c r="C916" s="115" t="s">
        <v>234</v>
      </c>
    </row>
    <row r="917" spans="1:3" ht="15.75" thickBot="1" x14ac:dyDescent="0.3">
      <c r="A917" s="104">
        <v>64703</v>
      </c>
      <c r="B917" s="105" t="s">
        <v>233</v>
      </c>
      <c r="C917" s="106" t="s">
        <v>235</v>
      </c>
    </row>
    <row r="918" spans="1:3" ht="15.75" thickBot="1" x14ac:dyDescent="0.3">
      <c r="A918" s="104">
        <v>64704</v>
      </c>
      <c r="B918" s="105" t="s">
        <v>236</v>
      </c>
      <c r="C918" s="106" t="s">
        <v>235</v>
      </c>
    </row>
    <row r="919" spans="1:3" ht="15.75" thickBot="1" x14ac:dyDescent="0.3">
      <c r="A919" s="104">
        <v>64749</v>
      </c>
      <c r="B919" s="105" t="s">
        <v>237</v>
      </c>
      <c r="C919" s="106" t="s">
        <v>238</v>
      </c>
    </row>
    <row r="920" spans="1:3" ht="15.75" thickBot="1" x14ac:dyDescent="0.3">
      <c r="A920" s="104">
        <v>64761</v>
      </c>
      <c r="B920" s="105" t="s">
        <v>250</v>
      </c>
      <c r="C920" s="106" t="s">
        <v>240</v>
      </c>
    </row>
    <row r="921" spans="1:3" ht="15.75" thickBot="1" x14ac:dyDescent="0.3">
      <c r="A921" s="104">
        <v>64771</v>
      </c>
      <c r="B921" s="105" t="s">
        <v>239</v>
      </c>
      <c r="C921" s="106" t="s">
        <v>241</v>
      </c>
    </row>
    <row r="922" spans="1:3" ht="15.75" thickBot="1" x14ac:dyDescent="0.3">
      <c r="A922" s="104">
        <v>64811</v>
      </c>
      <c r="B922" s="105" t="s">
        <v>242</v>
      </c>
      <c r="C922" s="106" t="s">
        <v>243</v>
      </c>
    </row>
    <row r="923" spans="1:3" ht="15.75" thickBot="1" x14ac:dyDescent="0.3">
      <c r="A923" s="104">
        <v>64900</v>
      </c>
      <c r="B923" s="105" t="s">
        <v>236</v>
      </c>
      <c r="C923" s="106" t="s">
        <v>244</v>
      </c>
    </row>
    <row r="924" spans="1:3" ht="15.75" thickBot="1" x14ac:dyDescent="0.3">
      <c r="A924" s="104">
        <v>64935</v>
      </c>
      <c r="B924" s="105" t="s">
        <v>236</v>
      </c>
      <c r="C924" s="106" t="s">
        <v>245</v>
      </c>
    </row>
    <row r="925" spans="1:3" ht="15.75" thickBot="1" x14ac:dyDescent="0.3">
      <c r="A925" s="104">
        <v>64956</v>
      </c>
      <c r="B925" s="105" t="s">
        <v>236</v>
      </c>
      <c r="C925" s="106" t="s">
        <v>246</v>
      </c>
    </row>
    <row r="926" spans="1:3" ht="15.75" thickBot="1" x14ac:dyDescent="0.3">
      <c r="A926" s="104">
        <v>64969</v>
      </c>
      <c r="B926" s="105" t="s">
        <v>233</v>
      </c>
      <c r="C926" s="106" t="s">
        <v>247</v>
      </c>
    </row>
    <row r="927" spans="1:3" ht="15.75" thickBot="1" x14ac:dyDescent="0.3">
      <c r="A927" s="104">
        <v>65009</v>
      </c>
      <c r="B927" s="105" t="s">
        <v>239</v>
      </c>
      <c r="C927" s="106" t="s">
        <v>248</v>
      </c>
    </row>
    <row r="928" spans="1:3" ht="15.75" thickBot="1" x14ac:dyDescent="0.3">
      <c r="A928" s="107">
        <v>65016</v>
      </c>
      <c r="B928" s="108" t="s">
        <v>236</v>
      </c>
      <c r="C928" s="109" t="s">
        <v>234</v>
      </c>
    </row>
    <row r="929" spans="1:3" ht="15.75" thickBot="1" x14ac:dyDescent="0.3">
      <c r="A929" s="110">
        <v>65060</v>
      </c>
      <c r="B929" s="111" t="s">
        <v>233</v>
      </c>
      <c r="C929" s="112" t="s">
        <v>235</v>
      </c>
    </row>
    <row r="930" spans="1:3" ht="15.75" thickBot="1" x14ac:dyDescent="0.3">
      <c r="A930" s="110">
        <v>65061</v>
      </c>
      <c r="B930" s="111" t="s">
        <v>236</v>
      </c>
      <c r="C930" s="112" t="s">
        <v>235</v>
      </c>
    </row>
    <row r="931" spans="1:3" ht="15.75" thickBot="1" x14ac:dyDescent="0.3">
      <c r="A931" s="110">
        <v>65106</v>
      </c>
      <c r="B931" s="111" t="s">
        <v>237</v>
      </c>
      <c r="C931" s="112" t="s">
        <v>238</v>
      </c>
    </row>
    <row r="932" spans="1:3" ht="15.75" thickBot="1" x14ac:dyDescent="0.3">
      <c r="A932" s="110">
        <v>65126</v>
      </c>
      <c r="B932" s="111" t="s">
        <v>242</v>
      </c>
      <c r="C932" s="112" t="s">
        <v>240</v>
      </c>
    </row>
    <row r="933" spans="1:3" ht="15.75" thickBot="1" x14ac:dyDescent="0.3">
      <c r="A933" s="110">
        <v>65136</v>
      </c>
      <c r="B933" s="111" t="s">
        <v>250</v>
      </c>
      <c r="C933" s="112" t="s">
        <v>241</v>
      </c>
    </row>
    <row r="934" spans="1:3" ht="15.75" thickBot="1" x14ac:dyDescent="0.3">
      <c r="A934" s="110">
        <v>65168</v>
      </c>
      <c r="B934" s="111" t="s">
        <v>242</v>
      </c>
      <c r="C934" s="112" t="s">
        <v>243</v>
      </c>
    </row>
    <row r="935" spans="1:3" ht="15.75" thickBot="1" x14ac:dyDescent="0.3">
      <c r="A935" s="110">
        <v>65265</v>
      </c>
      <c r="B935" s="111" t="s">
        <v>250</v>
      </c>
      <c r="C935" s="112" t="s">
        <v>244</v>
      </c>
    </row>
    <row r="936" spans="1:3" ht="15.75" thickBot="1" x14ac:dyDescent="0.3">
      <c r="A936" s="110">
        <v>65300</v>
      </c>
      <c r="B936" s="111" t="s">
        <v>250</v>
      </c>
      <c r="C936" s="112" t="s">
        <v>245</v>
      </c>
    </row>
    <row r="937" spans="1:3" ht="15.75" thickBot="1" x14ac:dyDescent="0.3">
      <c r="A937" s="110">
        <v>65321</v>
      </c>
      <c r="B937" s="111" t="s">
        <v>250</v>
      </c>
      <c r="C937" s="112" t="s">
        <v>246</v>
      </c>
    </row>
    <row r="938" spans="1:3" ht="15.75" thickBot="1" x14ac:dyDescent="0.3">
      <c r="A938" s="110">
        <v>65334</v>
      </c>
      <c r="B938" s="111" t="s">
        <v>236</v>
      </c>
      <c r="C938" s="112" t="s">
        <v>247</v>
      </c>
    </row>
    <row r="939" spans="1:3" ht="15.75" thickBot="1" x14ac:dyDescent="0.3">
      <c r="A939" s="110">
        <v>65374</v>
      </c>
      <c r="B939" s="111" t="s">
        <v>250</v>
      </c>
      <c r="C939" s="112" t="s">
        <v>248</v>
      </c>
    </row>
    <row r="940" spans="1:3" x14ac:dyDescent="0.25">
      <c r="A940" s="116" t="s">
        <v>252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1044A9-CFB2-465C-B829-FA9FCC9DA3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METODO GBE</vt:lpstr>
      <vt:lpstr>CALCULO</vt:lpstr>
      <vt:lpstr>Market Data</vt:lpstr>
      <vt:lpstr>5M</vt:lpstr>
      <vt:lpstr>RTD</vt:lpstr>
      <vt:lpstr>TAXA DE JUROS</vt:lpstr>
      <vt:lpstr>FERIADOS</vt:lpstr>
      <vt:lpstr>FERIADOS!feriados</vt:lpstr>
      <vt:lpstr>'Market Data'!ResumoCarteiraTeorica.aspx?Indice_IBOV_idioma_pt_br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Patrizi</dc:creator>
  <cp:lastModifiedBy>Samsung</cp:lastModifiedBy>
  <dcterms:created xsi:type="dcterms:W3CDTF">2020-10-20T14:13:19Z</dcterms:created>
  <dcterms:modified xsi:type="dcterms:W3CDTF">2022-01-10T13:16:16Z</dcterms:modified>
</cp:coreProperties>
</file>