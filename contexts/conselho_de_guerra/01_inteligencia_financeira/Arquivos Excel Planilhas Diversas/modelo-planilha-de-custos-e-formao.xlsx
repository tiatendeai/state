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5195" windowHeight="9975"/>
  </bookViews>
  <sheets>
    <sheet name="Engenheiro Agrônomo" sheetId="7" r:id="rId1"/>
    <sheet name="Jardineiros" sheetId="3" r:id="rId2"/>
    <sheet name="Jardineiro Encarregado" sheetId="8" r:id="rId3"/>
    <sheet name="01 Jardineiro com Insalubridade" sheetId="9" state="hidden" r:id="rId4"/>
    <sheet name="Resumo" sheetId="6" r:id="rId5"/>
  </sheets>
  <definedNames>
    <definedName name="_xlnm.Print_Area" localSheetId="0">'Engenheiro Agrônomo'!$A$1:$H$135</definedName>
    <definedName name="_xlnm.Print_Area" localSheetId="2">'Jardineiro Encarregado'!$A$1:$H$126</definedName>
    <definedName name="_xlnm.Print_Area" localSheetId="1">Jardineiros!$A$1:$H$127</definedName>
  </definedNames>
  <calcPr calcId="125725"/>
</workbook>
</file>

<file path=xl/calcChain.xml><?xml version="1.0" encoding="utf-8"?>
<calcChain xmlns="http://schemas.openxmlformats.org/spreadsheetml/2006/main">
  <c r="H85" i="8"/>
  <c r="H84"/>
  <c r="H83"/>
  <c r="H82"/>
  <c r="H81"/>
  <c r="H76"/>
  <c r="H74"/>
  <c r="H73"/>
  <c r="H71"/>
  <c r="H65"/>
  <c r="H58"/>
  <c r="H85" i="3"/>
  <c r="H84"/>
  <c r="H83"/>
  <c r="H82"/>
  <c r="H81"/>
  <c r="H76"/>
  <c r="H74"/>
  <c r="H73"/>
  <c r="H71"/>
  <c r="H65"/>
  <c r="H58"/>
  <c r="H94" i="7"/>
  <c r="H93"/>
  <c r="H92"/>
  <c r="H91"/>
  <c r="H90"/>
  <c r="H85"/>
  <c r="H83"/>
  <c r="H82"/>
  <c r="H80"/>
  <c r="H74"/>
  <c r="H67"/>
  <c r="H21"/>
  <c r="H32" i="3" l="1"/>
  <c r="H116" s="1"/>
  <c r="H16" i="9"/>
  <c r="H22" s="1"/>
  <c r="B11" i="6"/>
  <c r="G104" i="9"/>
  <c r="G52"/>
  <c r="H37"/>
  <c r="H38"/>
  <c r="H117"/>
  <c r="H27"/>
  <c r="H32"/>
  <c r="H116"/>
  <c r="G104" i="8"/>
  <c r="G52"/>
  <c r="H38"/>
  <c r="H117" s="1"/>
  <c r="H32"/>
  <c r="H116" s="1"/>
  <c r="H22"/>
  <c r="B10" i="6"/>
  <c r="G113" i="7"/>
  <c r="G61"/>
  <c r="H47"/>
  <c r="H126" s="1"/>
  <c r="H39"/>
  <c r="H125"/>
  <c r="H38" i="3"/>
  <c r="H117" s="1"/>
  <c r="H22"/>
  <c r="H115" s="1"/>
  <c r="G52"/>
  <c r="G104"/>
  <c r="H48"/>
  <c r="H59"/>
  <c r="H72"/>
  <c r="H50"/>
  <c r="H47"/>
  <c r="H44"/>
  <c r="H46"/>
  <c r="H75" l="1"/>
  <c r="H66"/>
  <c r="H67" s="1"/>
  <c r="H95" s="1"/>
  <c r="H49"/>
  <c r="H51"/>
  <c r="H45"/>
  <c r="H87"/>
  <c r="H88" s="1"/>
  <c r="H89" s="1"/>
  <c r="H97" s="1"/>
  <c r="H115" i="8"/>
  <c r="H47"/>
  <c r="H75"/>
  <c r="H60" i="3"/>
  <c r="H61" s="1"/>
  <c r="H94" s="1"/>
  <c r="H29" i="7"/>
  <c r="H60" s="1"/>
  <c r="H46" i="8"/>
  <c r="H49"/>
  <c r="H51"/>
  <c r="H48"/>
  <c r="H45"/>
  <c r="H50"/>
  <c r="H59"/>
  <c r="H44"/>
  <c r="H58" i="7"/>
  <c r="H57"/>
  <c r="H59"/>
  <c r="H56"/>
  <c r="H55"/>
  <c r="H71" i="9"/>
  <c r="H45"/>
  <c r="H81"/>
  <c r="H44"/>
  <c r="H76"/>
  <c r="H49"/>
  <c r="H50"/>
  <c r="H58"/>
  <c r="H59" s="1"/>
  <c r="H83"/>
  <c r="H84"/>
  <c r="H82"/>
  <c r="H48"/>
  <c r="H46"/>
  <c r="H74"/>
  <c r="H75" s="1"/>
  <c r="H51"/>
  <c r="H73"/>
  <c r="H65"/>
  <c r="H85"/>
  <c r="H47"/>
  <c r="H115"/>
  <c r="H52" i="3" l="1"/>
  <c r="H93" s="1"/>
  <c r="H77"/>
  <c r="H96" s="1"/>
  <c r="H53" i="7"/>
  <c r="H54"/>
  <c r="H81"/>
  <c r="H84"/>
  <c r="H124"/>
  <c r="H52" i="8"/>
  <c r="H93" s="1"/>
  <c r="H60"/>
  <c r="H61" s="1"/>
  <c r="H94" s="1"/>
  <c r="H66"/>
  <c r="H67" s="1"/>
  <c r="H95" s="1"/>
  <c r="H87"/>
  <c r="H72"/>
  <c r="H77" s="1"/>
  <c r="H96" s="1"/>
  <c r="H75" i="7"/>
  <c r="H76" s="1"/>
  <c r="H104" s="1"/>
  <c r="H68"/>
  <c r="H66" i="9"/>
  <c r="H67" s="1"/>
  <c r="H95" s="1"/>
  <c r="H61"/>
  <c r="H94" s="1"/>
  <c r="H60"/>
  <c r="H72"/>
  <c r="H77" s="1"/>
  <c r="H96" s="1"/>
  <c r="H87"/>
  <c r="H52"/>
  <c r="H93" s="1"/>
  <c r="H99" i="3" l="1"/>
  <c r="H118" s="1"/>
  <c r="H119" s="1"/>
  <c r="H96" i="7"/>
  <c r="H97" s="1"/>
  <c r="H98" s="1"/>
  <c r="H106" s="1"/>
  <c r="H61"/>
  <c r="H102" s="1"/>
  <c r="H86"/>
  <c r="H105" s="1"/>
  <c r="H88" i="8"/>
  <c r="H89" s="1"/>
  <c r="H97" s="1"/>
  <c r="H99" s="1"/>
  <c r="H69" i="7"/>
  <c r="H70" s="1"/>
  <c r="H103" s="1"/>
  <c r="H88" i="9"/>
  <c r="H89" s="1"/>
  <c r="H97" s="1"/>
  <c r="H99" s="1"/>
  <c r="H103" i="3" l="1"/>
  <c r="H109" s="1"/>
  <c r="H104" s="1"/>
  <c r="H106" s="1"/>
  <c r="H108" i="7"/>
  <c r="H127" s="1"/>
  <c r="H128" s="1"/>
  <c r="H118" i="8"/>
  <c r="H119" s="1"/>
  <c r="H103"/>
  <c r="H118" i="9"/>
  <c r="H119" s="1"/>
  <c r="H109"/>
  <c r="H103"/>
  <c r="H108" i="3" l="1"/>
  <c r="H105"/>
  <c r="H107"/>
  <c r="H112" i="7"/>
  <c r="H118" s="1"/>
  <c r="H109" i="8"/>
  <c r="H104" s="1"/>
  <c r="H104" i="9"/>
  <c r="H110" i="3" l="1"/>
  <c r="H120" s="1"/>
  <c r="H121" s="1"/>
  <c r="G125" s="1"/>
  <c r="G126" s="1"/>
  <c r="G127" s="1"/>
  <c r="H113" i="7"/>
  <c r="H114" s="1"/>
  <c r="H105" i="8"/>
  <c r="H108"/>
  <c r="H107"/>
  <c r="H106"/>
  <c r="H108" i="9"/>
  <c r="H107"/>
  <c r="H106"/>
  <c r="H105"/>
  <c r="C8" i="6" l="1"/>
  <c r="D8" s="1"/>
  <c r="H116" i="7"/>
  <c r="H119" s="1"/>
  <c r="H129" s="1"/>
  <c r="H130" s="1"/>
  <c r="H117"/>
  <c r="H115"/>
  <c r="H110" i="8"/>
  <c r="H120" s="1"/>
  <c r="H121" s="1"/>
  <c r="G125" s="1"/>
  <c r="H110" i="9"/>
  <c r="H120" s="1"/>
  <c r="H121" s="1"/>
  <c r="G125" s="1"/>
  <c r="G126" i="8" l="1"/>
  <c r="C9" i="6"/>
  <c r="D9" s="1"/>
  <c r="G134" i="7"/>
  <c r="G135" s="1"/>
  <c r="G126" i="9"/>
  <c r="C7" i="6" l="1"/>
  <c r="D7" s="1"/>
  <c r="D10" s="1"/>
  <c r="D11" s="1"/>
</calcChain>
</file>

<file path=xl/sharedStrings.xml><?xml version="1.0" encoding="utf-8"?>
<sst xmlns="http://schemas.openxmlformats.org/spreadsheetml/2006/main" count="773" uniqueCount="146">
  <si>
    <t>PLANILHA DE CUSTOS E FORMAÇÃO DE PREÇOS</t>
  </si>
  <si>
    <t>Tipo de serviço (mesmo serviço com características distintas)</t>
  </si>
  <si>
    <t>Salário Normativo da Categoria Profissional</t>
  </si>
  <si>
    <t>Categoria profissional (vinculada à execução contratual)</t>
  </si>
  <si>
    <t>Data base da categoria (dia/mês/ano)</t>
  </si>
  <si>
    <t>Composição da remuneração</t>
  </si>
  <si>
    <t>Valor R$</t>
  </si>
  <si>
    <t>A</t>
  </si>
  <si>
    <t>Salário Base</t>
  </si>
  <si>
    <t>B</t>
  </si>
  <si>
    <t>Adicional de periculosidade</t>
  </si>
  <si>
    <t>C</t>
  </si>
  <si>
    <t>Adicional de insalubridade</t>
  </si>
  <si>
    <t>D</t>
  </si>
  <si>
    <t>Adicional noturno</t>
  </si>
  <si>
    <t>E</t>
  </si>
  <si>
    <t>Hora noturna adicional</t>
  </si>
  <si>
    <t>F</t>
  </si>
  <si>
    <t>Adicional de Hora Extra</t>
  </si>
  <si>
    <t>G</t>
  </si>
  <si>
    <t>Intervalo Intrajornada</t>
  </si>
  <si>
    <t>H</t>
  </si>
  <si>
    <t>Outros (especificar)</t>
  </si>
  <si>
    <t>Total da Remuneração</t>
  </si>
  <si>
    <t>Benefícios mensais e diários</t>
  </si>
  <si>
    <t>Transporte</t>
  </si>
  <si>
    <t>Assistência médica e familiar</t>
  </si>
  <si>
    <t>Auxílio Creche</t>
  </si>
  <si>
    <t>Seguro de vida, invalidez e funeral</t>
  </si>
  <si>
    <t>Total de Benefícios mensais e diários</t>
  </si>
  <si>
    <t>Total de Insumos Diversos</t>
  </si>
  <si>
    <t>Módulo 4: Encargos Sociais e Trabalhistas</t>
  </si>
  <si>
    <t>Submódulo 4.1 - Encargos Previdenciários e FGTS</t>
  </si>
  <si>
    <t>4.1</t>
  </si>
  <si>
    <t>Encargos Previdenciários e FGTS</t>
  </si>
  <si>
    <t>%</t>
  </si>
  <si>
    <t>INSS</t>
  </si>
  <si>
    <t>SESI ou SESC</t>
  </si>
  <si>
    <t>SENAI ou SENAC</t>
  </si>
  <si>
    <t>INCRA</t>
  </si>
  <si>
    <t>Salário Educação</t>
  </si>
  <si>
    <t>FGTS</t>
  </si>
  <si>
    <t>Seguro acidente do trabalho</t>
  </si>
  <si>
    <t>SEBRAE</t>
  </si>
  <si>
    <t xml:space="preserve">Total </t>
  </si>
  <si>
    <t>4.2</t>
  </si>
  <si>
    <t>13º salário</t>
  </si>
  <si>
    <t>Subtotal</t>
  </si>
  <si>
    <t>Total</t>
  </si>
  <si>
    <t>Submódulo 4.3 - Afastamento Maternidade</t>
  </si>
  <si>
    <t>4.3</t>
  </si>
  <si>
    <t>Afastamento maternidade</t>
  </si>
  <si>
    <t>Incidência do submódulo 4.1 sobre afastamento maternidade</t>
  </si>
  <si>
    <t>Submódulo 4.4 - Provisão para Rescisão</t>
  </si>
  <si>
    <t>4.4</t>
  </si>
  <si>
    <t>Provisão para rescisão</t>
  </si>
  <si>
    <t>Aviso prévio indenizado</t>
  </si>
  <si>
    <t>Incidência do FGTS sobre aviso prévio indenizado</t>
  </si>
  <si>
    <t>Multa do FGTS e CS do aviso prévio indenizado</t>
  </si>
  <si>
    <t>Aviso prévio trabalhado</t>
  </si>
  <si>
    <t>Incidência do submódulo 4.1 sobre aviso prévio trabalhado</t>
  </si>
  <si>
    <t>Multa do FGTS e CS do aviso prévio trabalhado</t>
  </si>
  <si>
    <t>Submódulo 4.5 - Custo de Reposição do Profissional Ausente</t>
  </si>
  <si>
    <t>4.5</t>
  </si>
  <si>
    <t>Composição do custo de reposição do profissional ausente</t>
  </si>
  <si>
    <t>Ausência por doença</t>
  </si>
  <si>
    <t>Licença paternidade</t>
  </si>
  <si>
    <t>Ausências legais</t>
  </si>
  <si>
    <t>Ausência por Acidente de trabalho</t>
  </si>
  <si>
    <t>Incidência do submódulo 4.1 sobre o Custo de reposição</t>
  </si>
  <si>
    <t>Módulo 4 - Encargos Sociais e Trabalhistas</t>
  </si>
  <si>
    <t>Encargos previdenciários e FGTS</t>
  </si>
  <si>
    <t>Custo de rescisão</t>
  </si>
  <si>
    <t>Custo de reposição do profissional ausente</t>
  </si>
  <si>
    <t>4.6</t>
  </si>
  <si>
    <t>Módulo 5 - Custos Indiretos, Tributos e Lucro</t>
  </si>
  <si>
    <t>Custos Indiretos</t>
  </si>
  <si>
    <t>Tributos - Base de cálculo</t>
  </si>
  <si>
    <t>B.1</t>
  </si>
  <si>
    <t>PIS</t>
  </si>
  <si>
    <t>B.2</t>
  </si>
  <si>
    <t>COFINS</t>
  </si>
  <si>
    <t>B.3</t>
  </si>
  <si>
    <t>ISS</t>
  </si>
  <si>
    <t>B.4</t>
  </si>
  <si>
    <t>Lucro</t>
  </si>
  <si>
    <t>QUADRO-RESUMO DO CUSTO POR EMPREGADO</t>
  </si>
  <si>
    <t>Módulo 1 - Composição da remuneração</t>
  </si>
  <si>
    <t>Módulo 2 - Benefícios Mensais e Diários</t>
  </si>
  <si>
    <t>Módulo 3 - Insumos Diversos</t>
  </si>
  <si>
    <t>Subtotal (A+B+C+D)</t>
  </si>
  <si>
    <t>Mão-de-Obra Vinculada à Execução Contratual</t>
  </si>
  <si>
    <t>Dados complementares para composição dos custos referentes à mão-de-obra</t>
  </si>
  <si>
    <t>Nota (1) - Os percentuais dos encargos previdenciários e FGTS são estabelecidos pela legislação.</t>
  </si>
  <si>
    <t>Nota (2) - Percentuais incidentes sobre a remuneração.</t>
  </si>
  <si>
    <t>Jardineiro</t>
  </si>
  <si>
    <t>Jardinagem</t>
  </si>
  <si>
    <t>Uniformes/EPI</t>
  </si>
  <si>
    <t>Valor total por empregado - Jardineiro</t>
  </si>
  <si>
    <t>Outros</t>
  </si>
  <si>
    <t>Cesta Básica</t>
  </si>
  <si>
    <t>Auxílio alimentação</t>
  </si>
  <si>
    <t>Férias e terço constitucional de férias</t>
  </si>
  <si>
    <t xml:space="preserve">13º salário </t>
  </si>
  <si>
    <t xml:space="preserve">Incidência do submódulo 4.1 sobre 13º salário </t>
  </si>
  <si>
    <t>ANEXO B</t>
  </si>
  <si>
    <t xml:space="preserve">MÃO-DE-OBRA </t>
  </si>
  <si>
    <t xml:space="preserve">Depreciação Equipamentos, ferramentas e materiais </t>
  </si>
  <si>
    <t xml:space="preserve">Submódulo 4.2 - 13º Salário </t>
  </si>
  <si>
    <t>PREGÃO N.º ____/2017</t>
  </si>
  <si>
    <t>TERMO DE REFERÊNCIA N.º 001/2017 – SPSA/SIAP</t>
  </si>
  <si>
    <t>Eng. Agrônomo</t>
  </si>
  <si>
    <t>Auxílio alimentação (Vales, cesta básica etc)</t>
  </si>
  <si>
    <t>Materiais</t>
  </si>
  <si>
    <t>Equipamentos</t>
  </si>
  <si>
    <t>Depreciação</t>
  </si>
  <si>
    <t>13º salário + Adicional de férias</t>
  </si>
  <si>
    <t>Valor total por empregado - Eng. Agrônomo</t>
  </si>
  <si>
    <t>Profissional</t>
  </si>
  <si>
    <t>Quant.</t>
  </si>
  <si>
    <t>Valor Unitário (R$)</t>
  </si>
  <si>
    <t>Valor Total Mensal (R$)</t>
  </si>
  <si>
    <t>Jardineiro Encarregado</t>
  </si>
  <si>
    <t>TOTAL GERAL MENSAL =</t>
  </si>
  <si>
    <t>Módulo 1: Composição da Remuneração</t>
  </si>
  <si>
    <t>Módulo 2: Benefícios Mensais e Diários</t>
  </si>
  <si>
    <t>Módulo 3: Insumos Diversos</t>
  </si>
  <si>
    <t>Módulo 4: Quadro-Resumo - Encargos Sociais e Trabalhistas</t>
  </si>
  <si>
    <t>Módulo 5: Custos Indiretos, Tributos e Lucro</t>
  </si>
  <si>
    <t>QUADRO-RESUMO DO CUSTO TOTAL</t>
  </si>
  <si>
    <t>TOTAL GERAL ANUAL (12 meses) =</t>
  </si>
  <si>
    <t>01 Engenheiro Agrônomo por 12 meses (anual) =</t>
  </si>
  <si>
    <t>01 Jardineiro (mensal) =</t>
  </si>
  <si>
    <t>01 Jardineiro Encarregado (mensal) =</t>
  </si>
  <si>
    <t>01 Jardineiro Encarregado por 12 meses (anual) =</t>
  </si>
  <si>
    <t>01 Jardineiro c/ Insalubridade (mensal) =</t>
  </si>
  <si>
    <t>01 Jardineiro c/ Insalubridade por 12 meses (anual) =</t>
  </si>
  <si>
    <t>QUADRO-RESUMO GERAL DA MÃO DE OBRA</t>
  </si>
  <si>
    <t>Simulado</t>
  </si>
  <si>
    <t>Custos Indiretos, Tributos e Lucro</t>
  </si>
  <si>
    <r>
      <t xml:space="preserve">Salário Base </t>
    </r>
    <r>
      <rPr>
        <b/>
        <sz val="10"/>
        <rFont val="Verdana"/>
        <family val="2"/>
      </rPr>
      <t>(08h/mês)</t>
    </r>
  </si>
  <si>
    <t>01 Engenheiro Agrônomo (08 horas/mês) =</t>
  </si>
  <si>
    <t>09 Jardineiros (mensal) =</t>
  </si>
  <si>
    <t>09 Jardineiros por 12 meses (anual) =</t>
  </si>
  <si>
    <t>Gratificação</t>
  </si>
  <si>
    <t>Custos  Indiretos, Tributos e Lucro</t>
  </si>
</sst>
</file>

<file path=xl/styles.xml><?xml version="1.0" encoding="utf-8"?>
<styleSheet xmlns="http://schemas.openxmlformats.org/spreadsheetml/2006/main">
  <numFmts count="2">
    <numFmt numFmtId="44" formatCode="_(&quot;R$ &quot;* #,##0.00_);_(&quot;R$ &quot;* \(#,##0.00\);_(&quot;R$ &quot;* &quot;-&quot;??_);_(@_)"/>
    <numFmt numFmtId="164" formatCode="00"/>
  </numFmts>
  <fonts count="20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color indexed="10"/>
      <name val="Verdana"/>
      <family val="2"/>
    </font>
    <font>
      <b/>
      <sz val="10"/>
      <color indexed="12"/>
      <name val="Verdana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sz val="10"/>
      <color indexed="9"/>
      <name val="Verdana"/>
      <family val="2"/>
    </font>
    <font>
      <sz val="8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u/>
      <sz val="10"/>
      <color theme="1"/>
      <name val="Verdana"/>
      <family val="2"/>
    </font>
    <font>
      <sz val="10"/>
      <color rgb="FFFF0000"/>
      <name val="Verdana"/>
      <family val="2"/>
    </font>
    <font>
      <b/>
      <sz val="10"/>
      <color rgb="FF0000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4" fontId="8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4" fontId="10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0" fontId="8" fillId="0" borderId="1" xfId="0" applyNumberFormat="1" applyFont="1" applyBorder="1" applyAlignment="1">
      <alignment horizontal="left" vertical="center"/>
    </xf>
    <xf numFmtId="10" fontId="8" fillId="0" borderId="0" xfId="0" applyNumberFormat="1" applyFont="1" applyAlignment="1">
      <alignment vertical="center"/>
    </xf>
    <xf numFmtId="4" fontId="11" fillId="0" borderId="1" xfId="0" applyNumberFormat="1" applyFont="1" applyBorder="1" applyAlignment="1">
      <alignment vertical="center"/>
    </xf>
    <xf numFmtId="4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2" fontId="7" fillId="0" borderId="0" xfId="0" applyNumberFormat="1" applyFont="1" applyAlignment="1">
      <alignment vertical="center"/>
    </xf>
    <xf numFmtId="10" fontId="7" fillId="0" borderId="0" xfId="0" applyNumberFormat="1" applyFont="1" applyAlignment="1">
      <alignment vertical="center"/>
    </xf>
    <xf numFmtId="10" fontId="7" fillId="0" borderId="0" xfId="2" applyNumberFormat="1" applyFont="1" applyAlignment="1">
      <alignment vertical="center"/>
    </xf>
    <xf numFmtId="0" fontId="8" fillId="0" borderId="1" xfId="0" applyFont="1" applyBorder="1" applyAlignment="1">
      <alignment vertical="center"/>
    </xf>
    <xf numFmtId="10" fontId="8" fillId="0" borderId="1" xfId="0" applyNumberFormat="1" applyFont="1" applyBorder="1" applyAlignment="1">
      <alignment vertical="center"/>
    </xf>
    <xf numFmtId="4" fontId="8" fillId="0" borderId="1" xfId="0" applyNumberFormat="1" applyFont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4" fontId="8" fillId="0" borderId="1" xfId="0" applyNumberFormat="1" applyFont="1" applyFill="1" applyBorder="1" applyAlignment="1">
      <alignment vertical="center"/>
    </xf>
    <xf numFmtId="10" fontId="8" fillId="0" borderId="1" xfId="0" applyNumberFormat="1" applyFont="1" applyFill="1" applyBorder="1" applyAlignment="1">
      <alignment horizontal="left" vertical="center"/>
    </xf>
    <xf numFmtId="4" fontId="10" fillId="0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shrinkToFi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10" fontId="12" fillId="0" borderId="1" xfId="0" applyNumberFormat="1" applyFont="1" applyFill="1" applyBorder="1" applyAlignment="1">
      <alignment horizontal="center" vertical="center"/>
    </xf>
    <xf numFmtId="10" fontId="13" fillId="0" borderId="1" xfId="2" applyNumberFormat="1" applyFont="1" applyFill="1" applyBorder="1" applyAlignment="1">
      <alignment horizontal="center" vertical="center"/>
    </xf>
    <xf numFmtId="10" fontId="8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shrinkToFit="1"/>
    </xf>
    <xf numFmtId="4" fontId="8" fillId="0" borderId="3" xfId="0" applyNumberFormat="1" applyFont="1" applyBorder="1" applyAlignment="1">
      <alignment horizontal="center" vertical="center" shrinkToFit="1"/>
    </xf>
    <xf numFmtId="14" fontId="10" fillId="0" borderId="3" xfId="0" applyNumberFormat="1" applyFont="1" applyBorder="1" applyAlignment="1">
      <alignment horizontal="center" vertical="center" shrinkToFit="1"/>
    </xf>
    <xf numFmtId="4" fontId="11" fillId="0" borderId="3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4" fontId="10" fillId="0" borderId="3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4" fontId="11" fillId="0" borderId="0" xfId="0" applyNumberFormat="1" applyFont="1" applyBorder="1" applyAlignment="1">
      <alignment vertical="center"/>
    </xf>
    <xf numFmtId="10" fontId="7" fillId="0" borderId="3" xfId="0" applyNumberFormat="1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5" xfId="0" applyNumberFormat="1" applyFont="1" applyBorder="1" applyAlignment="1">
      <alignment horizontal="center" vertical="center"/>
    </xf>
    <xf numFmtId="10" fontId="8" fillId="0" borderId="6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10" fontId="8" fillId="0" borderId="7" xfId="0" applyNumberFormat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4" fontId="8" fillId="0" borderId="3" xfId="0" applyNumberFormat="1" applyFont="1" applyBorder="1" applyAlignment="1">
      <alignment vertical="center"/>
    </xf>
    <xf numFmtId="10" fontId="8" fillId="0" borderId="0" xfId="0" applyNumberFormat="1" applyFont="1" applyBorder="1" applyAlignment="1">
      <alignment horizontal="left" vertical="center"/>
    </xf>
    <xf numFmtId="4" fontId="10" fillId="0" borderId="0" xfId="0" applyNumberFormat="1" applyFont="1" applyBorder="1" applyAlignment="1">
      <alignment vertical="center"/>
    </xf>
    <xf numFmtId="10" fontId="12" fillId="0" borderId="6" xfId="0" applyNumberFormat="1" applyFont="1" applyFill="1" applyBorder="1" applyAlignment="1">
      <alignment horizontal="center" vertical="center"/>
    </xf>
    <xf numFmtId="10" fontId="12" fillId="0" borderId="5" xfId="0" applyNumberFormat="1" applyFont="1" applyFill="1" applyBorder="1" applyAlignment="1">
      <alignment horizontal="center" vertical="center"/>
    </xf>
    <xf numFmtId="10" fontId="8" fillId="0" borderId="8" xfId="0" applyNumberFormat="1" applyFont="1" applyFill="1" applyBorder="1" applyAlignment="1">
      <alignment horizontal="left" vertical="center"/>
    </xf>
    <xf numFmtId="10" fontId="8" fillId="0" borderId="9" xfId="0" applyNumberFormat="1" applyFont="1" applyFill="1" applyBorder="1" applyAlignment="1">
      <alignment horizontal="left" vertical="center"/>
    </xf>
    <xf numFmtId="10" fontId="8" fillId="0" borderId="6" xfId="0" applyNumberFormat="1" applyFont="1" applyFill="1" applyBorder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4" fontId="11" fillId="4" borderId="3" xfId="0" applyNumberFormat="1" applyFont="1" applyFill="1" applyBorder="1" applyAlignment="1">
      <alignment vertical="center"/>
    </xf>
    <xf numFmtId="2" fontId="18" fillId="0" borderId="0" xfId="0" applyNumberFormat="1" applyFont="1" applyAlignment="1">
      <alignment vertical="center"/>
    </xf>
    <xf numFmtId="9" fontId="7" fillId="0" borderId="0" xfId="0" applyNumberFormat="1" applyFont="1" applyAlignment="1">
      <alignment vertical="center"/>
    </xf>
    <xf numFmtId="10" fontId="15" fillId="0" borderId="1" xfId="0" applyNumberFormat="1" applyFont="1" applyFill="1" applyBorder="1" applyAlignment="1">
      <alignment horizontal="center" vertical="center"/>
    </xf>
    <xf numFmtId="4" fontId="16" fillId="0" borderId="1" xfId="0" applyNumberFormat="1" applyFont="1" applyBorder="1" applyAlignment="1">
      <alignment vertical="center"/>
    </xf>
    <xf numFmtId="4" fontId="19" fillId="0" borderId="1" xfId="0" applyNumberFormat="1" applyFont="1" applyFill="1" applyBorder="1" applyAlignment="1">
      <alignment vertical="center"/>
    </xf>
    <xf numFmtId="4" fontId="19" fillId="0" borderId="1" xfId="0" applyNumberFormat="1" applyFont="1" applyBorder="1" applyAlignment="1">
      <alignment vertical="center"/>
    </xf>
    <xf numFmtId="4" fontId="11" fillId="0" borderId="3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4" fontId="15" fillId="0" borderId="1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shrinkToFit="1"/>
    </xf>
    <xf numFmtId="14" fontId="10" fillId="0" borderId="1" xfId="0" applyNumberFormat="1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left" vertical="center" shrinkToFit="1"/>
    </xf>
    <xf numFmtId="44" fontId="8" fillId="3" borderId="1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shrinkToFit="1"/>
    </xf>
    <xf numFmtId="44" fontId="7" fillId="0" borderId="1" xfId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0" fontId="7" fillId="0" borderId="1" xfId="0" applyNumberFormat="1" applyFont="1" applyBorder="1" applyAlignment="1">
      <alignment horizontal="left" vertical="center"/>
    </xf>
    <xf numFmtId="10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0" fontId="7" fillId="0" borderId="8" xfId="0" applyNumberFormat="1" applyFont="1" applyBorder="1" applyAlignment="1">
      <alignment horizontal="left" vertical="center"/>
    </xf>
    <xf numFmtId="10" fontId="7" fillId="0" borderId="9" xfId="0" applyNumberFormat="1" applyFont="1" applyBorder="1" applyAlignment="1">
      <alignment horizontal="left" vertical="center"/>
    </xf>
    <xf numFmtId="10" fontId="7" fillId="0" borderId="11" xfId="0" applyNumberFormat="1" applyFont="1" applyBorder="1" applyAlignment="1">
      <alignment horizontal="left" vertical="center"/>
    </xf>
    <xf numFmtId="10" fontId="8" fillId="0" borderId="1" xfId="0" applyNumberFormat="1" applyFont="1" applyFill="1" applyBorder="1" applyAlignment="1">
      <alignment horizontal="left" vertical="center"/>
    </xf>
    <xf numFmtId="10" fontId="7" fillId="0" borderId="1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0" fontId="8" fillId="0" borderId="8" xfId="0" applyNumberFormat="1" applyFont="1" applyFill="1" applyBorder="1" applyAlignment="1">
      <alignment horizontal="left" vertical="center"/>
    </xf>
    <xf numFmtId="10" fontId="8" fillId="0" borderId="9" xfId="0" applyNumberFormat="1" applyFont="1" applyFill="1" applyBorder="1" applyAlignment="1">
      <alignment horizontal="left" vertical="center"/>
    </xf>
    <xf numFmtId="10" fontId="8" fillId="0" borderId="6" xfId="0" applyNumberFormat="1" applyFont="1" applyFill="1" applyBorder="1" applyAlignment="1">
      <alignment horizontal="left" vertical="center"/>
    </xf>
    <xf numFmtId="0" fontId="7" fillId="0" borderId="8" xfId="0" applyFont="1" applyBorder="1" applyAlignment="1">
      <alignment horizontal="left" vertical="center" shrinkToFit="1"/>
    </xf>
    <xf numFmtId="0" fontId="0" fillId="0" borderId="9" xfId="0" applyBorder="1"/>
    <xf numFmtId="0" fontId="0" fillId="0" borderId="6" xfId="0" applyBorder="1"/>
    <xf numFmtId="0" fontId="7" fillId="0" borderId="9" xfId="0" applyFont="1" applyBorder="1" applyAlignment="1">
      <alignment horizontal="left" vertical="center" shrinkToFit="1"/>
    </xf>
    <xf numFmtId="0" fontId="7" fillId="0" borderId="6" xfId="0" applyFont="1" applyBorder="1" applyAlignment="1">
      <alignment horizontal="left" vertical="center" shrinkToFit="1"/>
    </xf>
    <xf numFmtId="0" fontId="8" fillId="3" borderId="8" xfId="0" applyFont="1" applyFill="1" applyBorder="1" applyAlignment="1">
      <alignment horizontal="left" vertical="center" shrinkToFit="1"/>
    </xf>
    <xf numFmtId="0" fontId="8" fillId="3" borderId="9" xfId="0" applyFont="1" applyFill="1" applyBorder="1" applyAlignment="1">
      <alignment horizontal="left" vertical="center" shrinkToFit="1"/>
    </xf>
    <xf numFmtId="0" fontId="8" fillId="3" borderId="6" xfId="0" applyFont="1" applyFill="1" applyBorder="1" applyAlignment="1">
      <alignment horizontal="left" vertical="center" shrinkToFit="1"/>
    </xf>
    <xf numFmtId="44" fontId="7" fillId="0" borderId="8" xfId="1" applyFont="1" applyBorder="1" applyAlignment="1">
      <alignment horizontal="left" vertical="center" shrinkToFit="1"/>
    </xf>
    <xf numFmtId="44" fontId="7" fillId="0" borderId="6" xfId="1" applyFont="1" applyBorder="1" applyAlignment="1">
      <alignment horizontal="left" vertical="center" shrinkToFit="1"/>
    </xf>
    <xf numFmtId="44" fontId="7" fillId="0" borderId="8" xfId="1" applyFont="1" applyFill="1" applyBorder="1" applyAlignment="1">
      <alignment horizontal="left" vertical="center" shrinkToFit="1"/>
    </xf>
    <xf numFmtId="44" fontId="7" fillId="0" borderId="6" xfId="1" applyFont="1" applyFill="1" applyBorder="1" applyAlignment="1">
      <alignment horizontal="left" vertical="center" shrinkToFit="1"/>
    </xf>
    <xf numFmtId="44" fontId="8" fillId="3" borderId="8" xfId="1" applyFont="1" applyFill="1" applyBorder="1" applyAlignment="1">
      <alignment horizontal="left" vertical="center" shrinkToFit="1"/>
    </xf>
    <xf numFmtId="44" fontId="8" fillId="3" borderId="6" xfId="1" applyFont="1" applyFill="1" applyBorder="1" applyAlignment="1">
      <alignment horizontal="left" vertical="center" shrinkToFit="1"/>
    </xf>
    <xf numFmtId="0" fontId="7" fillId="2" borderId="8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10" fontId="7" fillId="0" borderId="8" xfId="0" applyNumberFormat="1" applyFont="1" applyFill="1" applyBorder="1" applyAlignment="1">
      <alignment horizontal="left" vertical="center"/>
    </xf>
    <xf numFmtId="10" fontId="7" fillId="0" borderId="9" xfId="0" applyNumberFormat="1" applyFont="1" applyFill="1" applyBorder="1" applyAlignment="1">
      <alignment horizontal="left" vertical="center"/>
    </xf>
    <xf numFmtId="10" fontId="7" fillId="0" borderId="6" xfId="0" applyNumberFormat="1" applyFont="1" applyFill="1" applyBorder="1" applyAlignment="1">
      <alignment horizontal="left" vertical="center"/>
    </xf>
    <xf numFmtId="10" fontId="8" fillId="0" borderId="8" xfId="0" applyNumberFormat="1" applyFont="1" applyBorder="1" applyAlignment="1">
      <alignment horizontal="left" vertical="center"/>
    </xf>
    <xf numFmtId="10" fontId="8" fillId="0" borderId="9" xfId="0" applyNumberFormat="1" applyFont="1" applyBorder="1" applyAlignment="1">
      <alignment horizontal="left" vertical="center"/>
    </xf>
    <xf numFmtId="10" fontId="8" fillId="0" borderId="11" xfId="0" applyNumberFormat="1" applyFont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10" fontId="8" fillId="0" borderId="6" xfId="0" applyNumberFormat="1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9" fontId="7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center"/>
    </xf>
    <xf numFmtId="4" fontId="7" fillId="0" borderId="0" xfId="0" applyNumberFormat="1" applyFont="1" applyFill="1" applyAlignment="1">
      <alignment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552450</xdr:colOff>
      <xdr:row>2</xdr:row>
      <xdr:rowOff>152400</xdr:rowOff>
    </xdr:to>
    <xdr:pic>
      <xdr:nvPicPr>
        <xdr:cNvPr id="7210" name="Imagem 3" descr="_Timpre SIAP novo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7528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5"/>
  <sheetViews>
    <sheetView tabSelected="1" topLeftCell="A103" zoomScaleNormal="100" workbookViewId="0">
      <selection activeCell="J119" sqref="J119"/>
    </sheetView>
  </sheetViews>
  <sheetFormatPr defaultRowHeight="12.75"/>
  <cols>
    <col min="1" max="1" width="9.28515625" style="12" bestFit="1" customWidth="1"/>
    <col min="2" max="4" width="9.140625" style="12"/>
    <col min="5" max="5" width="11.28515625" style="12" bestFit="1" customWidth="1"/>
    <col min="6" max="6" width="17.28515625" style="12" customWidth="1"/>
    <col min="7" max="7" width="10.140625" style="12" bestFit="1" customWidth="1"/>
    <col min="8" max="8" width="14.42578125" style="12" bestFit="1" customWidth="1"/>
    <col min="9" max="9" width="11.28515625" style="12" bestFit="1" customWidth="1"/>
    <col min="10" max="10" width="9.28515625" style="12" bestFit="1" customWidth="1"/>
    <col min="11" max="11" width="9.42578125" style="12" bestFit="1" customWidth="1"/>
    <col min="12" max="12" width="10.85546875" style="12" customWidth="1"/>
    <col min="13" max="16384" width="9.140625" style="12"/>
  </cols>
  <sheetData>
    <row r="1" spans="1:15" s="7" customFormat="1" ht="15" customHeight="1">
      <c r="F1" s="8"/>
      <c r="H1" s="8"/>
      <c r="I1" s="8"/>
      <c r="J1" s="8"/>
      <c r="K1" s="8"/>
      <c r="N1" s="9"/>
    </row>
    <row r="2" spans="1:15" s="7" customFormat="1" ht="15" customHeight="1">
      <c r="F2" s="8"/>
      <c r="H2" s="8"/>
      <c r="I2" s="8"/>
      <c r="J2" s="8"/>
      <c r="K2" s="8"/>
      <c r="N2" s="9"/>
    </row>
    <row r="3" spans="1:15" s="7" customFormat="1" ht="15" customHeight="1">
      <c r="F3" s="8"/>
      <c r="H3" s="8"/>
      <c r="I3" s="8"/>
      <c r="J3" s="8"/>
      <c r="K3" s="8"/>
      <c r="N3" s="9"/>
    </row>
    <row r="4" spans="1:15" s="7" customFormat="1" ht="13.5" customHeight="1">
      <c r="F4" s="8"/>
      <c r="H4" s="8"/>
      <c r="I4" s="8"/>
      <c r="J4" s="8"/>
      <c r="K4" s="8"/>
      <c r="N4" s="9"/>
    </row>
    <row r="5" spans="1:15" s="7" customFormat="1">
      <c r="A5" s="94" t="s">
        <v>109</v>
      </c>
      <c r="B5" s="94"/>
      <c r="C5" s="94"/>
      <c r="D5" s="94"/>
      <c r="E5" s="94"/>
      <c r="F5" s="94"/>
      <c r="G5" s="94"/>
      <c r="H5" s="94"/>
      <c r="I5" s="10"/>
      <c r="J5" s="10"/>
      <c r="K5" s="10"/>
      <c r="L5" s="10"/>
      <c r="M5" s="10"/>
      <c r="N5" s="10"/>
      <c r="O5" s="10"/>
    </row>
    <row r="6" spans="1:15" s="7" customFormat="1">
      <c r="A6" s="95" t="s">
        <v>105</v>
      </c>
      <c r="B6" s="95"/>
      <c r="C6" s="95"/>
      <c r="D6" s="95"/>
      <c r="E6" s="95"/>
      <c r="F6" s="95"/>
      <c r="G6" s="95"/>
      <c r="H6" s="95"/>
      <c r="I6" s="11"/>
      <c r="J6" s="11"/>
      <c r="K6" s="11"/>
      <c r="L6" s="11"/>
      <c r="M6" s="11"/>
      <c r="N6" s="11"/>
      <c r="O6" s="11"/>
    </row>
    <row r="7" spans="1:15" s="7" customFormat="1">
      <c r="A7" s="94" t="s">
        <v>110</v>
      </c>
      <c r="B7" s="94"/>
      <c r="C7" s="94"/>
      <c r="D7" s="94"/>
      <c r="E7" s="94"/>
      <c r="F7" s="94"/>
      <c r="G7" s="94"/>
      <c r="H7" s="94"/>
      <c r="I7" s="10"/>
      <c r="J7" s="10"/>
      <c r="K7" s="10"/>
      <c r="L7" s="10"/>
      <c r="M7" s="10"/>
      <c r="N7" s="10"/>
      <c r="O7" s="10"/>
    </row>
    <row r="8" spans="1:15">
      <c r="A8" s="94" t="s">
        <v>0</v>
      </c>
      <c r="B8" s="94"/>
      <c r="C8" s="94"/>
      <c r="D8" s="94"/>
      <c r="E8" s="94"/>
      <c r="F8" s="94"/>
      <c r="G8" s="94"/>
      <c r="H8" s="94"/>
      <c r="I8" s="13"/>
    </row>
    <row r="9" spans="1:15">
      <c r="A9" s="94" t="s">
        <v>106</v>
      </c>
      <c r="B9" s="94"/>
      <c r="C9" s="94"/>
      <c r="D9" s="94"/>
      <c r="E9" s="94"/>
      <c r="F9" s="94"/>
      <c r="G9" s="94"/>
      <c r="H9" s="94"/>
    </row>
    <row r="10" spans="1:15" ht="13.5" customHeight="1">
      <c r="A10" s="14"/>
      <c r="B10" s="14"/>
      <c r="C10" s="14"/>
      <c r="D10" s="14"/>
      <c r="E10" s="14"/>
      <c r="F10" s="14"/>
      <c r="G10" s="14"/>
      <c r="H10" s="14"/>
    </row>
    <row r="11" spans="1:15" ht="13.5" customHeight="1">
      <c r="A11" s="15" t="s">
        <v>91</v>
      </c>
      <c r="B11" s="15"/>
      <c r="C11" s="15"/>
      <c r="D11" s="15"/>
      <c r="E11" s="15"/>
    </row>
    <row r="12" spans="1:15" ht="13.5" customHeight="1">
      <c r="A12" s="13"/>
    </row>
    <row r="13" spans="1:15" ht="13.5" customHeight="1">
      <c r="A13" s="96" t="s">
        <v>92</v>
      </c>
      <c r="B13" s="96"/>
      <c r="C13" s="96"/>
      <c r="D13" s="96"/>
      <c r="E13" s="96"/>
      <c r="F13" s="96"/>
      <c r="G13" s="96"/>
      <c r="H13" s="96"/>
    </row>
    <row r="14" spans="1:15" ht="13.5" customHeight="1">
      <c r="A14" s="16">
        <v>1</v>
      </c>
      <c r="B14" s="97" t="s">
        <v>1</v>
      </c>
      <c r="C14" s="97"/>
      <c r="D14" s="97"/>
      <c r="E14" s="97"/>
      <c r="F14" s="97"/>
      <c r="G14" s="97"/>
      <c r="H14" s="37" t="s">
        <v>96</v>
      </c>
    </row>
    <row r="15" spans="1:15" ht="13.5" customHeight="1">
      <c r="A15" s="16">
        <v>2</v>
      </c>
      <c r="B15" s="97" t="s">
        <v>2</v>
      </c>
      <c r="C15" s="97"/>
      <c r="D15" s="97"/>
      <c r="E15" s="97"/>
      <c r="F15" s="97"/>
      <c r="G15" s="97"/>
      <c r="H15" s="86">
        <v>0</v>
      </c>
      <c r="J15" s="17"/>
      <c r="K15" s="78"/>
    </row>
    <row r="16" spans="1:15" ht="13.5" customHeight="1">
      <c r="A16" s="16">
        <v>3</v>
      </c>
      <c r="B16" s="97" t="s">
        <v>3</v>
      </c>
      <c r="C16" s="97"/>
      <c r="D16" s="97"/>
      <c r="E16" s="97"/>
      <c r="F16" s="97"/>
      <c r="G16" s="97"/>
      <c r="H16" s="87" t="s">
        <v>111</v>
      </c>
    </row>
    <row r="17" spans="1:14" ht="13.5" customHeight="1">
      <c r="A17" s="16">
        <v>4</v>
      </c>
      <c r="B17" s="97" t="s">
        <v>4</v>
      </c>
      <c r="C17" s="97"/>
      <c r="D17" s="97"/>
      <c r="E17" s="97"/>
      <c r="F17" s="97"/>
      <c r="G17" s="97"/>
      <c r="H17" s="88">
        <v>42736</v>
      </c>
    </row>
    <row r="18" spans="1:14" ht="13.5" customHeight="1">
      <c r="E18" s="18"/>
    </row>
    <row r="19" spans="1:14" ht="13.5" customHeight="1">
      <c r="A19" s="15" t="s">
        <v>124</v>
      </c>
      <c r="B19" s="15"/>
      <c r="C19" s="15"/>
      <c r="D19" s="15"/>
      <c r="E19" s="15"/>
    </row>
    <row r="20" spans="1:14" ht="13.5" customHeight="1">
      <c r="A20" s="75">
        <v>1</v>
      </c>
      <c r="B20" s="96" t="s">
        <v>5</v>
      </c>
      <c r="C20" s="96"/>
      <c r="D20" s="96"/>
      <c r="E20" s="96"/>
      <c r="F20" s="96"/>
      <c r="G20" s="96"/>
      <c r="H20" s="75" t="s">
        <v>6</v>
      </c>
    </row>
    <row r="21" spans="1:14" ht="13.5" customHeight="1">
      <c r="A21" s="16" t="s">
        <v>7</v>
      </c>
      <c r="B21" s="98" t="s">
        <v>140</v>
      </c>
      <c r="C21" s="98"/>
      <c r="D21" s="98"/>
      <c r="E21" s="98"/>
      <c r="F21" s="98"/>
      <c r="G21" s="98"/>
      <c r="H21" s="81">
        <f>H15/132*8</f>
        <v>0</v>
      </c>
      <c r="J21" s="19"/>
      <c r="L21" s="19"/>
      <c r="N21" s="19"/>
    </row>
    <row r="22" spans="1:14" ht="13.5" customHeight="1">
      <c r="A22" s="16" t="s">
        <v>9</v>
      </c>
      <c r="B22" s="98" t="s">
        <v>10</v>
      </c>
      <c r="C22" s="98"/>
      <c r="D22" s="98"/>
      <c r="E22" s="98"/>
      <c r="F22" s="98"/>
      <c r="G22" s="98"/>
      <c r="H22" s="81">
        <v>0</v>
      </c>
      <c r="J22" s="17"/>
    </row>
    <row r="23" spans="1:14" ht="13.5" customHeight="1">
      <c r="A23" s="16" t="s">
        <v>11</v>
      </c>
      <c r="B23" s="98" t="s">
        <v>12</v>
      </c>
      <c r="C23" s="98"/>
      <c r="D23" s="98"/>
      <c r="E23" s="98"/>
      <c r="F23" s="98"/>
      <c r="G23" s="98"/>
      <c r="H23" s="81">
        <v>0</v>
      </c>
    </row>
    <row r="24" spans="1:14" ht="13.5" customHeight="1">
      <c r="A24" s="16" t="s">
        <v>13</v>
      </c>
      <c r="B24" s="98" t="s">
        <v>14</v>
      </c>
      <c r="C24" s="98"/>
      <c r="D24" s="98"/>
      <c r="E24" s="98"/>
      <c r="F24" s="98"/>
      <c r="G24" s="98"/>
      <c r="H24" s="81">
        <v>0</v>
      </c>
    </row>
    <row r="25" spans="1:14" ht="13.5" customHeight="1">
      <c r="A25" s="16" t="s">
        <v>15</v>
      </c>
      <c r="B25" s="98" t="s">
        <v>16</v>
      </c>
      <c r="C25" s="98"/>
      <c r="D25" s="98"/>
      <c r="E25" s="98"/>
      <c r="F25" s="98"/>
      <c r="G25" s="98"/>
      <c r="H25" s="81">
        <v>0</v>
      </c>
    </row>
    <row r="26" spans="1:14" ht="13.5" customHeight="1">
      <c r="A26" s="16" t="s">
        <v>17</v>
      </c>
      <c r="B26" s="98" t="s">
        <v>18</v>
      </c>
      <c r="C26" s="98"/>
      <c r="D26" s="98"/>
      <c r="E26" s="98"/>
      <c r="F26" s="98"/>
      <c r="G26" s="98"/>
      <c r="H26" s="81">
        <v>0</v>
      </c>
    </row>
    <row r="27" spans="1:14" ht="13.5" customHeight="1">
      <c r="A27" s="16" t="s">
        <v>19</v>
      </c>
      <c r="B27" s="98" t="s">
        <v>20</v>
      </c>
      <c r="C27" s="98"/>
      <c r="D27" s="98"/>
      <c r="E27" s="98"/>
      <c r="F27" s="98"/>
      <c r="G27" s="98"/>
      <c r="H27" s="81">
        <v>0</v>
      </c>
    </row>
    <row r="28" spans="1:14" ht="13.5" customHeight="1">
      <c r="A28" s="16" t="s">
        <v>21</v>
      </c>
      <c r="B28" s="98" t="s">
        <v>22</v>
      </c>
      <c r="C28" s="98"/>
      <c r="D28" s="98"/>
      <c r="E28" s="98"/>
      <c r="F28" s="98"/>
      <c r="G28" s="98"/>
      <c r="H28" s="81">
        <v>0</v>
      </c>
    </row>
    <row r="29" spans="1:14" ht="13.5" customHeight="1">
      <c r="A29" s="21"/>
      <c r="B29" s="99" t="s">
        <v>23</v>
      </c>
      <c r="C29" s="99"/>
      <c r="D29" s="99"/>
      <c r="E29" s="99"/>
      <c r="F29" s="99"/>
      <c r="G29" s="99"/>
      <c r="H29" s="20">
        <f>SUM(H21:H28)</f>
        <v>0</v>
      </c>
    </row>
    <row r="30" spans="1:14" ht="13.5" customHeight="1">
      <c r="A30" s="15"/>
      <c r="G30" s="23"/>
      <c r="H30" s="18"/>
    </row>
    <row r="31" spans="1:14" ht="13.5" customHeight="1">
      <c r="A31" s="15" t="s">
        <v>125</v>
      </c>
      <c r="B31" s="15"/>
      <c r="C31" s="15"/>
      <c r="D31" s="15"/>
    </row>
    <row r="32" spans="1:14" ht="13.5" customHeight="1">
      <c r="A32" s="75">
        <v>2</v>
      </c>
      <c r="B32" s="96" t="s">
        <v>24</v>
      </c>
      <c r="C32" s="96"/>
      <c r="D32" s="96"/>
      <c r="E32" s="96"/>
      <c r="F32" s="96"/>
      <c r="G32" s="96"/>
      <c r="H32" s="75" t="s">
        <v>6</v>
      </c>
    </row>
    <row r="33" spans="1:10" ht="13.5" customHeight="1">
      <c r="A33" s="16" t="s">
        <v>7</v>
      </c>
      <c r="B33" s="98" t="s">
        <v>25</v>
      </c>
      <c r="C33" s="98"/>
      <c r="D33" s="98"/>
      <c r="E33" s="98"/>
      <c r="F33" s="98"/>
      <c r="G33" s="98"/>
      <c r="H33" s="24">
        <v>0</v>
      </c>
      <c r="I33" s="27"/>
    </row>
    <row r="34" spans="1:10" ht="13.5" customHeight="1">
      <c r="A34" s="16" t="s">
        <v>9</v>
      </c>
      <c r="B34" s="98" t="s">
        <v>112</v>
      </c>
      <c r="C34" s="98"/>
      <c r="D34" s="98"/>
      <c r="E34" s="98"/>
      <c r="F34" s="98"/>
      <c r="G34" s="98"/>
      <c r="H34" s="24">
        <v>0</v>
      </c>
    </row>
    <row r="35" spans="1:10" ht="13.5" customHeight="1">
      <c r="A35" s="16" t="s">
        <v>11</v>
      </c>
      <c r="B35" s="98" t="s">
        <v>26</v>
      </c>
      <c r="C35" s="98"/>
      <c r="D35" s="98"/>
      <c r="E35" s="98"/>
      <c r="F35" s="98"/>
      <c r="G35" s="98"/>
      <c r="H35" s="24">
        <v>0</v>
      </c>
    </row>
    <row r="36" spans="1:10" ht="13.5" customHeight="1">
      <c r="A36" s="16" t="s">
        <v>13</v>
      </c>
      <c r="B36" s="98" t="s">
        <v>27</v>
      </c>
      <c r="C36" s="98"/>
      <c r="D36" s="98"/>
      <c r="E36" s="98"/>
      <c r="F36" s="98"/>
      <c r="G36" s="98"/>
      <c r="H36" s="24">
        <v>0</v>
      </c>
    </row>
    <row r="37" spans="1:10" ht="13.5" customHeight="1">
      <c r="A37" s="16" t="s">
        <v>15</v>
      </c>
      <c r="B37" s="98" t="s">
        <v>28</v>
      </c>
      <c r="C37" s="98"/>
      <c r="D37" s="98"/>
      <c r="E37" s="98"/>
      <c r="F37" s="98"/>
      <c r="G37" s="98"/>
      <c r="H37" s="24">
        <v>0</v>
      </c>
    </row>
    <row r="38" spans="1:10" ht="13.5" customHeight="1">
      <c r="A38" s="16" t="s">
        <v>17</v>
      </c>
      <c r="B38" s="98" t="s">
        <v>22</v>
      </c>
      <c r="C38" s="98"/>
      <c r="D38" s="98"/>
      <c r="E38" s="98"/>
      <c r="F38" s="98"/>
      <c r="G38" s="98"/>
      <c r="H38" s="24">
        <v>0</v>
      </c>
    </row>
    <row r="39" spans="1:10" ht="13.5" customHeight="1">
      <c r="A39" s="21"/>
      <c r="B39" s="99" t="s">
        <v>29</v>
      </c>
      <c r="C39" s="99"/>
      <c r="D39" s="99"/>
      <c r="E39" s="99"/>
      <c r="F39" s="99"/>
      <c r="G39" s="99"/>
      <c r="H39" s="20">
        <f>SUM(H33:H38)</f>
        <v>0</v>
      </c>
    </row>
    <row r="40" spans="1:10" ht="13.5" customHeight="1">
      <c r="A40" s="15"/>
      <c r="G40" s="23"/>
      <c r="H40" s="18"/>
    </row>
    <row r="41" spans="1:10" ht="13.5" customHeight="1">
      <c r="A41" s="15" t="s">
        <v>126</v>
      </c>
      <c r="B41" s="15"/>
      <c r="C41" s="15"/>
    </row>
    <row r="42" spans="1:10" ht="13.5" customHeight="1">
      <c r="A42" s="75">
        <v>3</v>
      </c>
      <c r="B42" s="96" t="s">
        <v>24</v>
      </c>
      <c r="C42" s="96"/>
      <c r="D42" s="96"/>
      <c r="E42" s="96"/>
      <c r="F42" s="96"/>
      <c r="G42" s="96"/>
      <c r="H42" s="75" t="s">
        <v>6</v>
      </c>
    </row>
    <row r="43" spans="1:10" ht="13.5" customHeight="1">
      <c r="A43" s="16" t="s">
        <v>7</v>
      </c>
      <c r="B43" s="98" t="s">
        <v>97</v>
      </c>
      <c r="C43" s="98"/>
      <c r="D43" s="98"/>
      <c r="E43" s="98"/>
      <c r="F43" s="98"/>
      <c r="G43" s="98"/>
      <c r="H43" s="24">
        <v>0</v>
      </c>
      <c r="J43" s="25"/>
    </row>
    <row r="44" spans="1:10" ht="13.5" customHeight="1">
      <c r="A44" s="16" t="s">
        <v>9</v>
      </c>
      <c r="B44" s="98" t="s">
        <v>113</v>
      </c>
      <c r="C44" s="98"/>
      <c r="D44" s="98"/>
      <c r="E44" s="98"/>
      <c r="F44" s="98"/>
      <c r="G44" s="98"/>
      <c r="H44" s="24">
        <v>0</v>
      </c>
    </row>
    <row r="45" spans="1:10" ht="13.5" customHeight="1">
      <c r="A45" s="16" t="s">
        <v>11</v>
      </c>
      <c r="B45" s="98" t="s">
        <v>114</v>
      </c>
      <c r="C45" s="98"/>
      <c r="D45" s="98"/>
      <c r="E45" s="98"/>
      <c r="F45" s="98"/>
      <c r="G45" s="98"/>
      <c r="H45" s="24">
        <v>0</v>
      </c>
    </row>
    <row r="46" spans="1:10" ht="13.5" customHeight="1">
      <c r="A46" s="16" t="s">
        <v>13</v>
      </c>
      <c r="B46" s="98" t="s">
        <v>115</v>
      </c>
      <c r="C46" s="98"/>
      <c r="D46" s="98"/>
      <c r="E46" s="98"/>
      <c r="F46" s="98"/>
      <c r="G46" s="98"/>
      <c r="H46" s="24">
        <v>0</v>
      </c>
    </row>
    <row r="47" spans="1:10" ht="13.5" customHeight="1">
      <c r="A47" s="21"/>
      <c r="B47" s="99" t="s">
        <v>30</v>
      </c>
      <c r="C47" s="99"/>
      <c r="D47" s="99"/>
      <c r="E47" s="99"/>
      <c r="F47" s="99"/>
      <c r="G47" s="99"/>
      <c r="H47" s="20">
        <f>SUM(H43:H46)</f>
        <v>0</v>
      </c>
    </row>
    <row r="48" spans="1:10" ht="13.5" customHeight="1"/>
    <row r="49" spans="1:9" ht="13.5" customHeight="1">
      <c r="A49" s="15" t="s">
        <v>31</v>
      </c>
      <c r="B49" s="15"/>
      <c r="C49" s="15"/>
      <c r="D49" s="15"/>
      <c r="E49" s="15"/>
      <c r="H49" s="18"/>
    </row>
    <row r="50" spans="1:9" ht="13.5" customHeight="1"/>
    <row r="51" spans="1:9" ht="13.5" customHeight="1">
      <c r="A51" s="15" t="s">
        <v>32</v>
      </c>
      <c r="B51" s="15"/>
      <c r="C51" s="15"/>
      <c r="D51" s="15"/>
      <c r="E51" s="15"/>
    </row>
    <row r="52" spans="1:9" ht="13.5" customHeight="1">
      <c r="A52" s="75" t="s">
        <v>33</v>
      </c>
      <c r="B52" s="96" t="s">
        <v>34</v>
      </c>
      <c r="C52" s="96"/>
      <c r="D52" s="96"/>
      <c r="E52" s="96"/>
      <c r="F52" s="96"/>
      <c r="G52" s="75" t="s">
        <v>35</v>
      </c>
      <c r="H52" s="75" t="s">
        <v>6</v>
      </c>
    </row>
    <row r="53" spans="1:9" ht="13.5" customHeight="1">
      <c r="A53" s="16" t="s">
        <v>7</v>
      </c>
      <c r="B53" s="98" t="s">
        <v>36</v>
      </c>
      <c r="C53" s="98"/>
      <c r="D53" s="98"/>
      <c r="E53" s="98"/>
      <c r="F53" s="98"/>
      <c r="G53" s="54">
        <v>0</v>
      </c>
      <c r="H53" s="81">
        <f>G53*H29</f>
        <v>0</v>
      </c>
    </row>
    <row r="54" spans="1:9" ht="13.5" customHeight="1">
      <c r="A54" s="16" t="s">
        <v>9</v>
      </c>
      <c r="B54" s="98" t="s">
        <v>37</v>
      </c>
      <c r="C54" s="98"/>
      <c r="D54" s="98"/>
      <c r="E54" s="98"/>
      <c r="F54" s="98"/>
      <c r="G54" s="55">
        <v>0</v>
      </c>
      <c r="H54" s="81">
        <f>G54*H29</f>
        <v>0</v>
      </c>
    </row>
    <row r="55" spans="1:9" ht="13.5" customHeight="1">
      <c r="A55" s="16" t="s">
        <v>11</v>
      </c>
      <c r="B55" s="98" t="s">
        <v>38</v>
      </c>
      <c r="C55" s="98"/>
      <c r="D55" s="98"/>
      <c r="E55" s="98"/>
      <c r="F55" s="98"/>
      <c r="G55" s="56">
        <v>0</v>
      </c>
      <c r="H55" s="81">
        <f>G55*H29</f>
        <v>0</v>
      </c>
    </row>
    <row r="56" spans="1:9" ht="13.5" customHeight="1">
      <c r="A56" s="16" t="s">
        <v>13</v>
      </c>
      <c r="B56" s="98" t="s">
        <v>39</v>
      </c>
      <c r="C56" s="98"/>
      <c r="D56" s="98"/>
      <c r="E56" s="98"/>
      <c r="F56" s="98"/>
      <c r="G56" s="56">
        <v>0</v>
      </c>
      <c r="H56" s="81">
        <f>G56*H29</f>
        <v>0</v>
      </c>
    </row>
    <row r="57" spans="1:9" ht="13.5" customHeight="1">
      <c r="A57" s="16" t="s">
        <v>15</v>
      </c>
      <c r="B57" s="98" t="s">
        <v>40</v>
      </c>
      <c r="C57" s="98"/>
      <c r="D57" s="98"/>
      <c r="E57" s="98"/>
      <c r="F57" s="98"/>
      <c r="G57" s="56">
        <v>0</v>
      </c>
      <c r="H57" s="81">
        <f>G57*H29</f>
        <v>0</v>
      </c>
    </row>
    <row r="58" spans="1:9" ht="13.5" customHeight="1">
      <c r="A58" s="16" t="s">
        <v>17</v>
      </c>
      <c r="B58" s="98" t="s">
        <v>41</v>
      </c>
      <c r="C58" s="98"/>
      <c r="D58" s="98"/>
      <c r="E58" s="98"/>
      <c r="F58" s="98"/>
      <c r="G58" s="56">
        <v>0</v>
      </c>
      <c r="H58" s="81">
        <f>G58*H29</f>
        <v>0</v>
      </c>
    </row>
    <row r="59" spans="1:9" ht="13.5" customHeight="1">
      <c r="A59" s="16" t="s">
        <v>19</v>
      </c>
      <c r="B59" s="98" t="s">
        <v>42</v>
      </c>
      <c r="C59" s="98"/>
      <c r="D59" s="98"/>
      <c r="E59" s="98"/>
      <c r="F59" s="98"/>
      <c r="G59" s="56">
        <v>0</v>
      </c>
      <c r="H59" s="81">
        <f>G59*H29</f>
        <v>0</v>
      </c>
    </row>
    <row r="60" spans="1:9" ht="13.5" customHeight="1">
      <c r="A60" s="16" t="s">
        <v>21</v>
      </c>
      <c r="B60" s="98" t="s">
        <v>43</v>
      </c>
      <c r="C60" s="98"/>
      <c r="D60" s="98"/>
      <c r="E60" s="98"/>
      <c r="F60" s="98"/>
      <c r="G60" s="56">
        <v>0</v>
      </c>
      <c r="H60" s="81">
        <f>G60*H29</f>
        <v>0</v>
      </c>
    </row>
    <row r="61" spans="1:9" ht="13.5" customHeight="1">
      <c r="A61" s="21"/>
      <c r="B61" s="99" t="s">
        <v>44</v>
      </c>
      <c r="C61" s="99"/>
      <c r="D61" s="99"/>
      <c r="E61" s="99"/>
      <c r="F61" s="99"/>
      <c r="G61" s="22">
        <f>SUM(G53:G60)</f>
        <v>0</v>
      </c>
      <c r="H61" s="20">
        <f>SUM(H53:H60)</f>
        <v>0</v>
      </c>
    </row>
    <row r="62" spans="1:9" ht="13.5" customHeight="1">
      <c r="A62" s="38" t="s">
        <v>93</v>
      </c>
      <c r="B62" s="26"/>
      <c r="C62" s="26"/>
      <c r="D62" s="26"/>
      <c r="E62" s="26"/>
      <c r="F62" s="26"/>
      <c r="G62" s="26"/>
      <c r="H62" s="26"/>
    </row>
    <row r="63" spans="1:9" ht="13.5" customHeight="1">
      <c r="A63" s="39" t="s">
        <v>94</v>
      </c>
      <c r="F63" s="27"/>
      <c r="G63" s="23"/>
      <c r="I63" s="28"/>
    </row>
    <row r="64" spans="1:9" ht="13.5" customHeight="1">
      <c r="F64" s="17"/>
      <c r="H64" s="18"/>
    </row>
    <row r="65" spans="1:9" ht="13.5" customHeight="1">
      <c r="A65" s="15" t="s">
        <v>108</v>
      </c>
      <c r="B65" s="15"/>
      <c r="C65" s="15"/>
      <c r="D65" s="15"/>
      <c r="E65" s="15"/>
    </row>
    <row r="66" spans="1:9" ht="13.5" customHeight="1">
      <c r="A66" s="75" t="s">
        <v>45</v>
      </c>
      <c r="B66" s="96" t="s">
        <v>103</v>
      </c>
      <c r="C66" s="96"/>
      <c r="D66" s="96"/>
      <c r="E66" s="96"/>
      <c r="F66" s="96"/>
      <c r="G66" s="96"/>
      <c r="H66" s="75" t="s">
        <v>6</v>
      </c>
    </row>
    <row r="67" spans="1:9" ht="13.5" customHeight="1">
      <c r="A67" s="16" t="s">
        <v>7</v>
      </c>
      <c r="B67" s="98" t="s">
        <v>46</v>
      </c>
      <c r="C67" s="98"/>
      <c r="D67" s="98"/>
      <c r="E67" s="98"/>
      <c r="F67" s="98"/>
      <c r="G67" s="98"/>
      <c r="H67" s="81">
        <f>0%*H29</f>
        <v>0</v>
      </c>
      <c r="I67" s="29"/>
    </row>
    <row r="68" spans="1:9" ht="13.5" customHeight="1">
      <c r="A68" s="30"/>
      <c r="B68" s="100" t="s">
        <v>47</v>
      </c>
      <c r="C68" s="100"/>
      <c r="D68" s="100"/>
      <c r="E68" s="100"/>
      <c r="F68" s="100"/>
      <c r="G68" s="100"/>
      <c r="H68" s="81">
        <f>SUM(H67:H67)</f>
        <v>0</v>
      </c>
    </row>
    <row r="69" spans="1:9" ht="13.5" customHeight="1">
      <c r="A69" s="16" t="s">
        <v>9</v>
      </c>
      <c r="B69" s="98" t="s">
        <v>104</v>
      </c>
      <c r="C69" s="98"/>
      <c r="D69" s="98"/>
      <c r="E69" s="98"/>
      <c r="F69" s="98"/>
      <c r="G69" s="98"/>
      <c r="H69" s="81">
        <f>G61*H68</f>
        <v>0</v>
      </c>
    </row>
    <row r="70" spans="1:9" ht="13.5" customHeight="1">
      <c r="A70" s="31"/>
      <c r="B70" s="99" t="s">
        <v>48</v>
      </c>
      <c r="C70" s="99"/>
      <c r="D70" s="99"/>
      <c r="E70" s="99"/>
      <c r="F70" s="99"/>
      <c r="G70" s="99"/>
      <c r="H70" s="20">
        <f>SUM(H68:H69)</f>
        <v>0</v>
      </c>
    </row>
    <row r="71" spans="1:9" ht="13.5" customHeight="1">
      <c r="H71" s="25"/>
    </row>
    <row r="72" spans="1:9" ht="13.5" customHeight="1">
      <c r="A72" s="15" t="s">
        <v>49</v>
      </c>
      <c r="B72" s="15"/>
      <c r="C72" s="15"/>
      <c r="D72" s="15"/>
      <c r="E72" s="15"/>
    </row>
    <row r="73" spans="1:9" ht="13.5" customHeight="1">
      <c r="A73" s="75" t="s">
        <v>50</v>
      </c>
      <c r="B73" s="96" t="s">
        <v>51</v>
      </c>
      <c r="C73" s="96"/>
      <c r="D73" s="96"/>
      <c r="E73" s="96"/>
      <c r="F73" s="96"/>
      <c r="G73" s="96"/>
      <c r="H73" s="75" t="s">
        <v>6</v>
      </c>
    </row>
    <row r="74" spans="1:9" ht="13.5" customHeight="1">
      <c r="A74" s="16" t="s">
        <v>7</v>
      </c>
      <c r="B74" s="98" t="s">
        <v>51</v>
      </c>
      <c r="C74" s="98"/>
      <c r="D74" s="98"/>
      <c r="E74" s="98"/>
      <c r="F74" s="98"/>
      <c r="G74" s="98"/>
      <c r="H74" s="81">
        <f>0%*H29</f>
        <v>0</v>
      </c>
    </row>
    <row r="75" spans="1:9" ht="13.5" customHeight="1">
      <c r="A75" s="16" t="s">
        <v>9</v>
      </c>
      <c r="B75" s="98" t="s">
        <v>52</v>
      </c>
      <c r="C75" s="98"/>
      <c r="D75" s="98"/>
      <c r="E75" s="98"/>
      <c r="F75" s="98"/>
      <c r="G75" s="98"/>
      <c r="H75" s="81">
        <f>H74*G61</f>
        <v>0</v>
      </c>
    </row>
    <row r="76" spans="1:9" ht="13.5" customHeight="1">
      <c r="A76" s="30"/>
      <c r="B76" s="100" t="s">
        <v>48</v>
      </c>
      <c r="C76" s="100"/>
      <c r="D76" s="100"/>
      <c r="E76" s="100"/>
      <c r="F76" s="100"/>
      <c r="G76" s="100"/>
      <c r="H76" s="20">
        <f>SUM(H74:H75)</f>
        <v>0</v>
      </c>
    </row>
    <row r="77" spans="1:9" ht="13.5" customHeight="1"/>
    <row r="78" spans="1:9" ht="13.5" customHeight="1">
      <c r="A78" s="15" t="s">
        <v>53</v>
      </c>
      <c r="B78" s="15"/>
      <c r="C78" s="15"/>
      <c r="D78" s="15"/>
      <c r="E78" s="15"/>
    </row>
    <row r="79" spans="1:9" ht="13.5" customHeight="1">
      <c r="A79" s="75" t="s">
        <v>54</v>
      </c>
      <c r="B79" s="96" t="s">
        <v>55</v>
      </c>
      <c r="C79" s="96"/>
      <c r="D79" s="96"/>
      <c r="E79" s="96"/>
      <c r="F79" s="96"/>
      <c r="G79" s="96"/>
      <c r="H79" s="75" t="s">
        <v>6</v>
      </c>
    </row>
    <row r="80" spans="1:9" ht="13.5" customHeight="1">
      <c r="A80" s="16" t="s">
        <v>7</v>
      </c>
      <c r="B80" s="98" t="s">
        <v>56</v>
      </c>
      <c r="C80" s="98"/>
      <c r="D80" s="98"/>
      <c r="E80" s="98"/>
      <c r="F80" s="98"/>
      <c r="G80" s="98"/>
      <c r="H80" s="81">
        <f>0%*H29</f>
        <v>0</v>
      </c>
    </row>
    <row r="81" spans="1:8" ht="13.5" customHeight="1">
      <c r="A81" s="16" t="s">
        <v>9</v>
      </c>
      <c r="B81" s="98" t="s">
        <v>57</v>
      </c>
      <c r="C81" s="98"/>
      <c r="D81" s="98"/>
      <c r="E81" s="98"/>
      <c r="F81" s="98"/>
      <c r="G81" s="98"/>
      <c r="H81" s="81">
        <f>H80*8%</f>
        <v>0</v>
      </c>
    </row>
    <row r="82" spans="1:8" ht="13.5" customHeight="1">
      <c r="A82" s="16" t="s">
        <v>11</v>
      </c>
      <c r="B82" s="98" t="s">
        <v>58</v>
      </c>
      <c r="C82" s="98"/>
      <c r="D82" s="98"/>
      <c r="E82" s="98"/>
      <c r="F82" s="98"/>
      <c r="G82" s="98"/>
      <c r="H82" s="81">
        <f>0%*H29</f>
        <v>0</v>
      </c>
    </row>
    <row r="83" spans="1:8" ht="13.5" customHeight="1">
      <c r="A83" s="16" t="s">
        <v>13</v>
      </c>
      <c r="B83" s="98" t="s">
        <v>59</v>
      </c>
      <c r="C83" s="98"/>
      <c r="D83" s="98"/>
      <c r="E83" s="98"/>
      <c r="F83" s="98"/>
      <c r="G83" s="98"/>
      <c r="H83" s="81">
        <f>0%*H29</f>
        <v>0</v>
      </c>
    </row>
    <row r="84" spans="1:8" ht="13.5" customHeight="1">
      <c r="A84" s="16" t="s">
        <v>15</v>
      </c>
      <c r="B84" s="98" t="s">
        <v>60</v>
      </c>
      <c r="C84" s="98"/>
      <c r="D84" s="98"/>
      <c r="E84" s="98"/>
      <c r="F84" s="98"/>
      <c r="G84" s="98"/>
      <c r="H84" s="81">
        <f>H83*G61</f>
        <v>0</v>
      </c>
    </row>
    <row r="85" spans="1:8" ht="13.5" customHeight="1">
      <c r="A85" s="16" t="s">
        <v>17</v>
      </c>
      <c r="B85" s="98" t="s">
        <v>61</v>
      </c>
      <c r="C85" s="98"/>
      <c r="D85" s="98"/>
      <c r="E85" s="98"/>
      <c r="F85" s="98"/>
      <c r="G85" s="98"/>
      <c r="H85" s="81">
        <f>10%*H29</f>
        <v>0</v>
      </c>
    </row>
    <row r="86" spans="1:8" ht="13.5" customHeight="1">
      <c r="A86" s="21"/>
      <c r="B86" s="99" t="s">
        <v>44</v>
      </c>
      <c r="C86" s="99"/>
      <c r="D86" s="99"/>
      <c r="E86" s="99"/>
      <c r="F86" s="99"/>
      <c r="G86" s="99"/>
      <c r="H86" s="82">
        <f>SUM(H80:H85)</f>
        <v>0</v>
      </c>
    </row>
    <row r="87" spans="1:8" ht="13.5" customHeight="1"/>
    <row r="88" spans="1:8" ht="13.5" customHeight="1">
      <c r="A88" s="15" t="s">
        <v>62</v>
      </c>
      <c r="B88" s="15"/>
      <c r="C88" s="15"/>
      <c r="D88" s="15"/>
      <c r="E88" s="15"/>
      <c r="F88" s="15"/>
    </row>
    <row r="89" spans="1:8" ht="13.5" customHeight="1">
      <c r="A89" s="75" t="s">
        <v>63</v>
      </c>
      <c r="B89" s="96" t="s">
        <v>64</v>
      </c>
      <c r="C89" s="96"/>
      <c r="D89" s="96"/>
      <c r="E89" s="96"/>
      <c r="F89" s="96"/>
      <c r="G89" s="96"/>
      <c r="H89" s="75" t="s">
        <v>6</v>
      </c>
    </row>
    <row r="90" spans="1:8" ht="13.5" customHeight="1">
      <c r="A90" s="16" t="s">
        <v>7</v>
      </c>
      <c r="B90" s="101" t="s">
        <v>102</v>
      </c>
      <c r="C90" s="102"/>
      <c r="D90" s="102"/>
      <c r="E90" s="102"/>
      <c r="F90" s="102"/>
      <c r="G90" s="103"/>
      <c r="H90" s="81">
        <f>0%*H29</f>
        <v>0</v>
      </c>
    </row>
    <row r="91" spans="1:8" ht="13.5" customHeight="1">
      <c r="A91" s="16" t="s">
        <v>9</v>
      </c>
      <c r="B91" s="98" t="s">
        <v>65</v>
      </c>
      <c r="C91" s="98"/>
      <c r="D91" s="98"/>
      <c r="E91" s="98"/>
      <c r="F91" s="98"/>
      <c r="G91" s="98"/>
      <c r="H91" s="81">
        <f>0%*H29</f>
        <v>0</v>
      </c>
    </row>
    <row r="92" spans="1:8" ht="13.5" customHeight="1">
      <c r="A92" s="16" t="s">
        <v>11</v>
      </c>
      <c r="B92" s="98" t="s">
        <v>66</v>
      </c>
      <c r="C92" s="98"/>
      <c r="D92" s="98"/>
      <c r="E92" s="98"/>
      <c r="F92" s="98"/>
      <c r="G92" s="98"/>
      <c r="H92" s="81">
        <f>0%*H29</f>
        <v>0</v>
      </c>
    </row>
    <row r="93" spans="1:8" ht="13.5" customHeight="1">
      <c r="A93" s="16" t="s">
        <v>13</v>
      </c>
      <c r="B93" s="98" t="s">
        <v>67</v>
      </c>
      <c r="C93" s="98"/>
      <c r="D93" s="98"/>
      <c r="E93" s="98"/>
      <c r="F93" s="98"/>
      <c r="G93" s="98"/>
      <c r="H93" s="81">
        <f>0%*H29</f>
        <v>0</v>
      </c>
    </row>
    <row r="94" spans="1:8" ht="13.5" customHeight="1">
      <c r="A94" s="16" t="s">
        <v>15</v>
      </c>
      <c r="B94" s="98" t="s">
        <v>68</v>
      </c>
      <c r="C94" s="98"/>
      <c r="D94" s="98"/>
      <c r="E94" s="98"/>
      <c r="F94" s="98"/>
      <c r="G94" s="98"/>
      <c r="H94" s="81">
        <f>0%*H29</f>
        <v>0</v>
      </c>
    </row>
    <row r="95" spans="1:8" ht="13.5" customHeight="1">
      <c r="A95" s="16" t="s">
        <v>17</v>
      </c>
      <c r="B95" s="98" t="s">
        <v>22</v>
      </c>
      <c r="C95" s="98"/>
      <c r="D95" s="98"/>
      <c r="E95" s="98"/>
      <c r="F95" s="98"/>
      <c r="G95" s="98"/>
      <c r="H95" s="81">
        <v>0</v>
      </c>
    </row>
    <row r="96" spans="1:8" ht="13.5" customHeight="1">
      <c r="A96" s="21"/>
      <c r="B96" s="99" t="s">
        <v>47</v>
      </c>
      <c r="C96" s="99"/>
      <c r="D96" s="99"/>
      <c r="E96" s="99"/>
      <c r="F96" s="99"/>
      <c r="G96" s="99"/>
      <c r="H96" s="81">
        <f>SUM(H90:H95)</f>
        <v>0</v>
      </c>
    </row>
    <row r="97" spans="1:8" ht="13.5" customHeight="1">
      <c r="A97" s="16" t="s">
        <v>19</v>
      </c>
      <c r="B97" s="98" t="s">
        <v>69</v>
      </c>
      <c r="C97" s="98"/>
      <c r="D97" s="98"/>
      <c r="E97" s="98"/>
      <c r="F97" s="98"/>
      <c r="G97" s="98"/>
      <c r="H97" s="81">
        <f>H96*G61</f>
        <v>0</v>
      </c>
    </row>
    <row r="98" spans="1:8" ht="13.5" customHeight="1">
      <c r="A98" s="21"/>
      <c r="B98" s="99" t="s">
        <v>44</v>
      </c>
      <c r="C98" s="99"/>
      <c r="D98" s="99"/>
      <c r="E98" s="99"/>
      <c r="F98" s="99"/>
      <c r="G98" s="99"/>
      <c r="H98" s="83">
        <f>SUM(H96:H97)</f>
        <v>0</v>
      </c>
    </row>
    <row r="99" spans="1:8" ht="13.5" customHeight="1">
      <c r="H99" s="25"/>
    </row>
    <row r="100" spans="1:8" ht="13.5" customHeight="1">
      <c r="A100" s="15" t="s">
        <v>127</v>
      </c>
      <c r="B100" s="15"/>
      <c r="C100" s="15"/>
      <c r="D100" s="15"/>
      <c r="E100" s="15"/>
      <c r="F100" s="15"/>
    </row>
    <row r="101" spans="1:8" ht="13.5" customHeight="1">
      <c r="A101" s="75">
        <v>4</v>
      </c>
      <c r="B101" s="96" t="s">
        <v>70</v>
      </c>
      <c r="C101" s="96"/>
      <c r="D101" s="96"/>
      <c r="E101" s="96"/>
      <c r="F101" s="96"/>
      <c r="G101" s="96"/>
      <c r="H101" s="75" t="s">
        <v>6</v>
      </c>
    </row>
    <row r="102" spans="1:8" ht="13.5" customHeight="1">
      <c r="A102" s="16" t="s">
        <v>33</v>
      </c>
      <c r="B102" s="98" t="s">
        <v>116</v>
      </c>
      <c r="C102" s="98"/>
      <c r="D102" s="98"/>
      <c r="E102" s="98"/>
      <c r="F102" s="98"/>
      <c r="G102" s="98"/>
      <c r="H102" s="32">
        <f>H61</f>
        <v>0</v>
      </c>
    </row>
    <row r="103" spans="1:8" ht="13.5" customHeight="1">
      <c r="A103" s="16" t="s">
        <v>45</v>
      </c>
      <c r="B103" s="98" t="s">
        <v>71</v>
      </c>
      <c r="C103" s="98"/>
      <c r="D103" s="98"/>
      <c r="E103" s="98"/>
      <c r="F103" s="98"/>
      <c r="G103" s="98"/>
      <c r="H103" s="32">
        <f>H70</f>
        <v>0</v>
      </c>
    </row>
    <row r="104" spans="1:8" ht="13.5" customHeight="1">
      <c r="A104" s="16" t="s">
        <v>50</v>
      </c>
      <c r="B104" s="98" t="s">
        <v>51</v>
      </c>
      <c r="C104" s="98"/>
      <c r="D104" s="98"/>
      <c r="E104" s="98"/>
      <c r="F104" s="98"/>
      <c r="G104" s="98"/>
      <c r="H104" s="32">
        <f>H76</f>
        <v>0</v>
      </c>
    </row>
    <row r="105" spans="1:8" ht="13.5" customHeight="1">
      <c r="A105" s="16" t="s">
        <v>54</v>
      </c>
      <c r="B105" s="98" t="s">
        <v>72</v>
      </c>
      <c r="C105" s="98"/>
      <c r="D105" s="98"/>
      <c r="E105" s="98"/>
      <c r="F105" s="98"/>
      <c r="G105" s="98"/>
      <c r="H105" s="32">
        <f>H86</f>
        <v>0</v>
      </c>
    </row>
    <row r="106" spans="1:8" ht="13.5" customHeight="1">
      <c r="A106" s="16" t="s">
        <v>63</v>
      </c>
      <c r="B106" s="98" t="s">
        <v>73</v>
      </c>
      <c r="C106" s="98"/>
      <c r="D106" s="98"/>
      <c r="E106" s="98"/>
      <c r="F106" s="98"/>
      <c r="G106" s="98"/>
      <c r="H106" s="32">
        <f>H98</f>
        <v>0</v>
      </c>
    </row>
    <row r="107" spans="1:8" ht="13.5" customHeight="1">
      <c r="A107" s="16" t="s">
        <v>74</v>
      </c>
      <c r="B107" s="98" t="s">
        <v>22</v>
      </c>
      <c r="C107" s="98"/>
      <c r="D107" s="98"/>
      <c r="E107" s="98"/>
      <c r="F107" s="98"/>
      <c r="G107" s="98"/>
      <c r="H107" s="32">
        <v>0</v>
      </c>
    </row>
    <row r="108" spans="1:8" ht="13.5" customHeight="1">
      <c r="A108" s="21"/>
      <c r="B108" s="99" t="s">
        <v>48</v>
      </c>
      <c r="C108" s="99"/>
      <c r="D108" s="99"/>
      <c r="E108" s="99"/>
      <c r="F108" s="99"/>
      <c r="G108" s="99"/>
      <c r="H108" s="32">
        <f>SUM(H102:H107)</f>
        <v>0</v>
      </c>
    </row>
    <row r="109" spans="1:8" ht="13.5" customHeight="1"/>
    <row r="110" spans="1:8" ht="13.5" customHeight="1">
      <c r="A110" s="15" t="s">
        <v>128</v>
      </c>
    </row>
    <row r="111" spans="1:8" ht="13.5" customHeight="1">
      <c r="A111" s="75">
        <v>5</v>
      </c>
      <c r="B111" s="96" t="s">
        <v>139</v>
      </c>
      <c r="C111" s="96"/>
      <c r="D111" s="96"/>
      <c r="E111" s="96"/>
      <c r="F111" s="96"/>
      <c r="G111" s="75" t="s">
        <v>35</v>
      </c>
      <c r="H111" s="75" t="s">
        <v>6</v>
      </c>
    </row>
    <row r="112" spans="1:8" ht="13.5" customHeight="1">
      <c r="A112" s="33" t="s">
        <v>7</v>
      </c>
      <c r="B112" s="105" t="s">
        <v>76</v>
      </c>
      <c r="C112" s="105"/>
      <c r="D112" s="105"/>
      <c r="E112" s="105"/>
      <c r="F112" s="105"/>
      <c r="G112" s="40">
        <v>0</v>
      </c>
      <c r="H112" s="34">
        <f>(H29+H39+H47+H108)*G112</f>
        <v>0</v>
      </c>
    </row>
    <row r="113" spans="1:12" ht="13.5" customHeight="1">
      <c r="A113" s="16" t="s">
        <v>9</v>
      </c>
      <c r="B113" s="105" t="s">
        <v>77</v>
      </c>
      <c r="C113" s="105"/>
      <c r="D113" s="105"/>
      <c r="E113" s="105"/>
      <c r="F113" s="105"/>
      <c r="G113" s="41">
        <f>100%-(G114+G115+G116+G117)</f>
        <v>1</v>
      </c>
      <c r="H113" s="34">
        <f>(H29+H39+H47+H108+H112+H118)/G113</f>
        <v>0</v>
      </c>
    </row>
    <row r="114" spans="1:12" ht="13.5" customHeight="1">
      <c r="A114" s="16" t="s">
        <v>78</v>
      </c>
      <c r="B114" s="105" t="s">
        <v>79</v>
      </c>
      <c r="C114" s="105"/>
      <c r="D114" s="105"/>
      <c r="E114" s="105"/>
      <c r="F114" s="105"/>
      <c r="G114" s="80">
        <v>0</v>
      </c>
      <c r="H114" s="34">
        <f>H113*G114</f>
        <v>0</v>
      </c>
    </row>
    <row r="115" spans="1:12" ht="13.5" customHeight="1">
      <c r="A115" s="16" t="s">
        <v>80</v>
      </c>
      <c r="B115" s="105" t="s">
        <v>81</v>
      </c>
      <c r="C115" s="105"/>
      <c r="D115" s="105"/>
      <c r="E115" s="105"/>
      <c r="F115" s="105"/>
      <c r="G115" s="80">
        <v>0</v>
      </c>
      <c r="H115" s="34">
        <f>H113*G115</f>
        <v>0</v>
      </c>
    </row>
    <row r="116" spans="1:12" ht="13.5" customHeight="1">
      <c r="A116" s="16" t="s">
        <v>82</v>
      </c>
      <c r="B116" s="105" t="s">
        <v>83</v>
      </c>
      <c r="C116" s="105"/>
      <c r="D116" s="105"/>
      <c r="E116" s="105"/>
      <c r="F116" s="105"/>
      <c r="G116" s="80">
        <v>0</v>
      </c>
      <c r="H116" s="34">
        <f>H113*G116</f>
        <v>0</v>
      </c>
    </row>
    <row r="117" spans="1:12" ht="13.5" customHeight="1">
      <c r="A117" s="16" t="s">
        <v>84</v>
      </c>
      <c r="B117" s="105" t="s">
        <v>99</v>
      </c>
      <c r="C117" s="105"/>
      <c r="D117" s="105"/>
      <c r="E117" s="105"/>
      <c r="F117" s="105"/>
      <c r="G117" s="40">
        <v>0</v>
      </c>
      <c r="H117" s="34">
        <f>H113*G117</f>
        <v>0</v>
      </c>
    </row>
    <row r="118" spans="1:12" ht="13.5" customHeight="1">
      <c r="A118" s="16" t="s">
        <v>11</v>
      </c>
      <c r="B118" s="105" t="s">
        <v>85</v>
      </c>
      <c r="C118" s="105"/>
      <c r="D118" s="105"/>
      <c r="E118" s="105"/>
      <c r="F118" s="105"/>
      <c r="G118" s="40">
        <v>0</v>
      </c>
      <c r="H118" s="34">
        <f>(H29+H39+H47+H108+H112)*G118</f>
        <v>0</v>
      </c>
    </row>
    <row r="119" spans="1:12" ht="13.5" customHeight="1">
      <c r="A119" s="21"/>
      <c r="B119" s="104" t="s">
        <v>44</v>
      </c>
      <c r="C119" s="104"/>
      <c r="D119" s="104"/>
      <c r="E119" s="104"/>
      <c r="F119" s="104"/>
      <c r="G119" s="42"/>
      <c r="H119" s="34">
        <f>H112+H114+H115+H116+H117+H118</f>
        <v>0</v>
      </c>
    </row>
    <row r="120" spans="1:12" ht="13.5" customHeight="1"/>
    <row r="121" spans="1:12" ht="13.5" customHeight="1">
      <c r="A121" s="106" t="s">
        <v>86</v>
      </c>
      <c r="B121" s="106"/>
      <c r="C121" s="106"/>
      <c r="D121" s="106"/>
      <c r="E121" s="106"/>
      <c r="F121" s="106"/>
      <c r="G121" s="106"/>
      <c r="H121" s="106"/>
    </row>
    <row r="122" spans="1:12" ht="13.5" customHeight="1"/>
    <row r="123" spans="1:12" ht="13.5" customHeight="1">
      <c r="A123" s="75"/>
      <c r="B123" s="96"/>
      <c r="C123" s="96"/>
      <c r="D123" s="96"/>
      <c r="E123" s="96"/>
      <c r="F123" s="96"/>
      <c r="G123" s="96"/>
      <c r="H123" s="75" t="s">
        <v>6</v>
      </c>
    </row>
    <row r="124" spans="1:12" ht="13.5" customHeight="1">
      <c r="A124" s="33" t="s">
        <v>7</v>
      </c>
      <c r="B124" s="105" t="s">
        <v>87</v>
      </c>
      <c r="C124" s="105"/>
      <c r="D124" s="105"/>
      <c r="E124" s="105"/>
      <c r="F124" s="105"/>
      <c r="G124" s="105"/>
      <c r="H124" s="34">
        <f>H29</f>
        <v>0</v>
      </c>
      <c r="J124" s="25"/>
    </row>
    <row r="125" spans="1:12" ht="13.5" customHeight="1">
      <c r="A125" s="16" t="s">
        <v>9</v>
      </c>
      <c r="B125" s="105" t="s">
        <v>88</v>
      </c>
      <c r="C125" s="105"/>
      <c r="D125" s="105"/>
      <c r="E125" s="105"/>
      <c r="F125" s="105"/>
      <c r="G125" s="105"/>
      <c r="H125" s="34">
        <f>H39</f>
        <v>0</v>
      </c>
      <c r="K125" s="25"/>
      <c r="L125" s="25"/>
    </row>
    <row r="126" spans="1:12" ht="13.5" customHeight="1">
      <c r="A126" s="16" t="s">
        <v>11</v>
      </c>
      <c r="B126" s="105" t="s">
        <v>89</v>
      </c>
      <c r="C126" s="105"/>
      <c r="D126" s="105"/>
      <c r="E126" s="105"/>
      <c r="F126" s="105"/>
      <c r="G126" s="105"/>
      <c r="H126" s="34">
        <f>H47</f>
        <v>0</v>
      </c>
      <c r="J126" s="25"/>
      <c r="K126" s="25"/>
      <c r="L126" s="25"/>
    </row>
    <row r="127" spans="1:12" ht="13.5" customHeight="1">
      <c r="A127" s="16" t="s">
        <v>13</v>
      </c>
      <c r="B127" s="105" t="s">
        <v>70</v>
      </c>
      <c r="C127" s="105"/>
      <c r="D127" s="105"/>
      <c r="E127" s="105"/>
      <c r="F127" s="105"/>
      <c r="G127" s="105"/>
      <c r="H127" s="34">
        <f>H108</f>
        <v>0</v>
      </c>
      <c r="L127" s="25"/>
    </row>
    <row r="128" spans="1:12" ht="13.5" customHeight="1">
      <c r="A128" s="104" t="s">
        <v>90</v>
      </c>
      <c r="B128" s="104"/>
      <c r="C128" s="104"/>
      <c r="D128" s="104"/>
      <c r="E128" s="104"/>
      <c r="F128" s="104"/>
      <c r="G128" s="104"/>
      <c r="H128" s="34">
        <f>SUM(H124:H127)</f>
        <v>0</v>
      </c>
      <c r="L128" s="19"/>
    </row>
    <row r="129" spans="1:8" ht="13.5" customHeight="1">
      <c r="A129" s="16" t="s">
        <v>15</v>
      </c>
      <c r="B129" s="105" t="s">
        <v>75</v>
      </c>
      <c r="C129" s="105"/>
      <c r="D129" s="105"/>
      <c r="E129" s="105"/>
      <c r="F129" s="105"/>
      <c r="G129" s="105"/>
      <c r="H129" s="34">
        <f>H119</f>
        <v>0</v>
      </c>
    </row>
    <row r="130" spans="1:8" ht="13.5" customHeight="1">
      <c r="A130" s="104" t="s">
        <v>117</v>
      </c>
      <c r="B130" s="104"/>
      <c r="C130" s="104"/>
      <c r="D130" s="104"/>
      <c r="E130" s="104"/>
      <c r="F130" s="104"/>
      <c r="G130" s="104"/>
      <c r="H130" s="36">
        <f>H128+H129</f>
        <v>0</v>
      </c>
    </row>
    <row r="131" spans="1:8" ht="13.5" customHeight="1"/>
    <row r="132" spans="1:8" ht="13.5" customHeight="1">
      <c r="A132" s="69"/>
      <c r="B132" s="69"/>
      <c r="C132" s="69"/>
      <c r="D132" s="69"/>
      <c r="E132" s="69"/>
      <c r="F132" s="69"/>
      <c r="G132" s="69"/>
      <c r="H132" s="69"/>
    </row>
    <row r="133" spans="1:8" ht="13.5" customHeight="1">
      <c r="A133" s="91" t="s">
        <v>129</v>
      </c>
      <c r="B133" s="91"/>
      <c r="C133" s="91"/>
      <c r="D133" s="91"/>
      <c r="E133" s="91"/>
      <c r="F133" s="91"/>
      <c r="G133" s="91" t="s">
        <v>6</v>
      </c>
      <c r="H133" s="91"/>
    </row>
    <row r="134" spans="1:8" ht="13.5" customHeight="1">
      <c r="A134" s="92" t="s">
        <v>141</v>
      </c>
      <c r="B134" s="92"/>
      <c r="C134" s="92"/>
      <c r="D134" s="92"/>
      <c r="E134" s="92"/>
      <c r="F134" s="92"/>
      <c r="G134" s="93">
        <f>H130</f>
        <v>0</v>
      </c>
      <c r="H134" s="93"/>
    </row>
    <row r="135" spans="1:8" ht="13.5" customHeight="1">
      <c r="A135" s="89" t="s">
        <v>131</v>
      </c>
      <c r="B135" s="89"/>
      <c r="C135" s="89"/>
      <c r="D135" s="89"/>
      <c r="E135" s="89"/>
      <c r="F135" s="89"/>
      <c r="G135" s="90">
        <f>G134*12</f>
        <v>0</v>
      </c>
      <c r="H135" s="90"/>
    </row>
  </sheetData>
  <mergeCells count="103">
    <mergeCell ref="B123:G123"/>
    <mergeCell ref="A130:G130"/>
    <mergeCell ref="B124:G124"/>
    <mergeCell ref="B125:G125"/>
    <mergeCell ref="B126:G126"/>
    <mergeCell ref="B127:G127"/>
    <mergeCell ref="A128:G128"/>
    <mergeCell ref="B129:G129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A121:H121"/>
    <mergeCell ref="B101:G101"/>
    <mergeCell ref="B102:G102"/>
    <mergeCell ref="B103:G103"/>
    <mergeCell ref="B104:G104"/>
    <mergeCell ref="B105:G105"/>
    <mergeCell ref="B106:G106"/>
    <mergeCell ref="B107:G107"/>
    <mergeCell ref="B108:G108"/>
    <mergeCell ref="B111:F111"/>
    <mergeCell ref="B90:G90"/>
    <mergeCell ref="B91:G91"/>
    <mergeCell ref="B92:G92"/>
    <mergeCell ref="B93:G93"/>
    <mergeCell ref="B94:G94"/>
    <mergeCell ref="B95:G95"/>
    <mergeCell ref="B96:G96"/>
    <mergeCell ref="B97:G97"/>
    <mergeCell ref="B98:G98"/>
    <mergeCell ref="B79:G79"/>
    <mergeCell ref="B80:G80"/>
    <mergeCell ref="B81:G81"/>
    <mergeCell ref="B82:G82"/>
    <mergeCell ref="B83:G83"/>
    <mergeCell ref="B84:G84"/>
    <mergeCell ref="B85:G85"/>
    <mergeCell ref="B86:G86"/>
    <mergeCell ref="B89:G89"/>
    <mergeCell ref="B67:G67"/>
    <mergeCell ref="B68:G68"/>
    <mergeCell ref="B69:G69"/>
    <mergeCell ref="B70:G70"/>
    <mergeCell ref="B73:G73"/>
    <mergeCell ref="B74:G74"/>
    <mergeCell ref="B75:G75"/>
    <mergeCell ref="B76:G76"/>
    <mergeCell ref="B54:F54"/>
    <mergeCell ref="B55:F55"/>
    <mergeCell ref="B56:F56"/>
    <mergeCell ref="B57:F57"/>
    <mergeCell ref="B58:F58"/>
    <mergeCell ref="B59:F59"/>
    <mergeCell ref="B60:F60"/>
    <mergeCell ref="B61:F61"/>
    <mergeCell ref="B66:G66"/>
    <mergeCell ref="B39:G39"/>
    <mergeCell ref="B42:G42"/>
    <mergeCell ref="B43:G43"/>
    <mergeCell ref="B44:G44"/>
    <mergeCell ref="B45:G45"/>
    <mergeCell ref="B46:G46"/>
    <mergeCell ref="B47:G47"/>
    <mergeCell ref="B52:F52"/>
    <mergeCell ref="B53:F53"/>
    <mergeCell ref="B28:G28"/>
    <mergeCell ref="B29:G29"/>
    <mergeCell ref="B32:G32"/>
    <mergeCell ref="B33:G33"/>
    <mergeCell ref="B34:G34"/>
    <mergeCell ref="B35:G35"/>
    <mergeCell ref="B36:G36"/>
    <mergeCell ref="B37:G37"/>
    <mergeCell ref="B38:G38"/>
    <mergeCell ref="A135:F135"/>
    <mergeCell ref="G135:H135"/>
    <mergeCell ref="A133:F133"/>
    <mergeCell ref="G133:H133"/>
    <mergeCell ref="A134:F134"/>
    <mergeCell ref="G134:H134"/>
    <mergeCell ref="A5:H5"/>
    <mergeCell ref="A6:H6"/>
    <mergeCell ref="A7:H7"/>
    <mergeCell ref="A8:H8"/>
    <mergeCell ref="A9:H9"/>
    <mergeCell ref="A13:H13"/>
    <mergeCell ref="B14:G14"/>
    <mergeCell ref="B15:G15"/>
    <mergeCell ref="B16:G16"/>
    <mergeCell ref="B17:G17"/>
    <mergeCell ref="B20:G20"/>
    <mergeCell ref="B21:G21"/>
    <mergeCell ref="B22:G22"/>
    <mergeCell ref="B23:G23"/>
    <mergeCell ref="B24:G24"/>
    <mergeCell ref="B25:G25"/>
    <mergeCell ref="B26:G26"/>
    <mergeCell ref="B27:G27"/>
  </mergeCells>
  <printOptions horizontalCentered="1"/>
  <pageMargins left="0.39370078740157483" right="0.39370078740157483" top="0.59055118110236227" bottom="0.59055118110236227" header="0.31496062992125984" footer="0.19685039370078741"/>
  <pageSetup paperSize="9" scale="90" orientation="portrait" r:id="rId1"/>
  <headerFooter>
    <oddFooter>&amp;L&amp;F - &amp;A - &amp;P/&amp;N</oddFooter>
  </headerFooter>
  <rowBreaks count="1" manualBreakCount="1">
    <brk id="64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7"/>
  <sheetViews>
    <sheetView topLeftCell="A103" zoomScaleNormal="100" workbookViewId="0">
      <selection activeCell="G110" sqref="G110"/>
    </sheetView>
  </sheetViews>
  <sheetFormatPr defaultRowHeight="13.5" customHeight="1"/>
  <cols>
    <col min="1" max="4" width="9.140625" style="12"/>
    <col min="5" max="5" width="11.28515625" style="12" customWidth="1"/>
    <col min="6" max="6" width="17.28515625" style="12" customWidth="1"/>
    <col min="7" max="7" width="10" style="12" bestFit="1" customWidth="1"/>
    <col min="8" max="8" width="14.28515625" style="12" bestFit="1" customWidth="1"/>
    <col min="9" max="9" width="11.28515625" style="12" bestFit="1" customWidth="1"/>
    <col min="10" max="16384" width="9.140625" style="12"/>
  </cols>
  <sheetData>
    <row r="1" spans="1:12" ht="13.5" customHeight="1">
      <c r="A1" s="94" t="s">
        <v>0</v>
      </c>
      <c r="B1" s="94"/>
      <c r="C1" s="94"/>
      <c r="D1" s="94"/>
      <c r="E1" s="94"/>
      <c r="F1" s="94"/>
      <c r="G1" s="94"/>
      <c r="H1" s="94"/>
      <c r="I1" s="13"/>
    </row>
    <row r="2" spans="1:12" ht="13.5" customHeight="1">
      <c r="A2" s="94" t="s">
        <v>106</v>
      </c>
      <c r="B2" s="94"/>
      <c r="C2" s="94"/>
      <c r="D2" s="94"/>
      <c r="E2" s="94"/>
      <c r="F2" s="94"/>
      <c r="G2" s="94"/>
      <c r="H2" s="94"/>
    </row>
    <row r="3" spans="1:12" ht="13.5" customHeight="1">
      <c r="A3" s="43"/>
      <c r="B3" s="43"/>
      <c r="C3" s="43"/>
      <c r="D3" s="43"/>
      <c r="E3" s="43"/>
      <c r="F3" s="43"/>
      <c r="G3" s="43"/>
      <c r="H3" s="43"/>
    </row>
    <row r="4" spans="1:12" ht="13.5" customHeight="1">
      <c r="A4" s="44" t="s">
        <v>91</v>
      </c>
      <c r="B4" s="43"/>
      <c r="C4" s="43"/>
      <c r="D4" s="43"/>
      <c r="E4" s="43"/>
      <c r="F4" s="43"/>
      <c r="G4" s="43"/>
      <c r="H4" s="43"/>
    </row>
    <row r="5" spans="1:12" ht="13.5" customHeight="1">
      <c r="A5" s="13"/>
    </row>
    <row r="6" spans="1:12" ht="13.5" customHeight="1">
      <c r="A6" s="124" t="s">
        <v>92</v>
      </c>
      <c r="B6" s="125"/>
      <c r="C6" s="125"/>
      <c r="D6" s="125"/>
      <c r="E6" s="125"/>
      <c r="F6" s="125"/>
      <c r="G6" s="125"/>
      <c r="H6" s="126"/>
    </row>
    <row r="7" spans="1:12" ht="13.5" customHeight="1">
      <c r="A7" s="45">
        <v>1</v>
      </c>
      <c r="B7" s="138" t="s">
        <v>1</v>
      </c>
      <c r="C7" s="139"/>
      <c r="D7" s="139"/>
      <c r="E7" s="139"/>
      <c r="F7" s="139"/>
      <c r="G7" s="140"/>
      <c r="H7" s="46" t="s">
        <v>96</v>
      </c>
      <c r="L7" s="144"/>
    </row>
    <row r="8" spans="1:12" ht="13.5" customHeight="1">
      <c r="A8" s="45">
        <v>2</v>
      </c>
      <c r="B8" s="138" t="s">
        <v>2</v>
      </c>
      <c r="C8" s="139"/>
      <c r="D8" s="139"/>
      <c r="E8" s="139"/>
      <c r="F8" s="139"/>
      <c r="G8" s="140"/>
      <c r="H8" s="47">
        <v>0</v>
      </c>
      <c r="L8" s="144"/>
    </row>
    <row r="9" spans="1:12" ht="13.5" customHeight="1">
      <c r="A9" s="45">
        <v>3</v>
      </c>
      <c r="B9" s="138" t="s">
        <v>3</v>
      </c>
      <c r="C9" s="139"/>
      <c r="D9" s="139"/>
      <c r="E9" s="139"/>
      <c r="F9" s="139"/>
      <c r="G9" s="140"/>
      <c r="H9" s="46" t="s">
        <v>95</v>
      </c>
    </row>
    <row r="10" spans="1:12" ht="13.5" customHeight="1">
      <c r="A10" s="45">
        <v>4</v>
      </c>
      <c r="B10" s="138" t="s">
        <v>4</v>
      </c>
      <c r="C10" s="139"/>
      <c r="D10" s="139"/>
      <c r="E10" s="139"/>
      <c r="F10" s="139"/>
      <c r="G10" s="140"/>
      <c r="H10" s="48">
        <v>42736</v>
      </c>
    </row>
    <row r="11" spans="1:12" ht="13.5" customHeight="1">
      <c r="E11" s="18"/>
    </row>
    <row r="12" spans="1:12" ht="13.5" customHeight="1">
      <c r="A12" s="15" t="s">
        <v>124</v>
      </c>
      <c r="B12" s="15"/>
      <c r="C12" s="15"/>
      <c r="D12" s="15"/>
      <c r="E12" s="15"/>
    </row>
    <row r="13" spans="1:12" ht="13.5" customHeight="1">
      <c r="A13" s="75">
        <v>1</v>
      </c>
      <c r="B13" s="124" t="s">
        <v>5</v>
      </c>
      <c r="C13" s="125"/>
      <c r="D13" s="125"/>
      <c r="E13" s="125"/>
      <c r="F13" s="125"/>
      <c r="G13" s="133"/>
      <c r="H13" s="76" t="s">
        <v>6</v>
      </c>
    </row>
    <row r="14" spans="1:12" ht="13.5" customHeight="1">
      <c r="A14" s="45" t="s">
        <v>7</v>
      </c>
      <c r="B14" s="101" t="s">
        <v>8</v>
      </c>
      <c r="C14" s="102"/>
      <c r="D14" s="102"/>
      <c r="E14" s="102"/>
      <c r="F14" s="102"/>
      <c r="G14" s="103"/>
      <c r="H14" s="84">
        <v>0</v>
      </c>
      <c r="J14" s="27"/>
    </row>
    <row r="15" spans="1:12" ht="13.5" customHeight="1">
      <c r="A15" s="45" t="s">
        <v>9</v>
      </c>
      <c r="B15" s="101" t="s">
        <v>10</v>
      </c>
      <c r="C15" s="102"/>
      <c r="D15" s="102"/>
      <c r="E15" s="102"/>
      <c r="F15" s="102"/>
      <c r="G15" s="103"/>
      <c r="H15" s="49">
        <v>0</v>
      </c>
    </row>
    <row r="16" spans="1:12" ht="13.5" customHeight="1">
      <c r="A16" s="45" t="s">
        <v>11</v>
      </c>
      <c r="B16" s="101" t="s">
        <v>12</v>
      </c>
      <c r="C16" s="102"/>
      <c r="D16" s="102"/>
      <c r="E16" s="102"/>
      <c r="F16" s="102"/>
      <c r="G16" s="103"/>
      <c r="H16" s="49">
        <v>0</v>
      </c>
    </row>
    <row r="17" spans="1:13" ht="13.5" customHeight="1">
      <c r="A17" s="45" t="s">
        <v>13</v>
      </c>
      <c r="B17" s="101" t="s">
        <v>14</v>
      </c>
      <c r="C17" s="102"/>
      <c r="D17" s="102"/>
      <c r="E17" s="102"/>
      <c r="F17" s="102"/>
      <c r="G17" s="103"/>
      <c r="H17" s="49">
        <v>0</v>
      </c>
    </row>
    <row r="18" spans="1:13" ht="13.5" customHeight="1">
      <c r="A18" s="45" t="s">
        <v>15</v>
      </c>
      <c r="B18" s="101" t="s">
        <v>16</v>
      </c>
      <c r="C18" s="102"/>
      <c r="D18" s="102"/>
      <c r="E18" s="102"/>
      <c r="F18" s="102"/>
      <c r="G18" s="103"/>
      <c r="H18" s="49">
        <v>0</v>
      </c>
    </row>
    <row r="19" spans="1:13" ht="13.5" customHeight="1">
      <c r="A19" s="45" t="s">
        <v>17</v>
      </c>
      <c r="B19" s="101" t="s">
        <v>18</v>
      </c>
      <c r="C19" s="102"/>
      <c r="D19" s="102"/>
      <c r="E19" s="102"/>
      <c r="F19" s="102"/>
      <c r="G19" s="103"/>
      <c r="H19" s="49">
        <v>0</v>
      </c>
    </row>
    <row r="20" spans="1:13" ht="13.5" customHeight="1">
      <c r="A20" s="45" t="s">
        <v>19</v>
      </c>
      <c r="B20" s="101" t="s">
        <v>20</v>
      </c>
      <c r="C20" s="102"/>
      <c r="D20" s="102"/>
      <c r="E20" s="102"/>
      <c r="F20" s="102"/>
      <c r="G20" s="103"/>
      <c r="H20" s="49">
        <v>0</v>
      </c>
    </row>
    <row r="21" spans="1:13" ht="13.5" customHeight="1">
      <c r="A21" s="45" t="s">
        <v>21</v>
      </c>
      <c r="B21" s="101" t="s">
        <v>22</v>
      </c>
      <c r="C21" s="102"/>
      <c r="D21" s="102"/>
      <c r="E21" s="102"/>
      <c r="F21" s="102"/>
      <c r="G21" s="103"/>
      <c r="H21" s="49">
        <v>0</v>
      </c>
    </row>
    <row r="22" spans="1:13" ht="13.5" customHeight="1">
      <c r="A22" s="50"/>
      <c r="B22" s="130" t="s">
        <v>23</v>
      </c>
      <c r="C22" s="131"/>
      <c r="D22" s="131"/>
      <c r="E22" s="131"/>
      <c r="F22" s="131"/>
      <c r="G22" s="137"/>
      <c r="H22" s="51">
        <f>SUM(H14:H21)</f>
        <v>0</v>
      </c>
    </row>
    <row r="23" spans="1:13" ht="13.5" customHeight="1">
      <c r="A23" s="15"/>
      <c r="G23" s="23"/>
      <c r="H23" s="18"/>
    </row>
    <row r="24" spans="1:13" ht="13.5" customHeight="1">
      <c r="A24" s="15" t="s">
        <v>125</v>
      </c>
      <c r="B24" s="15"/>
      <c r="C24" s="15"/>
      <c r="D24" s="15"/>
    </row>
    <row r="25" spans="1:13" ht="13.5" customHeight="1">
      <c r="A25" s="75">
        <v>2</v>
      </c>
      <c r="B25" s="124" t="s">
        <v>24</v>
      </c>
      <c r="C25" s="125"/>
      <c r="D25" s="125"/>
      <c r="E25" s="125"/>
      <c r="F25" s="125"/>
      <c r="G25" s="133"/>
      <c r="H25" s="76" t="s">
        <v>6</v>
      </c>
      <c r="I25" s="142"/>
      <c r="J25" s="143"/>
      <c r="K25" s="142"/>
      <c r="L25" s="144"/>
      <c r="M25" s="144"/>
    </row>
    <row r="26" spans="1:13" ht="13.5" customHeight="1">
      <c r="A26" s="45" t="s">
        <v>7</v>
      </c>
      <c r="B26" s="101" t="s">
        <v>25</v>
      </c>
      <c r="C26" s="102"/>
      <c r="D26" s="102"/>
      <c r="E26" s="102"/>
      <c r="F26" s="102"/>
      <c r="G26" s="103"/>
      <c r="H26" s="49">
        <v>0</v>
      </c>
      <c r="I26" s="144"/>
      <c r="J26" s="145"/>
      <c r="K26" s="145"/>
      <c r="L26" s="144"/>
      <c r="M26" s="144"/>
    </row>
    <row r="27" spans="1:13" ht="13.5" customHeight="1">
      <c r="A27" s="45" t="s">
        <v>9</v>
      </c>
      <c r="B27" s="101" t="s">
        <v>101</v>
      </c>
      <c r="C27" s="102"/>
      <c r="D27" s="102"/>
      <c r="E27" s="102"/>
      <c r="F27" s="102"/>
      <c r="G27" s="103"/>
      <c r="H27" s="49">
        <v>0</v>
      </c>
      <c r="I27" s="144"/>
      <c r="J27" s="8"/>
      <c r="K27" s="144"/>
      <c r="L27" s="144"/>
      <c r="M27" s="144"/>
    </row>
    <row r="28" spans="1:13" ht="13.5" customHeight="1">
      <c r="A28" s="45" t="s">
        <v>11</v>
      </c>
      <c r="B28" s="101" t="s">
        <v>26</v>
      </c>
      <c r="C28" s="102"/>
      <c r="D28" s="102"/>
      <c r="E28" s="102"/>
      <c r="F28" s="102"/>
      <c r="G28" s="103"/>
      <c r="H28" s="49">
        <v>0</v>
      </c>
    </row>
    <row r="29" spans="1:13" ht="13.5" customHeight="1">
      <c r="A29" s="45" t="s">
        <v>13</v>
      </c>
      <c r="B29" s="101" t="s">
        <v>27</v>
      </c>
      <c r="C29" s="102"/>
      <c r="D29" s="102"/>
      <c r="E29" s="102"/>
      <c r="F29" s="102"/>
      <c r="G29" s="103"/>
      <c r="H29" s="49">
        <v>0</v>
      </c>
    </row>
    <row r="30" spans="1:13" ht="13.5" customHeight="1">
      <c r="A30" s="45" t="s">
        <v>15</v>
      </c>
      <c r="B30" s="101" t="s">
        <v>28</v>
      </c>
      <c r="C30" s="102"/>
      <c r="D30" s="102"/>
      <c r="E30" s="102"/>
      <c r="F30" s="102"/>
      <c r="G30" s="103"/>
      <c r="H30" s="49">
        <v>0</v>
      </c>
    </row>
    <row r="31" spans="1:13" ht="13.5" customHeight="1">
      <c r="A31" s="45" t="s">
        <v>17</v>
      </c>
      <c r="B31" s="101" t="s">
        <v>100</v>
      </c>
      <c r="C31" s="102"/>
      <c r="D31" s="102"/>
      <c r="E31" s="102"/>
      <c r="F31" s="102"/>
      <c r="G31" s="103"/>
      <c r="H31" s="49">
        <v>0</v>
      </c>
    </row>
    <row r="32" spans="1:13" ht="13.5" customHeight="1">
      <c r="A32" s="50"/>
      <c r="B32" s="130" t="s">
        <v>29</v>
      </c>
      <c r="C32" s="131"/>
      <c r="D32" s="131"/>
      <c r="E32" s="131"/>
      <c r="F32" s="131"/>
      <c r="G32" s="137"/>
      <c r="H32" s="51">
        <f>SUM(H26:H31)</f>
        <v>0</v>
      </c>
    </row>
    <row r="33" spans="1:11" ht="13.5" customHeight="1">
      <c r="A33" s="15"/>
      <c r="G33" s="23"/>
      <c r="H33" s="18"/>
      <c r="J33" s="15"/>
    </row>
    <row r="34" spans="1:11" ht="13.5" customHeight="1">
      <c r="A34" s="15" t="s">
        <v>126</v>
      </c>
      <c r="B34" s="15"/>
      <c r="C34" s="15"/>
      <c r="J34" s="52"/>
      <c r="K34" s="52"/>
    </row>
    <row r="35" spans="1:11" ht="13.5" customHeight="1">
      <c r="A35" s="75">
        <v>3</v>
      </c>
      <c r="B35" s="124" t="s">
        <v>24</v>
      </c>
      <c r="C35" s="125"/>
      <c r="D35" s="125"/>
      <c r="E35" s="125"/>
      <c r="F35" s="125"/>
      <c r="G35" s="133"/>
      <c r="H35" s="76" t="s">
        <v>6</v>
      </c>
      <c r="J35" s="52"/>
      <c r="K35" s="52"/>
    </row>
    <row r="36" spans="1:11" ht="13.5" customHeight="1">
      <c r="A36" s="45" t="s">
        <v>7</v>
      </c>
      <c r="B36" s="101" t="s">
        <v>97</v>
      </c>
      <c r="C36" s="102"/>
      <c r="D36" s="102"/>
      <c r="E36" s="102"/>
      <c r="F36" s="102"/>
      <c r="G36" s="103"/>
      <c r="H36" s="84">
        <v>0</v>
      </c>
      <c r="J36" s="53"/>
      <c r="K36" s="52"/>
    </row>
    <row r="37" spans="1:11" ht="13.5" customHeight="1">
      <c r="A37" s="45" t="s">
        <v>9</v>
      </c>
      <c r="B37" s="101" t="s">
        <v>107</v>
      </c>
      <c r="C37" s="102"/>
      <c r="D37" s="102"/>
      <c r="E37" s="102"/>
      <c r="F37" s="102"/>
      <c r="G37" s="103"/>
      <c r="H37" s="84">
        <v>0</v>
      </c>
      <c r="J37" s="52"/>
      <c r="K37" s="52"/>
    </row>
    <row r="38" spans="1:11" ht="13.5" customHeight="1">
      <c r="A38" s="50"/>
      <c r="B38" s="130" t="s">
        <v>30</v>
      </c>
      <c r="C38" s="131"/>
      <c r="D38" s="131"/>
      <c r="E38" s="131"/>
      <c r="F38" s="131"/>
      <c r="G38" s="137"/>
      <c r="H38" s="51">
        <f>SUM(H36:H37)</f>
        <v>0</v>
      </c>
    </row>
    <row r="40" spans="1:11" ht="13.5" customHeight="1">
      <c r="A40" s="15" t="s">
        <v>31</v>
      </c>
      <c r="B40" s="15"/>
      <c r="C40" s="15"/>
      <c r="D40" s="15"/>
      <c r="E40" s="15"/>
      <c r="H40" s="18"/>
    </row>
    <row r="42" spans="1:11" ht="13.5" customHeight="1">
      <c r="A42" s="15" t="s">
        <v>32</v>
      </c>
      <c r="B42" s="15"/>
      <c r="C42" s="15"/>
      <c r="D42" s="15"/>
      <c r="E42" s="15"/>
    </row>
    <row r="43" spans="1:11" ht="13.5" customHeight="1">
      <c r="A43" s="75" t="s">
        <v>33</v>
      </c>
      <c r="B43" s="124" t="s">
        <v>34</v>
      </c>
      <c r="C43" s="125"/>
      <c r="D43" s="125"/>
      <c r="E43" s="125"/>
      <c r="F43" s="133"/>
      <c r="G43" s="76" t="s">
        <v>35</v>
      </c>
      <c r="H43" s="76" t="s">
        <v>6</v>
      </c>
    </row>
    <row r="44" spans="1:11" ht="13.5" customHeight="1">
      <c r="A44" s="45" t="s">
        <v>7</v>
      </c>
      <c r="B44" s="101" t="s">
        <v>36</v>
      </c>
      <c r="C44" s="102"/>
      <c r="D44" s="102"/>
      <c r="E44" s="102"/>
      <c r="F44" s="103"/>
      <c r="G44" s="54">
        <v>0</v>
      </c>
      <c r="H44" s="49">
        <f>G44*H22</f>
        <v>0</v>
      </c>
    </row>
    <row r="45" spans="1:11" ht="13.5" customHeight="1">
      <c r="A45" s="45" t="s">
        <v>9</v>
      </c>
      <c r="B45" s="101" t="s">
        <v>37</v>
      </c>
      <c r="C45" s="102"/>
      <c r="D45" s="102"/>
      <c r="E45" s="102"/>
      <c r="F45" s="103"/>
      <c r="G45" s="55">
        <v>0</v>
      </c>
      <c r="H45" s="49">
        <f>G45*H22</f>
        <v>0</v>
      </c>
    </row>
    <row r="46" spans="1:11" ht="13.5" customHeight="1">
      <c r="A46" s="45" t="s">
        <v>11</v>
      </c>
      <c r="B46" s="101" t="s">
        <v>38</v>
      </c>
      <c r="C46" s="102"/>
      <c r="D46" s="102"/>
      <c r="E46" s="102"/>
      <c r="F46" s="103"/>
      <c r="G46" s="56">
        <v>0</v>
      </c>
      <c r="H46" s="49">
        <f>G46*H22</f>
        <v>0</v>
      </c>
    </row>
    <row r="47" spans="1:11" ht="13.5" customHeight="1">
      <c r="A47" s="45" t="s">
        <v>13</v>
      </c>
      <c r="B47" s="101" t="s">
        <v>39</v>
      </c>
      <c r="C47" s="102"/>
      <c r="D47" s="102"/>
      <c r="E47" s="102"/>
      <c r="F47" s="103"/>
      <c r="G47" s="56">
        <v>0</v>
      </c>
      <c r="H47" s="49">
        <f>G47*H22</f>
        <v>0</v>
      </c>
    </row>
    <row r="48" spans="1:11" ht="13.5" customHeight="1">
      <c r="A48" s="45" t="s">
        <v>15</v>
      </c>
      <c r="B48" s="101" t="s">
        <v>40</v>
      </c>
      <c r="C48" s="102"/>
      <c r="D48" s="102"/>
      <c r="E48" s="102"/>
      <c r="F48" s="103"/>
      <c r="G48" s="56">
        <v>0</v>
      </c>
      <c r="H48" s="49">
        <f>G48*H22</f>
        <v>0</v>
      </c>
    </row>
    <row r="49" spans="1:9" ht="13.5" customHeight="1">
      <c r="A49" s="45" t="s">
        <v>17</v>
      </c>
      <c r="B49" s="101" t="s">
        <v>41</v>
      </c>
      <c r="C49" s="102"/>
      <c r="D49" s="102"/>
      <c r="E49" s="102"/>
      <c r="F49" s="103"/>
      <c r="G49" s="56">
        <v>0</v>
      </c>
      <c r="H49" s="49">
        <f>G49*H22</f>
        <v>0</v>
      </c>
    </row>
    <row r="50" spans="1:9" ht="13.5" customHeight="1">
      <c r="A50" s="45" t="s">
        <v>19</v>
      </c>
      <c r="B50" s="101" t="s">
        <v>42</v>
      </c>
      <c r="C50" s="102"/>
      <c r="D50" s="102"/>
      <c r="E50" s="102"/>
      <c r="F50" s="103"/>
      <c r="G50" s="56">
        <v>0</v>
      </c>
      <c r="H50" s="49">
        <f>G50*H22</f>
        <v>0</v>
      </c>
    </row>
    <row r="51" spans="1:9" ht="13.5" customHeight="1">
      <c r="A51" s="45" t="s">
        <v>21</v>
      </c>
      <c r="B51" s="101" t="s">
        <v>43</v>
      </c>
      <c r="C51" s="102"/>
      <c r="D51" s="102"/>
      <c r="E51" s="102"/>
      <c r="F51" s="103"/>
      <c r="G51" s="56">
        <v>0</v>
      </c>
      <c r="H51" s="49">
        <f>G51*H22</f>
        <v>0</v>
      </c>
    </row>
    <row r="52" spans="1:9" ht="13.5" customHeight="1">
      <c r="A52" s="50"/>
      <c r="B52" s="130" t="s">
        <v>44</v>
      </c>
      <c r="C52" s="131"/>
      <c r="D52" s="131"/>
      <c r="E52" s="131"/>
      <c r="F52" s="132"/>
      <c r="G52" s="57">
        <f>SUM(G44:G51)</f>
        <v>0</v>
      </c>
      <c r="H52" s="51">
        <f>SUM(H44:H51)</f>
        <v>0</v>
      </c>
    </row>
    <row r="53" spans="1:9" ht="13.5" customHeight="1">
      <c r="A53" s="38" t="s">
        <v>93</v>
      </c>
      <c r="B53" s="26"/>
      <c r="C53" s="26"/>
      <c r="D53" s="26"/>
      <c r="E53" s="26"/>
      <c r="F53" s="26"/>
      <c r="G53" s="26"/>
      <c r="H53" s="26"/>
    </row>
    <row r="54" spans="1:9" ht="13.5" customHeight="1">
      <c r="A54" s="39" t="s">
        <v>94</v>
      </c>
      <c r="F54" s="27"/>
      <c r="G54" s="23"/>
      <c r="I54" s="28"/>
    </row>
    <row r="56" spans="1:9" ht="13.5" customHeight="1">
      <c r="A56" s="15" t="s">
        <v>108</v>
      </c>
      <c r="B56" s="15"/>
      <c r="C56" s="15"/>
      <c r="D56" s="15"/>
      <c r="E56" s="15"/>
    </row>
    <row r="57" spans="1:9" ht="13.5" customHeight="1">
      <c r="A57" s="75" t="s">
        <v>45</v>
      </c>
      <c r="B57" s="124" t="s">
        <v>103</v>
      </c>
      <c r="C57" s="125"/>
      <c r="D57" s="125"/>
      <c r="E57" s="125"/>
      <c r="F57" s="125"/>
      <c r="G57" s="133"/>
      <c r="H57" s="76" t="s">
        <v>6</v>
      </c>
    </row>
    <row r="58" spans="1:9" ht="13.5" customHeight="1">
      <c r="A58" s="45" t="s">
        <v>7</v>
      </c>
      <c r="B58" s="101" t="s">
        <v>46</v>
      </c>
      <c r="C58" s="102"/>
      <c r="D58" s="102"/>
      <c r="E58" s="102"/>
      <c r="F58" s="102"/>
      <c r="G58" s="103"/>
      <c r="H58" s="49">
        <f>0%*H22</f>
        <v>0</v>
      </c>
      <c r="I58" s="29"/>
    </row>
    <row r="59" spans="1:9" ht="13.5" customHeight="1">
      <c r="A59" s="58"/>
      <c r="B59" s="134" t="s">
        <v>47</v>
      </c>
      <c r="C59" s="134"/>
      <c r="D59" s="134"/>
      <c r="E59" s="134"/>
      <c r="F59" s="134"/>
      <c r="G59" s="135"/>
      <c r="H59" s="49">
        <f>SUM(H58:H58)</f>
        <v>0</v>
      </c>
    </row>
    <row r="60" spans="1:9" ht="13.5" customHeight="1">
      <c r="A60" s="45" t="s">
        <v>9</v>
      </c>
      <c r="B60" s="101" t="s">
        <v>104</v>
      </c>
      <c r="C60" s="102"/>
      <c r="D60" s="102"/>
      <c r="E60" s="102"/>
      <c r="F60" s="102"/>
      <c r="G60" s="103"/>
      <c r="H60" s="49">
        <f>G52*H59</f>
        <v>0</v>
      </c>
    </row>
    <row r="61" spans="1:9" ht="13.5" customHeight="1">
      <c r="A61" s="59"/>
      <c r="B61" s="130" t="s">
        <v>48</v>
      </c>
      <c r="C61" s="131"/>
      <c r="D61" s="131"/>
      <c r="E61" s="131"/>
      <c r="F61" s="131"/>
      <c r="G61" s="132"/>
      <c r="H61" s="51">
        <f>SUM(H59:H60)</f>
        <v>0</v>
      </c>
    </row>
    <row r="62" spans="1:9" ht="13.5" customHeight="1">
      <c r="H62" s="25"/>
    </row>
    <row r="63" spans="1:9" ht="13.5" customHeight="1">
      <c r="A63" s="15" t="s">
        <v>49</v>
      </c>
      <c r="B63" s="15"/>
      <c r="C63" s="15"/>
      <c r="D63" s="15"/>
      <c r="E63" s="15"/>
    </row>
    <row r="64" spans="1:9" ht="13.5" customHeight="1">
      <c r="A64" s="75" t="s">
        <v>50</v>
      </c>
      <c r="B64" s="124" t="s">
        <v>51</v>
      </c>
      <c r="C64" s="125"/>
      <c r="D64" s="125"/>
      <c r="E64" s="125"/>
      <c r="F64" s="125"/>
      <c r="G64" s="133"/>
      <c r="H64" s="76" t="s">
        <v>6</v>
      </c>
    </row>
    <row r="65" spans="1:8" ht="13.5" customHeight="1">
      <c r="A65" s="45" t="s">
        <v>7</v>
      </c>
      <c r="B65" s="101" t="s">
        <v>51</v>
      </c>
      <c r="C65" s="102"/>
      <c r="D65" s="102"/>
      <c r="E65" s="102"/>
      <c r="F65" s="102"/>
      <c r="G65" s="103"/>
      <c r="H65" s="49">
        <f>0%*H22</f>
        <v>0</v>
      </c>
    </row>
    <row r="66" spans="1:8" ht="13.5" customHeight="1">
      <c r="A66" s="45" t="s">
        <v>9</v>
      </c>
      <c r="B66" s="101" t="s">
        <v>52</v>
      </c>
      <c r="C66" s="102"/>
      <c r="D66" s="102"/>
      <c r="E66" s="102"/>
      <c r="F66" s="102"/>
      <c r="G66" s="103"/>
      <c r="H66" s="49">
        <f>H65*G52</f>
        <v>0</v>
      </c>
    </row>
    <row r="67" spans="1:8" ht="13.5" customHeight="1">
      <c r="A67" s="60"/>
      <c r="B67" s="136" t="s">
        <v>48</v>
      </c>
      <c r="C67" s="134"/>
      <c r="D67" s="134"/>
      <c r="E67" s="134"/>
      <c r="F67" s="134"/>
      <c r="G67" s="135"/>
      <c r="H67" s="51">
        <f>SUM(H65:H66)</f>
        <v>0</v>
      </c>
    </row>
    <row r="69" spans="1:8" ht="13.5" customHeight="1">
      <c r="A69" s="15" t="s">
        <v>53</v>
      </c>
      <c r="B69" s="15"/>
      <c r="C69" s="15"/>
      <c r="D69" s="15"/>
      <c r="E69" s="15"/>
    </row>
    <row r="70" spans="1:8" ht="13.5" customHeight="1">
      <c r="A70" s="75" t="s">
        <v>54</v>
      </c>
      <c r="B70" s="124" t="s">
        <v>55</v>
      </c>
      <c r="C70" s="125"/>
      <c r="D70" s="125"/>
      <c r="E70" s="125"/>
      <c r="F70" s="125"/>
      <c r="G70" s="133"/>
      <c r="H70" s="76" t="s">
        <v>6</v>
      </c>
    </row>
    <row r="71" spans="1:8" ht="13.5" customHeight="1">
      <c r="A71" s="45" t="s">
        <v>7</v>
      </c>
      <c r="B71" s="101" t="s">
        <v>56</v>
      </c>
      <c r="C71" s="102"/>
      <c r="D71" s="102"/>
      <c r="E71" s="102"/>
      <c r="F71" s="102"/>
      <c r="G71" s="103"/>
      <c r="H71" s="49">
        <f>0%*H22</f>
        <v>0</v>
      </c>
    </row>
    <row r="72" spans="1:8" ht="13.5" customHeight="1">
      <c r="A72" s="45" t="s">
        <v>9</v>
      </c>
      <c r="B72" s="101" t="s">
        <v>57</v>
      </c>
      <c r="C72" s="102"/>
      <c r="D72" s="102"/>
      <c r="E72" s="102"/>
      <c r="F72" s="102"/>
      <c r="G72" s="103"/>
      <c r="H72" s="49">
        <f>H71*8%</f>
        <v>0</v>
      </c>
    </row>
    <row r="73" spans="1:8" ht="13.5" customHeight="1">
      <c r="A73" s="45" t="s">
        <v>11</v>
      </c>
      <c r="B73" s="101" t="s">
        <v>58</v>
      </c>
      <c r="C73" s="102"/>
      <c r="D73" s="102"/>
      <c r="E73" s="102"/>
      <c r="F73" s="102"/>
      <c r="G73" s="103"/>
      <c r="H73" s="49">
        <f>0%*H22</f>
        <v>0</v>
      </c>
    </row>
    <row r="74" spans="1:8" ht="13.5" customHeight="1">
      <c r="A74" s="45" t="s">
        <v>13</v>
      </c>
      <c r="B74" s="101" t="s">
        <v>59</v>
      </c>
      <c r="C74" s="102"/>
      <c r="D74" s="102"/>
      <c r="E74" s="102"/>
      <c r="F74" s="102"/>
      <c r="G74" s="103"/>
      <c r="H74" s="49">
        <f>0%*H22</f>
        <v>0</v>
      </c>
    </row>
    <row r="75" spans="1:8" ht="13.5" customHeight="1">
      <c r="A75" s="45" t="s">
        <v>15</v>
      </c>
      <c r="B75" s="101" t="s">
        <v>60</v>
      </c>
      <c r="C75" s="102"/>
      <c r="D75" s="102"/>
      <c r="E75" s="102"/>
      <c r="F75" s="102"/>
      <c r="G75" s="103"/>
      <c r="H75" s="49">
        <f>H74*G52</f>
        <v>0</v>
      </c>
    </row>
    <row r="76" spans="1:8" ht="13.5" customHeight="1">
      <c r="A76" s="45" t="s">
        <v>17</v>
      </c>
      <c r="B76" s="101" t="s">
        <v>61</v>
      </c>
      <c r="C76" s="102"/>
      <c r="D76" s="102"/>
      <c r="E76" s="102"/>
      <c r="F76" s="102"/>
      <c r="G76" s="103"/>
      <c r="H76" s="49">
        <f>0%*H22</f>
        <v>0</v>
      </c>
    </row>
    <row r="77" spans="1:8" ht="13.5" customHeight="1">
      <c r="A77" s="50"/>
      <c r="B77" s="130" t="s">
        <v>44</v>
      </c>
      <c r="C77" s="131"/>
      <c r="D77" s="131"/>
      <c r="E77" s="131"/>
      <c r="F77" s="131"/>
      <c r="G77" s="131"/>
      <c r="H77" s="20">
        <f>SUM(H71:H76)</f>
        <v>0</v>
      </c>
    </row>
    <row r="79" spans="1:8" ht="13.5" customHeight="1">
      <c r="A79" s="15" t="s">
        <v>62</v>
      </c>
    </row>
    <row r="80" spans="1:8" ht="13.5" customHeight="1">
      <c r="A80" s="75" t="s">
        <v>63</v>
      </c>
      <c r="B80" s="124" t="s">
        <v>64</v>
      </c>
      <c r="C80" s="125"/>
      <c r="D80" s="125"/>
      <c r="E80" s="125"/>
      <c r="F80" s="125"/>
      <c r="G80" s="133"/>
      <c r="H80" s="76" t="s">
        <v>6</v>
      </c>
    </row>
    <row r="81" spans="1:8" ht="13.5" customHeight="1">
      <c r="A81" s="45" t="s">
        <v>7</v>
      </c>
      <c r="B81" s="101" t="s">
        <v>102</v>
      </c>
      <c r="C81" s="102"/>
      <c r="D81" s="102"/>
      <c r="E81" s="102"/>
      <c r="F81" s="102"/>
      <c r="G81" s="103"/>
      <c r="H81" s="49">
        <f>0%*H22</f>
        <v>0</v>
      </c>
    </row>
    <row r="82" spans="1:8" ht="13.5" customHeight="1">
      <c r="A82" s="45" t="s">
        <v>9</v>
      </c>
      <c r="B82" s="101" t="s">
        <v>65</v>
      </c>
      <c r="C82" s="102"/>
      <c r="D82" s="102"/>
      <c r="E82" s="102"/>
      <c r="F82" s="102"/>
      <c r="G82" s="103"/>
      <c r="H82" s="49">
        <f>0%*H22</f>
        <v>0</v>
      </c>
    </row>
    <row r="83" spans="1:8" ht="13.5" customHeight="1">
      <c r="A83" s="45" t="s">
        <v>11</v>
      </c>
      <c r="B83" s="101" t="s">
        <v>66</v>
      </c>
      <c r="C83" s="102"/>
      <c r="D83" s="102"/>
      <c r="E83" s="102"/>
      <c r="F83" s="102"/>
      <c r="G83" s="103"/>
      <c r="H83" s="49">
        <f>0%*H22</f>
        <v>0</v>
      </c>
    </row>
    <row r="84" spans="1:8" ht="13.5" customHeight="1">
      <c r="A84" s="45" t="s">
        <v>13</v>
      </c>
      <c r="B84" s="101" t="s">
        <v>67</v>
      </c>
      <c r="C84" s="102"/>
      <c r="D84" s="102"/>
      <c r="E84" s="102"/>
      <c r="F84" s="102"/>
      <c r="G84" s="103"/>
      <c r="H84" s="49">
        <f>0%*H22</f>
        <v>0</v>
      </c>
    </row>
    <row r="85" spans="1:8" ht="13.5" customHeight="1">
      <c r="A85" s="45" t="s">
        <v>15</v>
      </c>
      <c r="B85" s="101" t="s">
        <v>68</v>
      </c>
      <c r="C85" s="102"/>
      <c r="D85" s="102"/>
      <c r="E85" s="102"/>
      <c r="F85" s="102"/>
      <c r="G85" s="103"/>
      <c r="H85" s="49">
        <f>0%*H22</f>
        <v>0</v>
      </c>
    </row>
    <row r="86" spans="1:8" ht="13.5" customHeight="1">
      <c r="A86" s="45" t="s">
        <v>17</v>
      </c>
      <c r="B86" s="101" t="s">
        <v>22</v>
      </c>
      <c r="C86" s="102"/>
      <c r="D86" s="102"/>
      <c r="E86" s="102"/>
      <c r="F86" s="102"/>
      <c r="G86" s="103"/>
      <c r="H86" s="49">
        <v>0</v>
      </c>
    </row>
    <row r="87" spans="1:8" ht="13.5" customHeight="1">
      <c r="A87" s="50"/>
      <c r="B87" s="130" t="s">
        <v>47</v>
      </c>
      <c r="C87" s="131"/>
      <c r="D87" s="131"/>
      <c r="E87" s="131"/>
      <c r="F87" s="131"/>
      <c r="G87" s="132"/>
      <c r="H87" s="61">
        <f>SUM(H81:H86)</f>
        <v>0</v>
      </c>
    </row>
    <row r="88" spans="1:8" ht="13.5" customHeight="1">
      <c r="A88" s="45" t="s">
        <v>19</v>
      </c>
      <c r="B88" s="101" t="s">
        <v>69</v>
      </c>
      <c r="C88" s="102"/>
      <c r="D88" s="102"/>
      <c r="E88" s="102"/>
      <c r="F88" s="102"/>
      <c r="G88" s="103"/>
      <c r="H88" s="49">
        <f>H87*G52</f>
        <v>0</v>
      </c>
    </row>
    <row r="89" spans="1:8" ht="13.5" customHeight="1">
      <c r="A89" s="50"/>
      <c r="B89" s="130" t="s">
        <v>44</v>
      </c>
      <c r="C89" s="131"/>
      <c r="D89" s="131"/>
      <c r="E89" s="131"/>
      <c r="F89" s="131"/>
      <c r="G89" s="132"/>
      <c r="H89" s="51">
        <f>SUM(H87:H88)</f>
        <v>0</v>
      </c>
    </row>
    <row r="90" spans="1:8" ht="13.5" customHeight="1">
      <c r="A90" s="52"/>
      <c r="B90" s="62"/>
      <c r="C90" s="62"/>
      <c r="D90" s="62"/>
      <c r="E90" s="62"/>
      <c r="F90" s="62"/>
      <c r="G90" s="62"/>
      <c r="H90" s="63"/>
    </row>
    <row r="91" spans="1:8" ht="13.5" customHeight="1">
      <c r="A91" s="15" t="s">
        <v>127</v>
      </c>
      <c r="B91" s="15"/>
      <c r="C91" s="15"/>
      <c r="D91" s="15"/>
      <c r="E91" s="15"/>
      <c r="F91" s="15"/>
    </row>
    <row r="92" spans="1:8" ht="13.5" customHeight="1">
      <c r="A92" s="75">
        <v>4</v>
      </c>
      <c r="B92" s="124" t="s">
        <v>70</v>
      </c>
      <c r="C92" s="125"/>
      <c r="D92" s="125"/>
      <c r="E92" s="125"/>
      <c r="F92" s="125"/>
      <c r="G92" s="133"/>
      <c r="H92" s="76" t="s">
        <v>6</v>
      </c>
    </row>
    <row r="93" spans="1:8" ht="13.5" customHeight="1">
      <c r="A93" s="45" t="s">
        <v>33</v>
      </c>
      <c r="B93" s="101" t="s">
        <v>103</v>
      </c>
      <c r="C93" s="102"/>
      <c r="D93" s="102"/>
      <c r="E93" s="102"/>
      <c r="F93" s="102"/>
      <c r="G93" s="103"/>
      <c r="H93" s="61">
        <f>H52</f>
        <v>0</v>
      </c>
    </row>
    <row r="94" spans="1:8" ht="13.5" customHeight="1">
      <c r="A94" s="45" t="s">
        <v>45</v>
      </c>
      <c r="B94" s="101" t="s">
        <v>71</v>
      </c>
      <c r="C94" s="102"/>
      <c r="D94" s="102"/>
      <c r="E94" s="102"/>
      <c r="F94" s="102"/>
      <c r="G94" s="103"/>
      <c r="H94" s="61">
        <f>H61</f>
        <v>0</v>
      </c>
    </row>
    <row r="95" spans="1:8" ht="13.5" customHeight="1">
      <c r="A95" s="45" t="s">
        <v>50</v>
      </c>
      <c r="B95" s="101" t="s">
        <v>51</v>
      </c>
      <c r="C95" s="102"/>
      <c r="D95" s="102"/>
      <c r="E95" s="102"/>
      <c r="F95" s="102"/>
      <c r="G95" s="103"/>
      <c r="H95" s="61">
        <f>H67</f>
        <v>0</v>
      </c>
    </row>
    <row r="96" spans="1:8" ht="13.5" customHeight="1">
      <c r="A96" s="45" t="s">
        <v>54</v>
      </c>
      <c r="B96" s="101" t="s">
        <v>72</v>
      </c>
      <c r="C96" s="102"/>
      <c r="D96" s="102"/>
      <c r="E96" s="102"/>
      <c r="F96" s="102"/>
      <c r="G96" s="102"/>
      <c r="H96" s="32">
        <f>H77</f>
        <v>0</v>
      </c>
    </row>
    <row r="97" spans="1:8" ht="13.5" customHeight="1">
      <c r="A97" s="45" t="s">
        <v>63</v>
      </c>
      <c r="B97" s="101" t="s">
        <v>73</v>
      </c>
      <c r="C97" s="102"/>
      <c r="D97" s="102"/>
      <c r="E97" s="102"/>
      <c r="F97" s="102"/>
      <c r="G97" s="103"/>
      <c r="H97" s="61">
        <f>H89</f>
        <v>0</v>
      </c>
    </row>
    <row r="98" spans="1:8" ht="13.5" customHeight="1">
      <c r="A98" s="45" t="s">
        <v>74</v>
      </c>
      <c r="B98" s="101" t="s">
        <v>22</v>
      </c>
      <c r="C98" s="102"/>
      <c r="D98" s="102"/>
      <c r="E98" s="102"/>
      <c r="F98" s="102"/>
      <c r="G98" s="103"/>
      <c r="H98" s="61">
        <v>0</v>
      </c>
    </row>
    <row r="99" spans="1:8" ht="13.5" customHeight="1">
      <c r="A99" s="50"/>
      <c r="B99" s="130" t="s">
        <v>48</v>
      </c>
      <c r="C99" s="131"/>
      <c r="D99" s="131"/>
      <c r="E99" s="131"/>
      <c r="F99" s="131"/>
      <c r="G99" s="132"/>
      <c r="H99" s="51">
        <f>SUM(H93:H98)</f>
        <v>0</v>
      </c>
    </row>
    <row r="101" spans="1:8" ht="13.5" customHeight="1">
      <c r="A101" s="15" t="s">
        <v>128</v>
      </c>
    </row>
    <row r="102" spans="1:8" ht="13.5" customHeight="1">
      <c r="A102" s="75">
        <v>5</v>
      </c>
      <c r="B102" s="124" t="s">
        <v>145</v>
      </c>
      <c r="C102" s="125"/>
      <c r="D102" s="125"/>
      <c r="E102" s="125"/>
      <c r="F102" s="126"/>
      <c r="G102" s="76" t="s">
        <v>35</v>
      </c>
      <c r="H102" s="75" t="s">
        <v>6</v>
      </c>
    </row>
    <row r="103" spans="1:8" ht="13.5" customHeight="1">
      <c r="A103" s="33" t="s">
        <v>7</v>
      </c>
      <c r="B103" s="127" t="s">
        <v>76</v>
      </c>
      <c r="C103" s="128"/>
      <c r="D103" s="128"/>
      <c r="E103" s="128"/>
      <c r="F103" s="129"/>
      <c r="G103" s="64">
        <v>0</v>
      </c>
      <c r="H103" s="34">
        <f>(H22+H32+H38+H99)*G103</f>
        <v>0</v>
      </c>
    </row>
    <row r="104" spans="1:8" ht="13.5" customHeight="1">
      <c r="A104" s="16" t="s">
        <v>9</v>
      </c>
      <c r="B104" s="127" t="s">
        <v>77</v>
      </c>
      <c r="C104" s="128"/>
      <c r="D104" s="128"/>
      <c r="E104" s="128"/>
      <c r="F104" s="129"/>
      <c r="G104" s="41">
        <f>100%-(G105+G106+G107+G108)</f>
        <v>1</v>
      </c>
      <c r="H104" s="34">
        <f>(H22+H32+H38+H99+H103+H109)/G104</f>
        <v>0</v>
      </c>
    </row>
    <row r="105" spans="1:8" ht="13.5" customHeight="1">
      <c r="A105" s="16" t="s">
        <v>78</v>
      </c>
      <c r="B105" s="127" t="s">
        <v>79</v>
      </c>
      <c r="C105" s="128"/>
      <c r="D105" s="128"/>
      <c r="E105" s="128"/>
      <c r="F105" s="129"/>
      <c r="G105" s="65">
        <v>0</v>
      </c>
      <c r="H105" s="34">
        <f>H104*G105</f>
        <v>0</v>
      </c>
    </row>
    <row r="106" spans="1:8" ht="13.5" customHeight="1">
      <c r="A106" s="16" t="s">
        <v>80</v>
      </c>
      <c r="B106" s="127" t="s">
        <v>81</v>
      </c>
      <c r="C106" s="128"/>
      <c r="D106" s="128"/>
      <c r="E106" s="128"/>
      <c r="F106" s="129"/>
      <c r="G106" s="65">
        <v>0</v>
      </c>
      <c r="H106" s="34">
        <f>H104*G106</f>
        <v>0</v>
      </c>
    </row>
    <row r="107" spans="1:8" ht="13.5" customHeight="1">
      <c r="A107" s="16" t="s">
        <v>82</v>
      </c>
      <c r="B107" s="127" t="s">
        <v>83</v>
      </c>
      <c r="C107" s="128"/>
      <c r="D107" s="128"/>
      <c r="E107" s="128"/>
      <c r="F107" s="129"/>
      <c r="G107" s="65">
        <v>0</v>
      </c>
      <c r="H107" s="34">
        <f>H104*G107</f>
        <v>0</v>
      </c>
    </row>
    <row r="108" spans="1:8" ht="13.5" customHeight="1">
      <c r="A108" s="16" t="s">
        <v>84</v>
      </c>
      <c r="B108" s="127" t="s">
        <v>99</v>
      </c>
      <c r="C108" s="128"/>
      <c r="D108" s="128"/>
      <c r="E108" s="128"/>
      <c r="F108" s="129"/>
      <c r="G108" s="65">
        <v>0</v>
      </c>
      <c r="H108" s="34">
        <f>H104*G108</f>
        <v>0</v>
      </c>
    </row>
    <row r="109" spans="1:8" ht="13.5" customHeight="1">
      <c r="A109" s="16" t="s">
        <v>11</v>
      </c>
      <c r="B109" s="127" t="s">
        <v>85</v>
      </c>
      <c r="C109" s="128"/>
      <c r="D109" s="128"/>
      <c r="E109" s="128"/>
      <c r="F109" s="129"/>
      <c r="G109" s="65">
        <v>0</v>
      </c>
      <c r="H109" s="34">
        <f>(H22+H32+H38+H99+H103)*G109</f>
        <v>0</v>
      </c>
    </row>
    <row r="110" spans="1:8" ht="13.5" customHeight="1">
      <c r="A110" s="21"/>
      <c r="B110" s="107" t="s">
        <v>44</v>
      </c>
      <c r="C110" s="108"/>
      <c r="D110" s="108"/>
      <c r="E110" s="108"/>
      <c r="F110" s="109"/>
      <c r="G110" s="35"/>
      <c r="H110" s="34">
        <f>H103+H105+H106+H107+H108+H109</f>
        <v>0</v>
      </c>
    </row>
    <row r="112" spans="1:8" ht="13.5" customHeight="1">
      <c r="A112" s="106" t="s">
        <v>86</v>
      </c>
      <c r="B112" s="106"/>
      <c r="C112" s="106"/>
      <c r="D112" s="106"/>
      <c r="E112" s="106"/>
      <c r="F112" s="106"/>
      <c r="G112" s="106"/>
      <c r="H112" s="106"/>
    </row>
    <row r="113" spans="1:8" ht="13.5" customHeight="1">
      <c r="A113" s="14"/>
      <c r="B113" s="14"/>
      <c r="C113" s="14"/>
      <c r="D113" s="14"/>
      <c r="E113" s="14"/>
      <c r="F113" s="14"/>
      <c r="G113" s="14"/>
      <c r="H113" s="14"/>
    </row>
    <row r="114" spans="1:8" ht="13.5" customHeight="1">
      <c r="A114" s="75"/>
      <c r="B114" s="124"/>
      <c r="C114" s="125"/>
      <c r="D114" s="125"/>
      <c r="E114" s="125"/>
      <c r="F114" s="125"/>
      <c r="G114" s="126"/>
      <c r="H114" s="75" t="s">
        <v>6</v>
      </c>
    </row>
    <row r="115" spans="1:8" ht="13.5" customHeight="1">
      <c r="A115" s="33" t="s">
        <v>7</v>
      </c>
      <c r="B115" s="127" t="s">
        <v>87</v>
      </c>
      <c r="C115" s="128"/>
      <c r="D115" s="128"/>
      <c r="E115" s="128"/>
      <c r="F115" s="128"/>
      <c r="G115" s="129"/>
      <c r="H115" s="34">
        <f>H22</f>
        <v>0</v>
      </c>
    </row>
    <row r="116" spans="1:8" ht="13.5" customHeight="1">
      <c r="A116" s="16" t="s">
        <v>9</v>
      </c>
      <c r="B116" s="127" t="s">
        <v>88</v>
      </c>
      <c r="C116" s="128"/>
      <c r="D116" s="128"/>
      <c r="E116" s="128"/>
      <c r="F116" s="128"/>
      <c r="G116" s="129"/>
      <c r="H116" s="34">
        <f>H32</f>
        <v>0</v>
      </c>
    </row>
    <row r="117" spans="1:8" ht="13.5" customHeight="1">
      <c r="A117" s="16" t="s">
        <v>11</v>
      </c>
      <c r="B117" s="127" t="s">
        <v>89</v>
      </c>
      <c r="C117" s="128"/>
      <c r="D117" s="128"/>
      <c r="E117" s="128"/>
      <c r="F117" s="128"/>
      <c r="G117" s="129"/>
      <c r="H117" s="34">
        <f>H38</f>
        <v>0</v>
      </c>
    </row>
    <row r="118" spans="1:8" ht="13.5" customHeight="1">
      <c r="A118" s="16" t="s">
        <v>13</v>
      </c>
      <c r="B118" s="127" t="s">
        <v>70</v>
      </c>
      <c r="C118" s="128"/>
      <c r="D118" s="128"/>
      <c r="E118" s="128"/>
      <c r="F118" s="128"/>
      <c r="G118" s="129"/>
      <c r="H118" s="34">
        <f>H99</f>
        <v>0</v>
      </c>
    </row>
    <row r="119" spans="1:8" ht="13.5" customHeight="1">
      <c r="A119" s="66" t="s">
        <v>90</v>
      </c>
      <c r="B119" s="67"/>
      <c r="C119" s="67"/>
      <c r="D119" s="67"/>
      <c r="E119" s="67"/>
      <c r="F119" s="67"/>
      <c r="G119" s="68"/>
      <c r="H119" s="34">
        <f>SUM(H115:H118)</f>
        <v>0</v>
      </c>
    </row>
    <row r="120" spans="1:8" ht="13.5" customHeight="1">
      <c r="A120" s="16" t="s">
        <v>15</v>
      </c>
      <c r="B120" s="127" t="s">
        <v>75</v>
      </c>
      <c r="C120" s="128"/>
      <c r="D120" s="128"/>
      <c r="E120" s="128"/>
      <c r="F120" s="128"/>
      <c r="G120" s="129"/>
      <c r="H120" s="34">
        <f>H110</f>
        <v>0</v>
      </c>
    </row>
    <row r="121" spans="1:8" ht="13.5" customHeight="1">
      <c r="A121" s="107" t="s">
        <v>98</v>
      </c>
      <c r="B121" s="108"/>
      <c r="C121" s="108"/>
      <c r="D121" s="108"/>
      <c r="E121" s="108"/>
      <c r="F121" s="108"/>
      <c r="G121" s="109"/>
      <c r="H121" s="36">
        <f>H119+H120</f>
        <v>0</v>
      </c>
    </row>
    <row r="123" spans="1:8" ht="13.5" customHeight="1">
      <c r="A123" s="69"/>
      <c r="B123" s="69"/>
      <c r="C123" s="69"/>
      <c r="D123" s="69"/>
      <c r="E123" s="69"/>
      <c r="F123" s="69"/>
      <c r="G123" s="69"/>
      <c r="H123" s="69"/>
    </row>
    <row r="124" spans="1:8" ht="13.5" customHeight="1">
      <c r="A124" s="91" t="s">
        <v>129</v>
      </c>
      <c r="B124" s="91"/>
      <c r="C124" s="91"/>
      <c r="D124" s="91"/>
      <c r="E124" s="91"/>
      <c r="F124" s="91"/>
      <c r="G124" s="91" t="s">
        <v>6</v>
      </c>
      <c r="H124" s="91"/>
    </row>
    <row r="125" spans="1:8" ht="13.5" customHeight="1">
      <c r="A125" s="110" t="s">
        <v>132</v>
      </c>
      <c r="B125" s="111"/>
      <c r="C125" s="111"/>
      <c r="D125" s="111"/>
      <c r="E125" s="111"/>
      <c r="F125" s="112"/>
      <c r="G125" s="118">
        <f>H121</f>
        <v>0</v>
      </c>
      <c r="H125" s="119"/>
    </row>
    <row r="126" spans="1:8" ht="13.5" customHeight="1">
      <c r="A126" s="110" t="s">
        <v>142</v>
      </c>
      <c r="B126" s="113"/>
      <c r="C126" s="113"/>
      <c r="D126" s="113"/>
      <c r="E126" s="113"/>
      <c r="F126" s="114"/>
      <c r="G126" s="120">
        <f>9*G125</f>
        <v>0</v>
      </c>
      <c r="H126" s="121"/>
    </row>
    <row r="127" spans="1:8" ht="13.5" customHeight="1">
      <c r="A127" s="115" t="s">
        <v>143</v>
      </c>
      <c r="B127" s="116"/>
      <c r="C127" s="116"/>
      <c r="D127" s="116"/>
      <c r="E127" s="116"/>
      <c r="F127" s="117"/>
      <c r="G127" s="122">
        <f>G126*12</f>
        <v>0</v>
      </c>
      <c r="H127" s="123"/>
    </row>
  </sheetData>
  <mergeCells count="99">
    <mergeCell ref="B17:G17"/>
    <mergeCell ref="A1:H1"/>
    <mergeCell ref="A6:H6"/>
    <mergeCell ref="B7:G7"/>
    <mergeCell ref="B8:G8"/>
    <mergeCell ref="B9:G9"/>
    <mergeCell ref="A2:H2"/>
    <mergeCell ref="B10:G10"/>
    <mergeCell ref="B13:G13"/>
    <mergeCell ref="B14:G14"/>
    <mergeCell ref="B15:G15"/>
    <mergeCell ref="B16:G16"/>
    <mergeCell ref="B31:G31"/>
    <mergeCell ref="B18:G18"/>
    <mergeCell ref="B19:G19"/>
    <mergeCell ref="B20:G20"/>
    <mergeCell ref="B21:G21"/>
    <mergeCell ref="B22:G22"/>
    <mergeCell ref="B25:G25"/>
    <mergeCell ref="B26:G26"/>
    <mergeCell ref="B27:G27"/>
    <mergeCell ref="B28:G28"/>
    <mergeCell ref="B29:G29"/>
    <mergeCell ref="B30:G30"/>
    <mergeCell ref="B49:F49"/>
    <mergeCell ref="B32:G32"/>
    <mergeCell ref="B35:G35"/>
    <mergeCell ref="B36:G36"/>
    <mergeCell ref="B37:G37"/>
    <mergeCell ref="B38:G38"/>
    <mergeCell ref="B43:F43"/>
    <mergeCell ref="B44:F44"/>
    <mergeCell ref="B45:F45"/>
    <mergeCell ref="B46:F46"/>
    <mergeCell ref="B47:F47"/>
    <mergeCell ref="B48:F48"/>
    <mergeCell ref="B71:G71"/>
    <mergeCell ref="B50:F50"/>
    <mergeCell ref="B59:G59"/>
    <mergeCell ref="B60:G60"/>
    <mergeCell ref="B61:G61"/>
    <mergeCell ref="B51:F51"/>
    <mergeCell ref="B52:F52"/>
    <mergeCell ref="B57:G57"/>
    <mergeCell ref="B58:G58"/>
    <mergeCell ref="B64:G64"/>
    <mergeCell ref="B65:G65"/>
    <mergeCell ref="B66:G66"/>
    <mergeCell ref="B67:G67"/>
    <mergeCell ref="B70:G70"/>
    <mergeCell ref="B98:G98"/>
    <mergeCell ref="B85:G85"/>
    <mergeCell ref="B72:G72"/>
    <mergeCell ref="B73:G73"/>
    <mergeCell ref="B74:G74"/>
    <mergeCell ref="B75:G75"/>
    <mergeCell ref="B76:G76"/>
    <mergeCell ref="B77:G77"/>
    <mergeCell ref="B80:G80"/>
    <mergeCell ref="B81:G81"/>
    <mergeCell ref="B82:G82"/>
    <mergeCell ref="B83:G83"/>
    <mergeCell ref="B84:G84"/>
    <mergeCell ref="B93:G93"/>
    <mergeCell ref="B94:G94"/>
    <mergeCell ref="B95:G95"/>
    <mergeCell ref="B96:G96"/>
    <mergeCell ref="B97:G97"/>
    <mergeCell ref="B86:G86"/>
    <mergeCell ref="B87:G87"/>
    <mergeCell ref="B88:G88"/>
    <mergeCell ref="B89:G89"/>
    <mergeCell ref="B92:G92"/>
    <mergeCell ref="B109:F109"/>
    <mergeCell ref="B110:F110"/>
    <mergeCell ref="B114:G114"/>
    <mergeCell ref="B115:G115"/>
    <mergeCell ref="B99:G99"/>
    <mergeCell ref="A127:F127"/>
    <mergeCell ref="G125:H125"/>
    <mergeCell ref="G126:H126"/>
    <mergeCell ref="G127:H127"/>
    <mergeCell ref="B102:F102"/>
    <mergeCell ref="B116:G116"/>
    <mergeCell ref="B103:F103"/>
    <mergeCell ref="B104:F104"/>
    <mergeCell ref="B105:F105"/>
    <mergeCell ref="B106:F106"/>
    <mergeCell ref="B107:F107"/>
    <mergeCell ref="B108:F108"/>
    <mergeCell ref="A112:H112"/>
    <mergeCell ref="B117:G117"/>
    <mergeCell ref="B118:G118"/>
    <mergeCell ref="B120:G120"/>
    <mergeCell ref="A121:G121"/>
    <mergeCell ref="G124:H124"/>
    <mergeCell ref="A124:F124"/>
    <mergeCell ref="A125:F125"/>
    <mergeCell ref="A126:F126"/>
  </mergeCells>
  <phoneticPr fontId="3" type="noConversion"/>
  <printOptions horizontalCentered="1"/>
  <pageMargins left="0.39370078740157483" right="0.39370078740157483" top="0.59055118110236227" bottom="0.59055118110236227" header="0.31496062992125984" footer="0.19685039370078741"/>
  <pageSetup paperSize="9" orientation="portrait" r:id="rId1"/>
  <headerFooter>
    <oddFooter>&amp;L&amp;F - &amp;A - &amp;P/&amp;N</oddFooter>
  </headerFooter>
  <rowBreaks count="2" manualBreakCount="2">
    <brk id="55" max="16383" man="1"/>
    <brk id="111" max="16383" man="1"/>
  </rowBreaks>
  <ignoredErrors>
    <ignoredError sqref="H6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26"/>
  <sheetViews>
    <sheetView topLeftCell="A106" zoomScaleNormal="100" workbookViewId="0">
      <selection activeCell="G110" sqref="G110"/>
    </sheetView>
  </sheetViews>
  <sheetFormatPr defaultRowHeight="13.5" customHeight="1"/>
  <cols>
    <col min="1" max="4" width="9.140625" style="12"/>
    <col min="5" max="5" width="11.28515625" style="12" customWidth="1"/>
    <col min="6" max="6" width="17.28515625" style="12" customWidth="1"/>
    <col min="7" max="7" width="10" style="12" bestFit="1" customWidth="1"/>
    <col min="8" max="8" width="14.28515625" style="12" bestFit="1" customWidth="1"/>
    <col min="9" max="9" width="11.28515625" style="12" bestFit="1" customWidth="1"/>
    <col min="10" max="16384" width="9.140625" style="12"/>
  </cols>
  <sheetData>
    <row r="1" spans="1:10" ht="13.5" customHeight="1">
      <c r="A1" s="94" t="s">
        <v>0</v>
      </c>
      <c r="B1" s="94"/>
      <c r="C1" s="94"/>
      <c r="D1" s="94"/>
      <c r="E1" s="94"/>
      <c r="F1" s="94"/>
      <c r="G1" s="94"/>
      <c r="H1" s="94"/>
      <c r="I1" s="13"/>
    </row>
    <row r="2" spans="1:10" ht="13.5" customHeight="1">
      <c r="A2" s="94" t="s">
        <v>106</v>
      </c>
      <c r="B2" s="94"/>
      <c r="C2" s="94"/>
      <c r="D2" s="94"/>
      <c r="E2" s="94"/>
      <c r="F2" s="94"/>
      <c r="G2" s="94"/>
      <c r="H2" s="94"/>
    </row>
    <row r="3" spans="1:10" ht="13.5" customHeight="1">
      <c r="A3" s="43"/>
      <c r="B3" s="43"/>
      <c r="C3" s="43"/>
      <c r="D3" s="43"/>
      <c r="E3" s="43"/>
      <c r="F3" s="43"/>
      <c r="G3" s="43"/>
      <c r="H3" s="43"/>
    </row>
    <row r="4" spans="1:10" ht="13.5" customHeight="1">
      <c r="A4" s="44" t="s">
        <v>91</v>
      </c>
      <c r="B4" s="43"/>
      <c r="C4" s="43"/>
      <c r="D4" s="43"/>
      <c r="E4" s="43"/>
      <c r="F4" s="43"/>
      <c r="G4" s="43"/>
      <c r="H4" s="43"/>
    </row>
    <row r="5" spans="1:10" ht="13.5" customHeight="1">
      <c r="A5" s="13"/>
    </row>
    <row r="6" spans="1:10" ht="13.5" customHeight="1">
      <c r="A6" s="124" t="s">
        <v>92</v>
      </c>
      <c r="B6" s="125"/>
      <c r="C6" s="125"/>
      <c r="D6" s="125"/>
      <c r="E6" s="125"/>
      <c r="F6" s="125"/>
      <c r="G6" s="125"/>
      <c r="H6" s="126"/>
    </row>
    <row r="7" spans="1:10" ht="13.5" customHeight="1">
      <c r="A7" s="45">
        <v>1</v>
      </c>
      <c r="B7" s="138" t="s">
        <v>1</v>
      </c>
      <c r="C7" s="139"/>
      <c r="D7" s="139"/>
      <c r="E7" s="139"/>
      <c r="F7" s="139"/>
      <c r="G7" s="140"/>
      <c r="H7" s="46" t="s">
        <v>96</v>
      </c>
    </row>
    <row r="8" spans="1:10" ht="13.5" customHeight="1">
      <c r="A8" s="45">
        <v>2</v>
      </c>
      <c r="B8" s="138" t="s">
        <v>2</v>
      </c>
      <c r="C8" s="139"/>
      <c r="D8" s="139"/>
      <c r="E8" s="139"/>
      <c r="F8" s="139"/>
      <c r="G8" s="140"/>
      <c r="H8" s="47">
        <v>0</v>
      </c>
    </row>
    <row r="9" spans="1:10" ht="13.5" customHeight="1">
      <c r="A9" s="45">
        <v>3</v>
      </c>
      <c r="B9" s="138" t="s">
        <v>3</v>
      </c>
      <c r="C9" s="139"/>
      <c r="D9" s="139"/>
      <c r="E9" s="139"/>
      <c r="F9" s="139"/>
      <c r="G9" s="140"/>
      <c r="H9" s="46" t="s">
        <v>95</v>
      </c>
    </row>
    <row r="10" spans="1:10" ht="13.5" customHeight="1">
      <c r="A10" s="45">
        <v>4</v>
      </c>
      <c r="B10" s="138" t="s">
        <v>4</v>
      </c>
      <c r="C10" s="139"/>
      <c r="D10" s="139"/>
      <c r="E10" s="139"/>
      <c r="F10" s="139"/>
      <c r="G10" s="140"/>
      <c r="H10" s="48">
        <v>42736</v>
      </c>
    </row>
    <row r="11" spans="1:10" ht="13.5" customHeight="1">
      <c r="E11" s="18"/>
    </row>
    <row r="12" spans="1:10" ht="13.5" customHeight="1">
      <c r="A12" s="15" t="s">
        <v>124</v>
      </c>
      <c r="B12" s="15"/>
      <c r="C12" s="15"/>
      <c r="D12" s="15"/>
      <c r="E12" s="15"/>
    </row>
    <row r="13" spans="1:10" ht="13.5" customHeight="1">
      <c r="A13" s="75">
        <v>1</v>
      </c>
      <c r="B13" s="124" t="s">
        <v>5</v>
      </c>
      <c r="C13" s="125"/>
      <c r="D13" s="125"/>
      <c r="E13" s="125"/>
      <c r="F13" s="125"/>
      <c r="G13" s="133"/>
      <c r="H13" s="76" t="s">
        <v>6</v>
      </c>
      <c r="J13" s="79"/>
    </row>
    <row r="14" spans="1:10" ht="13.5" customHeight="1">
      <c r="A14" s="45" t="s">
        <v>7</v>
      </c>
      <c r="B14" s="101" t="s">
        <v>8</v>
      </c>
      <c r="C14" s="102"/>
      <c r="D14" s="102"/>
      <c r="E14" s="102"/>
      <c r="F14" s="102"/>
      <c r="G14" s="103"/>
      <c r="H14" s="84">
        <v>0</v>
      </c>
      <c r="J14" s="27"/>
    </row>
    <row r="15" spans="1:10" ht="13.5" customHeight="1">
      <c r="A15" s="45" t="s">
        <v>9</v>
      </c>
      <c r="B15" s="101" t="s">
        <v>10</v>
      </c>
      <c r="C15" s="102"/>
      <c r="D15" s="102"/>
      <c r="E15" s="102"/>
      <c r="F15" s="102"/>
      <c r="G15" s="103"/>
      <c r="H15" s="49">
        <v>0</v>
      </c>
    </row>
    <row r="16" spans="1:10" ht="13.5" customHeight="1">
      <c r="A16" s="45" t="s">
        <v>11</v>
      </c>
      <c r="B16" s="101" t="s">
        <v>12</v>
      </c>
      <c r="C16" s="102"/>
      <c r="D16" s="102"/>
      <c r="E16" s="102"/>
      <c r="F16" s="102"/>
      <c r="G16" s="103"/>
      <c r="H16" s="49">
        <v>0</v>
      </c>
    </row>
    <row r="17" spans="1:16" ht="13.5" customHeight="1">
      <c r="A17" s="45" t="s">
        <v>13</v>
      </c>
      <c r="B17" s="101" t="s">
        <v>14</v>
      </c>
      <c r="C17" s="102"/>
      <c r="D17" s="102"/>
      <c r="E17" s="102"/>
      <c r="F17" s="102"/>
      <c r="G17" s="103"/>
      <c r="H17" s="49">
        <v>0</v>
      </c>
    </row>
    <row r="18" spans="1:16" ht="13.5" customHeight="1">
      <c r="A18" s="45" t="s">
        <v>15</v>
      </c>
      <c r="B18" s="101" t="s">
        <v>16</v>
      </c>
      <c r="C18" s="102"/>
      <c r="D18" s="102"/>
      <c r="E18" s="102"/>
      <c r="F18" s="102"/>
      <c r="G18" s="103"/>
      <c r="H18" s="49">
        <v>0</v>
      </c>
    </row>
    <row r="19" spans="1:16" ht="13.5" customHeight="1">
      <c r="A19" s="45" t="s">
        <v>17</v>
      </c>
      <c r="B19" s="101" t="s">
        <v>18</v>
      </c>
      <c r="C19" s="102"/>
      <c r="D19" s="102"/>
      <c r="E19" s="102"/>
      <c r="F19" s="102"/>
      <c r="G19" s="103"/>
      <c r="H19" s="49">
        <v>0</v>
      </c>
    </row>
    <row r="20" spans="1:16" ht="13.5" customHeight="1">
      <c r="A20" s="45" t="s">
        <v>19</v>
      </c>
      <c r="B20" s="101" t="s">
        <v>20</v>
      </c>
      <c r="C20" s="102"/>
      <c r="D20" s="102"/>
      <c r="E20" s="102"/>
      <c r="F20" s="102"/>
      <c r="G20" s="103"/>
      <c r="H20" s="49">
        <v>0</v>
      </c>
    </row>
    <row r="21" spans="1:16" ht="13.5" customHeight="1">
      <c r="A21" s="45" t="s">
        <v>21</v>
      </c>
      <c r="B21" s="101" t="s">
        <v>144</v>
      </c>
      <c r="C21" s="102"/>
      <c r="D21" s="102"/>
      <c r="E21" s="102"/>
      <c r="F21" s="102"/>
      <c r="G21" s="103"/>
      <c r="H21" s="49">
        <v>0</v>
      </c>
    </row>
    <row r="22" spans="1:16" ht="13.5" customHeight="1">
      <c r="A22" s="50"/>
      <c r="B22" s="130" t="s">
        <v>23</v>
      </c>
      <c r="C22" s="131"/>
      <c r="D22" s="131"/>
      <c r="E22" s="131"/>
      <c r="F22" s="131"/>
      <c r="G22" s="137"/>
      <c r="H22" s="51">
        <f>SUM(H14:H21)</f>
        <v>0</v>
      </c>
    </row>
    <row r="23" spans="1:16" ht="13.5" customHeight="1">
      <c r="A23" s="15"/>
      <c r="G23" s="23"/>
      <c r="H23" s="18"/>
    </row>
    <row r="24" spans="1:16" ht="13.5" customHeight="1">
      <c r="A24" s="15" t="s">
        <v>125</v>
      </c>
      <c r="B24" s="15"/>
      <c r="C24" s="15"/>
      <c r="D24" s="15"/>
    </row>
    <row r="25" spans="1:16" ht="13.5" customHeight="1">
      <c r="A25" s="75">
        <v>2</v>
      </c>
      <c r="B25" s="124" t="s">
        <v>24</v>
      </c>
      <c r="C25" s="125"/>
      <c r="D25" s="125"/>
      <c r="E25" s="125"/>
      <c r="F25" s="125"/>
      <c r="G25" s="133"/>
      <c r="H25" s="76" t="s">
        <v>6</v>
      </c>
      <c r="P25" s="144"/>
    </row>
    <row r="26" spans="1:16" ht="13.5" customHeight="1">
      <c r="A26" s="45" t="s">
        <v>7</v>
      </c>
      <c r="B26" s="101" t="s">
        <v>25</v>
      </c>
      <c r="C26" s="102"/>
      <c r="D26" s="102"/>
      <c r="E26" s="102"/>
      <c r="F26" s="102"/>
      <c r="G26" s="103"/>
      <c r="H26" s="49">
        <v>0</v>
      </c>
      <c r="J26" s="25"/>
      <c r="L26" s="25"/>
    </row>
    <row r="27" spans="1:16" ht="13.5" customHeight="1">
      <c r="A27" s="45" t="s">
        <v>9</v>
      </c>
      <c r="B27" s="101" t="s">
        <v>101</v>
      </c>
      <c r="C27" s="102"/>
      <c r="D27" s="102"/>
      <c r="E27" s="102"/>
      <c r="F27" s="102"/>
      <c r="G27" s="103"/>
      <c r="H27" s="49">
        <v>0</v>
      </c>
      <c r="J27" s="7"/>
    </row>
    <row r="28" spans="1:16" ht="13.5" customHeight="1">
      <c r="A28" s="45" t="s">
        <v>11</v>
      </c>
      <c r="B28" s="101" t="s">
        <v>26</v>
      </c>
      <c r="C28" s="102"/>
      <c r="D28" s="102"/>
      <c r="E28" s="102"/>
      <c r="F28" s="102"/>
      <c r="G28" s="103"/>
      <c r="H28" s="49">
        <v>0</v>
      </c>
    </row>
    <row r="29" spans="1:16" ht="13.5" customHeight="1">
      <c r="A29" s="45" t="s">
        <v>13</v>
      </c>
      <c r="B29" s="101" t="s">
        <v>27</v>
      </c>
      <c r="C29" s="102"/>
      <c r="D29" s="102"/>
      <c r="E29" s="102"/>
      <c r="F29" s="102"/>
      <c r="G29" s="103"/>
      <c r="H29" s="49">
        <v>0</v>
      </c>
    </row>
    <row r="30" spans="1:16" ht="13.5" customHeight="1">
      <c r="A30" s="45" t="s">
        <v>15</v>
      </c>
      <c r="B30" s="101" t="s">
        <v>28</v>
      </c>
      <c r="C30" s="102"/>
      <c r="D30" s="102"/>
      <c r="E30" s="102"/>
      <c r="F30" s="102"/>
      <c r="G30" s="103"/>
      <c r="H30" s="49">
        <v>0</v>
      </c>
    </row>
    <row r="31" spans="1:16" ht="13.5" customHeight="1">
      <c r="A31" s="45" t="s">
        <v>17</v>
      </c>
      <c r="B31" s="101" t="s">
        <v>100</v>
      </c>
      <c r="C31" s="102"/>
      <c r="D31" s="102"/>
      <c r="E31" s="102"/>
      <c r="F31" s="102"/>
      <c r="G31" s="103"/>
      <c r="H31" s="84">
        <v>0</v>
      </c>
    </row>
    <row r="32" spans="1:16" ht="13.5" customHeight="1">
      <c r="A32" s="50"/>
      <c r="B32" s="130" t="s">
        <v>29</v>
      </c>
      <c r="C32" s="131"/>
      <c r="D32" s="131"/>
      <c r="E32" s="131"/>
      <c r="F32" s="131"/>
      <c r="G32" s="137"/>
      <c r="H32" s="51">
        <f>SUM(H26:H31)</f>
        <v>0</v>
      </c>
    </row>
    <row r="33" spans="1:11" ht="13.5" customHeight="1">
      <c r="A33" s="15"/>
      <c r="G33" s="23"/>
      <c r="H33" s="18"/>
    </row>
    <row r="34" spans="1:11" ht="13.5" customHeight="1">
      <c r="A34" s="15" t="s">
        <v>126</v>
      </c>
      <c r="B34" s="15"/>
      <c r="C34" s="15"/>
      <c r="J34" s="52"/>
      <c r="K34" s="52"/>
    </row>
    <row r="35" spans="1:11" ht="13.5" customHeight="1">
      <c r="A35" s="75">
        <v>3</v>
      </c>
      <c r="B35" s="124" t="s">
        <v>24</v>
      </c>
      <c r="C35" s="125"/>
      <c r="D35" s="125"/>
      <c r="E35" s="125"/>
      <c r="F35" s="125"/>
      <c r="G35" s="133"/>
      <c r="H35" s="76" t="s">
        <v>6</v>
      </c>
      <c r="J35" s="52"/>
      <c r="K35" s="52"/>
    </row>
    <row r="36" spans="1:11" ht="13.5" customHeight="1">
      <c r="A36" s="45" t="s">
        <v>7</v>
      </c>
      <c r="B36" s="101" t="s">
        <v>97</v>
      </c>
      <c r="C36" s="102"/>
      <c r="D36" s="102"/>
      <c r="E36" s="102"/>
      <c r="F36" s="102"/>
      <c r="G36" s="103"/>
      <c r="H36" s="84">
        <v>0</v>
      </c>
      <c r="J36" s="53"/>
      <c r="K36" s="52"/>
    </row>
    <row r="37" spans="1:11" ht="13.5" customHeight="1">
      <c r="A37" s="45" t="s">
        <v>9</v>
      </c>
      <c r="B37" s="101" t="s">
        <v>107</v>
      </c>
      <c r="C37" s="102"/>
      <c r="D37" s="102"/>
      <c r="E37" s="102"/>
      <c r="F37" s="102"/>
      <c r="G37" s="103"/>
      <c r="H37" s="84">
        <v>0</v>
      </c>
      <c r="J37" s="52"/>
      <c r="K37" s="52"/>
    </row>
    <row r="38" spans="1:11" ht="13.5" customHeight="1">
      <c r="A38" s="50"/>
      <c r="B38" s="130" t="s">
        <v>30</v>
      </c>
      <c r="C38" s="131"/>
      <c r="D38" s="131"/>
      <c r="E38" s="131"/>
      <c r="F38" s="131"/>
      <c r="G38" s="137"/>
      <c r="H38" s="51">
        <f>SUM(H36:H37)</f>
        <v>0</v>
      </c>
    </row>
    <row r="40" spans="1:11" ht="13.5" customHeight="1">
      <c r="A40" s="15" t="s">
        <v>31</v>
      </c>
      <c r="B40" s="15"/>
      <c r="C40" s="15"/>
      <c r="D40" s="15"/>
      <c r="E40" s="15"/>
      <c r="H40" s="18"/>
    </row>
    <row r="42" spans="1:11" ht="13.5" customHeight="1">
      <c r="A42" s="15" t="s">
        <v>32</v>
      </c>
      <c r="B42" s="15"/>
      <c r="C42" s="15"/>
      <c r="D42" s="15"/>
      <c r="E42" s="15"/>
    </row>
    <row r="43" spans="1:11" ht="13.5" customHeight="1">
      <c r="A43" s="75" t="s">
        <v>33</v>
      </c>
      <c r="B43" s="124" t="s">
        <v>34</v>
      </c>
      <c r="C43" s="125"/>
      <c r="D43" s="125"/>
      <c r="E43" s="125"/>
      <c r="F43" s="133"/>
      <c r="G43" s="76" t="s">
        <v>35</v>
      </c>
      <c r="H43" s="76" t="s">
        <v>6</v>
      </c>
    </row>
    <row r="44" spans="1:11" ht="13.5" customHeight="1">
      <c r="A44" s="45" t="s">
        <v>7</v>
      </c>
      <c r="B44" s="101" t="s">
        <v>36</v>
      </c>
      <c r="C44" s="102"/>
      <c r="D44" s="102"/>
      <c r="E44" s="102"/>
      <c r="F44" s="103"/>
      <c r="G44" s="54">
        <v>0</v>
      </c>
      <c r="H44" s="49">
        <f>G44*H22</f>
        <v>0</v>
      </c>
    </row>
    <row r="45" spans="1:11" ht="13.5" customHeight="1">
      <c r="A45" s="45" t="s">
        <v>9</v>
      </c>
      <c r="B45" s="101" t="s">
        <v>37</v>
      </c>
      <c r="C45" s="102"/>
      <c r="D45" s="102"/>
      <c r="E45" s="102"/>
      <c r="F45" s="103"/>
      <c r="G45" s="55">
        <v>0</v>
      </c>
      <c r="H45" s="49">
        <f>G45*H22</f>
        <v>0</v>
      </c>
    </row>
    <row r="46" spans="1:11" ht="13.5" customHeight="1">
      <c r="A46" s="45" t="s">
        <v>11</v>
      </c>
      <c r="B46" s="101" t="s">
        <v>38</v>
      </c>
      <c r="C46" s="102"/>
      <c r="D46" s="102"/>
      <c r="E46" s="102"/>
      <c r="F46" s="103"/>
      <c r="G46" s="56">
        <v>0</v>
      </c>
      <c r="H46" s="49">
        <f>G46*H22</f>
        <v>0</v>
      </c>
    </row>
    <row r="47" spans="1:11" ht="13.5" customHeight="1">
      <c r="A47" s="45" t="s">
        <v>13</v>
      </c>
      <c r="B47" s="101" t="s">
        <v>39</v>
      </c>
      <c r="C47" s="102"/>
      <c r="D47" s="102"/>
      <c r="E47" s="102"/>
      <c r="F47" s="103"/>
      <c r="G47" s="56">
        <v>0</v>
      </c>
      <c r="H47" s="49">
        <f>G47*H22</f>
        <v>0</v>
      </c>
    </row>
    <row r="48" spans="1:11" ht="13.5" customHeight="1">
      <c r="A48" s="45" t="s">
        <v>15</v>
      </c>
      <c r="B48" s="101" t="s">
        <v>40</v>
      </c>
      <c r="C48" s="102"/>
      <c r="D48" s="102"/>
      <c r="E48" s="102"/>
      <c r="F48" s="103"/>
      <c r="G48" s="56">
        <v>0</v>
      </c>
      <c r="H48" s="49">
        <f>G48*H22</f>
        <v>0</v>
      </c>
    </row>
    <row r="49" spans="1:9" ht="13.5" customHeight="1">
      <c r="A49" s="45" t="s">
        <v>17</v>
      </c>
      <c r="B49" s="101" t="s">
        <v>41</v>
      </c>
      <c r="C49" s="102"/>
      <c r="D49" s="102"/>
      <c r="E49" s="102"/>
      <c r="F49" s="103"/>
      <c r="G49" s="56">
        <v>0</v>
      </c>
      <c r="H49" s="49">
        <f>G49*H22</f>
        <v>0</v>
      </c>
    </row>
    <row r="50" spans="1:9" ht="13.5" customHeight="1">
      <c r="A50" s="45" t="s">
        <v>19</v>
      </c>
      <c r="B50" s="101" t="s">
        <v>42</v>
      </c>
      <c r="C50" s="102"/>
      <c r="D50" s="102"/>
      <c r="E50" s="102"/>
      <c r="F50" s="103"/>
      <c r="G50" s="56">
        <v>0</v>
      </c>
      <c r="H50" s="49">
        <f>G50*H22</f>
        <v>0</v>
      </c>
    </row>
    <row r="51" spans="1:9" ht="13.5" customHeight="1">
      <c r="A51" s="45" t="s">
        <v>21</v>
      </c>
      <c r="B51" s="101" t="s">
        <v>43</v>
      </c>
      <c r="C51" s="102"/>
      <c r="D51" s="102"/>
      <c r="E51" s="102"/>
      <c r="F51" s="103"/>
      <c r="G51" s="56">
        <v>0</v>
      </c>
      <c r="H51" s="49">
        <f>G51*H22</f>
        <v>0</v>
      </c>
    </row>
    <row r="52" spans="1:9" ht="13.5" customHeight="1">
      <c r="A52" s="50"/>
      <c r="B52" s="130" t="s">
        <v>44</v>
      </c>
      <c r="C52" s="131"/>
      <c r="D52" s="131"/>
      <c r="E52" s="131"/>
      <c r="F52" s="132"/>
      <c r="G52" s="57">
        <f>SUM(G44:G51)</f>
        <v>0</v>
      </c>
      <c r="H52" s="51">
        <f>SUM(H44:H51)</f>
        <v>0</v>
      </c>
    </row>
    <row r="53" spans="1:9" ht="13.5" customHeight="1">
      <c r="A53" s="38" t="s">
        <v>93</v>
      </c>
      <c r="B53" s="26"/>
      <c r="C53" s="26"/>
      <c r="D53" s="26"/>
      <c r="E53" s="26"/>
      <c r="F53" s="26"/>
      <c r="G53" s="26"/>
      <c r="H53" s="26"/>
    </row>
    <row r="54" spans="1:9" ht="13.5" customHeight="1">
      <c r="A54" s="39" t="s">
        <v>94</v>
      </c>
      <c r="F54" s="27"/>
      <c r="G54" s="23"/>
      <c r="I54" s="28"/>
    </row>
    <row r="56" spans="1:9" ht="13.5" customHeight="1">
      <c r="A56" s="15" t="s">
        <v>108</v>
      </c>
      <c r="B56" s="15"/>
      <c r="C56" s="15"/>
      <c r="D56" s="15"/>
      <c r="E56" s="15"/>
    </row>
    <row r="57" spans="1:9" ht="13.5" customHeight="1">
      <c r="A57" s="75" t="s">
        <v>45</v>
      </c>
      <c r="B57" s="124" t="s">
        <v>103</v>
      </c>
      <c r="C57" s="125"/>
      <c r="D57" s="125"/>
      <c r="E57" s="125"/>
      <c r="F57" s="125"/>
      <c r="G57" s="133"/>
      <c r="H57" s="76" t="s">
        <v>6</v>
      </c>
    </row>
    <row r="58" spans="1:9" ht="13.5" customHeight="1">
      <c r="A58" s="45" t="s">
        <v>7</v>
      </c>
      <c r="B58" s="101" t="s">
        <v>46</v>
      </c>
      <c r="C58" s="102"/>
      <c r="D58" s="102"/>
      <c r="E58" s="102"/>
      <c r="F58" s="102"/>
      <c r="G58" s="103"/>
      <c r="H58" s="49">
        <f>0%*H22</f>
        <v>0</v>
      </c>
      <c r="I58" s="29"/>
    </row>
    <row r="59" spans="1:9" ht="13.5" customHeight="1">
      <c r="A59" s="58"/>
      <c r="B59" s="134" t="s">
        <v>47</v>
      </c>
      <c r="C59" s="134"/>
      <c r="D59" s="134"/>
      <c r="E59" s="134"/>
      <c r="F59" s="134"/>
      <c r="G59" s="135"/>
      <c r="H59" s="49">
        <f>SUM(H58:H58)</f>
        <v>0</v>
      </c>
    </row>
    <row r="60" spans="1:9" ht="13.5" customHeight="1">
      <c r="A60" s="45" t="s">
        <v>9</v>
      </c>
      <c r="B60" s="101" t="s">
        <v>104</v>
      </c>
      <c r="C60" s="102"/>
      <c r="D60" s="102"/>
      <c r="E60" s="102"/>
      <c r="F60" s="102"/>
      <c r="G60" s="103"/>
      <c r="H60" s="49">
        <f>G52*H59</f>
        <v>0</v>
      </c>
    </row>
    <row r="61" spans="1:9" ht="13.5" customHeight="1">
      <c r="A61" s="59"/>
      <c r="B61" s="130" t="s">
        <v>48</v>
      </c>
      <c r="C61" s="131"/>
      <c r="D61" s="131"/>
      <c r="E61" s="131"/>
      <c r="F61" s="131"/>
      <c r="G61" s="132"/>
      <c r="H61" s="51">
        <f>SUM(H59:H60)</f>
        <v>0</v>
      </c>
    </row>
    <row r="62" spans="1:9" ht="13.5" customHeight="1">
      <c r="H62" s="25"/>
    </row>
    <row r="63" spans="1:9" ht="13.5" customHeight="1">
      <c r="A63" s="15" t="s">
        <v>49</v>
      </c>
      <c r="B63" s="15"/>
      <c r="C63" s="15"/>
      <c r="D63" s="15"/>
      <c r="E63" s="15"/>
    </row>
    <row r="64" spans="1:9" ht="13.5" customHeight="1">
      <c r="A64" s="75" t="s">
        <v>50</v>
      </c>
      <c r="B64" s="124" t="s">
        <v>51</v>
      </c>
      <c r="C64" s="125"/>
      <c r="D64" s="125"/>
      <c r="E64" s="125"/>
      <c r="F64" s="125"/>
      <c r="G64" s="133"/>
      <c r="H64" s="76" t="s">
        <v>6</v>
      </c>
    </row>
    <row r="65" spans="1:8" ht="13.5" customHeight="1">
      <c r="A65" s="45" t="s">
        <v>7</v>
      </c>
      <c r="B65" s="101" t="s">
        <v>51</v>
      </c>
      <c r="C65" s="102"/>
      <c r="D65" s="102"/>
      <c r="E65" s="102"/>
      <c r="F65" s="102"/>
      <c r="G65" s="103"/>
      <c r="H65" s="49">
        <f>0%*H22</f>
        <v>0</v>
      </c>
    </row>
    <row r="66" spans="1:8" ht="13.5" customHeight="1">
      <c r="A66" s="45" t="s">
        <v>9</v>
      </c>
      <c r="B66" s="101" t="s">
        <v>52</v>
      </c>
      <c r="C66" s="102"/>
      <c r="D66" s="102"/>
      <c r="E66" s="102"/>
      <c r="F66" s="102"/>
      <c r="G66" s="103"/>
      <c r="H66" s="49">
        <f>H65*G52</f>
        <v>0</v>
      </c>
    </row>
    <row r="67" spans="1:8" ht="13.5" customHeight="1">
      <c r="A67" s="60"/>
      <c r="B67" s="136" t="s">
        <v>48</v>
      </c>
      <c r="C67" s="134"/>
      <c r="D67" s="134"/>
      <c r="E67" s="134"/>
      <c r="F67" s="134"/>
      <c r="G67" s="135"/>
      <c r="H67" s="51">
        <f>SUM(H65:H66)</f>
        <v>0</v>
      </c>
    </row>
    <row r="69" spans="1:8" ht="13.5" customHeight="1">
      <c r="A69" s="15" t="s">
        <v>53</v>
      </c>
      <c r="B69" s="15"/>
      <c r="C69" s="15"/>
      <c r="D69" s="15"/>
      <c r="E69" s="15"/>
    </row>
    <row r="70" spans="1:8" ht="13.5" customHeight="1">
      <c r="A70" s="75" t="s">
        <v>54</v>
      </c>
      <c r="B70" s="124" t="s">
        <v>55</v>
      </c>
      <c r="C70" s="125"/>
      <c r="D70" s="125"/>
      <c r="E70" s="125"/>
      <c r="F70" s="125"/>
      <c r="G70" s="133"/>
      <c r="H70" s="76" t="s">
        <v>6</v>
      </c>
    </row>
    <row r="71" spans="1:8" ht="13.5" customHeight="1">
      <c r="A71" s="45" t="s">
        <v>7</v>
      </c>
      <c r="B71" s="101" t="s">
        <v>56</v>
      </c>
      <c r="C71" s="102"/>
      <c r="D71" s="102"/>
      <c r="E71" s="102"/>
      <c r="F71" s="102"/>
      <c r="G71" s="103"/>
      <c r="H71" s="49">
        <f>0%*H22</f>
        <v>0</v>
      </c>
    </row>
    <row r="72" spans="1:8" ht="13.5" customHeight="1">
      <c r="A72" s="45" t="s">
        <v>9</v>
      </c>
      <c r="B72" s="101" t="s">
        <v>57</v>
      </c>
      <c r="C72" s="102"/>
      <c r="D72" s="102"/>
      <c r="E72" s="102"/>
      <c r="F72" s="102"/>
      <c r="G72" s="103"/>
      <c r="H72" s="49">
        <f>H71*8%</f>
        <v>0</v>
      </c>
    </row>
    <row r="73" spans="1:8" ht="13.5" customHeight="1">
      <c r="A73" s="45" t="s">
        <v>11</v>
      </c>
      <c r="B73" s="101" t="s">
        <v>58</v>
      </c>
      <c r="C73" s="102"/>
      <c r="D73" s="102"/>
      <c r="E73" s="102"/>
      <c r="F73" s="102"/>
      <c r="G73" s="103"/>
      <c r="H73" s="49">
        <f>0%*H22</f>
        <v>0</v>
      </c>
    </row>
    <row r="74" spans="1:8" ht="13.5" customHeight="1">
      <c r="A74" s="45" t="s">
        <v>13</v>
      </c>
      <c r="B74" s="101" t="s">
        <v>59</v>
      </c>
      <c r="C74" s="102"/>
      <c r="D74" s="102"/>
      <c r="E74" s="102"/>
      <c r="F74" s="102"/>
      <c r="G74" s="103"/>
      <c r="H74" s="49">
        <f>0%*H22</f>
        <v>0</v>
      </c>
    </row>
    <row r="75" spans="1:8" ht="13.5" customHeight="1">
      <c r="A75" s="45" t="s">
        <v>15</v>
      </c>
      <c r="B75" s="101" t="s">
        <v>60</v>
      </c>
      <c r="C75" s="102"/>
      <c r="D75" s="102"/>
      <c r="E75" s="102"/>
      <c r="F75" s="102"/>
      <c r="G75" s="103"/>
      <c r="H75" s="49">
        <f>H74*G52</f>
        <v>0</v>
      </c>
    </row>
    <row r="76" spans="1:8" ht="13.5" customHeight="1">
      <c r="A76" s="45" t="s">
        <v>17</v>
      </c>
      <c r="B76" s="101" t="s">
        <v>61</v>
      </c>
      <c r="C76" s="102"/>
      <c r="D76" s="102"/>
      <c r="E76" s="102"/>
      <c r="F76" s="102"/>
      <c r="G76" s="103"/>
      <c r="H76" s="49">
        <f>0%*H22</f>
        <v>0</v>
      </c>
    </row>
    <row r="77" spans="1:8" ht="13.5" customHeight="1">
      <c r="A77" s="50"/>
      <c r="B77" s="130" t="s">
        <v>44</v>
      </c>
      <c r="C77" s="131"/>
      <c r="D77" s="131"/>
      <c r="E77" s="131"/>
      <c r="F77" s="131"/>
      <c r="G77" s="131"/>
      <c r="H77" s="20">
        <f>SUM(H71:H76)</f>
        <v>0</v>
      </c>
    </row>
    <row r="79" spans="1:8" ht="13.5" customHeight="1">
      <c r="A79" s="15" t="s">
        <v>62</v>
      </c>
    </row>
    <row r="80" spans="1:8" ht="13.5" customHeight="1">
      <c r="A80" s="75" t="s">
        <v>63</v>
      </c>
      <c r="B80" s="124" t="s">
        <v>64</v>
      </c>
      <c r="C80" s="125"/>
      <c r="D80" s="125"/>
      <c r="E80" s="125"/>
      <c r="F80" s="125"/>
      <c r="G80" s="133"/>
      <c r="H80" s="76" t="s">
        <v>6</v>
      </c>
    </row>
    <row r="81" spans="1:8" ht="13.5" customHeight="1">
      <c r="A81" s="45" t="s">
        <v>7</v>
      </c>
      <c r="B81" s="101" t="s">
        <v>102</v>
      </c>
      <c r="C81" s="102"/>
      <c r="D81" s="102"/>
      <c r="E81" s="102"/>
      <c r="F81" s="102"/>
      <c r="G81" s="103"/>
      <c r="H81" s="49">
        <f>0%*H22</f>
        <v>0</v>
      </c>
    </row>
    <row r="82" spans="1:8" ht="13.5" customHeight="1">
      <c r="A82" s="45" t="s">
        <v>9</v>
      </c>
      <c r="B82" s="101" t="s">
        <v>65</v>
      </c>
      <c r="C82" s="102"/>
      <c r="D82" s="102"/>
      <c r="E82" s="102"/>
      <c r="F82" s="102"/>
      <c r="G82" s="103"/>
      <c r="H82" s="49">
        <f>0%*H22</f>
        <v>0</v>
      </c>
    </row>
    <row r="83" spans="1:8" ht="13.5" customHeight="1">
      <c r="A83" s="45" t="s">
        <v>11</v>
      </c>
      <c r="B83" s="101" t="s">
        <v>66</v>
      </c>
      <c r="C83" s="102"/>
      <c r="D83" s="102"/>
      <c r="E83" s="102"/>
      <c r="F83" s="102"/>
      <c r="G83" s="103"/>
      <c r="H83" s="49">
        <f>0%*H22</f>
        <v>0</v>
      </c>
    </row>
    <row r="84" spans="1:8" ht="13.5" customHeight="1">
      <c r="A84" s="45" t="s">
        <v>13</v>
      </c>
      <c r="B84" s="101" t="s">
        <v>67</v>
      </c>
      <c r="C84" s="102"/>
      <c r="D84" s="102"/>
      <c r="E84" s="102"/>
      <c r="F84" s="102"/>
      <c r="G84" s="103"/>
      <c r="H84" s="49">
        <f>0%*H22</f>
        <v>0</v>
      </c>
    </row>
    <row r="85" spans="1:8" ht="13.5" customHeight="1">
      <c r="A85" s="45" t="s">
        <v>15</v>
      </c>
      <c r="B85" s="101" t="s">
        <v>68</v>
      </c>
      <c r="C85" s="102"/>
      <c r="D85" s="102"/>
      <c r="E85" s="102"/>
      <c r="F85" s="102"/>
      <c r="G85" s="103"/>
      <c r="H85" s="49">
        <f>0%*H22</f>
        <v>0</v>
      </c>
    </row>
    <row r="86" spans="1:8" ht="13.5" customHeight="1">
      <c r="A86" s="45" t="s">
        <v>17</v>
      </c>
      <c r="B86" s="101" t="s">
        <v>22</v>
      </c>
      <c r="C86" s="102"/>
      <c r="D86" s="102"/>
      <c r="E86" s="102"/>
      <c r="F86" s="102"/>
      <c r="G86" s="103"/>
      <c r="H86" s="49">
        <v>0</v>
      </c>
    </row>
    <row r="87" spans="1:8" ht="13.5" customHeight="1">
      <c r="A87" s="50"/>
      <c r="B87" s="130" t="s">
        <v>47</v>
      </c>
      <c r="C87" s="131"/>
      <c r="D87" s="131"/>
      <c r="E87" s="131"/>
      <c r="F87" s="131"/>
      <c r="G87" s="132"/>
      <c r="H87" s="61">
        <f>SUM(H81:H86)</f>
        <v>0</v>
      </c>
    </row>
    <row r="88" spans="1:8" ht="13.5" customHeight="1">
      <c r="A88" s="45" t="s">
        <v>19</v>
      </c>
      <c r="B88" s="101" t="s">
        <v>69</v>
      </c>
      <c r="C88" s="102"/>
      <c r="D88" s="102"/>
      <c r="E88" s="102"/>
      <c r="F88" s="102"/>
      <c r="G88" s="103"/>
      <c r="H88" s="49">
        <f>H87*G52</f>
        <v>0</v>
      </c>
    </row>
    <row r="89" spans="1:8" ht="13.5" customHeight="1">
      <c r="A89" s="50"/>
      <c r="B89" s="130" t="s">
        <v>44</v>
      </c>
      <c r="C89" s="131"/>
      <c r="D89" s="131"/>
      <c r="E89" s="131"/>
      <c r="F89" s="131"/>
      <c r="G89" s="132"/>
      <c r="H89" s="51">
        <f>SUM(H87:H88)</f>
        <v>0</v>
      </c>
    </row>
    <row r="90" spans="1:8" ht="13.5" customHeight="1">
      <c r="A90" s="52"/>
      <c r="B90" s="62"/>
      <c r="C90" s="62"/>
      <c r="D90" s="62"/>
      <c r="E90" s="62"/>
      <c r="F90" s="62"/>
      <c r="G90" s="62"/>
      <c r="H90" s="63"/>
    </row>
    <row r="91" spans="1:8" ht="13.5" customHeight="1">
      <c r="A91" s="15" t="s">
        <v>127</v>
      </c>
      <c r="B91" s="15"/>
      <c r="C91" s="15"/>
      <c r="D91" s="15"/>
      <c r="E91" s="15"/>
      <c r="F91" s="15"/>
    </row>
    <row r="92" spans="1:8" ht="13.5" customHeight="1">
      <c r="A92" s="75">
        <v>4</v>
      </c>
      <c r="B92" s="124" t="s">
        <v>70</v>
      </c>
      <c r="C92" s="125"/>
      <c r="D92" s="125"/>
      <c r="E92" s="125"/>
      <c r="F92" s="125"/>
      <c r="G92" s="133"/>
      <c r="H92" s="76" t="s">
        <v>6</v>
      </c>
    </row>
    <row r="93" spans="1:8" ht="13.5" customHeight="1">
      <c r="A93" s="45" t="s">
        <v>33</v>
      </c>
      <c r="B93" s="101" t="s">
        <v>103</v>
      </c>
      <c r="C93" s="102"/>
      <c r="D93" s="102"/>
      <c r="E93" s="102"/>
      <c r="F93" s="102"/>
      <c r="G93" s="103"/>
      <c r="H93" s="61">
        <f>H52</f>
        <v>0</v>
      </c>
    </row>
    <row r="94" spans="1:8" ht="13.5" customHeight="1">
      <c r="A94" s="45" t="s">
        <v>45</v>
      </c>
      <c r="B94" s="101" t="s">
        <v>71</v>
      </c>
      <c r="C94" s="102"/>
      <c r="D94" s="102"/>
      <c r="E94" s="102"/>
      <c r="F94" s="102"/>
      <c r="G94" s="103"/>
      <c r="H94" s="61">
        <f>H61</f>
        <v>0</v>
      </c>
    </row>
    <row r="95" spans="1:8" ht="13.5" customHeight="1">
      <c r="A95" s="45" t="s">
        <v>50</v>
      </c>
      <c r="B95" s="101" t="s">
        <v>51</v>
      </c>
      <c r="C95" s="102"/>
      <c r="D95" s="102"/>
      <c r="E95" s="102"/>
      <c r="F95" s="102"/>
      <c r="G95" s="103"/>
      <c r="H95" s="61">
        <f>H67</f>
        <v>0</v>
      </c>
    </row>
    <row r="96" spans="1:8" ht="13.5" customHeight="1">
      <c r="A96" s="45" t="s">
        <v>54</v>
      </c>
      <c r="B96" s="101" t="s">
        <v>72</v>
      </c>
      <c r="C96" s="102"/>
      <c r="D96" s="102"/>
      <c r="E96" s="102"/>
      <c r="F96" s="102"/>
      <c r="G96" s="102"/>
      <c r="H96" s="32">
        <f>H77</f>
        <v>0</v>
      </c>
    </row>
    <row r="97" spans="1:8" ht="13.5" customHeight="1">
      <c r="A97" s="45" t="s">
        <v>63</v>
      </c>
      <c r="B97" s="101" t="s">
        <v>73</v>
      </c>
      <c r="C97" s="102"/>
      <c r="D97" s="102"/>
      <c r="E97" s="102"/>
      <c r="F97" s="102"/>
      <c r="G97" s="103"/>
      <c r="H97" s="61">
        <f>H89</f>
        <v>0</v>
      </c>
    </row>
    <row r="98" spans="1:8" ht="13.5" customHeight="1">
      <c r="A98" s="45" t="s">
        <v>74</v>
      </c>
      <c r="B98" s="101" t="s">
        <v>22</v>
      </c>
      <c r="C98" s="102"/>
      <c r="D98" s="102"/>
      <c r="E98" s="102"/>
      <c r="F98" s="102"/>
      <c r="G98" s="103"/>
      <c r="H98" s="61">
        <v>0</v>
      </c>
    </row>
    <row r="99" spans="1:8" ht="13.5" customHeight="1">
      <c r="A99" s="50"/>
      <c r="B99" s="130" t="s">
        <v>48</v>
      </c>
      <c r="C99" s="131"/>
      <c r="D99" s="131"/>
      <c r="E99" s="131"/>
      <c r="F99" s="131"/>
      <c r="G99" s="132"/>
      <c r="H99" s="51">
        <f>SUM(H93:H98)</f>
        <v>0</v>
      </c>
    </row>
    <row r="101" spans="1:8" ht="13.5" customHeight="1">
      <c r="A101" s="15" t="s">
        <v>128</v>
      </c>
    </row>
    <row r="102" spans="1:8" ht="13.5" customHeight="1">
      <c r="A102" s="75">
        <v>5</v>
      </c>
      <c r="B102" s="124" t="s">
        <v>139</v>
      </c>
      <c r="C102" s="125"/>
      <c r="D102" s="125"/>
      <c r="E102" s="125"/>
      <c r="F102" s="126"/>
      <c r="G102" s="76" t="s">
        <v>35</v>
      </c>
      <c r="H102" s="75" t="s">
        <v>6</v>
      </c>
    </row>
    <row r="103" spans="1:8" ht="13.5" customHeight="1">
      <c r="A103" s="33" t="s">
        <v>7</v>
      </c>
      <c r="B103" s="127" t="s">
        <v>76</v>
      </c>
      <c r="C103" s="128"/>
      <c r="D103" s="128"/>
      <c r="E103" s="128"/>
      <c r="F103" s="129"/>
      <c r="G103" s="64">
        <v>0</v>
      </c>
      <c r="H103" s="34">
        <f>(H22+H32+H38+H99)*G103</f>
        <v>0</v>
      </c>
    </row>
    <row r="104" spans="1:8" ht="13.5" customHeight="1">
      <c r="A104" s="16" t="s">
        <v>9</v>
      </c>
      <c r="B104" s="127" t="s">
        <v>77</v>
      </c>
      <c r="C104" s="128"/>
      <c r="D104" s="128"/>
      <c r="E104" s="128"/>
      <c r="F104" s="129"/>
      <c r="G104" s="41">
        <f>100%-(G105+G106+G107+G108)</f>
        <v>1</v>
      </c>
      <c r="H104" s="34">
        <f>(H22+H32+H38+H99+H103+H109)/G104</f>
        <v>0</v>
      </c>
    </row>
    <row r="105" spans="1:8" ht="13.5" customHeight="1">
      <c r="A105" s="16" t="s">
        <v>78</v>
      </c>
      <c r="B105" s="127" t="s">
        <v>79</v>
      </c>
      <c r="C105" s="128"/>
      <c r="D105" s="128"/>
      <c r="E105" s="128"/>
      <c r="F105" s="129"/>
      <c r="G105" s="65">
        <v>0</v>
      </c>
      <c r="H105" s="34">
        <f>H104*G105</f>
        <v>0</v>
      </c>
    </row>
    <row r="106" spans="1:8" ht="13.5" customHeight="1">
      <c r="A106" s="16" t="s">
        <v>80</v>
      </c>
      <c r="B106" s="127" t="s">
        <v>81</v>
      </c>
      <c r="C106" s="128"/>
      <c r="D106" s="128"/>
      <c r="E106" s="128"/>
      <c r="F106" s="129"/>
      <c r="G106" s="65">
        <v>0</v>
      </c>
      <c r="H106" s="34">
        <f>H104*G106</f>
        <v>0</v>
      </c>
    </row>
    <row r="107" spans="1:8" ht="13.5" customHeight="1">
      <c r="A107" s="16" t="s">
        <v>82</v>
      </c>
      <c r="B107" s="127" t="s">
        <v>83</v>
      </c>
      <c r="C107" s="128"/>
      <c r="D107" s="128"/>
      <c r="E107" s="128"/>
      <c r="F107" s="129"/>
      <c r="G107" s="65">
        <v>0</v>
      </c>
      <c r="H107" s="34">
        <f>H104*G107</f>
        <v>0</v>
      </c>
    </row>
    <row r="108" spans="1:8" ht="13.5" customHeight="1">
      <c r="A108" s="16" t="s">
        <v>84</v>
      </c>
      <c r="B108" s="127" t="s">
        <v>99</v>
      </c>
      <c r="C108" s="128"/>
      <c r="D108" s="128"/>
      <c r="E108" s="128"/>
      <c r="F108" s="129"/>
      <c r="G108" s="65">
        <v>0</v>
      </c>
      <c r="H108" s="34">
        <f>H104*G108</f>
        <v>0</v>
      </c>
    </row>
    <row r="109" spans="1:8" ht="13.5" customHeight="1">
      <c r="A109" s="16" t="s">
        <v>11</v>
      </c>
      <c r="B109" s="127" t="s">
        <v>85</v>
      </c>
      <c r="C109" s="128"/>
      <c r="D109" s="128"/>
      <c r="E109" s="128"/>
      <c r="F109" s="129"/>
      <c r="G109" s="65">
        <v>0</v>
      </c>
      <c r="H109" s="34">
        <f>(H22+H32+H38+H99+H103)*G109</f>
        <v>0</v>
      </c>
    </row>
    <row r="110" spans="1:8" ht="13.5" customHeight="1">
      <c r="A110" s="21"/>
      <c r="B110" s="107" t="s">
        <v>44</v>
      </c>
      <c r="C110" s="108"/>
      <c r="D110" s="108"/>
      <c r="E110" s="108"/>
      <c r="F110" s="109"/>
      <c r="G110" s="35"/>
      <c r="H110" s="34">
        <f>H103+H105+H106+H107+H108+H109</f>
        <v>0</v>
      </c>
    </row>
    <row r="112" spans="1:8" ht="13.5" customHeight="1">
      <c r="A112" s="106" t="s">
        <v>86</v>
      </c>
      <c r="B112" s="106"/>
      <c r="C112" s="106"/>
      <c r="D112" s="106"/>
      <c r="E112" s="106"/>
      <c r="F112" s="106"/>
      <c r="G112" s="106"/>
      <c r="H112" s="106"/>
    </row>
    <row r="113" spans="1:8" ht="13.5" customHeight="1">
      <c r="A113" s="14"/>
      <c r="B113" s="14"/>
      <c r="C113" s="14"/>
      <c r="D113" s="14"/>
      <c r="E113" s="14"/>
      <c r="F113" s="14"/>
      <c r="G113" s="14"/>
      <c r="H113" s="14"/>
    </row>
    <row r="114" spans="1:8" ht="13.5" customHeight="1">
      <c r="A114" s="75"/>
      <c r="B114" s="124"/>
      <c r="C114" s="125"/>
      <c r="D114" s="125"/>
      <c r="E114" s="125"/>
      <c r="F114" s="125"/>
      <c r="G114" s="126"/>
      <c r="H114" s="75" t="s">
        <v>6</v>
      </c>
    </row>
    <row r="115" spans="1:8" ht="13.5" customHeight="1">
      <c r="A115" s="33" t="s">
        <v>7</v>
      </c>
      <c r="B115" s="127" t="s">
        <v>87</v>
      </c>
      <c r="C115" s="128"/>
      <c r="D115" s="128"/>
      <c r="E115" s="128"/>
      <c r="F115" s="128"/>
      <c r="G115" s="129"/>
      <c r="H115" s="34">
        <f>H22</f>
        <v>0</v>
      </c>
    </row>
    <row r="116" spans="1:8" ht="13.5" customHeight="1">
      <c r="A116" s="16" t="s">
        <v>9</v>
      </c>
      <c r="B116" s="127" t="s">
        <v>88</v>
      </c>
      <c r="C116" s="128"/>
      <c r="D116" s="128"/>
      <c r="E116" s="128"/>
      <c r="F116" s="128"/>
      <c r="G116" s="129"/>
      <c r="H116" s="34">
        <f>H32</f>
        <v>0</v>
      </c>
    </row>
    <row r="117" spans="1:8" ht="13.5" customHeight="1">
      <c r="A117" s="16" t="s">
        <v>11</v>
      </c>
      <c r="B117" s="127" t="s">
        <v>89</v>
      </c>
      <c r="C117" s="128"/>
      <c r="D117" s="128"/>
      <c r="E117" s="128"/>
      <c r="F117" s="128"/>
      <c r="G117" s="129"/>
      <c r="H117" s="34">
        <f>H38</f>
        <v>0</v>
      </c>
    </row>
    <row r="118" spans="1:8" ht="13.5" customHeight="1">
      <c r="A118" s="16" t="s">
        <v>13</v>
      </c>
      <c r="B118" s="127" t="s">
        <v>70</v>
      </c>
      <c r="C118" s="128"/>
      <c r="D118" s="128"/>
      <c r="E118" s="128"/>
      <c r="F118" s="128"/>
      <c r="G118" s="129"/>
      <c r="H118" s="34">
        <f>H99</f>
        <v>0</v>
      </c>
    </row>
    <row r="119" spans="1:8" ht="13.5" customHeight="1">
      <c r="A119" s="66" t="s">
        <v>90</v>
      </c>
      <c r="B119" s="67"/>
      <c r="C119" s="67"/>
      <c r="D119" s="67"/>
      <c r="E119" s="67"/>
      <c r="F119" s="67"/>
      <c r="G119" s="68"/>
      <c r="H119" s="34">
        <f>SUM(H115:H118)</f>
        <v>0</v>
      </c>
    </row>
    <row r="120" spans="1:8" ht="13.5" customHeight="1">
      <c r="A120" s="16" t="s">
        <v>15</v>
      </c>
      <c r="B120" s="127" t="s">
        <v>75</v>
      </c>
      <c r="C120" s="128"/>
      <c r="D120" s="128"/>
      <c r="E120" s="128"/>
      <c r="F120" s="128"/>
      <c r="G120" s="129"/>
      <c r="H120" s="34">
        <f>H110</f>
        <v>0</v>
      </c>
    </row>
    <row r="121" spans="1:8" ht="13.5" customHeight="1">
      <c r="A121" s="107" t="s">
        <v>98</v>
      </c>
      <c r="B121" s="108"/>
      <c r="C121" s="108"/>
      <c r="D121" s="108"/>
      <c r="E121" s="108"/>
      <c r="F121" s="108"/>
      <c r="G121" s="109"/>
      <c r="H121" s="36">
        <f>H119+H120</f>
        <v>0</v>
      </c>
    </row>
    <row r="123" spans="1:8" ht="13.5" customHeight="1">
      <c r="A123" s="69"/>
      <c r="B123" s="69"/>
      <c r="C123" s="69"/>
      <c r="D123" s="69"/>
      <c r="E123" s="69"/>
      <c r="F123" s="69"/>
      <c r="G123" s="69"/>
      <c r="H123" s="69"/>
    </row>
    <row r="124" spans="1:8" ht="13.5" customHeight="1">
      <c r="A124" s="91" t="s">
        <v>129</v>
      </c>
      <c r="B124" s="91"/>
      <c r="C124" s="91"/>
      <c r="D124" s="91"/>
      <c r="E124" s="91"/>
      <c r="F124" s="91"/>
      <c r="G124" s="91" t="s">
        <v>6</v>
      </c>
      <c r="H124" s="91"/>
    </row>
    <row r="125" spans="1:8" ht="13.5" customHeight="1">
      <c r="A125" s="110" t="s">
        <v>133</v>
      </c>
      <c r="B125" s="113"/>
      <c r="C125" s="113"/>
      <c r="D125" s="113"/>
      <c r="E125" s="113"/>
      <c r="F125" s="114"/>
      <c r="G125" s="118">
        <f>H121</f>
        <v>0</v>
      </c>
      <c r="H125" s="119"/>
    </row>
    <row r="126" spans="1:8" ht="13.5" customHeight="1">
      <c r="A126" s="115" t="s">
        <v>134</v>
      </c>
      <c r="B126" s="116"/>
      <c r="C126" s="116"/>
      <c r="D126" s="116"/>
      <c r="E126" s="116"/>
      <c r="F126" s="117"/>
      <c r="G126" s="122">
        <f>G125*12</f>
        <v>0</v>
      </c>
      <c r="H126" s="123"/>
    </row>
  </sheetData>
  <mergeCells count="97">
    <mergeCell ref="B9:G9"/>
    <mergeCell ref="A1:H1"/>
    <mergeCell ref="A2:H2"/>
    <mergeCell ref="A6:H6"/>
    <mergeCell ref="B7:G7"/>
    <mergeCell ref="B8:G8"/>
    <mergeCell ref="B25:G25"/>
    <mergeCell ref="B10:G10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43:F43"/>
    <mergeCell ref="B26:G26"/>
    <mergeCell ref="B27:G27"/>
    <mergeCell ref="B28:G28"/>
    <mergeCell ref="B29:G29"/>
    <mergeCell ref="B30:G30"/>
    <mergeCell ref="B31:G31"/>
    <mergeCell ref="B32:G32"/>
    <mergeCell ref="B35:G35"/>
    <mergeCell ref="B36:G36"/>
    <mergeCell ref="B37:G37"/>
    <mergeCell ref="B38:G38"/>
    <mergeCell ref="B59:G59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7:G57"/>
    <mergeCell ref="B58:G58"/>
    <mergeCell ref="B75:G75"/>
    <mergeCell ref="B60:G60"/>
    <mergeCell ref="B61:G61"/>
    <mergeCell ref="B64:G64"/>
    <mergeCell ref="B65:G65"/>
    <mergeCell ref="B66:G66"/>
    <mergeCell ref="B67:G67"/>
    <mergeCell ref="B70:G70"/>
    <mergeCell ref="B71:G71"/>
    <mergeCell ref="B72:G72"/>
    <mergeCell ref="B73:G73"/>
    <mergeCell ref="B74:G74"/>
    <mergeCell ref="B89:G89"/>
    <mergeCell ref="B76:G76"/>
    <mergeCell ref="B77:G77"/>
    <mergeCell ref="B80:G80"/>
    <mergeCell ref="B81:G81"/>
    <mergeCell ref="B82:G82"/>
    <mergeCell ref="B83:G83"/>
    <mergeCell ref="B84:G84"/>
    <mergeCell ref="B85:G85"/>
    <mergeCell ref="B86:G86"/>
    <mergeCell ref="B87:G87"/>
    <mergeCell ref="B88:G88"/>
    <mergeCell ref="B105:F105"/>
    <mergeCell ref="B92:G92"/>
    <mergeCell ref="B93:G93"/>
    <mergeCell ref="B94:G94"/>
    <mergeCell ref="B95:G95"/>
    <mergeCell ref="B96:G96"/>
    <mergeCell ref="B97:G97"/>
    <mergeCell ref="B98:G98"/>
    <mergeCell ref="B99:G99"/>
    <mergeCell ref="B102:F102"/>
    <mergeCell ref="B103:F103"/>
    <mergeCell ref="B104:F104"/>
    <mergeCell ref="B120:G120"/>
    <mergeCell ref="B106:F106"/>
    <mergeCell ref="B107:F107"/>
    <mergeCell ref="B108:F108"/>
    <mergeCell ref="B109:F109"/>
    <mergeCell ref="B110:F110"/>
    <mergeCell ref="A112:H112"/>
    <mergeCell ref="B114:G114"/>
    <mergeCell ref="B115:G115"/>
    <mergeCell ref="B116:G116"/>
    <mergeCell ref="B117:G117"/>
    <mergeCell ref="B118:G118"/>
    <mergeCell ref="A126:F126"/>
    <mergeCell ref="G126:H126"/>
    <mergeCell ref="A121:G121"/>
    <mergeCell ref="A124:F124"/>
    <mergeCell ref="G124:H124"/>
    <mergeCell ref="A125:F125"/>
    <mergeCell ref="G125:H125"/>
  </mergeCells>
  <printOptions horizontalCentered="1"/>
  <pageMargins left="0.39370078740157483" right="0.39370078740157483" top="0.59055118110236227" bottom="0.59055118110236227" header="0.31496062992125984" footer="0.19685039370078741"/>
  <pageSetup paperSize="9" orientation="portrait" r:id="rId1"/>
  <headerFooter>
    <oddFooter>&amp;L&amp;F - &amp;A - &amp;P/&amp;N</oddFooter>
  </headerFooter>
  <rowBreaks count="2" manualBreakCount="2">
    <brk id="55" max="16383" man="1"/>
    <brk id="11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6"/>
  <sheetViews>
    <sheetView zoomScale="140" zoomScaleNormal="140" workbookViewId="0">
      <selection activeCell="I17" sqref="I17"/>
    </sheetView>
  </sheetViews>
  <sheetFormatPr defaultRowHeight="13.5" customHeight="1"/>
  <cols>
    <col min="1" max="4" width="9.140625" style="12"/>
    <col min="5" max="5" width="11.28515625" style="12" customWidth="1"/>
    <col min="6" max="6" width="17.28515625" style="12" customWidth="1"/>
    <col min="7" max="7" width="10" style="12" bestFit="1" customWidth="1"/>
    <col min="8" max="8" width="14.28515625" style="12" bestFit="1" customWidth="1"/>
    <col min="9" max="9" width="11.28515625" style="12" bestFit="1" customWidth="1"/>
    <col min="10" max="16384" width="9.140625" style="12"/>
  </cols>
  <sheetData>
    <row r="1" spans="1:10" ht="13.5" customHeight="1">
      <c r="A1" s="94" t="s">
        <v>0</v>
      </c>
      <c r="B1" s="94"/>
      <c r="C1" s="94"/>
      <c r="D1" s="94"/>
      <c r="E1" s="94"/>
      <c r="F1" s="94"/>
      <c r="G1" s="94"/>
      <c r="H1" s="94"/>
      <c r="I1" s="13"/>
    </row>
    <row r="2" spans="1:10" ht="13.5" customHeight="1">
      <c r="A2" s="94" t="s">
        <v>106</v>
      </c>
      <c r="B2" s="94"/>
      <c r="C2" s="94"/>
      <c r="D2" s="94"/>
      <c r="E2" s="94"/>
      <c r="F2" s="94"/>
      <c r="G2" s="94"/>
      <c r="H2" s="94"/>
    </row>
    <row r="3" spans="1:10" ht="13.5" customHeight="1">
      <c r="A3" s="43"/>
      <c r="B3" s="43"/>
      <c r="C3" s="43"/>
      <c r="D3" s="43"/>
      <c r="E3" s="43"/>
      <c r="F3" s="43"/>
      <c r="G3" s="43"/>
      <c r="H3" s="43"/>
    </row>
    <row r="4" spans="1:10" ht="13.5" customHeight="1">
      <c r="A4" s="44" t="s">
        <v>91</v>
      </c>
      <c r="B4" s="43"/>
      <c r="C4" s="43"/>
      <c r="D4" s="43"/>
      <c r="E4" s="43"/>
      <c r="F4" s="43"/>
      <c r="G4" s="43"/>
      <c r="H4" s="43"/>
    </row>
    <row r="5" spans="1:10" ht="13.5" customHeight="1">
      <c r="A5" s="13"/>
    </row>
    <row r="6" spans="1:10" ht="13.5" customHeight="1">
      <c r="A6" s="124" t="s">
        <v>92</v>
      </c>
      <c r="B6" s="125"/>
      <c r="C6" s="125"/>
      <c r="D6" s="125"/>
      <c r="E6" s="125"/>
      <c r="F6" s="125"/>
      <c r="G6" s="125"/>
      <c r="H6" s="126"/>
    </row>
    <row r="7" spans="1:10" ht="13.5" customHeight="1">
      <c r="A7" s="45">
        <v>1</v>
      </c>
      <c r="B7" s="138" t="s">
        <v>1</v>
      </c>
      <c r="C7" s="139"/>
      <c r="D7" s="139"/>
      <c r="E7" s="139"/>
      <c r="F7" s="139"/>
      <c r="G7" s="140"/>
      <c r="H7" s="46" t="s">
        <v>96</v>
      </c>
    </row>
    <row r="8" spans="1:10" ht="13.5" customHeight="1">
      <c r="A8" s="45">
        <v>2</v>
      </c>
      <c r="B8" s="138" t="s">
        <v>2</v>
      </c>
      <c r="C8" s="139"/>
      <c r="D8" s="139"/>
      <c r="E8" s="139"/>
      <c r="F8" s="139"/>
      <c r="G8" s="140"/>
      <c r="H8" s="47">
        <v>900.05</v>
      </c>
    </row>
    <row r="9" spans="1:10" ht="13.5" customHeight="1">
      <c r="A9" s="45">
        <v>3</v>
      </c>
      <c r="B9" s="138" t="s">
        <v>3</v>
      </c>
      <c r="C9" s="139"/>
      <c r="D9" s="139"/>
      <c r="E9" s="139"/>
      <c r="F9" s="139"/>
      <c r="G9" s="140"/>
      <c r="H9" s="46" t="s">
        <v>95</v>
      </c>
    </row>
    <row r="10" spans="1:10" ht="13.5" customHeight="1">
      <c r="A10" s="45">
        <v>4</v>
      </c>
      <c r="B10" s="138" t="s">
        <v>4</v>
      </c>
      <c r="C10" s="139"/>
      <c r="D10" s="139"/>
      <c r="E10" s="139"/>
      <c r="F10" s="139"/>
      <c r="G10" s="140"/>
      <c r="H10" s="48">
        <v>42370</v>
      </c>
    </row>
    <row r="11" spans="1:10" ht="13.5" customHeight="1">
      <c r="E11" s="18"/>
    </row>
    <row r="12" spans="1:10" ht="13.5" customHeight="1">
      <c r="A12" s="15" t="s">
        <v>124</v>
      </c>
      <c r="B12" s="15"/>
      <c r="C12" s="15"/>
      <c r="D12" s="15"/>
      <c r="E12" s="15"/>
    </row>
    <row r="13" spans="1:10" ht="13.5" customHeight="1">
      <c r="A13" s="75">
        <v>1</v>
      </c>
      <c r="B13" s="124" t="s">
        <v>5</v>
      </c>
      <c r="C13" s="125"/>
      <c r="D13" s="125"/>
      <c r="E13" s="125"/>
      <c r="F13" s="125"/>
      <c r="G13" s="133"/>
      <c r="H13" s="76" t="s">
        <v>6</v>
      </c>
    </row>
    <row r="14" spans="1:10" ht="13.5" customHeight="1">
      <c r="A14" s="45" t="s">
        <v>7</v>
      </c>
      <c r="B14" s="101" t="s">
        <v>8</v>
      </c>
      <c r="C14" s="102"/>
      <c r="D14" s="102"/>
      <c r="E14" s="102"/>
      <c r="F14" s="102"/>
      <c r="G14" s="103"/>
      <c r="H14" s="77">
        <v>900.05</v>
      </c>
      <c r="J14" s="27">
        <v>937</v>
      </c>
    </row>
    <row r="15" spans="1:10" ht="13.5" customHeight="1">
      <c r="A15" s="45" t="s">
        <v>9</v>
      </c>
      <c r="B15" s="101" t="s">
        <v>10</v>
      </c>
      <c r="C15" s="102"/>
      <c r="D15" s="102"/>
      <c r="E15" s="102"/>
      <c r="F15" s="102"/>
      <c r="G15" s="103"/>
      <c r="H15" s="49">
        <v>0</v>
      </c>
    </row>
    <row r="16" spans="1:10" ht="13.5" customHeight="1">
      <c r="A16" s="45" t="s">
        <v>11</v>
      </c>
      <c r="B16" s="101" t="s">
        <v>12</v>
      </c>
      <c r="C16" s="102"/>
      <c r="D16" s="102"/>
      <c r="E16" s="102"/>
      <c r="F16" s="102"/>
      <c r="G16" s="103"/>
      <c r="H16" s="77">
        <f>20%*J16</f>
        <v>187.4</v>
      </c>
      <c r="I16" s="12" t="s">
        <v>138</v>
      </c>
      <c r="J16" s="27">
        <v>937</v>
      </c>
    </row>
    <row r="17" spans="1:10" ht="13.5" customHeight="1">
      <c r="A17" s="45" t="s">
        <v>13</v>
      </c>
      <c r="B17" s="101" t="s">
        <v>14</v>
      </c>
      <c r="C17" s="102"/>
      <c r="D17" s="102"/>
      <c r="E17" s="102"/>
      <c r="F17" s="102"/>
      <c r="G17" s="103"/>
      <c r="H17" s="49">
        <v>0</v>
      </c>
    </row>
    <row r="18" spans="1:10" ht="13.5" customHeight="1">
      <c r="A18" s="45" t="s">
        <v>15</v>
      </c>
      <c r="B18" s="101" t="s">
        <v>16</v>
      </c>
      <c r="C18" s="102"/>
      <c r="D18" s="102"/>
      <c r="E18" s="102"/>
      <c r="F18" s="102"/>
      <c r="G18" s="103"/>
      <c r="H18" s="49">
        <v>0</v>
      </c>
    </row>
    <row r="19" spans="1:10" ht="13.5" customHeight="1">
      <c r="A19" s="45" t="s">
        <v>17</v>
      </c>
      <c r="B19" s="101" t="s">
        <v>18</v>
      </c>
      <c r="C19" s="102"/>
      <c r="D19" s="102"/>
      <c r="E19" s="102"/>
      <c r="F19" s="102"/>
      <c r="G19" s="103"/>
      <c r="H19" s="49">
        <v>0</v>
      </c>
    </row>
    <row r="20" spans="1:10" ht="13.5" customHeight="1">
      <c r="A20" s="45" t="s">
        <v>19</v>
      </c>
      <c r="B20" s="101" t="s">
        <v>20</v>
      </c>
      <c r="C20" s="102"/>
      <c r="D20" s="102"/>
      <c r="E20" s="102"/>
      <c r="F20" s="102"/>
      <c r="G20" s="103"/>
      <c r="H20" s="49">
        <v>0</v>
      </c>
    </row>
    <row r="21" spans="1:10" ht="13.5" customHeight="1">
      <c r="A21" s="45" t="s">
        <v>21</v>
      </c>
      <c r="B21" s="101" t="s">
        <v>22</v>
      </c>
      <c r="C21" s="102"/>
      <c r="D21" s="102"/>
      <c r="E21" s="102"/>
      <c r="F21" s="102"/>
      <c r="G21" s="103"/>
      <c r="H21" s="49">
        <v>0</v>
      </c>
    </row>
    <row r="22" spans="1:10" ht="13.5" customHeight="1">
      <c r="A22" s="50"/>
      <c r="B22" s="130" t="s">
        <v>23</v>
      </c>
      <c r="C22" s="131"/>
      <c r="D22" s="131"/>
      <c r="E22" s="131"/>
      <c r="F22" s="131"/>
      <c r="G22" s="137"/>
      <c r="H22" s="51">
        <f>SUM(H14:H21)</f>
        <v>1087.45</v>
      </c>
    </row>
    <row r="23" spans="1:10" ht="13.5" customHeight="1">
      <c r="A23" s="15"/>
      <c r="G23" s="23"/>
      <c r="H23" s="18"/>
    </row>
    <row r="24" spans="1:10" ht="13.5" customHeight="1">
      <c r="A24" s="15" t="s">
        <v>125</v>
      </c>
      <c r="B24" s="15"/>
      <c r="C24" s="15"/>
      <c r="D24" s="15"/>
    </row>
    <row r="25" spans="1:10" ht="13.5" customHeight="1">
      <c r="A25" s="75">
        <v>2</v>
      </c>
      <c r="B25" s="124" t="s">
        <v>24</v>
      </c>
      <c r="C25" s="125"/>
      <c r="D25" s="125"/>
      <c r="E25" s="125"/>
      <c r="F25" s="125"/>
      <c r="G25" s="133"/>
      <c r="H25" s="76" t="s">
        <v>6</v>
      </c>
    </row>
    <row r="26" spans="1:10" ht="13.5" customHeight="1">
      <c r="A26" s="45" t="s">
        <v>7</v>
      </c>
      <c r="B26" s="101" t="s">
        <v>25</v>
      </c>
      <c r="C26" s="102"/>
      <c r="D26" s="102"/>
      <c r="E26" s="102"/>
      <c r="F26" s="102"/>
      <c r="G26" s="103"/>
      <c r="H26" s="49">
        <v>80.400000000000006</v>
      </c>
      <c r="J26" s="25"/>
    </row>
    <row r="27" spans="1:10" ht="13.5" customHeight="1">
      <c r="A27" s="45" t="s">
        <v>9</v>
      </c>
      <c r="B27" s="101" t="s">
        <v>101</v>
      </c>
      <c r="C27" s="102"/>
      <c r="D27" s="102"/>
      <c r="E27" s="102"/>
      <c r="F27" s="102"/>
      <c r="G27" s="103"/>
      <c r="H27" s="49">
        <f>24*6.66</f>
        <v>159.84</v>
      </c>
      <c r="J27" s="7"/>
    </row>
    <row r="28" spans="1:10" ht="13.5" customHeight="1">
      <c r="A28" s="45" t="s">
        <v>11</v>
      </c>
      <c r="B28" s="101" t="s">
        <v>26</v>
      </c>
      <c r="C28" s="102"/>
      <c r="D28" s="102"/>
      <c r="E28" s="102"/>
      <c r="F28" s="102"/>
      <c r="G28" s="103"/>
      <c r="H28" s="49">
        <v>0</v>
      </c>
    </row>
    <row r="29" spans="1:10" ht="13.5" customHeight="1">
      <c r="A29" s="45" t="s">
        <v>13</v>
      </c>
      <c r="B29" s="101" t="s">
        <v>27</v>
      </c>
      <c r="C29" s="102"/>
      <c r="D29" s="102"/>
      <c r="E29" s="102"/>
      <c r="F29" s="102"/>
      <c r="G29" s="103"/>
      <c r="H29" s="49">
        <v>10</v>
      </c>
    </row>
    <row r="30" spans="1:10" ht="13.5" customHeight="1">
      <c r="A30" s="45" t="s">
        <v>15</v>
      </c>
      <c r="B30" s="101" t="s">
        <v>28</v>
      </c>
      <c r="C30" s="102"/>
      <c r="D30" s="102"/>
      <c r="E30" s="102"/>
      <c r="F30" s="102"/>
      <c r="G30" s="103"/>
      <c r="H30" s="49">
        <v>15</v>
      </c>
    </row>
    <row r="31" spans="1:10" ht="13.5" customHeight="1">
      <c r="A31" s="45" t="s">
        <v>17</v>
      </c>
      <c r="B31" s="101" t="s">
        <v>100</v>
      </c>
      <c r="C31" s="102"/>
      <c r="D31" s="102"/>
      <c r="E31" s="102"/>
      <c r="F31" s="102"/>
      <c r="G31" s="103"/>
      <c r="H31" s="49">
        <v>100</v>
      </c>
    </row>
    <row r="32" spans="1:10" ht="13.5" customHeight="1">
      <c r="A32" s="50"/>
      <c r="B32" s="130" t="s">
        <v>29</v>
      </c>
      <c r="C32" s="131"/>
      <c r="D32" s="131"/>
      <c r="E32" s="131"/>
      <c r="F32" s="131"/>
      <c r="G32" s="137"/>
      <c r="H32" s="51">
        <f>SUM(H26:H31)</f>
        <v>365.24</v>
      </c>
    </row>
    <row r="33" spans="1:11" ht="13.5" customHeight="1">
      <c r="A33" s="15"/>
      <c r="G33" s="23"/>
      <c r="H33" s="18"/>
    </row>
    <row r="34" spans="1:11" ht="13.5" customHeight="1">
      <c r="A34" s="15" t="s">
        <v>126</v>
      </c>
      <c r="B34" s="15"/>
      <c r="C34" s="15"/>
      <c r="J34" s="52"/>
      <c r="K34" s="52"/>
    </row>
    <row r="35" spans="1:11" ht="13.5" customHeight="1">
      <c r="A35" s="75">
        <v>3</v>
      </c>
      <c r="B35" s="124" t="s">
        <v>24</v>
      </c>
      <c r="C35" s="125"/>
      <c r="D35" s="125"/>
      <c r="E35" s="125"/>
      <c r="F35" s="125"/>
      <c r="G35" s="133"/>
      <c r="H35" s="76" t="s">
        <v>6</v>
      </c>
      <c r="J35" s="52"/>
      <c r="K35" s="52"/>
    </row>
    <row r="36" spans="1:11" ht="13.5" customHeight="1">
      <c r="A36" s="45" t="s">
        <v>7</v>
      </c>
      <c r="B36" s="101" t="s">
        <v>97</v>
      </c>
      <c r="C36" s="102"/>
      <c r="D36" s="102"/>
      <c r="E36" s="102"/>
      <c r="F36" s="102"/>
      <c r="G36" s="103"/>
      <c r="H36" s="49">
        <v>43.04</v>
      </c>
      <c r="J36" s="53"/>
      <c r="K36" s="52"/>
    </row>
    <row r="37" spans="1:11" ht="13.5" customHeight="1">
      <c r="A37" s="45" t="s">
        <v>9</v>
      </c>
      <c r="B37" s="101" t="s">
        <v>107</v>
      </c>
      <c r="C37" s="102"/>
      <c r="D37" s="102"/>
      <c r="E37" s="102"/>
      <c r="F37" s="102"/>
      <c r="G37" s="103"/>
      <c r="H37" s="49">
        <f>(6.08+10.71+67.83)</f>
        <v>84.62</v>
      </c>
      <c r="J37" s="52"/>
      <c r="K37" s="52"/>
    </row>
    <row r="38" spans="1:11" ht="13.5" customHeight="1">
      <c r="A38" s="50"/>
      <c r="B38" s="130" t="s">
        <v>30</v>
      </c>
      <c r="C38" s="131"/>
      <c r="D38" s="131"/>
      <c r="E38" s="131"/>
      <c r="F38" s="131"/>
      <c r="G38" s="137"/>
      <c r="H38" s="51">
        <f>SUM(H36:H37)</f>
        <v>127.66</v>
      </c>
    </row>
    <row r="40" spans="1:11" ht="13.5" customHeight="1">
      <c r="A40" s="15" t="s">
        <v>31</v>
      </c>
      <c r="B40" s="15"/>
      <c r="C40" s="15"/>
      <c r="D40" s="15"/>
      <c r="E40" s="15"/>
      <c r="H40" s="18"/>
    </row>
    <row r="42" spans="1:11" ht="13.5" customHeight="1">
      <c r="A42" s="15" t="s">
        <v>32</v>
      </c>
      <c r="B42" s="15"/>
      <c r="C42" s="15"/>
      <c r="D42" s="15"/>
      <c r="E42" s="15"/>
    </row>
    <row r="43" spans="1:11" ht="13.5" customHeight="1">
      <c r="A43" s="75" t="s">
        <v>33</v>
      </c>
      <c r="B43" s="124" t="s">
        <v>34</v>
      </c>
      <c r="C43" s="125"/>
      <c r="D43" s="125"/>
      <c r="E43" s="125"/>
      <c r="F43" s="133"/>
      <c r="G43" s="76" t="s">
        <v>35</v>
      </c>
      <c r="H43" s="76" t="s">
        <v>6</v>
      </c>
    </row>
    <row r="44" spans="1:11" ht="13.5" customHeight="1">
      <c r="A44" s="45" t="s">
        <v>7</v>
      </c>
      <c r="B44" s="101" t="s">
        <v>36</v>
      </c>
      <c r="C44" s="102"/>
      <c r="D44" s="102"/>
      <c r="E44" s="102"/>
      <c r="F44" s="103"/>
      <c r="G44" s="54">
        <v>0.2</v>
      </c>
      <c r="H44" s="49">
        <f>G44*H22</f>
        <v>217.49</v>
      </c>
    </row>
    <row r="45" spans="1:11" ht="13.5" customHeight="1">
      <c r="A45" s="45" t="s">
        <v>9</v>
      </c>
      <c r="B45" s="101" t="s">
        <v>37</v>
      </c>
      <c r="C45" s="102"/>
      <c r="D45" s="102"/>
      <c r="E45" s="102"/>
      <c r="F45" s="103"/>
      <c r="G45" s="55">
        <v>1.4999999999999999E-2</v>
      </c>
      <c r="H45" s="49">
        <f>G45*H22</f>
        <v>16.31175</v>
      </c>
    </row>
    <row r="46" spans="1:11" ht="13.5" customHeight="1">
      <c r="A46" s="45" t="s">
        <v>11</v>
      </c>
      <c r="B46" s="101" t="s">
        <v>38</v>
      </c>
      <c r="C46" s="102"/>
      <c r="D46" s="102"/>
      <c r="E46" s="102"/>
      <c r="F46" s="103"/>
      <c r="G46" s="56">
        <v>0.01</v>
      </c>
      <c r="H46" s="49">
        <f>G46*H22</f>
        <v>10.874500000000001</v>
      </c>
    </row>
    <row r="47" spans="1:11" ht="13.5" customHeight="1">
      <c r="A47" s="45" t="s">
        <v>13</v>
      </c>
      <c r="B47" s="101" t="s">
        <v>39</v>
      </c>
      <c r="C47" s="102"/>
      <c r="D47" s="102"/>
      <c r="E47" s="102"/>
      <c r="F47" s="103"/>
      <c r="G47" s="56">
        <v>2E-3</v>
      </c>
      <c r="H47" s="49">
        <f>G47*H22</f>
        <v>2.1749000000000001</v>
      </c>
    </row>
    <row r="48" spans="1:11" ht="13.5" customHeight="1">
      <c r="A48" s="45" t="s">
        <v>15</v>
      </c>
      <c r="B48" s="101" t="s">
        <v>40</v>
      </c>
      <c r="C48" s="102"/>
      <c r="D48" s="102"/>
      <c r="E48" s="102"/>
      <c r="F48" s="103"/>
      <c r="G48" s="56">
        <v>2.5000000000000001E-2</v>
      </c>
      <c r="H48" s="49">
        <f>G48*H22</f>
        <v>27.186250000000001</v>
      </c>
    </row>
    <row r="49" spans="1:9" ht="13.5" customHeight="1">
      <c r="A49" s="45" t="s">
        <v>17</v>
      </c>
      <c r="B49" s="101" t="s">
        <v>41</v>
      </c>
      <c r="C49" s="102"/>
      <c r="D49" s="102"/>
      <c r="E49" s="102"/>
      <c r="F49" s="103"/>
      <c r="G49" s="56">
        <v>0.08</v>
      </c>
      <c r="H49" s="49">
        <f>G49*H22</f>
        <v>86.996000000000009</v>
      </c>
    </row>
    <row r="50" spans="1:9" ht="13.5" customHeight="1">
      <c r="A50" s="45" t="s">
        <v>19</v>
      </c>
      <c r="B50" s="101" t="s">
        <v>42</v>
      </c>
      <c r="C50" s="102"/>
      <c r="D50" s="102"/>
      <c r="E50" s="102"/>
      <c r="F50" s="103"/>
      <c r="G50" s="56">
        <v>0.03</v>
      </c>
      <c r="H50" s="49">
        <f>G50*H22</f>
        <v>32.6235</v>
      </c>
    </row>
    <row r="51" spans="1:9" ht="13.5" customHeight="1">
      <c r="A51" s="45" t="s">
        <v>21</v>
      </c>
      <c r="B51" s="101" t="s">
        <v>43</v>
      </c>
      <c r="C51" s="102"/>
      <c r="D51" s="102"/>
      <c r="E51" s="102"/>
      <c r="F51" s="103"/>
      <c r="G51" s="56">
        <v>6.0000000000000001E-3</v>
      </c>
      <c r="H51" s="49">
        <f>G51*H22</f>
        <v>6.5247000000000002</v>
      </c>
    </row>
    <row r="52" spans="1:9" ht="13.5" customHeight="1">
      <c r="A52" s="50"/>
      <c r="B52" s="130" t="s">
        <v>44</v>
      </c>
      <c r="C52" s="131"/>
      <c r="D52" s="131"/>
      <c r="E52" s="131"/>
      <c r="F52" s="132"/>
      <c r="G52" s="57">
        <f>SUM(G44:G51)</f>
        <v>0.3680000000000001</v>
      </c>
      <c r="H52" s="51">
        <f>SUM(H44:H51)</f>
        <v>400.1816</v>
      </c>
    </row>
    <row r="53" spans="1:9" ht="13.5" customHeight="1">
      <c r="A53" s="38" t="s">
        <v>93</v>
      </c>
      <c r="B53" s="26"/>
      <c r="C53" s="26"/>
      <c r="D53" s="26"/>
      <c r="E53" s="26"/>
      <c r="F53" s="26"/>
      <c r="G53" s="26"/>
      <c r="H53" s="26"/>
    </row>
    <row r="54" spans="1:9" ht="13.5" customHeight="1">
      <c r="A54" s="39" t="s">
        <v>94</v>
      </c>
      <c r="F54" s="27"/>
      <c r="G54" s="23"/>
      <c r="I54" s="28"/>
    </row>
    <row r="56" spans="1:9" ht="13.5" customHeight="1">
      <c r="A56" s="15" t="s">
        <v>108</v>
      </c>
      <c r="B56" s="15"/>
      <c r="C56" s="15"/>
      <c r="D56" s="15"/>
      <c r="E56" s="15"/>
    </row>
    <row r="57" spans="1:9" ht="13.5" customHeight="1">
      <c r="A57" s="75" t="s">
        <v>45</v>
      </c>
      <c r="B57" s="124" t="s">
        <v>103</v>
      </c>
      <c r="C57" s="125"/>
      <c r="D57" s="125"/>
      <c r="E57" s="125"/>
      <c r="F57" s="125"/>
      <c r="G57" s="133"/>
      <c r="H57" s="76" t="s">
        <v>6</v>
      </c>
    </row>
    <row r="58" spans="1:9" ht="13.5" customHeight="1">
      <c r="A58" s="45" t="s">
        <v>7</v>
      </c>
      <c r="B58" s="101" t="s">
        <v>46</v>
      </c>
      <c r="C58" s="102"/>
      <c r="D58" s="102"/>
      <c r="E58" s="102"/>
      <c r="F58" s="102"/>
      <c r="G58" s="103"/>
      <c r="H58" s="49">
        <f>9.09%*H22</f>
        <v>98.849204999999998</v>
      </c>
      <c r="I58" s="29"/>
    </row>
    <row r="59" spans="1:9" ht="13.5" customHeight="1">
      <c r="A59" s="58"/>
      <c r="B59" s="134" t="s">
        <v>47</v>
      </c>
      <c r="C59" s="134"/>
      <c r="D59" s="134"/>
      <c r="E59" s="134"/>
      <c r="F59" s="134"/>
      <c r="G59" s="135"/>
      <c r="H59" s="49">
        <f>SUM(H58:H58)</f>
        <v>98.849204999999998</v>
      </c>
    </row>
    <row r="60" spans="1:9" ht="13.5" customHeight="1">
      <c r="A60" s="45" t="s">
        <v>11</v>
      </c>
      <c r="B60" s="101" t="s">
        <v>104</v>
      </c>
      <c r="C60" s="102"/>
      <c r="D60" s="102"/>
      <c r="E60" s="102"/>
      <c r="F60" s="102"/>
      <c r="G60" s="103"/>
      <c r="H60" s="49">
        <f>G52*H59</f>
        <v>36.376507440000012</v>
      </c>
    </row>
    <row r="61" spans="1:9" ht="13.5" customHeight="1">
      <c r="A61" s="59"/>
      <c r="B61" s="130" t="s">
        <v>48</v>
      </c>
      <c r="C61" s="131"/>
      <c r="D61" s="131"/>
      <c r="E61" s="131"/>
      <c r="F61" s="131"/>
      <c r="G61" s="132"/>
      <c r="H61" s="51">
        <f>SUM(H59:H60)</f>
        <v>135.22571244</v>
      </c>
    </row>
    <row r="62" spans="1:9" ht="13.5" customHeight="1">
      <c r="H62" s="25"/>
    </row>
    <row r="63" spans="1:9" ht="13.5" customHeight="1">
      <c r="A63" s="15" t="s">
        <v>49</v>
      </c>
      <c r="B63" s="15"/>
      <c r="C63" s="15"/>
      <c r="D63" s="15"/>
      <c r="E63" s="15"/>
    </row>
    <row r="64" spans="1:9" ht="13.5" customHeight="1">
      <c r="A64" s="75" t="s">
        <v>50</v>
      </c>
      <c r="B64" s="124" t="s">
        <v>51</v>
      </c>
      <c r="C64" s="125"/>
      <c r="D64" s="125"/>
      <c r="E64" s="125"/>
      <c r="F64" s="125"/>
      <c r="G64" s="133"/>
      <c r="H64" s="76" t="s">
        <v>6</v>
      </c>
    </row>
    <row r="65" spans="1:8" ht="13.5" customHeight="1">
      <c r="A65" s="45" t="s">
        <v>7</v>
      </c>
      <c r="B65" s="101" t="s">
        <v>51</v>
      </c>
      <c r="C65" s="102"/>
      <c r="D65" s="102"/>
      <c r="E65" s="102"/>
      <c r="F65" s="102"/>
      <c r="G65" s="103"/>
      <c r="H65" s="49">
        <f>0.07%*H22</f>
        <v>0.7612150000000002</v>
      </c>
    </row>
    <row r="66" spans="1:8" ht="13.5" customHeight="1">
      <c r="A66" s="45" t="s">
        <v>9</v>
      </c>
      <c r="B66" s="101" t="s">
        <v>52</v>
      </c>
      <c r="C66" s="102"/>
      <c r="D66" s="102"/>
      <c r="E66" s="102"/>
      <c r="F66" s="102"/>
      <c r="G66" s="103"/>
      <c r="H66" s="49">
        <f>H65*G52</f>
        <v>0.28012712000000017</v>
      </c>
    </row>
    <row r="67" spans="1:8" ht="13.5" customHeight="1">
      <c r="A67" s="60"/>
      <c r="B67" s="136" t="s">
        <v>48</v>
      </c>
      <c r="C67" s="134"/>
      <c r="D67" s="134"/>
      <c r="E67" s="134"/>
      <c r="F67" s="134"/>
      <c r="G67" s="135"/>
      <c r="H67" s="51">
        <f>SUM(H65:H66)</f>
        <v>1.0413421200000004</v>
      </c>
    </row>
    <row r="69" spans="1:8" ht="13.5" customHeight="1">
      <c r="A69" s="15" t="s">
        <v>53</v>
      </c>
      <c r="B69" s="15"/>
      <c r="C69" s="15"/>
      <c r="D69" s="15"/>
      <c r="E69" s="15"/>
    </row>
    <row r="70" spans="1:8" ht="13.5" customHeight="1">
      <c r="A70" s="75" t="s">
        <v>54</v>
      </c>
      <c r="B70" s="124" t="s">
        <v>55</v>
      </c>
      <c r="C70" s="125"/>
      <c r="D70" s="125"/>
      <c r="E70" s="125"/>
      <c r="F70" s="125"/>
      <c r="G70" s="133"/>
      <c r="H70" s="76" t="s">
        <v>6</v>
      </c>
    </row>
    <row r="71" spans="1:8" ht="13.5" customHeight="1">
      <c r="A71" s="45" t="s">
        <v>7</v>
      </c>
      <c r="B71" s="101" t="s">
        <v>56</v>
      </c>
      <c r="C71" s="102"/>
      <c r="D71" s="102"/>
      <c r="E71" s="102"/>
      <c r="F71" s="102"/>
      <c r="G71" s="103"/>
      <c r="H71" s="49">
        <f>4.58%*H22</f>
        <v>49.805210000000002</v>
      </c>
    </row>
    <row r="72" spans="1:8" ht="13.5" customHeight="1">
      <c r="A72" s="45" t="s">
        <v>9</v>
      </c>
      <c r="B72" s="101" t="s">
        <v>57</v>
      </c>
      <c r="C72" s="102"/>
      <c r="D72" s="102"/>
      <c r="E72" s="102"/>
      <c r="F72" s="102"/>
      <c r="G72" s="103"/>
      <c r="H72" s="49">
        <f>H71*8%</f>
        <v>3.9844168000000004</v>
      </c>
    </row>
    <row r="73" spans="1:8" ht="13.5" customHeight="1">
      <c r="A73" s="45" t="s">
        <v>11</v>
      </c>
      <c r="B73" s="101" t="s">
        <v>58</v>
      </c>
      <c r="C73" s="102"/>
      <c r="D73" s="102"/>
      <c r="E73" s="102"/>
      <c r="F73" s="102"/>
      <c r="G73" s="103"/>
      <c r="H73" s="49">
        <f>2.94%*H22</f>
        <v>31.971029999999999</v>
      </c>
    </row>
    <row r="74" spans="1:8" ht="13.5" customHeight="1">
      <c r="A74" s="45" t="s">
        <v>13</v>
      </c>
      <c r="B74" s="101" t="s">
        <v>59</v>
      </c>
      <c r="C74" s="102"/>
      <c r="D74" s="102"/>
      <c r="E74" s="102"/>
      <c r="F74" s="102"/>
      <c r="G74" s="103"/>
      <c r="H74" s="49">
        <f>1.94%*H22</f>
        <v>21.096530000000001</v>
      </c>
    </row>
    <row r="75" spans="1:8" ht="13.5" customHeight="1">
      <c r="A75" s="45" t="s">
        <v>15</v>
      </c>
      <c r="B75" s="101" t="s">
        <v>60</v>
      </c>
      <c r="C75" s="102"/>
      <c r="D75" s="102"/>
      <c r="E75" s="102"/>
      <c r="F75" s="102"/>
      <c r="G75" s="103"/>
      <c r="H75" s="49">
        <f>H74*G52</f>
        <v>7.7635230400000026</v>
      </c>
    </row>
    <row r="76" spans="1:8" ht="13.5" customHeight="1">
      <c r="A76" s="45" t="s">
        <v>17</v>
      </c>
      <c r="B76" s="101" t="s">
        <v>61</v>
      </c>
      <c r="C76" s="102"/>
      <c r="D76" s="102"/>
      <c r="E76" s="102"/>
      <c r="F76" s="102"/>
      <c r="G76" s="103"/>
      <c r="H76" s="49">
        <f>1.42%*H22</f>
        <v>15.441789999999999</v>
      </c>
    </row>
    <row r="77" spans="1:8" ht="13.5" customHeight="1">
      <c r="A77" s="50"/>
      <c r="B77" s="130" t="s">
        <v>44</v>
      </c>
      <c r="C77" s="131"/>
      <c r="D77" s="131"/>
      <c r="E77" s="131"/>
      <c r="F77" s="131"/>
      <c r="G77" s="131"/>
      <c r="H77" s="20">
        <f>SUM(H71:H76)</f>
        <v>130.06249983999999</v>
      </c>
    </row>
    <row r="79" spans="1:8" ht="13.5" customHeight="1">
      <c r="A79" s="15" t="s">
        <v>62</v>
      </c>
    </row>
    <row r="80" spans="1:8" ht="13.5" customHeight="1">
      <c r="A80" s="75" t="s">
        <v>63</v>
      </c>
      <c r="B80" s="124" t="s">
        <v>64</v>
      </c>
      <c r="C80" s="125"/>
      <c r="D80" s="125"/>
      <c r="E80" s="125"/>
      <c r="F80" s="125"/>
      <c r="G80" s="133"/>
      <c r="H80" s="76" t="s">
        <v>6</v>
      </c>
    </row>
    <row r="81" spans="1:8" ht="13.5" customHeight="1">
      <c r="A81" s="45" t="s">
        <v>7</v>
      </c>
      <c r="B81" s="101" t="s">
        <v>102</v>
      </c>
      <c r="C81" s="102"/>
      <c r="D81" s="102"/>
      <c r="E81" s="102"/>
      <c r="F81" s="102"/>
      <c r="G81" s="103"/>
      <c r="H81" s="49">
        <f>12.12%*H22</f>
        <v>131.79893999999999</v>
      </c>
    </row>
    <row r="82" spans="1:8" ht="13.5" customHeight="1">
      <c r="A82" s="45" t="s">
        <v>9</v>
      </c>
      <c r="B82" s="101" t="s">
        <v>65</v>
      </c>
      <c r="C82" s="102"/>
      <c r="D82" s="102"/>
      <c r="E82" s="102"/>
      <c r="F82" s="102"/>
      <c r="G82" s="103"/>
      <c r="H82" s="49">
        <f>1.39%*H22</f>
        <v>15.115555000000001</v>
      </c>
    </row>
    <row r="83" spans="1:8" ht="13.5" customHeight="1">
      <c r="A83" s="45" t="s">
        <v>11</v>
      </c>
      <c r="B83" s="101" t="s">
        <v>66</v>
      </c>
      <c r="C83" s="102"/>
      <c r="D83" s="102"/>
      <c r="E83" s="102"/>
      <c r="F83" s="102"/>
      <c r="G83" s="103"/>
      <c r="H83" s="49">
        <f>0.02%*H22</f>
        <v>0.21749000000000002</v>
      </c>
    </row>
    <row r="84" spans="1:8" ht="13.5" customHeight="1">
      <c r="A84" s="45" t="s">
        <v>13</v>
      </c>
      <c r="B84" s="101" t="s">
        <v>67</v>
      </c>
      <c r="C84" s="102"/>
      <c r="D84" s="102"/>
      <c r="E84" s="102"/>
      <c r="F84" s="102"/>
      <c r="G84" s="103"/>
      <c r="H84" s="49">
        <f>0.28%*H22</f>
        <v>3.0448600000000008</v>
      </c>
    </row>
    <row r="85" spans="1:8" ht="13.5" customHeight="1">
      <c r="A85" s="45" t="s">
        <v>15</v>
      </c>
      <c r="B85" s="101" t="s">
        <v>68</v>
      </c>
      <c r="C85" s="102"/>
      <c r="D85" s="102"/>
      <c r="E85" s="102"/>
      <c r="F85" s="102"/>
      <c r="G85" s="103"/>
      <c r="H85" s="49">
        <f>0.33%*H22</f>
        <v>3.5885850000000001</v>
      </c>
    </row>
    <row r="86" spans="1:8" ht="13.5" customHeight="1">
      <c r="A86" s="45" t="s">
        <v>17</v>
      </c>
      <c r="B86" s="101" t="s">
        <v>22</v>
      </c>
      <c r="C86" s="102"/>
      <c r="D86" s="102"/>
      <c r="E86" s="102"/>
      <c r="F86" s="102"/>
      <c r="G86" s="103"/>
      <c r="H86" s="49">
        <v>0</v>
      </c>
    </row>
    <row r="87" spans="1:8" ht="13.5" customHeight="1">
      <c r="A87" s="50"/>
      <c r="B87" s="130" t="s">
        <v>47</v>
      </c>
      <c r="C87" s="131"/>
      <c r="D87" s="131"/>
      <c r="E87" s="131"/>
      <c r="F87" s="131"/>
      <c r="G87" s="132"/>
      <c r="H87" s="61">
        <f>SUM(H81:H86)</f>
        <v>153.76542999999998</v>
      </c>
    </row>
    <row r="88" spans="1:8" ht="13.5" customHeight="1">
      <c r="A88" s="45" t="s">
        <v>19</v>
      </c>
      <c r="B88" s="101" t="s">
        <v>69</v>
      </c>
      <c r="C88" s="102"/>
      <c r="D88" s="102"/>
      <c r="E88" s="102"/>
      <c r="F88" s="102"/>
      <c r="G88" s="103"/>
      <c r="H88" s="49">
        <f>H87*G52</f>
        <v>56.585678240000007</v>
      </c>
    </row>
    <row r="89" spans="1:8" ht="13.5" customHeight="1">
      <c r="A89" s="50"/>
      <c r="B89" s="130" t="s">
        <v>44</v>
      </c>
      <c r="C89" s="131"/>
      <c r="D89" s="131"/>
      <c r="E89" s="131"/>
      <c r="F89" s="131"/>
      <c r="G89" s="132"/>
      <c r="H89" s="51">
        <f>SUM(H87:H88)</f>
        <v>210.35110823999997</v>
      </c>
    </row>
    <row r="90" spans="1:8" ht="13.5" customHeight="1">
      <c r="A90" s="52"/>
      <c r="B90" s="62"/>
      <c r="C90" s="62"/>
      <c r="D90" s="62"/>
      <c r="E90" s="62"/>
      <c r="F90" s="62"/>
      <c r="G90" s="62"/>
      <c r="H90" s="63"/>
    </row>
    <row r="91" spans="1:8" ht="13.5" customHeight="1">
      <c r="A91" s="15" t="s">
        <v>127</v>
      </c>
      <c r="B91" s="15"/>
      <c r="C91" s="15"/>
      <c r="D91" s="15"/>
      <c r="E91" s="15"/>
      <c r="F91" s="15"/>
    </row>
    <row r="92" spans="1:8" ht="13.5" customHeight="1">
      <c r="A92" s="75">
        <v>4</v>
      </c>
      <c r="B92" s="124" t="s">
        <v>70</v>
      </c>
      <c r="C92" s="125"/>
      <c r="D92" s="125"/>
      <c r="E92" s="125"/>
      <c r="F92" s="125"/>
      <c r="G92" s="133"/>
      <c r="H92" s="76" t="s">
        <v>6</v>
      </c>
    </row>
    <row r="93" spans="1:8" ht="13.5" customHeight="1">
      <c r="A93" s="45" t="s">
        <v>33</v>
      </c>
      <c r="B93" s="101" t="s">
        <v>103</v>
      </c>
      <c r="C93" s="102"/>
      <c r="D93" s="102"/>
      <c r="E93" s="102"/>
      <c r="F93" s="102"/>
      <c r="G93" s="103"/>
      <c r="H93" s="61">
        <f>H52</f>
        <v>400.1816</v>
      </c>
    </row>
    <row r="94" spans="1:8" ht="13.5" customHeight="1">
      <c r="A94" s="45" t="s">
        <v>45</v>
      </c>
      <c r="B94" s="101" t="s">
        <v>71</v>
      </c>
      <c r="C94" s="102"/>
      <c r="D94" s="102"/>
      <c r="E94" s="102"/>
      <c r="F94" s="102"/>
      <c r="G94" s="103"/>
      <c r="H94" s="61">
        <f>H61</f>
        <v>135.22571244</v>
      </c>
    </row>
    <row r="95" spans="1:8" ht="13.5" customHeight="1">
      <c r="A95" s="45" t="s">
        <v>50</v>
      </c>
      <c r="B95" s="101" t="s">
        <v>51</v>
      </c>
      <c r="C95" s="102"/>
      <c r="D95" s="102"/>
      <c r="E95" s="102"/>
      <c r="F95" s="102"/>
      <c r="G95" s="103"/>
      <c r="H95" s="61">
        <f>H67</f>
        <v>1.0413421200000004</v>
      </c>
    </row>
    <row r="96" spans="1:8" ht="13.5" customHeight="1">
      <c r="A96" s="45" t="s">
        <v>54</v>
      </c>
      <c r="B96" s="101" t="s">
        <v>72</v>
      </c>
      <c r="C96" s="102"/>
      <c r="D96" s="102"/>
      <c r="E96" s="102"/>
      <c r="F96" s="102"/>
      <c r="G96" s="102"/>
      <c r="H96" s="32">
        <f>H77</f>
        <v>130.06249983999999</v>
      </c>
    </row>
    <row r="97" spans="1:8" ht="13.5" customHeight="1">
      <c r="A97" s="45" t="s">
        <v>63</v>
      </c>
      <c r="B97" s="101" t="s">
        <v>73</v>
      </c>
      <c r="C97" s="102"/>
      <c r="D97" s="102"/>
      <c r="E97" s="102"/>
      <c r="F97" s="102"/>
      <c r="G97" s="103"/>
      <c r="H97" s="61">
        <f>H89</f>
        <v>210.35110823999997</v>
      </c>
    </row>
    <row r="98" spans="1:8" ht="13.5" customHeight="1">
      <c r="A98" s="45" t="s">
        <v>74</v>
      </c>
      <c r="B98" s="101" t="s">
        <v>22</v>
      </c>
      <c r="C98" s="102"/>
      <c r="D98" s="102"/>
      <c r="E98" s="102"/>
      <c r="F98" s="102"/>
      <c r="G98" s="103"/>
      <c r="H98" s="61">
        <v>0</v>
      </c>
    </row>
    <row r="99" spans="1:8" ht="13.5" customHeight="1">
      <c r="A99" s="50"/>
      <c r="B99" s="130" t="s">
        <v>48</v>
      </c>
      <c r="C99" s="131"/>
      <c r="D99" s="131"/>
      <c r="E99" s="131"/>
      <c r="F99" s="131"/>
      <c r="G99" s="132"/>
      <c r="H99" s="51">
        <f>SUM(H93:H98)</f>
        <v>876.86226263999993</v>
      </c>
    </row>
    <row r="101" spans="1:8" ht="13.5" customHeight="1">
      <c r="A101" s="15" t="s">
        <v>128</v>
      </c>
    </row>
    <row r="102" spans="1:8" ht="13.5" customHeight="1">
      <c r="A102" s="75">
        <v>5</v>
      </c>
      <c r="B102" s="124" t="s">
        <v>34</v>
      </c>
      <c r="C102" s="125"/>
      <c r="D102" s="125"/>
      <c r="E102" s="125"/>
      <c r="F102" s="126"/>
      <c r="G102" s="76" t="s">
        <v>35</v>
      </c>
      <c r="H102" s="75" t="s">
        <v>6</v>
      </c>
    </row>
    <row r="103" spans="1:8" ht="13.5" customHeight="1">
      <c r="A103" s="33" t="s">
        <v>7</v>
      </c>
      <c r="B103" s="127" t="s">
        <v>76</v>
      </c>
      <c r="C103" s="128"/>
      <c r="D103" s="128"/>
      <c r="E103" s="128"/>
      <c r="F103" s="129"/>
      <c r="G103" s="64">
        <v>0.15</v>
      </c>
      <c r="H103" s="34">
        <f>(H22+H32+H38+H99)*G103</f>
        <v>368.58183939600002</v>
      </c>
    </row>
    <row r="104" spans="1:8" ht="13.5" customHeight="1">
      <c r="A104" s="16" t="s">
        <v>9</v>
      </c>
      <c r="B104" s="127" t="s">
        <v>77</v>
      </c>
      <c r="C104" s="128"/>
      <c r="D104" s="128"/>
      <c r="E104" s="128"/>
      <c r="F104" s="129"/>
      <c r="G104" s="41">
        <f>100%-(G105+G106+G107+G108)</f>
        <v>0.85749999999999993</v>
      </c>
      <c r="H104" s="34">
        <f>(H22+H32+H38+H99+H103+H109)/G104</f>
        <v>3624.9253787050734</v>
      </c>
    </row>
    <row r="105" spans="1:8" ht="13.5" customHeight="1">
      <c r="A105" s="16" t="s">
        <v>78</v>
      </c>
      <c r="B105" s="127" t="s">
        <v>79</v>
      </c>
      <c r="C105" s="128"/>
      <c r="D105" s="128"/>
      <c r="E105" s="128"/>
      <c r="F105" s="129"/>
      <c r="G105" s="65">
        <v>1.6500000000000001E-2</v>
      </c>
      <c r="H105" s="34">
        <f>H104*G105</f>
        <v>59.811268748633715</v>
      </c>
    </row>
    <row r="106" spans="1:8" ht="13.5" customHeight="1">
      <c r="A106" s="16" t="s">
        <v>80</v>
      </c>
      <c r="B106" s="127" t="s">
        <v>81</v>
      </c>
      <c r="C106" s="128"/>
      <c r="D106" s="128"/>
      <c r="E106" s="128"/>
      <c r="F106" s="129"/>
      <c r="G106" s="65">
        <v>7.5999999999999998E-2</v>
      </c>
      <c r="H106" s="34">
        <f>H104*G106</f>
        <v>275.49432878158558</v>
      </c>
    </row>
    <row r="107" spans="1:8" ht="13.5" customHeight="1">
      <c r="A107" s="16" t="s">
        <v>82</v>
      </c>
      <c r="B107" s="127" t="s">
        <v>83</v>
      </c>
      <c r="C107" s="128"/>
      <c r="D107" s="128"/>
      <c r="E107" s="128"/>
      <c r="F107" s="129"/>
      <c r="G107" s="65">
        <v>0.05</v>
      </c>
      <c r="H107" s="34">
        <f>H104*G107</f>
        <v>181.24626893525368</v>
      </c>
    </row>
    <row r="108" spans="1:8" ht="13.5" customHeight="1">
      <c r="A108" s="16" t="s">
        <v>84</v>
      </c>
      <c r="B108" s="127" t="s">
        <v>99</v>
      </c>
      <c r="C108" s="128"/>
      <c r="D108" s="128"/>
      <c r="E108" s="128"/>
      <c r="F108" s="129"/>
      <c r="G108" s="65">
        <v>0</v>
      </c>
      <c r="H108" s="34">
        <f>H104*G108</f>
        <v>0</v>
      </c>
    </row>
    <row r="109" spans="1:8" ht="13.5" customHeight="1">
      <c r="A109" s="16" t="s">
        <v>11</v>
      </c>
      <c r="B109" s="127" t="s">
        <v>85</v>
      </c>
      <c r="C109" s="128"/>
      <c r="D109" s="128"/>
      <c r="E109" s="128"/>
      <c r="F109" s="129"/>
      <c r="G109" s="65">
        <v>0.1</v>
      </c>
      <c r="H109" s="34">
        <f>(H22+H32+H38+H99+H103)*G109</f>
        <v>282.57941020359999</v>
      </c>
    </row>
    <row r="110" spans="1:8" ht="13.5" customHeight="1">
      <c r="A110" s="21"/>
      <c r="B110" s="107" t="s">
        <v>44</v>
      </c>
      <c r="C110" s="108"/>
      <c r="D110" s="108"/>
      <c r="E110" s="108"/>
      <c r="F110" s="109"/>
      <c r="G110" s="35"/>
      <c r="H110" s="34">
        <f>H103+H105+H106+H107+H108+H109</f>
        <v>1167.7131160650731</v>
      </c>
    </row>
    <row r="112" spans="1:8" ht="13.5" customHeight="1">
      <c r="A112" s="106" t="s">
        <v>86</v>
      </c>
      <c r="B112" s="106"/>
      <c r="C112" s="106"/>
      <c r="D112" s="106"/>
      <c r="E112" s="106"/>
      <c r="F112" s="106"/>
      <c r="G112" s="106"/>
      <c r="H112" s="106"/>
    </row>
    <row r="113" spans="1:8" ht="13.5" customHeight="1">
      <c r="A113" s="14"/>
      <c r="B113" s="14"/>
      <c r="C113" s="14"/>
      <c r="D113" s="14"/>
      <c r="E113" s="14"/>
      <c r="F113" s="14"/>
      <c r="G113" s="14"/>
      <c r="H113" s="14"/>
    </row>
    <row r="114" spans="1:8" ht="13.5" customHeight="1">
      <c r="A114" s="75"/>
      <c r="B114" s="124"/>
      <c r="C114" s="125"/>
      <c r="D114" s="125"/>
      <c r="E114" s="125"/>
      <c r="F114" s="125"/>
      <c r="G114" s="126"/>
      <c r="H114" s="75" t="s">
        <v>6</v>
      </c>
    </row>
    <row r="115" spans="1:8" ht="13.5" customHeight="1">
      <c r="A115" s="33" t="s">
        <v>7</v>
      </c>
      <c r="B115" s="127" t="s">
        <v>87</v>
      </c>
      <c r="C115" s="128"/>
      <c r="D115" s="128"/>
      <c r="E115" s="128"/>
      <c r="F115" s="128"/>
      <c r="G115" s="129"/>
      <c r="H115" s="34">
        <f>H22</f>
        <v>1087.45</v>
      </c>
    </row>
    <row r="116" spans="1:8" ht="13.5" customHeight="1">
      <c r="A116" s="16" t="s">
        <v>9</v>
      </c>
      <c r="B116" s="127" t="s">
        <v>88</v>
      </c>
      <c r="C116" s="128"/>
      <c r="D116" s="128"/>
      <c r="E116" s="128"/>
      <c r="F116" s="128"/>
      <c r="G116" s="129"/>
      <c r="H116" s="34">
        <f>H32</f>
        <v>365.24</v>
      </c>
    </row>
    <row r="117" spans="1:8" ht="13.5" customHeight="1">
      <c r="A117" s="16" t="s">
        <v>11</v>
      </c>
      <c r="B117" s="127" t="s">
        <v>89</v>
      </c>
      <c r="C117" s="128"/>
      <c r="D117" s="128"/>
      <c r="E117" s="128"/>
      <c r="F117" s="128"/>
      <c r="G117" s="129"/>
      <c r="H117" s="34">
        <f>H38</f>
        <v>127.66</v>
      </c>
    </row>
    <row r="118" spans="1:8" ht="13.5" customHeight="1">
      <c r="A118" s="16" t="s">
        <v>13</v>
      </c>
      <c r="B118" s="127" t="s">
        <v>70</v>
      </c>
      <c r="C118" s="128"/>
      <c r="D118" s="128"/>
      <c r="E118" s="128"/>
      <c r="F118" s="128"/>
      <c r="G118" s="129"/>
      <c r="H118" s="34">
        <f>H99</f>
        <v>876.86226263999993</v>
      </c>
    </row>
    <row r="119" spans="1:8" ht="13.5" customHeight="1">
      <c r="A119" s="66" t="s">
        <v>90</v>
      </c>
      <c r="B119" s="67"/>
      <c r="C119" s="67"/>
      <c r="D119" s="67"/>
      <c r="E119" s="67"/>
      <c r="F119" s="67"/>
      <c r="G119" s="68"/>
      <c r="H119" s="34">
        <f>SUM(H115:H118)</f>
        <v>2457.2122626400001</v>
      </c>
    </row>
    <row r="120" spans="1:8" ht="13.5" customHeight="1">
      <c r="A120" s="16" t="s">
        <v>15</v>
      </c>
      <c r="B120" s="127" t="s">
        <v>75</v>
      </c>
      <c r="C120" s="128"/>
      <c r="D120" s="128"/>
      <c r="E120" s="128"/>
      <c r="F120" s="128"/>
      <c r="G120" s="129"/>
      <c r="H120" s="34">
        <f>H110</f>
        <v>1167.7131160650731</v>
      </c>
    </row>
    <row r="121" spans="1:8" ht="13.5" customHeight="1">
      <c r="A121" s="107" t="s">
        <v>98</v>
      </c>
      <c r="B121" s="108"/>
      <c r="C121" s="108"/>
      <c r="D121" s="108"/>
      <c r="E121" s="108"/>
      <c r="F121" s="108"/>
      <c r="G121" s="109"/>
      <c r="H121" s="36">
        <f>H119+H120</f>
        <v>3624.9253787050729</v>
      </c>
    </row>
    <row r="123" spans="1:8" ht="13.5" customHeight="1">
      <c r="A123" s="69"/>
      <c r="B123" s="69"/>
      <c r="C123" s="69"/>
      <c r="D123" s="69"/>
      <c r="E123" s="69"/>
      <c r="F123" s="69"/>
      <c r="G123" s="69"/>
      <c r="H123" s="69"/>
    </row>
    <row r="124" spans="1:8" ht="13.5" customHeight="1">
      <c r="A124" s="91" t="s">
        <v>129</v>
      </c>
      <c r="B124" s="91"/>
      <c r="C124" s="91"/>
      <c r="D124" s="91"/>
      <c r="E124" s="91"/>
      <c r="F124" s="91"/>
      <c r="G124" s="91" t="s">
        <v>6</v>
      </c>
      <c r="H124" s="91"/>
    </row>
    <row r="125" spans="1:8" ht="13.5" customHeight="1">
      <c r="A125" s="110" t="s">
        <v>135</v>
      </c>
      <c r="B125" s="113"/>
      <c r="C125" s="113"/>
      <c r="D125" s="113"/>
      <c r="E125" s="113"/>
      <c r="F125" s="114"/>
      <c r="G125" s="118">
        <f>H121</f>
        <v>3624.9253787050729</v>
      </c>
      <c r="H125" s="119"/>
    </row>
    <row r="126" spans="1:8" ht="13.5" customHeight="1">
      <c r="A126" s="115" t="s">
        <v>136</v>
      </c>
      <c r="B126" s="116"/>
      <c r="C126" s="116"/>
      <c r="D126" s="116"/>
      <c r="E126" s="116"/>
      <c r="F126" s="117"/>
      <c r="G126" s="122">
        <f>G125*12</f>
        <v>43499.104544460875</v>
      </c>
      <c r="H126" s="123"/>
    </row>
  </sheetData>
  <mergeCells count="97">
    <mergeCell ref="B9:G9"/>
    <mergeCell ref="A1:H1"/>
    <mergeCell ref="A2:H2"/>
    <mergeCell ref="A6:H6"/>
    <mergeCell ref="B7:G7"/>
    <mergeCell ref="B8:G8"/>
    <mergeCell ref="B25:G25"/>
    <mergeCell ref="B10:G10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43:F43"/>
    <mergeCell ref="B26:G26"/>
    <mergeCell ref="B27:G27"/>
    <mergeCell ref="B28:G28"/>
    <mergeCell ref="B29:G29"/>
    <mergeCell ref="B30:G30"/>
    <mergeCell ref="B31:G31"/>
    <mergeCell ref="B32:G32"/>
    <mergeCell ref="B35:G35"/>
    <mergeCell ref="B36:G36"/>
    <mergeCell ref="B37:G37"/>
    <mergeCell ref="B38:G38"/>
    <mergeCell ref="B59:G59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7:G57"/>
    <mergeCell ref="B58:G58"/>
    <mergeCell ref="B75:G75"/>
    <mergeCell ref="B60:G60"/>
    <mergeCell ref="B61:G61"/>
    <mergeCell ref="B64:G64"/>
    <mergeCell ref="B65:G65"/>
    <mergeCell ref="B66:G66"/>
    <mergeCell ref="B67:G67"/>
    <mergeCell ref="B70:G70"/>
    <mergeCell ref="B71:G71"/>
    <mergeCell ref="B72:G72"/>
    <mergeCell ref="B73:G73"/>
    <mergeCell ref="B74:G74"/>
    <mergeCell ref="B89:G89"/>
    <mergeCell ref="B76:G76"/>
    <mergeCell ref="B77:G77"/>
    <mergeCell ref="B80:G80"/>
    <mergeCell ref="B81:G81"/>
    <mergeCell ref="B82:G82"/>
    <mergeCell ref="B83:G83"/>
    <mergeCell ref="B84:G84"/>
    <mergeCell ref="B85:G85"/>
    <mergeCell ref="B86:G86"/>
    <mergeCell ref="B87:G87"/>
    <mergeCell ref="B88:G88"/>
    <mergeCell ref="B105:F105"/>
    <mergeCell ref="B92:G92"/>
    <mergeCell ref="B93:G93"/>
    <mergeCell ref="B94:G94"/>
    <mergeCell ref="B95:G95"/>
    <mergeCell ref="B96:G96"/>
    <mergeCell ref="B97:G97"/>
    <mergeCell ref="B98:G98"/>
    <mergeCell ref="B99:G99"/>
    <mergeCell ref="B102:F102"/>
    <mergeCell ref="B103:F103"/>
    <mergeCell ref="B104:F104"/>
    <mergeCell ref="B120:G120"/>
    <mergeCell ref="B106:F106"/>
    <mergeCell ref="B107:F107"/>
    <mergeCell ref="B108:F108"/>
    <mergeCell ref="B109:F109"/>
    <mergeCell ref="B110:F110"/>
    <mergeCell ref="A112:H112"/>
    <mergeCell ref="B114:G114"/>
    <mergeCell ref="B115:G115"/>
    <mergeCell ref="B116:G116"/>
    <mergeCell ref="B117:G117"/>
    <mergeCell ref="B118:G118"/>
    <mergeCell ref="A126:F126"/>
    <mergeCell ref="G126:H126"/>
    <mergeCell ref="A121:G121"/>
    <mergeCell ref="A124:F124"/>
    <mergeCell ref="G124:H124"/>
    <mergeCell ref="A125:F125"/>
    <mergeCell ref="G125:H125"/>
  </mergeCells>
  <printOptions horizontalCentered="1"/>
  <pageMargins left="0.39370078740157483" right="0.39370078740157483" top="0.59055118110236227" bottom="0.59055118110236227" header="0.31496062992125984" footer="0.19685039370078741"/>
  <pageSetup paperSize="9" orientation="portrait" r:id="rId1"/>
  <headerFooter>
    <oddFooter>&amp;L&amp;F - &amp;A - &amp;P/&amp;N</oddFooter>
  </headerFooter>
  <rowBreaks count="2" manualBreakCount="2">
    <brk id="55" max="16383" man="1"/>
    <brk id="11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I13"/>
  <sheetViews>
    <sheetView zoomScaleNormal="100" workbookViewId="0">
      <selection activeCell="A12" sqref="A12:A13"/>
    </sheetView>
  </sheetViews>
  <sheetFormatPr defaultRowHeight="16.5" customHeight="1"/>
  <cols>
    <col min="1" max="1" width="46.5703125" style="1" bestFit="1" customWidth="1"/>
    <col min="2" max="2" width="6.5703125" style="1" bestFit="1" customWidth="1"/>
    <col min="3" max="3" width="16.28515625" style="1" bestFit="1" customWidth="1"/>
    <col min="4" max="4" width="20.7109375" style="1" bestFit="1" customWidth="1"/>
    <col min="5" max="16384" width="9.140625" style="1"/>
  </cols>
  <sheetData>
    <row r="1" spans="1:9" s="12" customFormat="1" ht="13.5" customHeight="1">
      <c r="A1" s="94" t="s">
        <v>0</v>
      </c>
      <c r="B1" s="94"/>
      <c r="C1" s="94"/>
      <c r="D1" s="94"/>
      <c r="E1" s="10"/>
      <c r="F1" s="10"/>
      <c r="G1" s="10"/>
      <c r="H1" s="10"/>
      <c r="I1" s="13"/>
    </row>
    <row r="2" spans="1:9" s="12" customFormat="1" ht="13.5" customHeight="1">
      <c r="A2" s="94" t="s">
        <v>106</v>
      </c>
      <c r="B2" s="94"/>
      <c r="C2" s="94"/>
      <c r="D2" s="94"/>
      <c r="E2" s="10"/>
      <c r="F2" s="10"/>
      <c r="G2" s="10"/>
      <c r="H2" s="10"/>
    </row>
    <row r="3" spans="1:9" s="12" customFormat="1" ht="13.5" customHeight="1">
      <c r="A3" s="43"/>
      <c r="B3" s="43"/>
      <c r="C3" s="43"/>
      <c r="D3" s="43"/>
      <c r="E3" s="43"/>
      <c r="F3" s="43"/>
      <c r="G3" s="43"/>
      <c r="H3" s="43"/>
    </row>
    <row r="4" spans="1:9" ht="16.5" customHeight="1">
      <c r="A4" s="141" t="s">
        <v>137</v>
      </c>
      <c r="B4" s="141"/>
      <c r="C4" s="141"/>
      <c r="D4" s="141"/>
      <c r="E4" s="2"/>
      <c r="F4" s="2"/>
      <c r="G4" s="2"/>
    </row>
    <row r="6" spans="1:9" ht="16.5" customHeight="1">
      <c r="A6" s="70" t="s">
        <v>118</v>
      </c>
      <c r="B6" s="70" t="s">
        <v>119</v>
      </c>
      <c r="C6" s="70" t="s">
        <v>120</v>
      </c>
      <c r="D6" s="70" t="s">
        <v>121</v>
      </c>
    </row>
    <row r="7" spans="1:9" ht="16.5" customHeight="1">
      <c r="A7" s="3" t="s">
        <v>111</v>
      </c>
      <c r="B7" s="5">
        <v>1</v>
      </c>
      <c r="C7" s="4">
        <f>'Engenheiro Agrônomo'!G134</f>
        <v>0</v>
      </c>
      <c r="D7" s="4">
        <f>C7*B7</f>
        <v>0</v>
      </c>
    </row>
    <row r="8" spans="1:9" ht="16.5" customHeight="1">
      <c r="A8" s="3" t="s">
        <v>95</v>
      </c>
      <c r="B8" s="5">
        <v>9</v>
      </c>
      <c r="C8" s="4">
        <f>Jardineiros!G125</f>
        <v>0</v>
      </c>
      <c r="D8" s="4">
        <f>C8*B8</f>
        <v>0</v>
      </c>
    </row>
    <row r="9" spans="1:9" ht="16.5" customHeight="1">
      <c r="A9" s="3" t="s">
        <v>122</v>
      </c>
      <c r="B9" s="5">
        <v>1</v>
      </c>
      <c r="C9" s="4">
        <f>'Jardineiro Encarregado'!G125</f>
        <v>0</v>
      </c>
      <c r="D9" s="4">
        <f>C9*B9</f>
        <v>0</v>
      </c>
    </row>
    <row r="10" spans="1:9" ht="16.5" customHeight="1">
      <c r="A10" s="71" t="s">
        <v>123</v>
      </c>
      <c r="B10" s="72">
        <f>SUM(B7:B9)</f>
        <v>11</v>
      </c>
      <c r="C10" s="73"/>
      <c r="D10" s="74">
        <f>SUM(D7:D9)</f>
        <v>0</v>
      </c>
    </row>
    <row r="11" spans="1:9" ht="16.5" customHeight="1">
      <c r="A11" s="71" t="s">
        <v>130</v>
      </c>
      <c r="B11" s="72">
        <f>B10</f>
        <v>11</v>
      </c>
      <c r="C11" s="73"/>
      <c r="D11" s="74">
        <f>D10*12</f>
        <v>0</v>
      </c>
    </row>
    <row r="12" spans="1:9" ht="16.5" customHeight="1">
      <c r="A12" s="6"/>
    </row>
    <row r="13" spans="1:9" ht="16.5" customHeight="1">
      <c r="A13" s="85"/>
    </row>
  </sheetData>
  <mergeCells count="3">
    <mergeCell ref="A1:D1"/>
    <mergeCell ref="A4:D4"/>
    <mergeCell ref="A2:D2"/>
  </mergeCells>
  <printOptions horizontalCentered="1"/>
  <pageMargins left="0.39370078740157483" right="0.39370078740157483" top="0.59055118110236227" bottom="0.59055118110236227" header="0.31496062992125984" footer="0.19685039370078741"/>
  <pageSetup paperSize="9" orientation="portrait" r:id="rId1"/>
  <headerFooter>
    <oddFooter>&amp;L&amp;F - &amp;A -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Engenheiro Agrônomo</vt:lpstr>
      <vt:lpstr>Jardineiros</vt:lpstr>
      <vt:lpstr>Jardineiro Encarregado</vt:lpstr>
      <vt:lpstr>01 Jardineiro com Insalubridade</vt:lpstr>
      <vt:lpstr>Resumo</vt:lpstr>
      <vt:lpstr>'Engenheiro Agrônomo'!Area_de_impressao</vt:lpstr>
      <vt:lpstr>'Jardineiro Encarregado'!Area_de_impressao</vt:lpstr>
      <vt:lpstr>Jardineiros!Area_de_impressao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stetisonr</dc:creator>
  <cp:lastModifiedBy>stetisonr</cp:lastModifiedBy>
  <cp:lastPrinted>2017-02-22T13:09:22Z</cp:lastPrinted>
  <dcterms:created xsi:type="dcterms:W3CDTF">2012-03-14T20:28:25Z</dcterms:created>
  <dcterms:modified xsi:type="dcterms:W3CDTF">2017-03-29T16:38:19Z</dcterms:modified>
</cp:coreProperties>
</file>