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date1904="1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6ef611a7aa12e5d/2. Hashtag Treinamentos/1. Online/6. Suporte/Planilhas Excel/Controle de Horas/"/>
    </mc:Choice>
  </mc:AlternateContent>
  <xr:revisionPtr revIDLastSave="159" documentId="8_{4B53DAFE-15CA-4CAB-AD2E-F8672C960D01}" xr6:coauthVersionLast="45" xr6:coauthVersionMax="45" xr10:uidLastSave="{C73C5133-B314-4EA5-90A4-664331E97EEA}"/>
  <bookViews>
    <workbookView xWindow="-120" yWindow="-120" windowWidth="20730" windowHeight="11760" tabRatio="574" activeTab="1" xr2:uid="{B036013A-FA08-4E72-B80D-1FDB1C04E2D8}"/>
  </bookViews>
  <sheets>
    <sheet name="Menu" sheetId="5" r:id="rId1"/>
    <sheet name="Instruções" sheetId="6" r:id="rId2"/>
    <sheet name="Cadastro" sheetId="7" r:id="rId3"/>
    <sheet name="Funcionários" sheetId="3" r:id="rId4"/>
    <sheet name="Controle de Horas" sheetId="2" r:id="rId5"/>
    <sheet name="Folha de Ponto" sheetId="1" r:id="rId6"/>
  </sheets>
  <definedNames>
    <definedName name="_xlnm._FilterDatabase" localSheetId="4" hidden="1">'Controle de Horas'!$A:$I</definedName>
    <definedName name="_xlnm._FilterDatabase" localSheetId="5" hidden="1">'Folha de Ponto'!$B$24:$I$24</definedName>
    <definedName name="_xlnm.Extract" localSheetId="5">'Folha de Ponto'!$B$24:$I$24</definedName>
    <definedName name="_xlnm.Criteria" localSheetId="5">'Folha de Ponto'!$O$3:$Q$4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" l="1"/>
  <c r="B17" i="1"/>
  <c r="D17" i="1" s="1"/>
  <c r="H92" i="2"/>
  <c r="I92" i="2" s="1"/>
  <c r="H93" i="2"/>
  <c r="I93" i="2" s="1"/>
  <c r="H94" i="2"/>
  <c r="I94" i="2" s="1"/>
  <c r="H95" i="2"/>
  <c r="I95" i="2" s="1"/>
  <c r="H96" i="2"/>
  <c r="I96" i="2" s="1"/>
  <c r="H97" i="2"/>
  <c r="I97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I68" i="2" s="1"/>
  <c r="H69" i="2"/>
  <c r="I69" i="2" s="1"/>
  <c r="H70" i="2"/>
  <c r="I70" i="2" s="1"/>
  <c r="H71" i="2"/>
  <c r="I71" i="2" s="1"/>
  <c r="H72" i="2"/>
  <c r="I72" i="2" s="1"/>
  <c r="H73" i="2"/>
  <c r="I73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2" i="2"/>
  <c r="I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I20" i="2" s="1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44" i="2"/>
  <c r="I44" i="2" s="1"/>
  <c r="H45" i="2"/>
  <c r="I45" i="2" s="1"/>
  <c r="H46" i="2"/>
  <c r="I46" i="2" s="1"/>
  <c r="H47" i="2"/>
  <c r="I47" i="2" s="1"/>
  <c r="H48" i="2"/>
  <c r="I48" i="2" s="1"/>
  <c r="H49" i="2"/>
  <c r="I49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I56" i="2" s="1"/>
  <c r="H57" i="2"/>
  <c r="I57" i="2" s="1"/>
  <c r="H58" i="2"/>
  <c r="I58" i="2" s="1"/>
  <c r="H59" i="2"/>
  <c r="I59" i="2" s="1"/>
  <c r="H60" i="2"/>
  <c r="I60" i="2" s="1"/>
  <c r="H61" i="2"/>
  <c r="I61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I80" i="2" s="1"/>
  <c r="H81" i="2"/>
  <c r="I81" i="2" s="1"/>
  <c r="H82" i="2"/>
  <c r="I82" i="2" s="1"/>
  <c r="H83" i="2"/>
  <c r="I83" i="2" s="1"/>
  <c r="H84" i="2"/>
  <c r="I84" i="2" s="1"/>
  <c r="H85" i="2"/>
  <c r="I85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F6" i="1"/>
  <c r="F5" i="1"/>
  <c r="C6" i="1"/>
  <c r="Q4" i="1"/>
  <c r="P4" i="1"/>
  <c r="O4" i="1"/>
  <c r="H121" i="2"/>
  <c r="I121" i="2" s="1"/>
  <c r="H120" i="2"/>
  <c r="I120" i="2" s="1"/>
  <c r="H113" i="2"/>
  <c r="I113" i="2" s="1"/>
  <c r="H112" i="2"/>
  <c r="I112" i="2" s="1"/>
  <c r="H105" i="2"/>
  <c r="I105" i="2" s="1"/>
  <c r="H104" i="2"/>
  <c r="I104" i="2" s="1"/>
  <c r="H117" i="2"/>
  <c r="I117" i="2" s="1"/>
  <c r="H116" i="2"/>
  <c r="I116" i="2" s="1"/>
  <c r="H109" i="2"/>
  <c r="I109" i="2" s="1"/>
  <c r="H108" i="2"/>
  <c r="I108" i="2" s="1"/>
  <c r="H119" i="2"/>
  <c r="I119" i="2" s="1"/>
  <c r="H118" i="2"/>
  <c r="I118" i="2" s="1"/>
  <c r="H115" i="2"/>
  <c r="I115" i="2" s="1"/>
  <c r="H114" i="2"/>
  <c r="I114" i="2" s="1"/>
  <c r="H111" i="2"/>
  <c r="I111" i="2" s="1"/>
  <c r="H110" i="2"/>
  <c r="I110" i="2" s="1"/>
  <c r="H107" i="2"/>
  <c r="I107" i="2" s="1"/>
  <c r="H106" i="2"/>
  <c r="I106" i="2" s="1"/>
  <c r="C20" i="1" l="1"/>
  <c r="E17" i="1" l="1"/>
  <c r="F17" i="1" l="1"/>
  <c r="D20" i="1" s="1"/>
</calcChain>
</file>

<file path=xl/sharedStrings.xml><?xml version="1.0" encoding="utf-8"?>
<sst xmlns="http://schemas.openxmlformats.org/spreadsheetml/2006/main" count="218" uniqueCount="63">
  <si>
    <t>Controle de Horas Trabalhadas</t>
  </si>
  <si>
    <t>Funcionário</t>
  </si>
  <si>
    <t>Detalhes Funcionário</t>
  </si>
  <si>
    <t>Nome</t>
  </si>
  <si>
    <t>Email</t>
  </si>
  <si>
    <t>Telefone</t>
  </si>
  <si>
    <t>Horas Extras</t>
  </si>
  <si>
    <t>Data</t>
  </si>
  <si>
    <t>Entrada</t>
  </si>
  <si>
    <t>Saída</t>
  </si>
  <si>
    <t>Saída Almoço</t>
  </si>
  <si>
    <t>Retorno Almoço</t>
  </si>
  <si>
    <t>Horas Trabalhadas</t>
  </si>
  <si>
    <t>Joaquim</t>
  </si>
  <si>
    <t>Luana</t>
  </si>
  <si>
    <t>André</t>
  </si>
  <si>
    <t>João</t>
  </si>
  <si>
    <t>Pedro</t>
  </si>
  <si>
    <t>Andressa</t>
  </si>
  <si>
    <t>Função</t>
  </si>
  <si>
    <t>Salário</t>
  </si>
  <si>
    <t>Data de Admissão</t>
  </si>
  <si>
    <t>Diretor</t>
  </si>
  <si>
    <t>Gerente</t>
  </si>
  <si>
    <t>Coordenador</t>
  </si>
  <si>
    <t>Estagiário</t>
  </si>
  <si>
    <t>Analista</t>
  </si>
  <si>
    <t>Área</t>
  </si>
  <si>
    <t>Operações</t>
  </si>
  <si>
    <t>Carga Horária por Dia</t>
  </si>
  <si>
    <t>E-mail</t>
  </si>
  <si>
    <t>joaquim@hashtag.com</t>
  </si>
  <si>
    <t>luana@hashtag.com</t>
  </si>
  <si>
    <t>andré@hashtag.com</t>
  </si>
  <si>
    <t>joão@hashtag.com</t>
  </si>
  <si>
    <t>pedro@hashtag.com</t>
  </si>
  <si>
    <t>andressa@hashtag.com</t>
  </si>
  <si>
    <t>(21) 99555-1307</t>
  </si>
  <si>
    <t>(21) 99414-4914</t>
  </si>
  <si>
    <t>(21) 98474-2049</t>
  </si>
  <si>
    <t>(21) 98966-4528</t>
  </si>
  <si>
    <t>(21) 99662-3650</t>
  </si>
  <si>
    <t>(21) 98700-9837</t>
  </si>
  <si>
    <t>Auxiliar</t>
  </si>
  <si>
    <t>Total de Horas
Trabalhadas</t>
  </si>
  <si>
    <t>Cargo</t>
  </si>
  <si>
    <t>Período de Trabalho</t>
  </si>
  <si>
    <t>Data inicial</t>
  </si>
  <si>
    <t>Data final</t>
  </si>
  <si>
    <t>Resumo</t>
  </si>
  <si>
    <t>Total Hora Extra</t>
  </si>
  <si>
    <t>Total de Horas
a Trabalhar</t>
  </si>
  <si>
    <t>Dias Trabalhados</t>
  </si>
  <si>
    <t>R$/Hora</t>
  </si>
  <si>
    <t>Valor Hora
Extra</t>
  </si>
  <si>
    <t>Horas/Dia</t>
  </si>
  <si>
    <t>Finanças</t>
  </si>
  <si>
    <t>Como utilizar a planilha de controle financeiro</t>
  </si>
  <si>
    <t>Controle Horas Trabalhadas</t>
  </si>
  <si>
    <t>Aba Cadastro</t>
  </si>
  <si>
    <t>Aba Funcionários</t>
  </si>
  <si>
    <t>Aba Controle de Horas</t>
  </si>
  <si>
    <t>Aba Folha de Ponto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</si>
</sst>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&quot;R$&quot;\ #,##0.00"/>
    <numFmt numFmtId="166" formatCode="&quot;R$&quot;\ #,##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6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5" tint="-0.24994659260841701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/>
      <top/>
      <bottom style="thin">
        <color theme="5" tint="-0.2499465926084170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" fillId="0" borderId="0" xfId="0" applyFont="1"/>
    <xf numFmtId="164" fontId="0" fillId="0" borderId="0" xfId="0" applyNumberFormat="1" applyAlignment="1">
      <alignment horizontal="right"/>
    </xf>
    <xf numFmtId="15" fontId="0" fillId="0" borderId="0" xfId="0" applyNumberFormat="1"/>
    <xf numFmtId="0" fontId="1" fillId="0" borderId="0" xfId="0" applyFont="1" applyBorder="1"/>
    <xf numFmtId="166" fontId="0" fillId="0" borderId="0" xfId="0" applyNumberFormat="1" applyBorder="1"/>
    <xf numFmtId="0" fontId="3" fillId="0" borderId="0" xfId="1"/>
    <xf numFmtId="0" fontId="0" fillId="2" borderId="0" xfId="0" applyFill="1"/>
    <xf numFmtId="0" fontId="4" fillId="0" borderId="0" xfId="0" applyFont="1"/>
    <xf numFmtId="0" fontId="6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5" fontId="0" fillId="0" borderId="2" xfId="0" applyNumberFormat="1" applyBorder="1" applyAlignment="1">
      <alignment horizontal="center"/>
    </xf>
    <xf numFmtId="0" fontId="0" fillId="0" borderId="3" xfId="0" applyBorder="1"/>
    <xf numFmtId="0" fontId="4" fillId="0" borderId="0" xfId="0" applyFont="1" applyAlignment="1">
      <alignment vertical="center" wrapText="1"/>
    </xf>
    <xf numFmtId="0" fontId="7" fillId="0" borderId="3" xfId="0" applyFont="1" applyBorder="1"/>
    <xf numFmtId="0" fontId="2" fillId="0" borderId="0" xfId="0" applyFont="1"/>
    <xf numFmtId="15" fontId="2" fillId="0" borderId="0" xfId="0" applyNumberFormat="1" applyFont="1"/>
    <xf numFmtId="166" fontId="5" fillId="0" borderId="3" xfId="0" applyNumberFormat="1" applyFont="1" applyBorder="1" applyAlignment="1">
      <alignment horizontal="left"/>
    </xf>
    <xf numFmtId="14" fontId="0" fillId="0" borderId="0" xfId="0" applyNumberFormat="1" applyFont="1"/>
    <xf numFmtId="20" fontId="0" fillId="0" borderId="0" xfId="0" applyNumberFormat="1" applyFont="1"/>
    <xf numFmtId="164" fontId="0" fillId="0" borderId="0" xfId="0" applyNumberFormat="1" applyFont="1" applyAlignment="1">
      <alignment horizontal="right"/>
    </xf>
    <xf numFmtId="0" fontId="0" fillId="0" borderId="0" xfId="0" applyFont="1" applyAlignment="1">
      <alignment horizontal="center"/>
    </xf>
    <xf numFmtId="4" fontId="5" fillId="0" borderId="3" xfId="0" applyNumberFormat="1" applyFont="1" applyBorder="1" applyAlignment="1">
      <alignment horizontal="left"/>
    </xf>
    <xf numFmtId="0" fontId="5" fillId="0" borderId="3" xfId="0" applyNumberFormat="1" applyFont="1" applyBorder="1" applyAlignment="1">
      <alignment horizontal="left"/>
    </xf>
    <xf numFmtId="3" fontId="5" fillId="0" borderId="3" xfId="0" applyNumberFormat="1" applyFont="1" applyBorder="1" applyAlignment="1">
      <alignment horizontal="left"/>
    </xf>
    <xf numFmtId="165" fontId="5" fillId="0" borderId="3" xfId="0" applyNumberFormat="1" applyFont="1" applyBorder="1" applyAlignment="1">
      <alignment horizontal="left"/>
    </xf>
    <xf numFmtId="0" fontId="8" fillId="2" borderId="0" xfId="0" applyFont="1" applyFill="1" applyAlignment="1">
      <alignment horizontal="left" indent="14"/>
    </xf>
    <xf numFmtId="164" fontId="9" fillId="0" borderId="0" xfId="0" applyNumberFormat="1" applyFont="1"/>
    <xf numFmtId="164" fontId="9" fillId="0" borderId="0" xfId="0" applyNumberFormat="1" applyFont="1" applyAlignment="1">
      <alignment horizontal="right"/>
    </xf>
    <xf numFmtId="0" fontId="9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1" fillId="0" borderId="0" xfId="0" applyFont="1" applyAlignment="1">
      <alignment horizontal="left" indent="8"/>
    </xf>
    <xf numFmtId="0" fontId="10" fillId="0" borderId="0" xfId="0" applyFont="1" applyAlignment="1">
      <alignment horizontal="left" indent="10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Continuous"/>
    </xf>
    <xf numFmtId="0" fontId="0" fillId="3" borderId="0" xfId="0" applyFill="1"/>
    <xf numFmtId="0" fontId="13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5"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b val="0"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[h]:mm:ss;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[h]:mm:ss;@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b val="0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66" formatCode="&quot;R$&quot;\ #,##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Horas'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'Folha de Ponto'!A1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Funcion&#225;ri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Menu!A1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133350</xdr:rowOff>
    </xdr:from>
    <xdr:to>
      <xdr:col>15</xdr:col>
      <xdr:colOff>276225</xdr:colOff>
      <xdr:row>22</xdr:row>
      <xdr:rowOff>104775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20D2B4A7-808C-41E0-8B6C-5CBC4AB806B1}"/>
            </a:ext>
          </a:extLst>
        </xdr:cNvPr>
        <xdr:cNvSpPr/>
      </xdr:nvSpPr>
      <xdr:spPr>
        <a:xfrm>
          <a:off x="342900" y="323850"/>
          <a:ext cx="8810625" cy="3971925"/>
        </a:xfrm>
        <a:prstGeom prst="roundRect">
          <a:avLst>
            <a:gd name="adj" fmla="val 2998"/>
          </a:avLst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238126</xdr:colOff>
      <xdr:row>16</xdr:row>
      <xdr:rowOff>104774</xdr:rowOff>
    </xdr:from>
    <xdr:to>
      <xdr:col>14</xdr:col>
      <xdr:colOff>133350</xdr:colOff>
      <xdr:row>20</xdr:row>
      <xdr:rowOff>171449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E5B63C-1A22-4157-8386-CF4931178619}"/>
            </a:ext>
          </a:extLst>
        </xdr:cNvPr>
        <xdr:cNvSpPr/>
      </xdr:nvSpPr>
      <xdr:spPr>
        <a:xfrm>
          <a:off x="6677026" y="3152774"/>
          <a:ext cx="1724024" cy="8286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endParaRPr lang="pt-BR" sz="1100" b="1">
            <a:solidFill>
              <a:schemeClr val="tx2"/>
            </a:solidFill>
          </a:endParaRPr>
        </a:p>
        <a:p>
          <a:pPr lvl="0" algn="ctr"/>
          <a:endParaRPr lang="pt-BR" sz="1100" b="1">
            <a:solidFill>
              <a:schemeClr val="tx2"/>
            </a:solidFill>
          </a:endParaRPr>
        </a:p>
        <a:p>
          <a:pPr lvl="0" algn="ctr"/>
          <a:r>
            <a:rPr lang="pt-BR" sz="1100" b="1">
              <a:solidFill>
                <a:schemeClr val="tx2"/>
              </a:solidFill>
            </a:rPr>
            <a:t>FOLHA DE PONTO</a:t>
          </a:r>
        </a:p>
      </xdr:txBody>
    </xdr:sp>
    <xdr:clientData/>
  </xdr:twoCellAnchor>
  <xdr:twoCellAnchor>
    <xdr:from>
      <xdr:col>12</xdr:col>
      <xdr:colOff>351533</xdr:colOff>
      <xdr:row>17</xdr:row>
      <xdr:rowOff>22086</xdr:rowOff>
    </xdr:from>
    <xdr:to>
      <xdr:col>13</xdr:col>
      <xdr:colOff>10420</xdr:colOff>
      <xdr:row>18</xdr:row>
      <xdr:rowOff>142875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8FE6B85-CBF5-440B-A1EF-99AA4315F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033" y="3260586"/>
          <a:ext cx="268487" cy="311289"/>
        </a:xfrm>
        <a:prstGeom prst="rect">
          <a:avLst/>
        </a:prstGeom>
      </xdr:spPr>
    </xdr:pic>
    <xdr:clientData/>
  </xdr:twoCellAnchor>
  <xdr:twoCellAnchor>
    <xdr:from>
      <xdr:col>11</xdr:col>
      <xdr:colOff>228601</xdr:colOff>
      <xdr:row>10</xdr:row>
      <xdr:rowOff>161925</xdr:rowOff>
    </xdr:from>
    <xdr:to>
      <xdr:col>14</xdr:col>
      <xdr:colOff>133351</xdr:colOff>
      <xdr:row>15</xdr:row>
      <xdr:rowOff>47626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B325DF-DC6D-4000-99C5-511D187FAC18}"/>
            </a:ext>
          </a:extLst>
        </xdr:cNvPr>
        <xdr:cNvSpPr/>
      </xdr:nvSpPr>
      <xdr:spPr>
        <a:xfrm>
          <a:off x="6667501" y="2066925"/>
          <a:ext cx="1733550" cy="83820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endParaRPr lang="pt-BR" sz="1100" b="1">
            <a:solidFill>
              <a:schemeClr val="tx2"/>
            </a:solidFill>
          </a:endParaRPr>
        </a:p>
        <a:p>
          <a:pPr lvl="0" algn="ctr"/>
          <a:endParaRPr lang="pt-BR" sz="1100" b="1">
            <a:solidFill>
              <a:schemeClr val="tx2"/>
            </a:solidFill>
          </a:endParaRPr>
        </a:p>
        <a:p>
          <a:pPr lvl="0" algn="ctr"/>
          <a:r>
            <a:rPr lang="pt-BR" sz="1100" b="1">
              <a:solidFill>
                <a:schemeClr val="tx2"/>
              </a:solidFill>
            </a:rPr>
            <a:t>CONTROLE DE HORAS</a:t>
          </a:r>
        </a:p>
      </xdr:txBody>
    </xdr:sp>
    <xdr:clientData/>
  </xdr:twoCellAnchor>
  <xdr:twoCellAnchor>
    <xdr:from>
      <xdr:col>11</xdr:col>
      <xdr:colOff>238126</xdr:colOff>
      <xdr:row>5</xdr:row>
      <xdr:rowOff>9525</xdr:rowOff>
    </xdr:from>
    <xdr:to>
      <xdr:col>14</xdr:col>
      <xdr:colOff>133350</xdr:colOff>
      <xdr:row>9</xdr:row>
      <xdr:rowOff>123826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AC4CD1-101F-4128-9E4E-76CBD42067A2}"/>
            </a:ext>
          </a:extLst>
        </xdr:cNvPr>
        <xdr:cNvSpPr/>
      </xdr:nvSpPr>
      <xdr:spPr>
        <a:xfrm>
          <a:off x="6677026" y="962025"/>
          <a:ext cx="1724024" cy="87630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lvl="0" algn="ctr"/>
          <a:r>
            <a:rPr lang="pt-BR" sz="1100" b="1">
              <a:solidFill>
                <a:schemeClr val="tx2"/>
              </a:solidFill>
            </a:rPr>
            <a:t>CADASTRO</a:t>
          </a:r>
          <a:r>
            <a:rPr lang="pt-BR" sz="1100" b="1" baseline="0">
              <a:solidFill>
                <a:schemeClr val="tx2"/>
              </a:solidFill>
            </a:rPr>
            <a:t> FUNCIONÁRIOS</a:t>
          </a:r>
          <a:endParaRPr lang="pt-BR" sz="1100" b="1">
            <a:solidFill>
              <a:schemeClr val="tx2"/>
            </a:solidFill>
          </a:endParaRPr>
        </a:p>
      </xdr:txBody>
    </xdr:sp>
    <xdr:clientData/>
  </xdr:twoCellAnchor>
  <xdr:twoCellAnchor editAs="oneCell">
    <xdr:from>
      <xdr:col>12</xdr:col>
      <xdr:colOff>337210</xdr:colOff>
      <xdr:row>11</xdr:row>
      <xdr:rowOff>66676</xdr:rowOff>
    </xdr:from>
    <xdr:to>
      <xdr:col>13</xdr:col>
      <xdr:colOff>24742</xdr:colOff>
      <xdr:row>13</xdr:row>
      <xdr:rowOff>9526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BE808165-AE6B-4B0D-B71C-D330DB929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5710" y="2162176"/>
          <a:ext cx="297132" cy="323850"/>
        </a:xfrm>
        <a:prstGeom prst="rect">
          <a:avLst/>
        </a:prstGeom>
      </xdr:spPr>
    </xdr:pic>
    <xdr:clientData/>
  </xdr:twoCellAnchor>
  <xdr:twoCellAnchor editAs="oneCell">
    <xdr:from>
      <xdr:col>12</xdr:col>
      <xdr:colOff>318955</xdr:colOff>
      <xdr:row>5</xdr:row>
      <xdr:rowOff>85726</xdr:rowOff>
    </xdr:from>
    <xdr:to>
      <xdr:col>13</xdr:col>
      <xdr:colOff>42998</xdr:colOff>
      <xdr:row>7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67728050-9C57-433A-9933-99E2DCC21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7455" y="1038226"/>
          <a:ext cx="333643" cy="295274"/>
        </a:xfrm>
        <a:prstGeom prst="rect">
          <a:avLst/>
        </a:prstGeom>
      </xdr:spPr>
    </xdr:pic>
    <xdr:clientData/>
  </xdr:twoCellAnchor>
  <xdr:twoCellAnchor>
    <xdr:from>
      <xdr:col>1</xdr:col>
      <xdr:colOff>523874</xdr:colOff>
      <xdr:row>3</xdr:row>
      <xdr:rowOff>180975</xdr:rowOff>
    </xdr:from>
    <xdr:to>
      <xdr:col>9</xdr:col>
      <xdr:colOff>438149</xdr:colOff>
      <xdr:row>16</xdr:row>
      <xdr:rowOff>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C50498A-AD4C-4634-983E-9041ED527BC0}"/>
            </a:ext>
          </a:extLst>
        </xdr:cNvPr>
        <xdr:cNvSpPr txBox="1"/>
      </xdr:nvSpPr>
      <xdr:spPr>
        <a:xfrm>
          <a:off x="866774" y="752475"/>
          <a:ext cx="4791075" cy="229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</a:rPr>
            <a:t>PLANILHA DE CONTROLE</a:t>
          </a:r>
          <a:r>
            <a:rPr lang="pt-BR" sz="3200" b="1" baseline="0">
              <a:solidFill>
                <a:schemeClr val="bg1"/>
              </a:solidFill>
            </a:rPr>
            <a:t> DE HORAS TRABALHADAS</a:t>
          </a:r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171449</xdr:colOff>
      <xdr:row>18</xdr:row>
      <xdr:rowOff>9525</xdr:rowOff>
    </xdr:from>
    <xdr:to>
      <xdr:col>6</xdr:col>
      <xdr:colOff>390524</xdr:colOff>
      <xdr:row>21</xdr:row>
      <xdr:rowOff>9525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365B69F-750C-4961-8BD3-BA17FCEC55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2" b="13793"/>
        <a:stretch/>
      </xdr:blipFill>
      <xdr:spPr>
        <a:xfrm>
          <a:off x="2952749" y="3438525"/>
          <a:ext cx="82867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239805</xdr:colOff>
      <xdr:row>8</xdr:row>
      <xdr:rowOff>127187</xdr:rowOff>
    </xdr:from>
    <xdr:to>
      <xdr:col>11</xdr:col>
      <xdr:colOff>291353</xdr:colOff>
      <xdr:row>30</xdr:row>
      <xdr:rowOff>33617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3D15D678-A954-4FAF-9834-9B78051EF91E}"/>
            </a:ext>
          </a:extLst>
        </xdr:cNvPr>
        <xdr:cNvSpPr txBox="1"/>
      </xdr:nvSpPr>
      <xdr:spPr>
        <a:xfrm>
          <a:off x="340658" y="2245099"/>
          <a:ext cx="6102724" cy="4097430"/>
        </a:xfrm>
        <a:prstGeom prst="rect">
          <a:avLst/>
        </a:prstGeom>
        <a:solidFill>
          <a:schemeClr val="lt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Na aba de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Cadastro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 é possível cadastrar todas as informações dos funcionários que você queira padronizar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na hora de adicionar um novo registro na aba Funcionários. No exemplo, nos restringimos apenas a uma lista de possíveis funcões e uma de possíveis áreas a serem preenchidas nas validações de dados da aba Funcionários.</a:t>
          </a:r>
        </a:p>
        <a:p>
          <a:pPr algn="ctr"/>
          <a:endParaRPr lang="pt-BR" sz="140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Os dados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estão formatados como tabela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. Portanto, para registar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uma nova informação,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 basta digitar após a última linha da tabela ou simplesmente arrastar para baixo a quina indicada pela seta que uma nova linha é criada automaticamente,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estendendo toda a formatação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.</a:t>
          </a:r>
        </a:p>
      </xdr:txBody>
    </xdr:sp>
    <xdr:clientData/>
  </xdr:twoCellAnchor>
  <xdr:twoCellAnchor editAs="oneCell">
    <xdr:from>
      <xdr:col>10</xdr:col>
      <xdr:colOff>326571</xdr:colOff>
      <xdr:row>0</xdr:row>
      <xdr:rowOff>68036</xdr:rowOff>
    </xdr:from>
    <xdr:to>
      <xdr:col>12</xdr:col>
      <xdr:colOff>30143</xdr:colOff>
      <xdr:row>3</xdr:row>
      <xdr:rowOff>136072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C62EB64F-7507-4DF2-97E0-DAB67CE8D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6321" y="68036"/>
          <a:ext cx="928215" cy="639536"/>
        </a:xfrm>
        <a:prstGeom prst="rect">
          <a:avLst/>
        </a:prstGeom>
      </xdr:spPr>
    </xdr:pic>
    <xdr:clientData/>
  </xdr:twoCellAnchor>
  <xdr:twoCellAnchor editAs="oneCell">
    <xdr:from>
      <xdr:col>12</xdr:col>
      <xdr:colOff>408213</xdr:colOff>
      <xdr:row>8</xdr:row>
      <xdr:rowOff>121252</xdr:rowOff>
    </xdr:from>
    <xdr:to>
      <xdr:col>20</xdr:col>
      <xdr:colOff>299357</xdr:colOff>
      <xdr:row>30</xdr:row>
      <xdr:rowOff>56046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3290A4AB-BA22-4CDB-916C-D0CE79FD0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2606" y="2257573"/>
          <a:ext cx="4789715" cy="4125794"/>
        </a:xfrm>
        <a:prstGeom prst="rect">
          <a:avLst/>
        </a:prstGeom>
        <a:ln w="28575">
          <a:solidFill>
            <a:schemeClr val="accent2"/>
          </a:solidFill>
        </a:ln>
      </xdr:spPr>
    </xdr:pic>
    <xdr:clientData/>
  </xdr:twoCellAnchor>
  <xdr:twoCellAnchor>
    <xdr:from>
      <xdr:col>14</xdr:col>
      <xdr:colOff>481853</xdr:colOff>
      <xdr:row>18</xdr:row>
      <xdr:rowOff>100853</xdr:rowOff>
    </xdr:from>
    <xdr:to>
      <xdr:col>15</xdr:col>
      <xdr:colOff>246529</xdr:colOff>
      <xdr:row>19</xdr:row>
      <xdr:rowOff>89647</xdr:rowOff>
    </xdr:to>
    <xdr:cxnSp macro="">
      <xdr:nvCxnSpPr>
        <xdr:cNvPr id="42" name="Conector de Seta Reta 41">
          <a:extLst>
            <a:ext uri="{FF2B5EF4-FFF2-40B4-BE49-F238E27FC236}">
              <a16:creationId xmlns:a16="http://schemas.microsoft.com/office/drawing/2014/main" id="{A1C001DA-F607-459F-9A21-334B052EE2BD}"/>
            </a:ext>
          </a:extLst>
        </xdr:cNvPr>
        <xdr:cNvCxnSpPr/>
      </xdr:nvCxnSpPr>
      <xdr:spPr>
        <a:xfrm flipH="1" flipV="1">
          <a:off x="8449235" y="4123765"/>
          <a:ext cx="369794" cy="179294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141195</xdr:colOff>
      <xdr:row>14</xdr:row>
      <xdr:rowOff>163606</xdr:rowOff>
    </xdr:from>
    <xdr:to>
      <xdr:col>17</xdr:col>
      <xdr:colOff>510989</xdr:colOff>
      <xdr:row>15</xdr:row>
      <xdr:rowOff>152400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41EF4C43-0D3F-4860-A6A9-88EBF118B5DC}"/>
            </a:ext>
          </a:extLst>
        </xdr:cNvPr>
        <xdr:cNvCxnSpPr/>
      </xdr:nvCxnSpPr>
      <xdr:spPr>
        <a:xfrm flipH="1" flipV="1">
          <a:off x="9923930" y="3424518"/>
          <a:ext cx="369794" cy="179294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430924</xdr:colOff>
      <xdr:row>35</xdr:row>
      <xdr:rowOff>81643</xdr:rowOff>
    </xdr:from>
    <xdr:to>
      <xdr:col>20</xdr:col>
      <xdr:colOff>347087</xdr:colOff>
      <xdr:row>55</xdr:row>
      <xdr:rowOff>13608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D70B118-85A7-4D0E-BBF9-53DFFA0D7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8353" y="7443107"/>
          <a:ext cx="6651698" cy="3741965"/>
        </a:xfrm>
        <a:prstGeom prst="rect">
          <a:avLst/>
        </a:prstGeom>
        <a:ln w="28575">
          <a:solidFill>
            <a:schemeClr val="accent2"/>
          </a:solidFill>
        </a:ln>
      </xdr:spPr>
    </xdr:pic>
    <xdr:clientData/>
  </xdr:twoCellAnchor>
  <xdr:twoCellAnchor>
    <xdr:from>
      <xdr:col>1</xdr:col>
      <xdr:colOff>177373</xdr:colOff>
      <xdr:row>35</xdr:row>
      <xdr:rowOff>67956</xdr:rowOff>
    </xdr:from>
    <xdr:to>
      <xdr:col>9</xdr:col>
      <xdr:colOff>176892</xdr:colOff>
      <xdr:row>55</xdr:row>
      <xdr:rowOff>27215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8CA0574D-7887-45DC-8EE3-5A98F6F7BC3C}"/>
            </a:ext>
          </a:extLst>
        </xdr:cNvPr>
        <xdr:cNvSpPr txBox="1"/>
      </xdr:nvSpPr>
      <xdr:spPr>
        <a:xfrm>
          <a:off x="286230" y="7429420"/>
          <a:ext cx="4898091" cy="3769259"/>
        </a:xfrm>
        <a:prstGeom prst="rect">
          <a:avLst/>
        </a:prstGeom>
        <a:solidFill>
          <a:schemeClr val="lt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Na aba de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Funcionários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 é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onde realizamos o controle dos funcionários da empresa: cadastro, edição e exclusão.</a:t>
          </a:r>
        </a:p>
        <a:p>
          <a:pPr algn="ctr"/>
          <a:endParaRPr lang="pt-BR" sz="140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Os dados também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estão formatados como tabela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. Portanto, a lógica para um novo cadastro de um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funcionário é a mesma explicada na aba Cadastro.</a:t>
          </a:r>
        </a:p>
        <a:p>
          <a:pPr algn="ctr"/>
          <a:endParaRPr lang="pt-BR" sz="140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Lembrando que você pode acrescentar outras informações (colunas) além dos exemplos ao lado. A ideia é utilizar o modelo e adaptar para o que for mais adequado para o dia a dia da sua empresa.</a:t>
          </a:r>
          <a:endParaRPr lang="pt-BR" sz="14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435426</xdr:colOff>
      <xdr:row>62</xdr:row>
      <xdr:rowOff>83962</xdr:rowOff>
    </xdr:from>
    <xdr:to>
      <xdr:col>20</xdr:col>
      <xdr:colOff>438646</xdr:colOff>
      <xdr:row>81</xdr:row>
      <xdr:rowOff>27213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AFDED04C-7315-4908-BA99-316AC205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42855" y="12670569"/>
          <a:ext cx="6738755" cy="3562751"/>
        </a:xfrm>
        <a:prstGeom prst="rect">
          <a:avLst/>
        </a:prstGeom>
        <a:ln w="28575">
          <a:solidFill>
            <a:schemeClr val="accent2"/>
          </a:solidFill>
        </a:ln>
      </xdr:spPr>
    </xdr:pic>
    <xdr:clientData/>
  </xdr:twoCellAnchor>
  <xdr:twoCellAnchor>
    <xdr:from>
      <xdr:col>1</xdr:col>
      <xdr:colOff>136072</xdr:colOff>
      <xdr:row>62</xdr:row>
      <xdr:rowOff>68036</xdr:rowOff>
    </xdr:from>
    <xdr:to>
      <xdr:col>9</xdr:col>
      <xdr:colOff>135591</xdr:colOff>
      <xdr:row>82</xdr:row>
      <xdr:rowOff>27295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C2B3C79-99FE-4704-87D5-8779AB902CEC}"/>
            </a:ext>
          </a:extLst>
        </xdr:cNvPr>
        <xdr:cNvSpPr txBox="1"/>
      </xdr:nvSpPr>
      <xdr:spPr>
        <a:xfrm>
          <a:off x="244929" y="12654643"/>
          <a:ext cx="4898091" cy="3769259"/>
        </a:xfrm>
        <a:prstGeom prst="rect">
          <a:avLst/>
        </a:prstGeom>
        <a:solidFill>
          <a:schemeClr val="lt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Na aba de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Controle de Horas </a:t>
          </a:r>
          <a:r>
            <a:rPr lang="pt-BR" sz="1400">
              <a:solidFill>
                <a:schemeClr val="accent2">
                  <a:lumMod val="75000"/>
                </a:schemeClr>
              </a:solidFill>
            </a:rPr>
            <a:t>é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onde registramos todos os horários dos funcionários. Em resumo, é necessário que 3 horários específicos sejam incluídos: (1) Entrada no trabalho; (2) Saída para almoço; (3) Retorno do almoço; (4)  Saída do trabalho.</a:t>
          </a:r>
        </a:p>
        <a:p>
          <a:pPr algn="ctr"/>
          <a:endParaRPr lang="pt-BR" sz="140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Com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essas 4 informações, a planilha vai calcular automaticamente nas colunas H e I as Horas Trabalhadas de cada funcionário e também as Horas Extras. Como essas duas colunas são fórmulas, a fonte delas foi formatada de azul para diferenciar das demais células e você saber que não é necessário editá-las.</a:t>
          </a:r>
          <a:endParaRPr lang="pt-BR" sz="14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482258</xdr:colOff>
      <xdr:row>92</xdr:row>
      <xdr:rowOff>27215</xdr:rowOff>
    </xdr:from>
    <xdr:to>
      <xdr:col>20</xdr:col>
      <xdr:colOff>394606</xdr:colOff>
      <xdr:row>112</xdr:row>
      <xdr:rowOff>2641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26D20E7A-18A5-437F-8E76-728FA7DD7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9687" y="18410465"/>
          <a:ext cx="6647883" cy="3785426"/>
        </a:xfrm>
        <a:prstGeom prst="rect">
          <a:avLst/>
        </a:prstGeom>
        <a:ln w="28575">
          <a:solidFill>
            <a:schemeClr val="accent2"/>
          </a:solidFill>
        </a:ln>
      </xdr:spPr>
    </xdr:pic>
    <xdr:clientData/>
  </xdr:twoCellAnchor>
  <xdr:twoCellAnchor>
    <xdr:from>
      <xdr:col>1</xdr:col>
      <xdr:colOff>149679</xdr:colOff>
      <xdr:row>92</xdr:row>
      <xdr:rowOff>0</xdr:rowOff>
    </xdr:from>
    <xdr:to>
      <xdr:col>9</xdr:col>
      <xdr:colOff>149198</xdr:colOff>
      <xdr:row>111</xdr:row>
      <xdr:rowOff>149759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54B69E2-291F-483E-BF52-BD904A82BD8C}"/>
            </a:ext>
          </a:extLst>
        </xdr:cNvPr>
        <xdr:cNvSpPr txBox="1"/>
      </xdr:nvSpPr>
      <xdr:spPr>
        <a:xfrm>
          <a:off x="258536" y="18383250"/>
          <a:ext cx="4898091" cy="3769259"/>
        </a:xfrm>
        <a:prstGeom prst="rect">
          <a:avLst/>
        </a:prstGeom>
        <a:solidFill>
          <a:schemeClr val="lt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Na aba de 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Folha</a:t>
          </a:r>
          <a:r>
            <a:rPr lang="pt-BR" sz="1400" b="1" baseline="0">
              <a:solidFill>
                <a:schemeClr val="accent2">
                  <a:lumMod val="75000"/>
                </a:schemeClr>
              </a:solidFill>
            </a:rPr>
            <a:t> de Ponto</a:t>
          </a:r>
          <a:r>
            <a:rPr lang="pt-BR" sz="1400" b="1">
              <a:solidFill>
                <a:schemeClr val="accent2">
                  <a:lumMod val="75000"/>
                </a:schemeClr>
              </a:solidFill>
            </a:rPr>
            <a:t> </a:t>
          </a:r>
          <a:r>
            <a:rPr lang="pt-BR" sz="1400" b="0">
              <a:solidFill>
                <a:schemeClr val="accent2">
                  <a:lumMod val="75000"/>
                </a:schemeClr>
              </a:solidFill>
            </a:rPr>
            <a:t>é</a:t>
          </a:r>
          <a:r>
            <a:rPr lang="pt-BR" sz="1400" b="0" baseline="0">
              <a:solidFill>
                <a:schemeClr val="accent2">
                  <a:lumMod val="75000"/>
                </a:schemeClr>
              </a:solidFill>
            </a:rPr>
            <a:t> possível criar resumos para os resultados de cada funcionário em um período de trabalho específico. Você vai escolher o nome do funcionário na célula C5, e os campos de Cargo, Email e Telefone são preenchidos automaticamente.</a:t>
          </a:r>
        </a:p>
        <a:p>
          <a:pPr algn="ctr"/>
          <a:endParaRPr lang="pt-BR" sz="1400" b="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 b="0" baseline="0">
              <a:solidFill>
                <a:schemeClr val="accent2">
                  <a:lumMod val="75000"/>
                </a:schemeClr>
              </a:solidFill>
            </a:rPr>
            <a:t>Em seguida, você vai escolher o período de trabalho para emitir a folha de ponto. Basta modificar nas células Data Inicial e Data Final. Por fim, você deve clicar no botão "Atualizar Folha de Ponto" para que a tabela mais abaixo seja atualizada com todos os horários daquele funcionário no período desejado.</a:t>
          </a:r>
          <a:endParaRPr lang="pt-BR" sz="14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435428</xdr:colOff>
      <xdr:row>113</xdr:row>
      <xdr:rowOff>40823</xdr:rowOff>
    </xdr:from>
    <xdr:to>
      <xdr:col>20</xdr:col>
      <xdr:colOff>408215</xdr:colOff>
      <xdr:row>138</xdr:row>
      <xdr:rowOff>123667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FA510F51-5177-48FB-844D-E0E0F89E3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42857" y="22424573"/>
          <a:ext cx="6708322" cy="4845344"/>
        </a:xfrm>
        <a:prstGeom prst="rect">
          <a:avLst/>
        </a:prstGeom>
        <a:ln w="28575">
          <a:solidFill>
            <a:schemeClr val="accent2"/>
          </a:solidFill>
        </a:ln>
      </xdr:spPr>
    </xdr:pic>
    <xdr:clientData/>
  </xdr:twoCellAnchor>
  <xdr:twoCellAnchor>
    <xdr:from>
      <xdr:col>1</xdr:col>
      <xdr:colOff>166006</xdr:colOff>
      <xdr:row>113</xdr:row>
      <xdr:rowOff>29935</xdr:rowOff>
    </xdr:from>
    <xdr:to>
      <xdr:col>9</xdr:col>
      <xdr:colOff>165525</xdr:colOff>
      <xdr:row>138</xdr:row>
      <xdr:rowOff>163286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C5A8F353-5BCB-44F3-A6B4-EEDE6A09DCDE}"/>
            </a:ext>
          </a:extLst>
        </xdr:cNvPr>
        <xdr:cNvSpPr txBox="1"/>
      </xdr:nvSpPr>
      <xdr:spPr>
        <a:xfrm>
          <a:off x="274863" y="22413685"/>
          <a:ext cx="4898091" cy="4895851"/>
        </a:xfrm>
        <a:prstGeom prst="rect">
          <a:avLst/>
        </a:prstGeom>
        <a:solidFill>
          <a:schemeClr val="lt1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2">
                  <a:lumMod val="75000"/>
                </a:schemeClr>
              </a:solidFill>
            </a:rPr>
            <a:t>O botão</a:t>
          </a:r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 vai ativar uma macro simples que realiza um filtro na tabela da aba Controle de Horas e de acordo com o nome do funcionário e também o período de trabalho, vai mostrar apenas as linhas que atendem aos critérios.</a:t>
          </a:r>
        </a:p>
        <a:p>
          <a:pPr algn="ctr"/>
          <a:endParaRPr lang="pt-BR" sz="1400" baseline="0">
            <a:solidFill>
              <a:schemeClr val="accent2">
                <a:lumMod val="75000"/>
              </a:schemeClr>
            </a:solidFill>
          </a:endParaRPr>
        </a:p>
        <a:p>
          <a:pPr algn="ctr"/>
          <a:r>
            <a:rPr lang="pt-BR" sz="1400" baseline="0">
              <a:solidFill>
                <a:schemeClr val="accent2">
                  <a:lumMod val="75000"/>
                </a:schemeClr>
              </a:solidFill>
            </a:rPr>
            <a:t>Com estes dados, é possível atualizar os valores de dias trabalhados, horas/dia, total de horas a trabalhar, total de horas trabalhadas, total de horas extra, total de salário e quanto pagar de horas extras àquele funcionário.</a:t>
          </a:r>
          <a:endParaRPr lang="pt-BR" sz="14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66675</xdr:rowOff>
    </xdr:from>
    <xdr:to>
      <xdr:col>9</xdr:col>
      <xdr:colOff>54829</xdr:colOff>
      <xdr:row>2</xdr:row>
      <xdr:rowOff>152092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460356-A187-4613-A774-63278A569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5600" y="66675"/>
          <a:ext cx="578704" cy="4664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457200</xdr:colOff>
      <xdr:row>0</xdr:row>
      <xdr:rowOff>114300</xdr:rowOff>
    </xdr:from>
    <xdr:to>
      <xdr:col>9</xdr:col>
      <xdr:colOff>1035904</xdr:colOff>
      <xdr:row>3</xdr:row>
      <xdr:rowOff>9217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CA264D-51EE-47F1-BD03-C6EDDA44D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8150" y="114300"/>
          <a:ext cx="578704" cy="4664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966106</xdr:colOff>
      <xdr:row>10</xdr:row>
      <xdr:rowOff>1</xdr:rowOff>
    </xdr:from>
    <xdr:to>
      <xdr:col>6</xdr:col>
      <xdr:colOff>408214</xdr:colOff>
      <xdr:row>12</xdr:row>
      <xdr:rowOff>27214</xdr:rowOff>
    </xdr:to>
    <xdr:sp macro="[0]!CompilaHoras" textlink="">
      <xdr:nvSpPr>
        <xdr:cNvPr id="5" name="Retângulo 4">
          <a:extLst>
            <a:ext uri="{FF2B5EF4-FFF2-40B4-BE49-F238E27FC236}">
              <a16:creationId xmlns:a16="http://schemas.microsoft.com/office/drawing/2014/main" id="{B1368236-6244-4A6B-AB07-989C7E3432DD}"/>
            </a:ext>
          </a:extLst>
        </xdr:cNvPr>
        <xdr:cNvSpPr/>
      </xdr:nvSpPr>
      <xdr:spPr>
        <a:xfrm>
          <a:off x="5891892" y="2667001"/>
          <a:ext cx="2653393" cy="571499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Atualizar</a:t>
          </a:r>
          <a:r>
            <a:rPr lang="pt-BR" sz="1600" baseline="0"/>
            <a:t> Folha de Ponto</a:t>
          </a:r>
          <a:endParaRPr lang="pt-BR" sz="1600"/>
        </a:p>
      </xdr:txBody>
    </xdr:sp>
    <xdr:clientData/>
  </xdr:twoCellAnchor>
  <xdr:twoCellAnchor editAs="oneCell">
    <xdr:from>
      <xdr:col>1</xdr:col>
      <xdr:colOff>258536</xdr:colOff>
      <xdr:row>0</xdr:row>
      <xdr:rowOff>136071</xdr:rowOff>
    </xdr:from>
    <xdr:to>
      <xdr:col>1</xdr:col>
      <xdr:colOff>949099</xdr:colOff>
      <xdr:row>0</xdr:row>
      <xdr:rowOff>612321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439C161-DD73-4DDC-B45A-BFFFFF5735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2" b="13793"/>
        <a:stretch/>
      </xdr:blipFill>
      <xdr:spPr>
        <a:xfrm>
          <a:off x="367393" y="136071"/>
          <a:ext cx="690563" cy="476250"/>
        </a:xfrm>
        <a:prstGeom prst="rect">
          <a:avLst/>
        </a:prstGeom>
      </xdr:spPr>
    </xdr:pic>
    <xdr:clientData/>
  </xdr:twoCellAnchor>
  <xdr:twoCellAnchor editAs="oneCell">
    <xdr:from>
      <xdr:col>9</xdr:col>
      <xdr:colOff>537883</xdr:colOff>
      <xdr:row>0</xdr:row>
      <xdr:rowOff>163285</xdr:rowOff>
    </xdr:from>
    <xdr:to>
      <xdr:col>10</xdr:col>
      <xdr:colOff>511469</xdr:colOff>
      <xdr:row>0</xdr:row>
      <xdr:rowOff>629702</xdr:rowOff>
    </xdr:to>
    <xdr:pic>
      <xdr:nvPicPr>
        <xdr:cNvPr id="8" name="Imagem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443825-E509-41CB-B4ED-C5655289E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9118" y="163285"/>
          <a:ext cx="578704" cy="4664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BDB75F-BD28-40C4-A64B-C945478351C0}" name="FUNCAO" displayName="FUNCAO" ref="A1:A6" totalsRowShown="0">
  <autoFilter ref="A1:A6" xr:uid="{C3D9E7E3-70C6-4CD0-A86E-42FFAFB48215}"/>
  <tableColumns count="1">
    <tableColumn id="1" xr3:uid="{06D55E43-B6D9-4498-89BE-1FF5D54025ED}" name="Função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F479A1-7FD1-4555-8475-D1DCBFD79FD4}" name="AREA" displayName="AREA" ref="C1:C3" totalsRowShown="0">
  <autoFilter ref="C1:C3" xr:uid="{10DC546C-C259-41C0-B576-47969ABC5A3F}"/>
  <tableColumns count="1">
    <tableColumn id="1" xr3:uid="{EA8020F1-ABAB-44C1-97E1-BC3B1EFD3EC7}" name="Área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B7F8AB-3574-4F82-A29A-B0A73B52C8DB}" name="FUNCIONARIOS" displayName="FUNCIONARIOS" ref="A1:G7" totalsRowShown="0" headerRowDxfId="14">
  <autoFilter ref="A1:G7" xr:uid="{996C6FD7-6975-478F-8537-E57EA9736CBF}"/>
  <tableColumns count="7">
    <tableColumn id="1" xr3:uid="{2829D301-4B78-4383-A5E0-02E5CB4E059A}" name="Funcionário"/>
    <tableColumn id="2" xr3:uid="{BE0D8385-042E-4E11-8559-62E81563CA00}" name="Função"/>
    <tableColumn id="3" xr3:uid="{8230630D-0D6B-4303-B848-55E2071104E4}" name="Área"/>
    <tableColumn id="6" xr3:uid="{33F0DECE-B5C6-486B-ABBF-AAF036E8CBA9}" name="E-mail"/>
    <tableColumn id="7" xr3:uid="{D1231281-CF0F-4D08-BC2B-A6CCB6BF9A5A}" name="Telefone" dataDxfId="13"/>
    <tableColumn id="4" xr3:uid="{D1DA132D-26BE-46F8-A5A0-F385D7BD781C}" name="Salário" dataDxfId="12"/>
    <tableColumn id="5" xr3:uid="{489168E2-5F20-4392-905C-80B263248188}" name="Data de Admissão" dataDxfId="1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004C39-5D35-48B7-B947-80EDB288AC2B}" name="CONTROLE_HORAS" displayName="CONTROLE_HORAS" ref="A1:I127" totalsRowShown="0" headerRowDxfId="10">
  <tableColumns count="9">
    <tableColumn id="1" xr3:uid="{BB31D842-49F7-41DE-9D4A-A04BBEE277F8}" name="Nome"/>
    <tableColumn id="2" xr3:uid="{CBAB1125-DBEB-4168-8206-8905B6D0D5A6}" name="Data" dataDxfId="9"/>
    <tableColumn id="3" xr3:uid="{885858C9-97B7-474D-9E27-0D8CD6DC4133}" name="Entrada" dataDxfId="8"/>
    <tableColumn id="4" xr3:uid="{DBF2B7E9-382E-429D-8B0F-469DF95AEC9E}" name="Saída Almoço" dataDxfId="7"/>
    <tableColumn id="5" xr3:uid="{FCD96C96-0FB8-4593-A9C1-54F94A2A5F73}" name="Retorno Almoço" dataDxfId="6"/>
    <tableColumn id="6" xr3:uid="{0532F027-92D1-4380-977C-67CE18EF4D50}" name="Saída" dataDxfId="5"/>
    <tableColumn id="7" xr3:uid="{02571107-F5B1-405D-81D1-0B2ECB424C26}" name="Carga Horária por Dia" dataDxfId="4"/>
    <tableColumn id="8" xr3:uid="{D0226ADC-9B04-4FC4-B3D0-315340B39CD2}" name="Horas Trabalhadas" dataDxfId="3">
      <calculatedColumnFormula>(F2-C2)-(E2-D2)</calculatedColumnFormula>
    </tableColumn>
    <tableColumn id="9" xr3:uid="{BE18BA09-69FD-4C84-9909-31569E702691}" name="Horas Extras" dataDxfId="2">
      <calculatedColumnFormula>H2-G2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andr&#233;@hashtag.com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mailto:luana@hashtag.com" TargetMode="External"/><Relationship Id="rId1" Type="http://schemas.openxmlformats.org/officeDocument/2006/relationships/hyperlink" Target="mailto:joaquim@hashtag.com" TargetMode="External"/><Relationship Id="rId6" Type="http://schemas.openxmlformats.org/officeDocument/2006/relationships/hyperlink" Target="mailto:andressa@hashtag.com" TargetMode="External"/><Relationship Id="rId5" Type="http://schemas.openxmlformats.org/officeDocument/2006/relationships/hyperlink" Target="mailto:pedro@hashtag.com" TargetMode="External"/><Relationship Id="rId4" Type="http://schemas.openxmlformats.org/officeDocument/2006/relationships/hyperlink" Target="mailto:jo&#227;o@hashtag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96968-DFB6-4C24-8F42-235B80606726}">
  <sheetPr codeName="Planilha1"/>
  <dimension ref="A1"/>
  <sheetViews>
    <sheetView showGridLines="0" workbookViewId="0"/>
  </sheetViews>
  <sheetFormatPr defaultRowHeight="15" x14ac:dyDescent="0.25"/>
  <cols>
    <col min="1" max="1" width="5.1406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E28B6-28AD-4210-AE1F-C05675EC35D8}">
  <dimension ref="A4:V146"/>
  <sheetViews>
    <sheetView showGridLines="0" tabSelected="1" zoomScale="70" zoomScaleNormal="70" workbookViewId="0"/>
  </sheetViews>
  <sheetFormatPr defaultRowHeight="15" x14ac:dyDescent="0.25"/>
  <cols>
    <col min="1" max="1" width="1.5703125" customWidth="1"/>
    <col min="22" max="22" width="1.42578125" customWidth="1"/>
  </cols>
  <sheetData>
    <row r="4" spans="1:22" ht="53.25" customHeight="1" x14ac:dyDescent="0.7">
      <c r="B4" s="39" t="s">
        <v>58</v>
      </c>
      <c r="C4" s="33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</row>
    <row r="5" spans="1:22" ht="11.25" customHeight="1" x14ac:dyDescent="0.5">
      <c r="B5" s="35"/>
      <c r="C5" s="36"/>
    </row>
    <row r="6" spans="1:22" ht="21" x14ac:dyDescent="0.35">
      <c r="B6" s="37" t="s">
        <v>57</v>
      </c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8" spans="1:22" ht="21" x14ac:dyDescent="0.35">
      <c r="A8" s="40"/>
      <c r="B8" s="41" t="s">
        <v>59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0"/>
    </row>
    <row r="9" spans="1:22" x14ac:dyDescent="0.25">
      <c r="A9" s="40"/>
      <c r="V9" s="40"/>
    </row>
    <row r="10" spans="1:22" x14ac:dyDescent="0.25">
      <c r="A10" s="40"/>
      <c r="V10" s="40"/>
    </row>
    <row r="11" spans="1:22" x14ac:dyDescent="0.25">
      <c r="A11" s="40"/>
      <c r="V11" s="40"/>
    </row>
    <row r="12" spans="1:22" x14ac:dyDescent="0.25">
      <c r="A12" s="40"/>
      <c r="V12" s="40"/>
    </row>
    <row r="13" spans="1:22" x14ac:dyDescent="0.25">
      <c r="A13" s="40"/>
      <c r="V13" s="40"/>
    </row>
    <row r="14" spans="1:22" x14ac:dyDescent="0.25">
      <c r="A14" s="40"/>
      <c r="V14" s="40"/>
    </row>
    <row r="15" spans="1:22" x14ac:dyDescent="0.25">
      <c r="A15" s="40"/>
      <c r="V15" s="40"/>
    </row>
    <row r="16" spans="1:22" x14ac:dyDescent="0.25">
      <c r="A16" s="40"/>
      <c r="V16" s="40"/>
    </row>
    <row r="17" spans="1:22" x14ac:dyDescent="0.25">
      <c r="A17" s="40"/>
      <c r="V17" s="40"/>
    </row>
    <row r="18" spans="1:22" x14ac:dyDescent="0.25">
      <c r="A18" s="40"/>
      <c r="V18" s="40"/>
    </row>
    <row r="19" spans="1:22" x14ac:dyDescent="0.25">
      <c r="A19" s="40"/>
      <c r="V19" s="40"/>
    </row>
    <row r="20" spans="1:22" x14ac:dyDescent="0.25">
      <c r="A20" s="40"/>
      <c r="V20" s="40"/>
    </row>
    <row r="21" spans="1:22" x14ac:dyDescent="0.25">
      <c r="A21" s="40"/>
      <c r="V21" s="40"/>
    </row>
    <row r="22" spans="1:22" x14ac:dyDescent="0.25">
      <c r="A22" s="40"/>
      <c r="V22" s="40"/>
    </row>
    <row r="23" spans="1:22" x14ac:dyDescent="0.25">
      <c r="A23" s="40"/>
      <c r="O23" s="38"/>
      <c r="V23" s="40"/>
    </row>
    <row r="24" spans="1:22" x14ac:dyDescent="0.25">
      <c r="A24" s="40"/>
      <c r="V24" s="40"/>
    </row>
    <row r="25" spans="1:22" x14ac:dyDescent="0.25">
      <c r="A25" s="40"/>
      <c r="V25" s="40"/>
    </row>
    <row r="26" spans="1:22" x14ac:dyDescent="0.25">
      <c r="A26" s="40"/>
      <c r="V26" s="40"/>
    </row>
    <row r="27" spans="1:22" x14ac:dyDescent="0.25">
      <c r="A27" s="40"/>
      <c r="V27" s="40"/>
    </row>
    <row r="28" spans="1:22" x14ac:dyDescent="0.25">
      <c r="A28" s="40"/>
      <c r="V28" s="40"/>
    </row>
    <row r="29" spans="1:22" x14ac:dyDescent="0.25">
      <c r="A29" s="40"/>
      <c r="V29" s="40"/>
    </row>
    <row r="30" spans="1:22" x14ac:dyDescent="0.25">
      <c r="A30" s="40"/>
      <c r="V30" s="40"/>
    </row>
    <row r="31" spans="1:22" x14ac:dyDescent="0.25">
      <c r="A31" s="40"/>
      <c r="V31" s="40"/>
    </row>
    <row r="32" spans="1:22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4" spans="1:22" ht="21" x14ac:dyDescent="0.35">
      <c r="A34" s="40"/>
      <c r="B34" s="41" t="s">
        <v>60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0"/>
    </row>
    <row r="35" spans="1:22" x14ac:dyDescent="0.25">
      <c r="A35" s="40"/>
      <c r="V35" s="40"/>
    </row>
    <row r="36" spans="1:22" x14ac:dyDescent="0.25">
      <c r="A36" s="40"/>
      <c r="V36" s="40"/>
    </row>
    <row r="37" spans="1:22" x14ac:dyDescent="0.25">
      <c r="A37" s="40"/>
      <c r="V37" s="40"/>
    </row>
    <row r="38" spans="1:22" x14ac:dyDescent="0.25">
      <c r="A38" s="40"/>
      <c r="V38" s="40"/>
    </row>
    <row r="39" spans="1:22" x14ac:dyDescent="0.25">
      <c r="A39" s="40"/>
      <c r="V39" s="40"/>
    </row>
    <row r="40" spans="1:22" x14ac:dyDescent="0.25">
      <c r="A40" s="40"/>
      <c r="V40" s="40"/>
    </row>
    <row r="41" spans="1:22" x14ac:dyDescent="0.25">
      <c r="A41" s="40"/>
      <c r="V41" s="40"/>
    </row>
    <row r="42" spans="1:22" x14ac:dyDescent="0.25">
      <c r="A42" s="40"/>
      <c r="V42" s="40"/>
    </row>
    <row r="43" spans="1:22" x14ac:dyDescent="0.25">
      <c r="A43" s="40"/>
      <c r="V43" s="40"/>
    </row>
    <row r="44" spans="1:22" x14ac:dyDescent="0.25">
      <c r="A44" s="40"/>
      <c r="V44" s="40"/>
    </row>
    <row r="45" spans="1:22" x14ac:dyDescent="0.25">
      <c r="A45" s="40"/>
      <c r="V45" s="40"/>
    </row>
    <row r="46" spans="1:22" x14ac:dyDescent="0.25">
      <c r="A46" s="40"/>
      <c r="V46" s="40"/>
    </row>
    <row r="47" spans="1:22" x14ac:dyDescent="0.25">
      <c r="A47" s="40"/>
      <c r="V47" s="40"/>
    </row>
    <row r="48" spans="1:22" x14ac:dyDescent="0.25">
      <c r="A48" s="40"/>
      <c r="V48" s="40"/>
    </row>
    <row r="49" spans="1:22" x14ac:dyDescent="0.25">
      <c r="A49" s="40"/>
      <c r="V49" s="40"/>
    </row>
    <row r="50" spans="1:22" x14ac:dyDescent="0.25">
      <c r="A50" s="40"/>
      <c r="V50" s="40"/>
    </row>
    <row r="51" spans="1:22" x14ac:dyDescent="0.25">
      <c r="A51" s="40"/>
      <c r="V51" s="40"/>
    </row>
    <row r="52" spans="1:22" x14ac:dyDescent="0.25">
      <c r="A52" s="40"/>
      <c r="V52" s="40"/>
    </row>
    <row r="53" spans="1:22" x14ac:dyDescent="0.25">
      <c r="A53" s="40"/>
      <c r="V53" s="40"/>
    </row>
    <row r="54" spans="1:22" x14ac:dyDescent="0.25">
      <c r="A54" s="40"/>
      <c r="V54" s="40"/>
    </row>
    <row r="55" spans="1:22" x14ac:dyDescent="0.25">
      <c r="A55" s="40"/>
      <c r="V55" s="40"/>
    </row>
    <row r="56" spans="1:22" x14ac:dyDescent="0.25">
      <c r="A56" s="40"/>
      <c r="V56" s="40"/>
    </row>
    <row r="57" spans="1:22" x14ac:dyDescent="0.25">
      <c r="A57" s="40"/>
      <c r="V57" s="40"/>
    </row>
    <row r="58" spans="1:22" x14ac:dyDescent="0.25">
      <c r="A58" s="40"/>
      <c r="V58" s="40"/>
    </row>
    <row r="59" spans="1:22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</row>
    <row r="61" spans="1:22" ht="21" x14ac:dyDescent="0.35">
      <c r="A61" s="40"/>
      <c r="B61" s="41" t="s">
        <v>61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0"/>
    </row>
    <row r="62" spans="1:22" x14ac:dyDescent="0.25">
      <c r="A62" s="40"/>
      <c r="V62" s="40"/>
    </row>
    <row r="63" spans="1:22" x14ac:dyDescent="0.25">
      <c r="A63" s="40"/>
      <c r="V63" s="40"/>
    </row>
    <row r="64" spans="1:22" x14ac:dyDescent="0.25">
      <c r="A64" s="40"/>
      <c r="V64" s="40"/>
    </row>
    <row r="65" spans="1:22" x14ac:dyDescent="0.25">
      <c r="A65" s="40"/>
      <c r="V65" s="40"/>
    </row>
    <row r="66" spans="1:22" x14ac:dyDescent="0.25">
      <c r="A66" s="40"/>
      <c r="V66" s="40"/>
    </row>
    <row r="67" spans="1:22" x14ac:dyDescent="0.25">
      <c r="A67" s="40"/>
      <c r="V67" s="40"/>
    </row>
    <row r="68" spans="1:22" x14ac:dyDescent="0.25">
      <c r="A68" s="40"/>
      <c r="V68" s="40"/>
    </row>
    <row r="69" spans="1:22" x14ac:dyDescent="0.25">
      <c r="A69" s="40"/>
      <c r="V69" s="40"/>
    </row>
    <row r="70" spans="1:22" x14ac:dyDescent="0.25">
      <c r="A70" s="40"/>
      <c r="V70" s="40"/>
    </row>
    <row r="71" spans="1:22" x14ac:dyDescent="0.25">
      <c r="A71" s="40"/>
      <c r="V71" s="40"/>
    </row>
    <row r="72" spans="1:22" x14ac:dyDescent="0.25">
      <c r="A72" s="40"/>
      <c r="V72" s="40"/>
    </row>
    <row r="73" spans="1:22" x14ac:dyDescent="0.25">
      <c r="A73" s="40"/>
      <c r="V73" s="40"/>
    </row>
    <row r="74" spans="1:22" x14ac:dyDescent="0.25">
      <c r="A74" s="40"/>
      <c r="V74" s="40"/>
    </row>
    <row r="75" spans="1:22" x14ac:dyDescent="0.25">
      <c r="A75" s="40"/>
      <c r="V75" s="40"/>
    </row>
    <row r="76" spans="1:22" x14ac:dyDescent="0.25">
      <c r="A76" s="40"/>
      <c r="V76" s="40"/>
    </row>
    <row r="77" spans="1:22" x14ac:dyDescent="0.25">
      <c r="A77" s="40"/>
      <c r="V77" s="40"/>
    </row>
    <row r="78" spans="1:22" x14ac:dyDescent="0.25">
      <c r="A78" s="40"/>
      <c r="V78" s="40"/>
    </row>
    <row r="79" spans="1:22" x14ac:dyDescent="0.25">
      <c r="A79" s="40"/>
      <c r="V79" s="40"/>
    </row>
    <row r="80" spans="1:22" x14ac:dyDescent="0.25">
      <c r="A80" s="40"/>
      <c r="V80" s="40"/>
    </row>
    <row r="81" spans="1:22" x14ac:dyDescent="0.25">
      <c r="A81" s="40"/>
      <c r="V81" s="40"/>
    </row>
    <row r="82" spans="1:22" x14ac:dyDescent="0.25">
      <c r="A82" s="40"/>
      <c r="V82" s="40"/>
    </row>
    <row r="83" spans="1:22" x14ac:dyDescent="0.25">
      <c r="A83" s="40"/>
      <c r="V83" s="40"/>
    </row>
    <row r="84" spans="1:22" x14ac:dyDescent="0.25">
      <c r="A84" s="40"/>
      <c r="V84" s="40"/>
    </row>
    <row r="85" spans="1:22" x14ac:dyDescent="0.25">
      <c r="A85" s="40"/>
      <c r="V85" s="40"/>
    </row>
    <row r="86" spans="1:22" x14ac:dyDescent="0.25">
      <c r="A86" s="40"/>
      <c r="V86" s="40"/>
    </row>
    <row r="87" spans="1:22" x14ac:dyDescent="0.25">
      <c r="A87" s="40"/>
      <c r="V87" s="40"/>
    </row>
    <row r="88" spans="1:22" x14ac:dyDescent="0.25">
      <c r="A88" s="40"/>
      <c r="V88" s="40"/>
    </row>
    <row r="89" spans="1:22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</row>
    <row r="91" spans="1:22" ht="21" x14ac:dyDescent="0.35">
      <c r="A91" s="40"/>
      <c r="B91" s="41" t="s">
        <v>62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0"/>
    </row>
    <row r="92" spans="1:22" x14ac:dyDescent="0.25">
      <c r="A92" s="40"/>
      <c r="V92" s="40"/>
    </row>
    <row r="93" spans="1:22" x14ac:dyDescent="0.25">
      <c r="A93" s="40"/>
      <c r="V93" s="40"/>
    </row>
    <row r="94" spans="1:22" x14ac:dyDescent="0.25">
      <c r="A94" s="40"/>
      <c r="V94" s="40"/>
    </row>
    <row r="95" spans="1:22" x14ac:dyDescent="0.25">
      <c r="A95" s="40"/>
      <c r="V95" s="40"/>
    </row>
    <row r="96" spans="1:22" x14ac:dyDescent="0.25">
      <c r="A96" s="40"/>
      <c r="V96" s="40"/>
    </row>
    <row r="97" spans="1:22" x14ac:dyDescent="0.25">
      <c r="A97" s="40"/>
      <c r="V97" s="40"/>
    </row>
    <row r="98" spans="1:22" x14ac:dyDescent="0.25">
      <c r="A98" s="40"/>
      <c r="V98" s="40"/>
    </row>
    <row r="99" spans="1:22" x14ac:dyDescent="0.25">
      <c r="A99" s="40"/>
      <c r="V99" s="40"/>
    </row>
    <row r="100" spans="1:22" x14ac:dyDescent="0.25">
      <c r="A100" s="40"/>
      <c r="V100" s="40"/>
    </row>
    <row r="101" spans="1:22" x14ac:dyDescent="0.25">
      <c r="A101" s="40"/>
      <c r="V101" s="40"/>
    </row>
    <row r="102" spans="1:22" x14ac:dyDescent="0.25">
      <c r="A102" s="40"/>
      <c r="V102" s="40"/>
    </row>
    <row r="103" spans="1:22" x14ac:dyDescent="0.25">
      <c r="A103" s="40"/>
      <c r="V103" s="40"/>
    </row>
    <row r="104" spans="1:22" x14ac:dyDescent="0.25">
      <c r="A104" s="40"/>
      <c r="V104" s="40"/>
    </row>
    <row r="105" spans="1:22" x14ac:dyDescent="0.25">
      <c r="A105" s="40"/>
      <c r="V105" s="40"/>
    </row>
    <row r="106" spans="1:22" x14ac:dyDescent="0.25">
      <c r="A106" s="40"/>
      <c r="V106" s="40"/>
    </row>
    <row r="107" spans="1:22" x14ac:dyDescent="0.25">
      <c r="A107" s="40"/>
      <c r="V107" s="40"/>
    </row>
    <row r="108" spans="1:22" x14ac:dyDescent="0.25">
      <c r="A108" s="40"/>
      <c r="V108" s="40"/>
    </row>
    <row r="109" spans="1:22" x14ac:dyDescent="0.25">
      <c r="A109" s="40"/>
      <c r="V109" s="40"/>
    </row>
    <row r="110" spans="1:22" x14ac:dyDescent="0.25">
      <c r="A110" s="40"/>
      <c r="V110" s="40"/>
    </row>
    <row r="111" spans="1:22" x14ac:dyDescent="0.25">
      <c r="A111" s="40"/>
      <c r="V111" s="40"/>
    </row>
    <row r="112" spans="1:22" x14ac:dyDescent="0.25">
      <c r="A112" s="40"/>
      <c r="V112" s="40"/>
    </row>
    <row r="113" spans="1:22" x14ac:dyDescent="0.25">
      <c r="A113" s="40"/>
      <c r="V113" s="40"/>
    </row>
    <row r="114" spans="1:22" x14ac:dyDescent="0.25">
      <c r="A114" s="40"/>
      <c r="V114" s="40"/>
    </row>
    <row r="115" spans="1:22" x14ac:dyDescent="0.25">
      <c r="A115" s="40"/>
      <c r="V115" s="40"/>
    </row>
    <row r="116" spans="1:22" x14ac:dyDescent="0.25">
      <c r="A116" s="40"/>
      <c r="V116" s="40"/>
    </row>
    <row r="117" spans="1:22" x14ac:dyDescent="0.25">
      <c r="A117" s="40"/>
      <c r="V117" s="40"/>
    </row>
    <row r="118" spans="1:22" x14ac:dyDescent="0.25">
      <c r="A118" s="40"/>
      <c r="V118" s="40"/>
    </row>
    <row r="119" spans="1:22" x14ac:dyDescent="0.25">
      <c r="A119" s="40"/>
      <c r="V119" s="40"/>
    </row>
    <row r="120" spans="1:22" x14ac:dyDescent="0.25">
      <c r="A120" s="40"/>
      <c r="V120" s="40"/>
    </row>
    <row r="121" spans="1:22" x14ac:dyDescent="0.25">
      <c r="A121" s="40"/>
      <c r="V121" s="40"/>
    </row>
    <row r="122" spans="1:22" x14ac:dyDescent="0.25">
      <c r="A122" s="40"/>
      <c r="V122" s="40"/>
    </row>
    <row r="123" spans="1:22" x14ac:dyDescent="0.25">
      <c r="A123" s="40"/>
      <c r="V123" s="40"/>
    </row>
    <row r="124" spans="1:22" x14ac:dyDescent="0.25">
      <c r="A124" s="40"/>
      <c r="V124" s="40"/>
    </row>
    <row r="125" spans="1:22" x14ac:dyDescent="0.25">
      <c r="A125" s="40"/>
      <c r="V125" s="40"/>
    </row>
    <row r="126" spans="1:22" x14ac:dyDescent="0.25">
      <c r="A126" s="40"/>
      <c r="V126" s="40"/>
    </row>
    <row r="127" spans="1:22" x14ac:dyDescent="0.25">
      <c r="A127" s="40"/>
      <c r="V127" s="40"/>
    </row>
    <row r="128" spans="1:22" x14ac:dyDescent="0.25">
      <c r="A128" s="40"/>
      <c r="V128" s="40"/>
    </row>
    <row r="129" spans="1:22" x14ac:dyDescent="0.25">
      <c r="A129" s="40"/>
      <c r="V129" s="40"/>
    </row>
    <row r="130" spans="1:22" x14ac:dyDescent="0.25">
      <c r="A130" s="40"/>
      <c r="V130" s="40"/>
    </row>
    <row r="131" spans="1:22" x14ac:dyDescent="0.25">
      <c r="A131" s="40"/>
      <c r="V131" s="40"/>
    </row>
    <row r="132" spans="1:22" x14ac:dyDescent="0.25">
      <c r="A132" s="40"/>
      <c r="V132" s="40"/>
    </row>
    <row r="133" spans="1:22" x14ac:dyDescent="0.25">
      <c r="A133" s="40"/>
      <c r="V133" s="40"/>
    </row>
    <row r="134" spans="1:22" x14ac:dyDescent="0.25">
      <c r="A134" s="40"/>
      <c r="V134" s="40"/>
    </row>
    <row r="135" spans="1:22" x14ac:dyDescent="0.25">
      <c r="A135" s="40"/>
      <c r="V135" s="40"/>
    </row>
    <row r="136" spans="1:22" x14ac:dyDescent="0.25">
      <c r="A136" s="40"/>
      <c r="V136" s="40"/>
    </row>
    <row r="137" spans="1:22" x14ac:dyDescent="0.25">
      <c r="A137" s="40"/>
      <c r="V137" s="40"/>
    </row>
    <row r="138" spans="1:22" x14ac:dyDescent="0.25">
      <c r="A138" s="40"/>
      <c r="V138" s="40"/>
    </row>
    <row r="139" spans="1:22" x14ac:dyDescent="0.25">
      <c r="A139" s="40"/>
      <c r="V139" s="40"/>
    </row>
    <row r="140" spans="1:22" x14ac:dyDescent="0.25">
      <c r="A140" s="40"/>
      <c r="V140" s="40"/>
    </row>
    <row r="141" spans="1:22" x14ac:dyDescent="0.25">
      <c r="A141" s="40"/>
      <c r="V141" s="40"/>
    </row>
    <row r="142" spans="1:22" x14ac:dyDescent="0.25">
      <c r="A142" s="40"/>
      <c r="V142" s="40"/>
    </row>
    <row r="143" spans="1:22" x14ac:dyDescent="0.25">
      <c r="A143" s="40"/>
      <c r="V143" s="40"/>
    </row>
    <row r="144" spans="1:22" x14ac:dyDescent="0.25">
      <c r="A144" s="40"/>
      <c r="V144" s="40"/>
    </row>
    <row r="145" spans="1:22" x14ac:dyDescent="0.25">
      <c r="A145" s="40"/>
      <c r="V145" s="40"/>
    </row>
    <row r="146" spans="1:22" x14ac:dyDescent="0.2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</row>
  </sheetData>
  <mergeCells count="5">
    <mergeCell ref="B6:U6"/>
    <mergeCell ref="B8:U8"/>
    <mergeCell ref="B34:U34"/>
    <mergeCell ref="B61:U61"/>
    <mergeCell ref="B91:U9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D19BE-6F1B-4080-8A9F-CCD811CA676C}">
  <dimension ref="A1:C6"/>
  <sheetViews>
    <sheetView showGridLines="0" zoomScale="160" zoomScaleNormal="160" workbookViewId="0"/>
  </sheetViews>
  <sheetFormatPr defaultRowHeight="15" x14ac:dyDescent="0.25"/>
  <cols>
    <col min="1" max="1" width="12.5703125" bestFit="1" customWidth="1"/>
    <col min="3" max="3" width="10.42578125" bestFit="1" customWidth="1"/>
  </cols>
  <sheetData>
    <row r="1" spans="1:3" x14ac:dyDescent="0.25">
      <c r="A1" t="s">
        <v>19</v>
      </c>
      <c r="C1" t="s">
        <v>27</v>
      </c>
    </row>
    <row r="2" spans="1:3" x14ac:dyDescent="0.25">
      <c r="A2" t="s">
        <v>22</v>
      </c>
      <c r="C2" t="s">
        <v>28</v>
      </c>
    </row>
    <row r="3" spans="1:3" x14ac:dyDescent="0.25">
      <c r="A3" t="s">
        <v>23</v>
      </c>
      <c r="C3" t="s">
        <v>56</v>
      </c>
    </row>
    <row r="4" spans="1:3" x14ac:dyDescent="0.25">
      <c r="A4" t="s">
        <v>24</v>
      </c>
    </row>
    <row r="5" spans="1:3" x14ac:dyDescent="0.25">
      <c r="A5" t="s">
        <v>26</v>
      </c>
    </row>
    <row r="6" spans="1:3" x14ac:dyDescent="0.25">
      <c r="A6" t="s">
        <v>25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31167-1D9C-4330-9754-38D0DD524F32}">
  <sheetPr codeName="Planilha2"/>
  <dimension ref="A1:G7"/>
  <sheetViews>
    <sheetView showGridLines="0" workbookViewId="0"/>
  </sheetViews>
  <sheetFormatPr defaultRowHeight="15" x14ac:dyDescent="0.25"/>
  <cols>
    <col min="1" max="3" width="20.140625" customWidth="1"/>
    <col min="4" max="4" width="27" customWidth="1"/>
    <col min="5" max="5" width="22.42578125" customWidth="1"/>
    <col min="6" max="7" width="18.7109375" customWidth="1"/>
  </cols>
  <sheetData>
    <row r="1" spans="1:7" x14ac:dyDescent="0.25">
      <c r="A1" s="3" t="s">
        <v>1</v>
      </c>
      <c r="B1" s="3" t="s">
        <v>19</v>
      </c>
      <c r="C1" s="3" t="s">
        <v>27</v>
      </c>
      <c r="D1" s="3" t="s">
        <v>30</v>
      </c>
      <c r="E1" s="3" t="s">
        <v>5</v>
      </c>
      <c r="F1" s="6" t="s">
        <v>20</v>
      </c>
      <c r="G1" s="3" t="s">
        <v>21</v>
      </c>
    </row>
    <row r="2" spans="1:7" x14ac:dyDescent="0.25">
      <c r="A2" t="s">
        <v>13</v>
      </c>
      <c r="B2" t="s">
        <v>22</v>
      </c>
      <c r="C2" t="s">
        <v>28</v>
      </c>
      <c r="D2" s="8" t="s">
        <v>31</v>
      </c>
      <c r="E2" t="s">
        <v>37</v>
      </c>
      <c r="F2" s="7">
        <v>23000</v>
      </c>
      <c r="G2" s="1">
        <v>40543</v>
      </c>
    </row>
    <row r="3" spans="1:7" x14ac:dyDescent="0.25">
      <c r="A3" t="s">
        <v>14</v>
      </c>
      <c r="B3" t="s">
        <v>23</v>
      </c>
      <c r="C3" t="s">
        <v>28</v>
      </c>
      <c r="D3" s="8" t="s">
        <v>32</v>
      </c>
      <c r="E3" t="s">
        <v>38</v>
      </c>
      <c r="F3" s="7">
        <v>18000</v>
      </c>
      <c r="G3" s="1">
        <v>40378</v>
      </c>
    </row>
    <row r="4" spans="1:7" x14ac:dyDescent="0.25">
      <c r="A4" t="s">
        <v>15</v>
      </c>
      <c r="B4" t="s">
        <v>23</v>
      </c>
      <c r="C4" t="s">
        <v>28</v>
      </c>
      <c r="D4" s="8" t="s">
        <v>33</v>
      </c>
      <c r="E4" t="s">
        <v>39</v>
      </c>
      <c r="F4" s="7">
        <v>16500</v>
      </c>
      <c r="G4" s="1">
        <v>41133</v>
      </c>
    </row>
    <row r="5" spans="1:7" x14ac:dyDescent="0.25">
      <c r="A5" t="s">
        <v>16</v>
      </c>
      <c r="B5" t="s">
        <v>24</v>
      </c>
      <c r="C5" t="s">
        <v>28</v>
      </c>
      <c r="D5" s="8" t="s">
        <v>34</v>
      </c>
      <c r="E5" t="s">
        <v>40</v>
      </c>
      <c r="F5" s="7">
        <v>11000</v>
      </c>
      <c r="G5" s="1">
        <v>41043</v>
      </c>
    </row>
    <row r="6" spans="1:7" x14ac:dyDescent="0.25">
      <c r="A6" t="s">
        <v>17</v>
      </c>
      <c r="B6" t="s">
        <v>26</v>
      </c>
      <c r="C6" t="s">
        <v>28</v>
      </c>
      <c r="D6" s="8" t="s">
        <v>35</v>
      </c>
      <c r="E6" t="s">
        <v>41</v>
      </c>
      <c r="F6" s="7">
        <v>4000</v>
      </c>
      <c r="G6" s="1">
        <v>41525</v>
      </c>
    </row>
    <row r="7" spans="1:7" x14ac:dyDescent="0.25">
      <c r="A7" t="s">
        <v>18</v>
      </c>
      <c r="B7" t="s">
        <v>25</v>
      </c>
      <c r="C7" t="s">
        <v>28</v>
      </c>
      <c r="D7" s="8" t="s">
        <v>36</v>
      </c>
      <c r="E7" t="s">
        <v>42</v>
      </c>
      <c r="F7" s="7">
        <v>1200</v>
      </c>
      <c r="G7" s="1">
        <v>42013</v>
      </c>
    </row>
  </sheetData>
  <dataValidations count="2">
    <dataValidation type="list" allowBlank="1" showInputMessage="1" showErrorMessage="1" sqref="B2:B7" xr:uid="{BE948250-AE43-481A-96A5-2D223C359D0A}">
      <formula1>INDIRECT("FUNCAO[Função]")</formula1>
    </dataValidation>
    <dataValidation type="list" allowBlank="1" showInputMessage="1" showErrorMessage="1" sqref="C2:C7" xr:uid="{7124161E-2264-407D-B154-C87009DA894E}">
      <formula1>INDIRECT("AREA[Área]")</formula1>
    </dataValidation>
  </dataValidations>
  <hyperlinks>
    <hyperlink ref="D2" r:id="rId1" xr:uid="{D6327AA4-FEA7-4EDF-A754-43B2D896C89D}"/>
    <hyperlink ref="D3" r:id="rId2" xr:uid="{091E78D1-16D5-4980-AD87-CAD9F019EEB1}"/>
    <hyperlink ref="D4" r:id="rId3" xr:uid="{A5E47DCC-2F1D-4832-8EF5-F42E407611FB}"/>
    <hyperlink ref="D5" r:id="rId4" xr:uid="{77711414-E3A2-4B0B-9A4F-757A70F9F7D2}"/>
    <hyperlink ref="D6" r:id="rId5" xr:uid="{698913D1-B000-43BE-965D-9FF1978BBA75}"/>
    <hyperlink ref="D7" r:id="rId6" xr:uid="{9DC09259-09E5-42F0-996D-432DCF91A907}"/>
  </hyperlinks>
  <pageMargins left="0.511811024" right="0.511811024" top="0.78740157499999996" bottom="0.78740157499999996" header="0.31496062000000002" footer="0.31496062000000002"/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4D6F-E08D-4D6A-BA94-FC78F56B2534}">
  <sheetPr codeName="Planilha3"/>
  <dimension ref="A1:K127"/>
  <sheetViews>
    <sheetView showGridLines="0" zoomScale="85" zoomScaleNormal="85" workbookViewId="0">
      <selection activeCell="F30" sqref="F30"/>
    </sheetView>
  </sheetViews>
  <sheetFormatPr defaultRowHeight="15" x14ac:dyDescent="0.25"/>
  <cols>
    <col min="1" max="6" width="18.5703125" customWidth="1"/>
    <col min="7" max="7" width="22" bestFit="1" customWidth="1"/>
    <col min="8" max="8" width="19.140625" customWidth="1"/>
    <col min="9" max="11" width="18.5703125" customWidth="1"/>
    <col min="12" max="12" width="15.85546875" customWidth="1"/>
    <col min="13" max="13" width="18.85546875" customWidth="1"/>
  </cols>
  <sheetData>
    <row r="1" spans="1:11" x14ac:dyDescent="0.25">
      <c r="A1" s="3" t="s">
        <v>3</v>
      </c>
      <c r="B1" s="3" t="s">
        <v>7</v>
      </c>
      <c r="C1" s="3" t="s">
        <v>8</v>
      </c>
      <c r="D1" s="3" t="s">
        <v>10</v>
      </c>
      <c r="E1" s="3" t="s">
        <v>11</v>
      </c>
      <c r="F1" s="3" t="s">
        <v>9</v>
      </c>
      <c r="G1" s="3" t="s">
        <v>29</v>
      </c>
      <c r="H1" s="3" t="s">
        <v>12</v>
      </c>
      <c r="I1" s="3" t="s">
        <v>6</v>
      </c>
      <c r="K1" s="2"/>
    </row>
    <row r="2" spans="1:11" x14ac:dyDescent="0.25">
      <c r="A2" t="s">
        <v>13</v>
      </c>
      <c r="B2" s="20">
        <v>42584</v>
      </c>
      <c r="C2" s="2">
        <v>0.36278899999999997</v>
      </c>
      <c r="D2" s="2">
        <v>0.502938</v>
      </c>
      <c r="E2" s="2">
        <v>0.539659</v>
      </c>
      <c r="F2" s="2">
        <v>0.74990599999999996</v>
      </c>
      <c r="G2" s="2">
        <v>0.33333333333333331</v>
      </c>
      <c r="H2" s="29">
        <f t="shared" ref="H2:H33" si="0">(F2-C2)-(E2-D2)</f>
        <v>0.35039599999999999</v>
      </c>
      <c r="I2" s="29">
        <f t="shared" ref="I2:I33" si="1">H2-G2</f>
        <v>1.706266666666667E-2</v>
      </c>
      <c r="K2" s="2"/>
    </row>
    <row r="3" spans="1:11" x14ac:dyDescent="0.25">
      <c r="A3" t="s">
        <v>14</v>
      </c>
      <c r="B3" s="20">
        <v>42584</v>
      </c>
      <c r="C3" s="2">
        <v>0.37372</v>
      </c>
      <c r="D3" s="2">
        <v>0.498867</v>
      </c>
      <c r="E3" s="2">
        <v>0.54352500000000004</v>
      </c>
      <c r="F3" s="2">
        <v>0.74633700000000003</v>
      </c>
      <c r="G3" s="2">
        <v>0.33333333333333331</v>
      </c>
      <c r="H3" s="29">
        <f t="shared" si="0"/>
        <v>0.327959</v>
      </c>
      <c r="I3" s="29">
        <f t="shared" si="1"/>
        <v>-5.3743333333333143E-3</v>
      </c>
      <c r="K3" s="2"/>
    </row>
    <row r="4" spans="1:11" x14ac:dyDescent="0.25">
      <c r="A4" t="s">
        <v>15</v>
      </c>
      <c r="B4" s="20">
        <v>42584</v>
      </c>
      <c r="C4" s="2">
        <v>0.38076599999999999</v>
      </c>
      <c r="D4" s="2">
        <v>0.50064600000000004</v>
      </c>
      <c r="E4" s="2">
        <v>0.53743099999999999</v>
      </c>
      <c r="F4" s="2">
        <v>0.74935600000000002</v>
      </c>
      <c r="G4" s="2">
        <v>0.33333333333333331</v>
      </c>
      <c r="H4" s="29">
        <f t="shared" si="0"/>
        <v>0.33180500000000007</v>
      </c>
      <c r="I4" s="29">
        <f t="shared" si="1"/>
        <v>-1.5283333333332427E-3</v>
      </c>
      <c r="K4" s="2"/>
    </row>
    <row r="5" spans="1:11" x14ac:dyDescent="0.25">
      <c r="A5" t="s">
        <v>16</v>
      </c>
      <c r="B5" s="20">
        <v>42584</v>
      </c>
      <c r="C5" s="2">
        <v>0.38388100000000003</v>
      </c>
      <c r="D5" s="2">
        <v>0.49762600000000001</v>
      </c>
      <c r="E5" s="2">
        <v>0.53547999999999996</v>
      </c>
      <c r="F5" s="2">
        <v>0.75262399999999996</v>
      </c>
      <c r="G5" s="2">
        <v>0.33333333333333331</v>
      </c>
      <c r="H5" s="29">
        <f t="shared" si="0"/>
        <v>0.33088899999999999</v>
      </c>
      <c r="I5" s="29">
        <f t="shared" si="1"/>
        <v>-2.4443333333333261E-3</v>
      </c>
      <c r="K5" s="2"/>
    </row>
    <row r="6" spans="1:11" x14ac:dyDescent="0.25">
      <c r="A6" t="s">
        <v>17</v>
      </c>
      <c r="B6" s="20">
        <v>42584</v>
      </c>
      <c r="C6" s="2">
        <v>0.38299100000000003</v>
      </c>
      <c r="D6" s="2">
        <v>0.49935200000000002</v>
      </c>
      <c r="E6" s="2">
        <v>0.536551</v>
      </c>
      <c r="F6" s="2">
        <v>0.74412299999999998</v>
      </c>
      <c r="G6" s="2">
        <v>0.33333333333333331</v>
      </c>
      <c r="H6" s="29">
        <f t="shared" si="0"/>
        <v>0.32393299999999997</v>
      </c>
      <c r="I6" s="29">
        <f t="shared" si="1"/>
        <v>-9.4003333333333439E-3</v>
      </c>
      <c r="K6" s="2"/>
    </row>
    <row r="7" spans="1:11" x14ac:dyDescent="0.25">
      <c r="A7" t="s">
        <v>18</v>
      </c>
      <c r="B7" s="20">
        <v>42584</v>
      </c>
      <c r="C7" s="2">
        <v>0.365921</v>
      </c>
      <c r="D7" s="2">
        <v>0.49841099999999999</v>
      </c>
      <c r="E7" s="2">
        <v>0.53988800000000003</v>
      </c>
      <c r="F7" s="2">
        <v>0.74961699999999998</v>
      </c>
      <c r="G7" s="2">
        <v>0.33333333333333331</v>
      </c>
      <c r="H7" s="29">
        <f t="shared" si="0"/>
        <v>0.34221899999999994</v>
      </c>
      <c r="I7" s="29">
        <f t="shared" si="1"/>
        <v>8.8856666666666251E-3</v>
      </c>
      <c r="K7" s="2"/>
    </row>
    <row r="8" spans="1:11" x14ac:dyDescent="0.25">
      <c r="A8" t="s">
        <v>13</v>
      </c>
      <c r="B8" s="20">
        <v>42585</v>
      </c>
      <c r="C8" s="2">
        <v>0.38120500000000002</v>
      </c>
      <c r="D8" s="2">
        <v>0.50184600000000001</v>
      </c>
      <c r="E8" s="2">
        <v>0.54410700000000001</v>
      </c>
      <c r="F8" s="2">
        <v>0.74624500000000005</v>
      </c>
      <c r="G8" s="2">
        <v>0.33333333333333331</v>
      </c>
      <c r="H8" s="29">
        <f t="shared" si="0"/>
        <v>0.32277900000000004</v>
      </c>
      <c r="I8" s="29">
        <f t="shared" si="1"/>
        <v>-1.0554333333333277E-2</v>
      </c>
      <c r="K8" s="2"/>
    </row>
    <row r="9" spans="1:11" x14ac:dyDescent="0.25">
      <c r="A9" t="s">
        <v>14</v>
      </c>
      <c r="B9" s="20">
        <v>42585</v>
      </c>
      <c r="C9" s="2">
        <v>0.37450699999999998</v>
      </c>
      <c r="D9" s="2">
        <v>0.49991099999999999</v>
      </c>
      <c r="E9" s="2">
        <v>0.53691</v>
      </c>
      <c r="F9" s="2">
        <v>0.75317699999999999</v>
      </c>
      <c r="G9" s="2">
        <v>0.33333333333333331</v>
      </c>
      <c r="H9" s="29">
        <f t="shared" si="0"/>
        <v>0.341671</v>
      </c>
      <c r="I9" s="29">
        <f t="shared" si="1"/>
        <v>8.3376666666666877E-3</v>
      </c>
      <c r="K9" s="2"/>
    </row>
    <row r="10" spans="1:11" x14ac:dyDescent="0.25">
      <c r="A10" t="s">
        <v>15</v>
      </c>
      <c r="B10" s="20">
        <v>42585</v>
      </c>
      <c r="C10" s="2">
        <v>0.37377899999999997</v>
      </c>
      <c r="D10" s="2">
        <v>0.49899100000000002</v>
      </c>
      <c r="E10" s="2">
        <v>0.54145900000000002</v>
      </c>
      <c r="F10" s="2">
        <v>0.752579</v>
      </c>
      <c r="G10" s="2">
        <v>0.33333333333333331</v>
      </c>
      <c r="H10" s="29">
        <f t="shared" si="0"/>
        <v>0.33633200000000002</v>
      </c>
      <c r="I10" s="29">
        <f t="shared" si="1"/>
        <v>2.998666666666705E-3</v>
      </c>
      <c r="K10" s="2"/>
    </row>
    <row r="11" spans="1:11" x14ac:dyDescent="0.25">
      <c r="A11" t="s">
        <v>16</v>
      </c>
      <c r="B11" s="20">
        <v>42585</v>
      </c>
      <c r="C11" s="2">
        <v>0.36163499999999998</v>
      </c>
      <c r="D11" s="2">
        <v>0.49755899999999997</v>
      </c>
      <c r="E11" s="2">
        <v>0.54017000000000004</v>
      </c>
      <c r="F11" s="2">
        <v>0.74596899999999999</v>
      </c>
      <c r="G11" s="2">
        <v>0.33333333333333331</v>
      </c>
      <c r="H11" s="29">
        <f t="shared" si="0"/>
        <v>0.34172299999999994</v>
      </c>
      <c r="I11" s="29">
        <f t="shared" si="1"/>
        <v>8.3896666666666286E-3</v>
      </c>
      <c r="K11" s="2"/>
    </row>
    <row r="12" spans="1:11" x14ac:dyDescent="0.25">
      <c r="A12" t="s">
        <v>17</v>
      </c>
      <c r="B12" s="20">
        <v>42585</v>
      </c>
      <c r="C12" s="2">
        <v>0.38097500000000001</v>
      </c>
      <c r="D12" s="2">
        <v>0.49715999999999999</v>
      </c>
      <c r="E12" s="2">
        <v>0.53689100000000001</v>
      </c>
      <c r="F12" s="2">
        <v>0.74400500000000003</v>
      </c>
      <c r="G12" s="2">
        <v>0.33333333333333331</v>
      </c>
      <c r="H12" s="29">
        <f t="shared" si="0"/>
        <v>0.323299</v>
      </c>
      <c r="I12" s="29">
        <f t="shared" si="1"/>
        <v>-1.0034333333333312E-2</v>
      </c>
      <c r="K12" s="2"/>
    </row>
    <row r="13" spans="1:11" x14ac:dyDescent="0.25">
      <c r="A13" t="s">
        <v>18</v>
      </c>
      <c r="B13" s="20">
        <v>42585</v>
      </c>
      <c r="C13" s="2">
        <v>0.38452599999999998</v>
      </c>
      <c r="D13" s="2">
        <v>0.50083500000000003</v>
      </c>
      <c r="E13" s="2">
        <v>0.53535900000000003</v>
      </c>
      <c r="F13" s="2">
        <v>0.75084099999999998</v>
      </c>
      <c r="G13" s="2">
        <v>0.33333333333333331</v>
      </c>
      <c r="H13" s="29">
        <f t="shared" si="0"/>
        <v>0.331791</v>
      </c>
      <c r="I13" s="29">
        <f t="shared" si="1"/>
        <v>-1.5423333333333122E-3</v>
      </c>
      <c r="K13" s="2"/>
    </row>
    <row r="14" spans="1:11" x14ac:dyDescent="0.25">
      <c r="A14" t="s">
        <v>13</v>
      </c>
      <c r="B14" s="20">
        <v>42586</v>
      </c>
      <c r="C14" s="2">
        <v>0.36499799999999999</v>
      </c>
      <c r="D14" s="2">
        <v>0.50100699999999998</v>
      </c>
      <c r="E14" s="2">
        <v>0.53967600000000004</v>
      </c>
      <c r="F14" s="2">
        <v>0.74780999999999997</v>
      </c>
      <c r="G14" s="2">
        <v>0.33333333333333331</v>
      </c>
      <c r="H14" s="29">
        <f t="shared" si="0"/>
        <v>0.34414299999999992</v>
      </c>
      <c r="I14" s="29">
        <f t="shared" si="1"/>
        <v>1.0809666666666606E-2</v>
      </c>
      <c r="K14" s="2"/>
    </row>
    <row r="15" spans="1:11" x14ac:dyDescent="0.25">
      <c r="A15" t="s">
        <v>14</v>
      </c>
      <c r="B15" s="20">
        <v>42586</v>
      </c>
      <c r="C15" s="2">
        <v>0.379691</v>
      </c>
      <c r="D15" s="2">
        <v>0.49851600000000001</v>
      </c>
      <c r="E15" s="2">
        <v>0.54329899999999998</v>
      </c>
      <c r="F15" s="2">
        <v>0.74638599999999999</v>
      </c>
      <c r="G15" s="2">
        <v>0.33333333333333331</v>
      </c>
      <c r="H15" s="29">
        <f t="shared" si="0"/>
        <v>0.32191200000000003</v>
      </c>
      <c r="I15" s="29">
        <f t="shared" si="1"/>
        <v>-1.1421333333333283E-2</v>
      </c>
      <c r="K15" s="2"/>
    </row>
    <row r="16" spans="1:11" x14ac:dyDescent="0.25">
      <c r="A16" t="s">
        <v>15</v>
      </c>
      <c r="B16" s="20">
        <v>42586</v>
      </c>
      <c r="C16" s="2">
        <v>0.36475600000000002</v>
      </c>
      <c r="D16" s="2">
        <v>0.49907699999999999</v>
      </c>
      <c r="E16" s="2">
        <v>0.53691100000000003</v>
      </c>
      <c r="F16" s="2">
        <v>0.74713700000000005</v>
      </c>
      <c r="G16" s="2">
        <v>0.33333333333333331</v>
      </c>
      <c r="H16" s="29">
        <f t="shared" si="0"/>
        <v>0.34454699999999999</v>
      </c>
      <c r="I16" s="29">
        <f t="shared" si="1"/>
        <v>1.1213666666666677E-2</v>
      </c>
      <c r="K16" s="2"/>
    </row>
    <row r="17" spans="1:11" x14ac:dyDescent="0.25">
      <c r="A17" t="s">
        <v>16</v>
      </c>
      <c r="B17" s="20">
        <v>42586</v>
      </c>
      <c r="C17" s="2">
        <v>0.36585200000000001</v>
      </c>
      <c r="D17" s="2">
        <v>0.50265499999999996</v>
      </c>
      <c r="E17" s="2">
        <v>0.53557299999999997</v>
      </c>
      <c r="F17" s="2">
        <v>0.75021199999999999</v>
      </c>
      <c r="G17" s="2">
        <v>0.33333333333333331</v>
      </c>
      <c r="H17" s="29">
        <f t="shared" si="0"/>
        <v>0.35144199999999998</v>
      </c>
      <c r="I17" s="29">
        <f t="shared" si="1"/>
        <v>1.8108666666666662E-2</v>
      </c>
      <c r="K17" s="2"/>
    </row>
    <row r="18" spans="1:11" x14ac:dyDescent="0.25">
      <c r="A18" t="s">
        <v>17</v>
      </c>
      <c r="B18" s="20">
        <v>42586</v>
      </c>
      <c r="C18" s="2">
        <v>0.37326799999999999</v>
      </c>
      <c r="D18" s="2">
        <v>0.49668299999999999</v>
      </c>
      <c r="E18" s="2">
        <v>0.54304399999999997</v>
      </c>
      <c r="F18" s="2">
        <v>0.74444900000000003</v>
      </c>
      <c r="G18" s="2">
        <v>0.33333333333333331</v>
      </c>
      <c r="H18" s="29">
        <f t="shared" si="0"/>
        <v>0.32482000000000005</v>
      </c>
      <c r="I18" s="29">
        <f t="shared" si="1"/>
        <v>-8.5133333333332617E-3</v>
      </c>
      <c r="K18" s="2"/>
    </row>
    <row r="19" spans="1:11" x14ac:dyDescent="0.25">
      <c r="A19" t="s">
        <v>18</v>
      </c>
      <c r="B19" s="20">
        <v>42586</v>
      </c>
      <c r="C19" s="2">
        <v>0.36444300000000002</v>
      </c>
      <c r="D19" s="2">
        <v>0.49832300000000002</v>
      </c>
      <c r="E19" s="2">
        <v>0.534941</v>
      </c>
      <c r="F19" s="2">
        <v>0.74629900000000005</v>
      </c>
      <c r="G19" s="2">
        <v>0.33333333333333331</v>
      </c>
      <c r="H19" s="29">
        <f t="shared" si="0"/>
        <v>0.34523800000000004</v>
      </c>
      <c r="I19" s="29">
        <f t="shared" si="1"/>
        <v>1.190466666666673E-2</v>
      </c>
      <c r="K19" s="2"/>
    </row>
    <row r="20" spans="1:11" x14ac:dyDescent="0.25">
      <c r="A20" t="s">
        <v>13</v>
      </c>
      <c r="B20" s="20">
        <v>42587</v>
      </c>
      <c r="C20" s="2">
        <v>0.36278899999999997</v>
      </c>
      <c r="D20" s="2">
        <v>0.502938</v>
      </c>
      <c r="E20" s="2">
        <v>0.539659</v>
      </c>
      <c r="F20" s="2">
        <v>0.74990599999999996</v>
      </c>
      <c r="G20" s="2">
        <v>0.33333333333333331</v>
      </c>
      <c r="H20" s="29">
        <f t="shared" si="0"/>
        <v>0.35039599999999999</v>
      </c>
      <c r="I20" s="29">
        <f t="shared" si="1"/>
        <v>1.706266666666667E-2</v>
      </c>
      <c r="K20" s="2"/>
    </row>
    <row r="21" spans="1:11" x14ac:dyDescent="0.25">
      <c r="A21" t="s">
        <v>14</v>
      </c>
      <c r="B21" s="20">
        <v>42587</v>
      </c>
      <c r="C21" s="2">
        <v>0.37372</v>
      </c>
      <c r="D21" s="2">
        <v>0.498867</v>
      </c>
      <c r="E21" s="2">
        <v>0.54352500000000004</v>
      </c>
      <c r="F21" s="2">
        <v>0.74633700000000003</v>
      </c>
      <c r="G21" s="2">
        <v>0.33333333333333331</v>
      </c>
      <c r="H21" s="29">
        <f t="shared" si="0"/>
        <v>0.327959</v>
      </c>
      <c r="I21" s="29">
        <f t="shared" si="1"/>
        <v>-5.3743333333333143E-3</v>
      </c>
      <c r="K21" s="2"/>
    </row>
    <row r="22" spans="1:11" x14ac:dyDescent="0.25">
      <c r="A22" t="s">
        <v>15</v>
      </c>
      <c r="B22" s="20">
        <v>42587</v>
      </c>
      <c r="C22" s="2">
        <v>0.38076599999999999</v>
      </c>
      <c r="D22" s="2">
        <v>0.50064600000000004</v>
      </c>
      <c r="E22" s="2">
        <v>0.53743099999999999</v>
      </c>
      <c r="F22" s="2">
        <v>0.74935600000000002</v>
      </c>
      <c r="G22" s="2">
        <v>0.33333333333333331</v>
      </c>
      <c r="H22" s="29">
        <f t="shared" si="0"/>
        <v>0.33180500000000007</v>
      </c>
      <c r="I22" s="29">
        <f t="shared" si="1"/>
        <v>-1.5283333333332427E-3</v>
      </c>
      <c r="K22" s="2"/>
    </row>
    <row r="23" spans="1:11" x14ac:dyDescent="0.25">
      <c r="A23" t="s">
        <v>16</v>
      </c>
      <c r="B23" s="20">
        <v>42587</v>
      </c>
      <c r="C23" s="2">
        <v>0.38388100000000003</v>
      </c>
      <c r="D23" s="2">
        <v>0.49762600000000001</v>
      </c>
      <c r="E23" s="2">
        <v>0.53547999999999996</v>
      </c>
      <c r="F23" s="2">
        <v>0.75262399999999996</v>
      </c>
      <c r="G23" s="2">
        <v>0.33333333333333331</v>
      </c>
      <c r="H23" s="29">
        <f t="shared" si="0"/>
        <v>0.33088899999999999</v>
      </c>
      <c r="I23" s="29">
        <f t="shared" si="1"/>
        <v>-2.4443333333333261E-3</v>
      </c>
      <c r="K23" s="2"/>
    </row>
    <row r="24" spans="1:11" x14ac:dyDescent="0.25">
      <c r="A24" t="s">
        <v>17</v>
      </c>
      <c r="B24" s="20">
        <v>42587</v>
      </c>
      <c r="C24" s="2">
        <v>0.38299100000000003</v>
      </c>
      <c r="D24" s="2">
        <v>0.49935200000000002</v>
      </c>
      <c r="E24" s="2">
        <v>0.536551</v>
      </c>
      <c r="F24" s="2">
        <v>0.74412299999999998</v>
      </c>
      <c r="G24" s="2">
        <v>0.33333333333333331</v>
      </c>
      <c r="H24" s="29">
        <f t="shared" si="0"/>
        <v>0.32393299999999997</v>
      </c>
      <c r="I24" s="29">
        <f t="shared" si="1"/>
        <v>-9.4003333333333439E-3</v>
      </c>
      <c r="K24" s="2"/>
    </row>
    <row r="25" spans="1:11" x14ac:dyDescent="0.25">
      <c r="A25" t="s">
        <v>18</v>
      </c>
      <c r="B25" s="20">
        <v>42587</v>
      </c>
      <c r="C25" s="2">
        <v>0.365921</v>
      </c>
      <c r="D25" s="2">
        <v>0.49841099999999999</v>
      </c>
      <c r="E25" s="2">
        <v>0.53988800000000003</v>
      </c>
      <c r="F25" s="2">
        <v>0.74961699999999998</v>
      </c>
      <c r="G25" s="2">
        <v>0.33333333333333331</v>
      </c>
      <c r="H25" s="29">
        <f t="shared" si="0"/>
        <v>0.34221899999999994</v>
      </c>
      <c r="I25" s="29">
        <f t="shared" si="1"/>
        <v>8.8856666666666251E-3</v>
      </c>
      <c r="K25" s="2"/>
    </row>
    <row r="26" spans="1:11" x14ac:dyDescent="0.25">
      <c r="A26" t="s">
        <v>13</v>
      </c>
      <c r="B26" s="20">
        <v>42588</v>
      </c>
      <c r="C26" s="2">
        <v>0.38120500000000002</v>
      </c>
      <c r="D26" s="2">
        <v>0.50184600000000001</v>
      </c>
      <c r="E26" s="2">
        <v>0.54410700000000001</v>
      </c>
      <c r="F26" s="2">
        <v>0.74624500000000005</v>
      </c>
      <c r="G26" s="2">
        <v>0.33333333333333331</v>
      </c>
      <c r="H26" s="29">
        <f t="shared" si="0"/>
        <v>0.32277900000000004</v>
      </c>
      <c r="I26" s="29">
        <f t="shared" si="1"/>
        <v>-1.0554333333333277E-2</v>
      </c>
      <c r="K26" s="2"/>
    </row>
    <row r="27" spans="1:11" x14ac:dyDescent="0.25">
      <c r="A27" t="s">
        <v>14</v>
      </c>
      <c r="B27" s="20">
        <v>42588</v>
      </c>
      <c r="C27" s="2">
        <v>0.37450699999999998</v>
      </c>
      <c r="D27" s="2">
        <v>0.49991099999999999</v>
      </c>
      <c r="E27" s="2">
        <v>0.53691</v>
      </c>
      <c r="F27" s="2">
        <v>0.75317699999999999</v>
      </c>
      <c r="G27" s="2">
        <v>0.33333333333333331</v>
      </c>
      <c r="H27" s="29">
        <f t="shared" si="0"/>
        <v>0.341671</v>
      </c>
      <c r="I27" s="29">
        <f t="shared" si="1"/>
        <v>8.3376666666666877E-3</v>
      </c>
      <c r="K27" s="2"/>
    </row>
    <row r="28" spans="1:11" x14ac:dyDescent="0.25">
      <c r="A28" t="s">
        <v>15</v>
      </c>
      <c r="B28" s="20">
        <v>42588</v>
      </c>
      <c r="C28" s="2">
        <v>0.37377899999999997</v>
      </c>
      <c r="D28" s="2">
        <v>0.49899100000000002</v>
      </c>
      <c r="E28" s="2">
        <v>0.54145900000000002</v>
      </c>
      <c r="F28" s="2">
        <v>0.752579</v>
      </c>
      <c r="G28" s="2">
        <v>0.33333333333333331</v>
      </c>
      <c r="H28" s="29">
        <f t="shared" si="0"/>
        <v>0.33633200000000002</v>
      </c>
      <c r="I28" s="29">
        <f t="shared" si="1"/>
        <v>2.998666666666705E-3</v>
      </c>
      <c r="K28" s="2"/>
    </row>
    <row r="29" spans="1:11" x14ac:dyDescent="0.25">
      <c r="A29" t="s">
        <v>16</v>
      </c>
      <c r="B29" s="20">
        <v>42588</v>
      </c>
      <c r="C29" s="2">
        <v>0.36163499999999998</v>
      </c>
      <c r="D29" s="2">
        <v>0.49755899999999997</v>
      </c>
      <c r="E29" s="2">
        <v>0.54017000000000004</v>
      </c>
      <c r="F29" s="2">
        <v>0.74596899999999999</v>
      </c>
      <c r="G29" s="2">
        <v>0.33333333333333331</v>
      </c>
      <c r="H29" s="29">
        <f t="shared" si="0"/>
        <v>0.34172299999999994</v>
      </c>
      <c r="I29" s="29">
        <f t="shared" si="1"/>
        <v>8.3896666666666286E-3</v>
      </c>
      <c r="K29" s="2"/>
    </row>
    <row r="30" spans="1:11" x14ac:dyDescent="0.25">
      <c r="A30" t="s">
        <v>17</v>
      </c>
      <c r="B30" s="20">
        <v>42588</v>
      </c>
      <c r="C30" s="2">
        <v>0.38097500000000001</v>
      </c>
      <c r="D30" s="2">
        <v>0.49715999999999999</v>
      </c>
      <c r="E30" s="2">
        <v>0.53689100000000001</v>
      </c>
      <c r="F30" s="2">
        <v>0.74400500000000003</v>
      </c>
      <c r="G30" s="2">
        <v>0.33333333333333331</v>
      </c>
      <c r="H30" s="29">
        <f t="shared" si="0"/>
        <v>0.323299</v>
      </c>
      <c r="I30" s="29">
        <f t="shared" si="1"/>
        <v>-1.0034333333333312E-2</v>
      </c>
      <c r="K30" s="2"/>
    </row>
    <row r="31" spans="1:11" x14ac:dyDescent="0.25">
      <c r="A31" t="s">
        <v>18</v>
      </c>
      <c r="B31" s="20">
        <v>42588</v>
      </c>
      <c r="C31" s="2">
        <v>0.38452599999999998</v>
      </c>
      <c r="D31" s="2">
        <v>0.50083500000000003</v>
      </c>
      <c r="E31" s="2">
        <v>0.53535900000000003</v>
      </c>
      <c r="F31" s="2">
        <v>0.75084099999999998</v>
      </c>
      <c r="G31" s="2">
        <v>0.33333333333333331</v>
      </c>
      <c r="H31" s="29">
        <f t="shared" si="0"/>
        <v>0.331791</v>
      </c>
      <c r="I31" s="29">
        <f t="shared" si="1"/>
        <v>-1.5423333333333122E-3</v>
      </c>
      <c r="K31" s="2"/>
    </row>
    <row r="32" spans="1:11" x14ac:dyDescent="0.25">
      <c r="A32" t="s">
        <v>13</v>
      </c>
      <c r="B32" s="20">
        <v>42591</v>
      </c>
      <c r="C32" s="2">
        <v>0.36278899999999997</v>
      </c>
      <c r="D32" s="2">
        <v>0.502938</v>
      </c>
      <c r="E32" s="2">
        <v>0.539659</v>
      </c>
      <c r="F32" s="2">
        <v>0.74990599999999996</v>
      </c>
      <c r="G32" s="2">
        <v>0.33333333333333331</v>
      </c>
      <c r="H32" s="29">
        <f t="shared" si="0"/>
        <v>0.35039599999999999</v>
      </c>
      <c r="I32" s="29">
        <f t="shared" si="1"/>
        <v>1.706266666666667E-2</v>
      </c>
      <c r="K32" s="2"/>
    </row>
    <row r="33" spans="1:11" x14ac:dyDescent="0.25">
      <c r="A33" t="s">
        <v>14</v>
      </c>
      <c r="B33" s="20">
        <v>42591</v>
      </c>
      <c r="C33" s="2">
        <v>0.37372</v>
      </c>
      <c r="D33" s="2">
        <v>0.498867</v>
      </c>
      <c r="E33" s="2">
        <v>0.54352500000000004</v>
      </c>
      <c r="F33" s="2">
        <v>0.74633700000000003</v>
      </c>
      <c r="G33" s="2">
        <v>0.33333333333333331</v>
      </c>
      <c r="H33" s="29">
        <f t="shared" si="0"/>
        <v>0.327959</v>
      </c>
      <c r="I33" s="29">
        <f t="shared" si="1"/>
        <v>-5.3743333333333143E-3</v>
      </c>
      <c r="K33" s="2"/>
    </row>
    <row r="34" spans="1:11" x14ac:dyDescent="0.25">
      <c r="A34" t="s">
        <v>15</v>
      </c>
      <c r="B34" s="20">
        <v>42591</v>
      </c>
      <c r="C34" s="2">
        <v>0.38076599999999999</v>
      </c>
      <c r="D34" s="2">
        <v>0.50064600000000004</v>
      </c>
      <c r="E34" s="2">
        <v>0.53743099999999999</v>
      </c>
      <c r="F34" s="2">
        <v>0.74935600000000002</v>
      </c>
      <c r="G34" s="2">
        <v>0.33333333333333331</v>
      </c>
      <c r="H34" s="29">
        <f t="shared" ref="H34:H65" si="2">(F34-C34)-(E34-D34)</f>
        <v>0.33180500000000007</v>
      </c>
      <c r="I34" s="29">
        <f t="shared" ref="I34:I65" si="3">H34-G34</f>
        <v>-1.5283333333332427E-3</v>
      </c>
      <c r="K34" s="2"/>
    </row>
    <row r="35" spans="1:11" x14ac:dyDescent="0.25">
      <c r="A35" t="s">
        <v>16</v>
      </c>
      <c r="B35" s="20">
        <v>42591</v>
      </c>
      <c r="C35" s="2">
        <v>0.38388100000000003</v>
      </c>
      <c r="D35" s="2">
        <v>0.49762600000000001</v>
      </c>
      <c r="E35" s="2">
        <v>0.53547999999999996</v>
      </c>
      <c r="F35" s="2">
        <v>0.75262399999999996</v>
      </c>
      <c r="G35" s="2">
        <v>0.33333333333333331</v>
      </c>
      <c r="H35" s="29">
        <f t="shared" si="2"/>
        <v>0.33088899999999999</v>
      </c>
      <c r="I35" s="29">
        <f t="shared" si="3"/>
        <v>-2.4443333333333261E-3</v>
      </c>
      <c r="K35" s="2"/>
    </row>
    <row r="36" spans="1:11" x14ac:dyDescent="0.25">
      <c r="A36" t="s">
        <v>17</v>
      </c>
      <c r="B36" s="20">
        <v>42591</v>
      </c>
      <c r="C36" s="2">
        <v>0.38299100000000003</v>
      </c>
      <c r="D36" s="2">
        <v>0.49935200000000002</v>
      </c>
      <c r="E36" s="2">
        <v>0.536551</v>
      </c>
      <c r="F36" s="2">
        <v>0.74412299999999998</v>
      </c>
      <c r="G36" s="2">
        <v>0.33333333333333331</v>
      </c>
      <c r="H36" s="29">
        <f t="shared" si="2"/>
        <v>0.32393299999999997</v>
      </c>
      <c r="I36" s="29">
        <f t="shared" si="3"/>
        <v>-9.4003333333333439E-3</v>
      </c>
      <c r="K36" s="2"/>
    </row>
    <row r="37" spans="1:11" x14ac:dyDescent="0.25">
      <c r="A37" t="s">
        <v>18</v>
      </c>
      <c r="B37" s="20">
        <v>42591</v>
      </c>
      <c r="C37" s="2">
        <v>0.365921</v>
      </c>
      <c r="D37" s="2">
        <v>0.49841099999999999</v>
      </c>
      <c r="E37" s="2">
        <v>0.53988800000000003</v>
      </c>
      <c r="F37" s="2">
        <v>0.74961699999999998</v>
      </c>
      <c r="G37" s="2">
        <v>0.33333333333333331</v>
      </c>
      <c r="H37" s="29">
        <f t="shared" si="2"/>
        <v>0.34221899999999994</v>
      </c>
      <c r="I37" s="29">
        <f t="shared" si="3"/>
        <v>8.8856666666666251E-3</v>
      </c>
      <c r="K37" s="2"/>
    </row>
    <row r="38" spans="1:11" x14ac:dyDescent="0.25">
      <c r="A38" t="s">
        <v>13</v>
      </c>
      <c r="B38" s="20">
        <v>42592</v>
      </c>
      <c r="C38" s="2">
        <v>0.38120500000000002</v>
      </c>
      <c r="D38" s="2">
        <v>0.50184600000000001</v>
      </c>
      <c r="E38" s="2">
        <v>0.54410700000000001</v>
      </c>
      <c r="F38" s="2">
        <v>0.74624500000000005</v>
      </c>
      <c r="G38" s="2">
        <v>0.33333333333333331</v>
      </c>
      <c r="H38" s="29">
        <f t="shared" si="2"/>
        <v>0.32277900000000004</v>
      </c>
      <c r="I38" s="29">
        <f t="shared" si="3"/>
        <v>-1.0554333333333277E-2</v>
      </c>
      <c r="K38" s="2"/>
    </row>
    <row r="39" spans="1:11" x14ac:dyDescent="0.25">
      <c r="A39" t="s">
        <v>14</v>
      </c>
      <c r="B39" s="20">
        <v>42592</v>
      </c>
      <c r="C39" s="2">
        <v>0.37450699999999998</v>
      </c>
      <c r="D39" s="2">
        <v>0.49991099999999999</v>
      </c>
      <c r="E39" s="2">
        <v>0.53691</v>
      </c>
      <c r="F39" s="2">
        <v>0.75317699999999999</v>
      </c>
      <c r="G39" s="2">
        <v>0.33333333333333331</v>
      </c>
      <c r="H39" s="29">
        <f t="shared" si="2"/>
        <v>0.341671</v>
      </c>
      <c r="I39" s="29">
        <f t="shared" si="3"/>
        <v>8.3376666666666877E-3</v>
      </c>
      <c r="K39" s="2"/>
    </row>
    <row r="40" spans="1:11" x14ac:dyDescent="0.25">
      <c r="A40" t="s">
        <v>15</v>
      </c>
      <c r="B40" s="20">
        <v>42592</v>
      </c>
      <c r="C40" s="2">
        <v>0.37377899999999997</v>
      </c>
      <c r="D40" s="2">
        <v>0.49899100000000002</v>
      </c>
      <c r="E40" s="2">
        <v>0.54145900000000002</v>
      </c>
      <c r="F40" s="2">
        <v>0.752579</v>
      </c>
      <c r="G40" s="2">
        <v>0.33333333333333331</v>
      </c>
      <c r="H40" s="29">
        <f t="shared" si="2"/>
        <v>0.33633200000000002</v>
      </c>
      <c r="I40" s="29">
        <f t="shared" si="3"/>
        <v>2.998666666666705E-3</v>
      </c>
      <c r="K40" s="2"/>
    </row>
    <row r="41" spans="1:11" x14ac:dyDescent="0.25">
      <c r="A41" t="s">
        <v>16</v>
      </c>
      <c r="B41" s="20">
        <v>42592</v>
      </c>
      <c r="C41" s="2">
        <v>0.36163499999999998</v>
      </c>
      <c r="D41" s="2">
        <v>0.49755899999999997</v>
      </c>
      <c r="E41" s="2">
        <v>0.54017000000000004</v>
      </c>
      <c r="F41" s="2">
        <v>0.74596899999999999</v>
      </c>
      <c r="G41" s="2">
        <v>0.33333333333333331</v>
      </c>
      <c r="H41" s="29">
        <f t="shared" si="2"/>
        <v>0.34172299999999994</v>
      </c>
      <c r="I41" s="29">
        <f t="shared" si="3"/>
        <v>8.3896666666666286E-3</v>
      </c>
      <c r="K41" s="2"/>
    </row>
    <row r="42" spans="1:11" x14ac:dyDescent="0.25">
      <c r="A42" t="s">
        <v>17</v>
      </c>
      <c r="B42" s="20">
        <v>42592</v>
      </c>
      <c r="C42" s="2">
        <v>0.38097500000000001</v>
      </c>
      <c r="D42" s="2">
        <v>0.49715999999999999</v>
      </c>
      <c r="E42" s="2">
        <v>0.53689100000000001</v>
      </c>
      <c r="F42" s="2">
        <v>0.74400500000000003</v>
      </c>
      <c r="G42" s="2">
        <v>0.33333333333333331</v>
      </c>
      <c r="H42" s="29">
        <f t="shared" si="2"/>
        <v>0.323299</v>
      </c>
      <c r="I42" s="29">
        <f t="shared" si="3"/>
        <v>-1.0034333333333312E-2</v>
      </c>
      <c r="K42" s="2"/>
    </row>
    <row r="43" spans="1:11" x14ac:dyDescent="0.25">
      <c r="A43" t="s">
        <v>18</v>
      </c>
      <c r="B43" s="20">
        <v>42592</v>
      </c>
      <c r="C43" s="2">
        <v>0.38452599999999998</v>
      </c>
      <c r="D43" s="2">
        <v>0.50083500000000003</v>
      </c>
      <c r="E43" s="2">
        <v>0.53535900000000003</v>
      </c>
      <c r="F43" s="2">
        <v>0.75084099999999998</v>
      </c>
      <c r="G43" s="2">
        <v>0.33333333333333331</v>
      </c>
      <c r="H43" s="29">
        <f t="shared" si="2"/>
        <v>0.331791</v>
      </c>
      <c r="I43" s="29">
        <f t="shared" si="3"/>
        <v>-1.5423333333333122E-3</v>
      </c>
      <c r="K43" s="2"/>
    </row>
    <row r="44" spans="1:11" x14ac:dyDescent="0.25">
      <c r="A44" t="s">
        <v>13</v>
      </c>
      <c r="B44" s="20">
        <v>42593</v>
      </c>
      <c r="C44" s="2">
        <v>0.38120500000000002</v>
      </c>
      <c r="D44" s="2">
        <v>0.50184600000000001</v>
      </c>
      <c r="E44" s="2">
        <v>0.54410700000000001</v>
      </c>
      <c r="F44" s="2">
        <v>0.74624500000000005</v>
      </c>
      <c r="G44" s="2">
        <v>0.33333333333333331</v>
      </c>
      <c r="H44" s="29">
        <f t="shared" si="2"/>
        <v>0.32277900000000004</v>
      </c>
      <c r="I44" s="29">
        <f t="shared" si="3"/>
        <v>-1.0554333333333277E-2</v>
      </c>
      <c r="K44" s="2"/>
    </row>
    <row r="45" spans="1:11" x14ac:dyDescent="0.25">
      <c r="A45" t="s">
        <v>14</v>
      </c>
      <c r="B45" s="20">
        <v>42593</v>
      </c>
      <c r="C45" s="2">
        <v>0.37450699999999998</v>
      </c>
      <c r="D45" s="2">
        <v>0.49991099999999999</v>
      </c>
      <c r="E45" s="2">
        <v>0.53691</v>
      </c>
      <c r="F45" s="2">
        <v>0.75317699999999999</v>
      </c>
      <c r="G45" s="2">
        <v>0.33333333333333331</v>
      </c>
      <c r="H45" s="29">
        <f t="shared" si="2"/>
        <v>0.341671</v>
      </c>
      <c r="I45" s="29">
        <f t="shared" si="3"/>
        <v>8.3376666666666877E-3</v>
      </c>
      <c r="K45" s="2"/>
    </row>
    <row r="46" spans="1:11" x14ac:dyDescent="0.25">
      <c r="A46" t="s">
        <v>15</v>
      </c>
      <c r="B46" s="20">
        <v>42593</v>
      </c>
      <c r="C46" s="2">
        <v>0.37377899999999997</v>
      </c>
      <c r="D46" s="2">
        <v>0.49899100000000002</v>
      </c>
      <c r="E46" s="2">
        <v>0.54145900000000002</v>
      </c>
      <c r="F46" s="2">
        <v>0.752579</v>
      </c>
      <c r="G46" s="2">
        <v>0.33333333333333331</v>
      </c>
      <c r="H46" s="29">
        <f t="shared" si="2"/>
        <v>0.33633200000000002</v>
      </c>
      <c r="I46" s="29">
        <f t="shared" si="3"/>
        <v>2.998666666666705E-3</v>
      </c>
      <c r="K46" s="2"/>
    </row>
    <row r="47" spans="1:11" x14ac:dyDescent="0.25">
      <c r="A47" t="s">
        <v>16</v>
      </c>
      <c r="B47" s="20">
        <v>42593</v>
      </c>
      <c r="C47" s="2">
        <v>0.36163499999999998</v>
      </c>
      <c r="D47" s="2">
        <v>0.49755899999999997</v>
      </c>
      <c r="E47" s="2">
        <v>0.54017000000000004</v>
      </c>
      <c r="F47" s="2">
        <v>0.74596899999999999</v>
      </c>
      <c r="G47" s="2">
        <v>0.33333333333333331</v>
      </c>
      <c r="H47" s="29">
        <f t="shared" si="2"/>
        <v>0.34172299999999994</v>
      </c>
      <c r="I47" s="29">
        <f t="shared" si="3"/>
        <v>8.3896666666666286E-3</v>
      </c>
      <c r="K47" s="2"/>
    </row>
    <row r="48" spans="1:11" x14ac:dyDescent="0.25">
      <c r="A48" t="s">
        <v>17</v>
      </c>
      <c r="B48" s="20">
        <v>42593</v>
      </c>
      <c r="C48" s="2">
        <v>0.38097500000000001</v>
      </c>
      <c r="D48" s="2">
        <v>0.49715999999999999</v>
      </c>
      <c r="E48" s="2">
        <v>0.53689100000000001</v>
      </c>
      <c r="F48" s="2">
        <v>0.74400500000000003</v>
      </c>
      <c r="G48" s="2">
        <v>0.33333333333333331</v>
      </c>
      <c r="H48" s="29">
        <f t="shared" si="2"/>
        <v>0.323299</v>
      </c>
      <c r="I48" s="29">
        <f t="shared" si="3"/>
        <v>-1.0034333333333312E-2</v>
      </c>
      <c r="K48" s="2"/>
    </row>
    <row r="49" spans="1:11" x14ac:dyDescent="0.25">
      <c r="A49" t="s">
        <v>18</v>
      </c>
      <c r="B49" s="20">
        <v>42593</v>
      </c>
      <c r="C49" s="2">
        <v>0.38452599999999998</v>
      </c>
      <c r="D49" s="2">
        <v>0.50083500000000003</v>
      </c>
      <c r="E49" s="2">
        <v>0.53535900000000003</v>
      </c>
      <c r="F49" s="2">
        <v>0.75084099999999998</v>
      </c>
      <c r="G49" s="2">
        <v>0.33333333333333331</v>
      </c>
      <c r="H49" s="29">
        <f t="shared" si="2"/>
        <v>0.331791</v>
      </c>
      <c r="I49" s="29">
        <f t="shared" si="3"/>
        <v>-1.5423333333333122E-3</v>
      </c>
      <c r="K49" s="2"/>
    </row>
    <row r="50" spans="1:11" x14ac:dyDescent="0.25">
      <c r="A50" t="s">
        <v>13</v>
      </c>
      <c r="B50" s="20">
        <v>42594</v>
      </c>
      <c r="C50" s="2">
        <v>0.38079499999999999</v>
      </c>
      <c r="D50" s="2">
        <v>0.50213700000000006</v>
      </c>
      <c r="E50" s="2">
        <v>0.53937400000000002</v>
      </c>
      <c r="F50" s="2">
        <v>0.74307100000000004</v>
      </c>
      <c r="G50" s="2">
        <v>0.33333333333333331</v>
      </c>
      <c r="H50" s="29">
        <f t="shared" si="2"/>
        <v>0.32503900000000008</v>
      </c>
      <c r="I50" s="29">
        <f t="shared" si="3"/>
        <v>-8.294333333333237E-3</v>
      </c>
      <c r="K50" s="2"/>
    </row>
    <row r="51" spans="1:11" x14ac:dyDescent="0.25">
      <c r="A51" t="s">
        <v>14</v>
      </c>
      <c r="B51" s="20">
        <v>42594</v>
      </c>
      <c r="C51" s="2">
        <v>0.38188899999999998</v>
      </c>
      <c r="D51" s="2">
        <v>0.49932900000000002</v>
      </c>
      <c r="E51" s="2">
        <v>0.53585199999999999</v>
      </c>
      <c r="F51" s="2">
        <v>0.74453599999999998</v>
      </c>
      <c r="G51" s="2">
        <v>0.33333333333333331</v>
      </c>
      <c r="H51" s="29">
        <f t="shared" si="2"/>
        <v>0.32612400000000002</v>
      </c>
      <c r="I51" s="29">
        <f t="shared" si="3"/>
        <v>-7.2093333333332899E-3</v>
      </c>
      <c r="K51" s="2"/>
    </row>
    <row r="52" spans="1:11" x14ac:dyDescent="0.25">
      <c r="A52" t="s">
        <v>15</v>
      </c>
      <c r="B52" s="20">
        <v>42594</v>
      </c>
      <c r="C52" s="2">
        <v>0.36207800000000001</v>
      </c>
      <c r="D52" s="2">
        <v>0.49837100000000001</v>
      </c>
      <c r="E52" s="2">
        <v>0.54161899999999996</v>
      </c>
      <c r="F52" s="2">
        <v>0.74359500000000001</v>
      </c>
      <c r="G52" s="2">
        <v>0.33333333333333331</v>
      </c>
      <c r="H52" s="29">
        <f t="shared" si="2"/>
        <v>0.33826900000000004</v>
      </c>
      <c r="I52" s="29">
        <f t="shared" si="3"/>
        <v>4.935666666666727E-3</v>
      </c>
      <c r="K52" s="2"/>
    </row>
    <row r="53" spans="1:11" x14ac:dyDescent="0.25">
      <c r="A53" t="s">
        <v>16</v>
      </c>
      <c r="B53" s="20">
        <v>42594</v>
      </c>
      <c r="C53" s="2">
        <v>0.36285600000000001</v>
      </c>
      <c r="D53" s="2">
        <v>0.50103799999999998</v>
      </c>
      <c r="E53" s="2">
        <v>0.54225699999999999</v>
      </c>
      <c r="F53" s="2">
        <v>0.75114199999999998</v>
      </c>
      <c r="G53" s="2">
        <v>0.33333333333333331</v>
      </c>
      <c r="H53" s="29">
        <f t="shared" si="2"/>
        <v>0.34706699999999996</v>
      </c>
      <c r="I53" s="29">
        <f t="shared" si="3"/>
        <v>1.3733666666666644E-2</v>
      </c>
      <c r="K53" s="2"/>
    </row>
    <row r="54" spans="1:11" x14ac:dyDescent="0.25">
      <c r="A54" t="s">
        <v>17</v>
      </c>
      <c r="B54" s="20">
        <v>42594</v>
      </c>
      <c r="C54" s="2">
        <v>0.36940600000000001</v>
      </c>
      <c r="D54" s="2">
        <v>0.49766700000000003</v>
      </c>
      <c r="E54" s="2">
        <v>0.54351099999999997</v>
      </c>
      <c r="F54" s="2">
        <v>0.75101799999999996</v>
      </c>
      <c r="G54" s="2">
        <v>0.33333333333333331</v>
      </c>
      <c r="H54" s="29">
        <f t="shared" si="2"/>
        <v>0.33576800000000001</v>
      </c>
      <c r="I54" s="29">
        <f t="shared" si="3"/>
        <v>2.4346666666666961E-3</v>
      </c>
      <c r="K54" s="2"/>
    </row>
    <row r="55" spans="1:11" x14ac:dyDescent="0.25">
      <c r="A55" t="s">
        <v>18</v>
      </c>
      <c r="B55" s="20">
        <v>42594</v>
      </c>
      <c r="C55" s="2">
        <v>0.377801</v>
      </c>
      <c r="D55" s="2">
        <v>0.49754300000000001</v>
      </c>
      <c r="E55" s="2">
        <v>0.54180700000000004</v>
      </c>
      <c r="F55" s="2">
        <v>0.75227500000000003</v>
      </c>
      <c r="G55" s="2">
        <v>0.33333333333333331</v>
      </c>
      <c r="H55" s="29">
        <f t="shared" si="2"/>
        <v>0.33021</v>
      </c>
      <c r="I55" s="29">
        <f t="shared" si="3"/>
        <v>-3.1233333333333113E-3</v>
      </c>
      <c r="K55" s="2"/>
    </row>
    <row r="56" spans="1:11" x14ac:dyDescent="0.25">
      <c r="A56" t="s">
        <v>13</v>
      </c>
      <c r="B56" s="20">
        <v>42595</v>
      </c>
      <c r="C56" s="2">
        <v>0.37760300000000002</v>
      </c>
      <c r="D56" s="2">
        <v>0.49709100000000001</v>
      </c>
      <c r="E56" s="2">
        <v>0.54359400000000002</v>
      </c>
      <c r="F56" s="2">
        <v>0.74985299999999999</v>
      </c>
      <c r="G56" s="2">
        <v>0.33333333333333331</v>
      </c>
      <c r="H56" s="29">
        <f t="shared" si="2"/>
        <v>0.32574699999999995</v>
      </c>
      <c r="I56" s="29">
        <f t="shared" si="3"/>
        <v>-7.5863333333333616E-3</v>
      </c>
      <c r="K56" s="2"/>
    </row>
    <row r="57" spans="1:11" x14ac:dyDescent="0.25">
      <c r="A57" t="s">
        <v>14</v>
      </c>
      <c r="B57" s="20">
        <v>42595</v>
      </c>
      <c r="C57" s="2">
        <v>0.37465599999999999</v>
      </c>
      <c r="D57" s="2">
        <v>0.49670700000000001</v>
      </c>
      <c r="E57" s="2">
        <v>0.54026399999999997</v>
      </c>
      <c r="F57" s="2">
        <v>0.75005500000000003</v>
      </c>
      <c r="G57" s="2">
        <v>0.33333333333333331</v>
      </c>
      <c r="H57" s="29">
        <f t="shared" si="2"/>
        <v>0.33184200000000008</v>
      </c>
      <c r="I57" s="29">
        <f t="shared" si="3"/>
        <v>-1.4913333333332335E-3</v>
      </c>
      <c r="K57" s="2"/>
    </row>
    <row r="58" spans="1:11" x14ac:dyDescent="0.25">
      <c r="A58" t="s">
        <v>15</v>
      </c>
      <c r="B58" s="20">
        <v>42595</v>
      </c>
      <c r="C58" s="2">
        <v>0.383743</v>
      </c>
      <c r="D58" s="2">
        <v>0.50092599999999998</v>
      </c>
      <c r="E58" s="2">
        <v>0.53841099999999997</v>
      </c>
      <c r="F58" s="2">
        <v>0.74805500000000003</v>
      </c>
      <c r="G58" s="2">
        <v>0.33333333333333331</v>
      </c>
      <c r="H58" s="29">
        <f t="shared" si="2"/>
        <v>0.32682700000000003</v>
      </c>
      <c r="I58" s="29">
        <f t="shared" si="3"/>
        <v>-6.5063333333332807E-3</v>
      </c>
      <c r="K58" s="2"/>
    </row>
    <row r="59" spans="1:11" x14ac:dyDescent="0.25">
      <c r="A59" t="s">
        <v>16</v>
      </c>
      <c r="B59" s="20">
        <v>42595</v>
      </c>
      <c r="C59" s="2">
        <v>0.37667200000000001</v>
      </c>
      <c r="D59" s="2">
        <v>0.49964399999999998</v>
      </c>
      <c r="E59" s="2">
        <v>0.53711500000000001</v>
      </c>
      <c r="F59" s="2">
        <v>0.74578999999999995</v>
      </c>
      <c r="G59" s="2">
        <v>0.33333333333333331</v>
      </c>
      <c r="H59" s="29">
        <f t="shared" si="2"/>
        <v>0.33164699999999991</v>
      </c>
      <c r="I59" s="29">
        <f t="shared" si="3"/>
        <v>-1.6863333333334007E-3</v>
      </c>
      <c r="K59" s="2"/>
    </row>
    <row r="60" spans="1:11" x14ac:dyDescent="0.25">
      <c r="A60" t="s">
        <v>17</v>
      </c>
      <c r="B60" s="20">
        <v>42595</v>
      </c>
      <c r="C60" s="2">
        <v>0.37045899999999998</v>
      </c>
      <c r="D60" s="2">
        <v>0.49790400000000001</v>
      </c>
      <c r="E60" s="2">
        <v>0.54123399999999999</v>
      </c>
      <c r="F60" s="2">
        <v>0.74547799999999997</v>
      </c>
      <c r="G60" s="2">
        <v>0.33333333333333331</v>
      </c>
      <c r="H60" s="29">
        <f t="shared" si="2"/>
        <v>0.33168900000000001</v>
      </c>
      <c r="I60" s="29">
        <f t="shared" si="3"/>
        <v>-1.6443333333333032E-3</v>
      </c>
      <c r="K60" s="2"/>
    </row>
    <row r="61" spans="1:11" x14ac:dyDescent="0.25">
      <c r="A61" t="s">
        <v>18</v>
      </c>
      <c r="B61" s="20">
        <v>42595</v>
      </c>
      <c r="C61" s="2">
        <v>0.37759199999999998</v>
      </c>
      <c r="D61" s="2">
        <v>0.497506</v>
      </c>
      <c r="E61" s="2">
        <v>0.54174199999999995</v>
      </c>
      <c r="F61" s="2">
        <v>0.75278</v>
      </c>
      <c r="G61" s="2">
        <v>0.33333333333333331</v>
      </c>
      <c r="H61" s="29">
        <f t="shared" si="2"/>
        <v>0.33095200000000008</v>
      </c>
      <c r="I61" s="29">
        <f t="shared" si="3"/>
        <v>-2.3813333333332354E-3</v>
      </c>
      <c r="K61" s="2"/>
    </row>
    <row r="62" spans="1:11" x14ac:dyDescent="0.25">
      <c r="A62" t="s">
        <v>13</v>
      </c>
      <c r="B62" s="20">
        <v>42598</v>
      </c>
      <c r="C62" s="2">
        <v>0.36278899999999997</v>
      </c>
      <c r="D62" s="2">
        <v>0.502938</v>
      </c>
      <c r="E62" s="2">
        <v>0.539659</v>
      </c>
      <c r="F62" s="2">
        <v>0.74990599999999996</v>
      </c>
      <c r="G62" s="2">
        <v>0.33333333333333331</v>
      </c>
      <c r="H62" s="29">
        <f t="shared" si="2"/>
        <v>0.35039599999999999</v>
      </c>
      <c r="I62" s="29">
        <f t="shared" si="3"/>
        <v>1.706266666666667E-2</v>
      </c>
      <c r="K62" s="2"/>
    </row>
    <row r="63" spans="1:11" x14ac:dyDescent="0.25">
      <c r="A63" t="s">
        <v>14</v>
      </c>
      <c r="B63" s="20">
        <v>42598</v>
      </c>
      <c r="C63" s="2">
        <v>0.37372</v>
      </c>
      <c r="D63" s="2">
        <v>0.498867</v>
      </c>
      <c r="E63" s="2">
        <v>0.54352500000000004</v>
      </c>
      <c r="F63" s="2">
        <v>0.74633700000000003</v>
      </c>
      <c r="G63" s="2">
        <v>0.33333333333333331</v>
      </c>
      <c r="H63" s="29">
        <f t="shared" si="2"/>
        <v>0.327959</v>
      </c>
      <c r="I63" s="29">
        <f t="shared" si="3"/>
        <v>-5.3743333333333143E-3</v>
      </c>
      <c r="K63" s="2"/>
    </row>
    <row r="64" spans="1:11" x14ac:dyDescent="0.25">
      <c r="A64" t="s">
        <v>15</v>
      </c>
      <c r="B64" s="20">
        <v>42598</v>
      </c>
      <c r="C64" s="2">
        <v>0.38076599999999999</v>
      </c>
      <c r="D64" s="2">
        <v>0.50064600000000004</v>
      </c>
      <c r="E64" s="2">
        <v>0.53743099999999999</v>
      </c>
      <c r="F64" s="2">
        <v>0.74935600000000002</v>
      </c>
      <c r="G64" s="2">
        <v>0.33333333333333331</v>
      </c>
      <c r="H64" s="29">
        <f t="shared" si="2"/>
        <v>0.33180500000000007</v>
      </c>
      <c r="I64" s="29">
        <f t="shared" si="3"/>
        <v>-1.5283333333332427E-3</v>
      </c>
      <c r="K64" s="2"/>
    </row>
    <row r="65" spans="1:11" x14ac:dyDescent="0.25">
      <c r="A65" t="s">
        <v>16</v>
      </c>
      <c r="B65" s="20">
        <v>42598</v>
      </c>
      <c r="C65" s="2">
        <v>0.38388100000000003</v>
      </c>
      <c r="D65" s="2">
        <v>0.49762600000000001</v>
      </c>
      <c r="E65" s="2">
        <v>0.53547999999999996</v>
      </c>
      <c r="F65" s="2">
        <v>0.75262399999999996</v>
      </c>
      <c r="G65" s="2">
        <v>0.33333333333333331</v>
      </c>
      <c r="H65" s="29">
        <f t="shared" si="2"/>
        <v>0.33088899999999999</v>
      </c>
      <c r="I65" s="29">
        <f t="shared" si="3"/>
        <v>-2.4443333333333261E-3</v>
      </c>
      <c r="K65" s="2"/>
    </row>
    <row r="66" spans="1:11" x14ac:dyDescent="0.25">
      <c r="A66" t="s">
        <v>17</v>
      </c>
      <c r="B66" s="20">
        <v>42598</v>
      </c>
      <c r="C66" s="2">
        <v>0.38299100000000003</v>
      </c>
      <c r="D66" s="2">
        <v>0.49935200000000002</v>
      </c>
      <c r="E66" s="2">
        <v>0.536551</v>
      </c>
      <c r="F66" s="2">
        <v>0.74412299999999998</v>
      </c>
      <c r="G66" s="2">
        <v>0.33333333333333331</v>
      </c>
      <c r="H66" s="29">
        <f t="shared" ref="H66:H97" si="4">(F66-C66)-(E66-D66)</f>
        <v>0.32393299999999997</v>
      </c>
      <c r="I66" s="29">
        <f t="shared" ref="I66:I97" si="5">H66-G66</f>
        <v>-9.4003333333333439E-3</v>
      </c>
      <c r="K66" s="2"/>
    </row>
    <row r="67" spans="1:11" x14ac:dyDescent="0.25">
      <c r="A67" t="s">
        <v>18</v>
      </c>
      <c r="B67" s="20">
        <v>42598</v>
      </c>
      <c r="C67" s="2">
        <v>0.365921</v>
      </c>
      <c r="D67" s="2">
        <v>0.49841099999999999</v>
      </c>
      <c r="E67" s="2">
        <v>0.53988800000000003</v>
      </c>
      <c r="F67" s="2">
        <v>0.74961699999999998</v>
      </c>
      <c r="G67" s="2">
        <v>0.33333333333333331</v>
      </c>
      <c r="H67" s="29">
        <f t="shared" si="4"/>
        <v>0.34221899999999994</v>
      </c>
      <c r="I67" s="29">
        <f t="shared" si="5"/>
        <v>8.8856666666666251E-3</v>
      </c>
      <c r="K67" s="2"/>
    </row>
    <row r="68" spans="1:11" x14ac:dyDescent="0.25">
      <c r="A68" t="s">
        <v>13</v>
      </c>
      <c r="B68" s="20">
        <v>42599</v>
      </c>
      <c r="C68" s="2">
        <v>0.38120500000000002</v>
      </c>
      <c r="D68" s="2">
        <v>0.50184600000000001</v>
      </c>
      <c r="E68" s="2">
        <v>0.54410700000000001</v>
      </c>
      <c r="F68" s="2">
        <v>0.74624500000000005</v>
      </c>
      <c r="G68" s="2">
        <v>0.33333333333333331</v>
      </c>
      <c r="H68" s="29">
        <f t="shared" si="4"/>
        <v>0.32277900000000004</v>
      </c>
      <c r="I68" s="29">
        <f t="shared" si="5"/>
        <v>-1.0554333333333277E-2</v>
      </c>
      <c r="K68" s="2"/>
    </row>
    <row r="69" spans="1:11" x14ac:dyDescent="0.25">
      <c r="A69" t="s">
        <v>14</v>
      </c>
      <c r="B69" s="20">
        <v>42599</v>
      </c>
      <c r="C69" s="2">
        <v>0.37450699999999998</v>
      </c>
      <c r="D69" s="2">
        <v>0.49991099999999999</v>
      </c>
      <c r="E69" s="2">
        <v>0.53691</v>
      </c>
      <c r="F69" s="2">
        <v>0.75317699999999999</v>
      </c>
      <c r="G69" s="2">
        <v>0.33333333333333331</v>
      </c>
      <c r="H69" s="29">
        <f t="shared" si="4"/>
        <v>0.341671</v>
      </c>
      <c r="I69" s="29">
        <f t="shared" si="5"/>
        <v>8.3376666666666877E-3</v>
      </c>
      <c r="K69" s="2"/>
    </row>
    <row r="70" spans="1:11" x14ac:dyDescent="0.25">
      <c r="A70" t="s">
        <v>15</v>
      </c>
      <c r="B70" s="20">
        <v>42599</v>
      </c>
      <c r="C70" s="2">
        <v>0.37377899999999997</v>
      </c>
      <c r="D70" s="2">
        <v>0.49899100000000002</v>
      </c>
      <c r="E70" s="2">
        <v>0.54145900000000002</v>
      </c>
      <c r="F70" s="2">
        <v>0.752579</v>
      </c>
      <c r="G70" s="2">
        <v>0.33333333333333331</v>
      </c>
      <c r="H70" s="29">
        <f t="shared" si="4"/>
        <v>0.33633200000000002</v>
      </c>
      <c r="I70" s="29">
        <f t="shared" si="5"/>
        <v>2.998666666666705E-3</v>
      </c>
      <c r="K70" s="2"/>
    </row>
    <row r="71" spans="1:11" x14ac:dyDescent="0.25">
      <c r="A71" t="s">
        <v>16</v>
      </c>
      <c r="B71" s="20">
        <v>42599</v>
      </c>
      <c r="C71" s="2">
        <v>0.36163499999999998</v>
      </c>
      <c r="D71" s="2">
        <v>0.49755899999999997</v>
      </c>
      <c r="E71" s="2">
        <v>0.54017000000000004</v>
      </c>
      <c r="F71" s="2">
        <v>0.74596899999999999</v>
      </c>
      <c r="G71" s="2">
        <v>0.33333333333333331</v>
      </c>
      <c r="H71" s="29">
        <f t="shared" si="4"/>
        <v>0.34172299999999994</v>
      </c>
      <c r="I71" s="29">
        <f t="shared" si="5"/>
        <v>8.3896666666666286E-3</v>
      </c>
      <c r="K71" s="2"/>
    </row>
    <row r="72" spans="1:11" x14ac:dyDescent="0.25">
      <c r="A72" t="s">
        <v>17</v>
      </c>
      <c r="B72" s="20">
        <v>42599</v>
      </c>
      <c r="C72" s="2">
        <v>0.38097500000000001</v>
      </c>
      <c r="D72" s="2">
        <v>0.49715999999999999</v>
      </c>
      <c r="E72" s="2">
        <v>0.53689100000000001</v>
      </c>
      <c r="F72" s="2">
        <v>0.74400500000000003</v>
      </c>
      <c r="G72" s="2">
        <v>0.33333333333333331</v>
      </c>
      <c r="H72" s="29">
        <f t="shared" si="4"/>
        <v>0.323299</v>
      </c>
      <c r="I72" s="29">
        <f t="shared" si="5"/>
        <v>-1.0034333333333312E-2</v>
      </c>
      <c r="K72" s="2"/>
    </row>
    <row r="73" spans="1:11" x14ac:dyDescent="0.25">
      <c r="A73" t="s">
        <v>18</v>
      </c>
      <c r="B73" s="20">
        <v>42599</v>
      </c>
      <c r="C73" s="2">
        <v>0.38452599999999998</v>
      </c>
      <c r="D73" s="2">
        <v>0.50083500000000003</v>
      </c>
      <c r="E73" s="2">
        <v>0.53535900000000003</v>
      </c>
      <c r="F73" s="2">
        <v>0.75084099999999998</v>
      </c>
      <c r="G73" s="2">
        <v>0.33333333333333331</v>
      </c>
      <c r="H73" s="29">
        <f t="shared" si="4"/>
        <v>0.331791</v>
      </c>
      <c r="I73" s="29">
        <f t="shared" si="5"/>
        <v>-1.5423333333333122E-3</v>
      </c>
      <c r="K73" s="2"/>
    </row>
    <row r="74" spans="1:11" x14ac:dyDescent="0.25">
      <c r="A74" t="s">
        <v>13</v>
      </c>
      <c r="B74" s="20">
        <v>42600</v>
      </c>
      <c r="C74" s="2">
        <v>0.37760300000000002</v>
      </c>
      <c r="D74" s="2">
        <v>0.49709100000000001</v>
      </c>
      <c r="E74" s="2">
        <v>0.54359400000000002</v>
      </c>
      <c r="F74" s="2">
        <v>0.74985299999999999</v>
      </c>
      <c r="G74" s="2">
        <v>0.33333333333333331</v>
      </c>
      <c r="H74" s="29">
        <f t="shared" si="4"/>
        <v>0.32574699999999995</v>
      </c>
      <c r="I74" s="29">
        <f t="shared" si="5"/>
        <v>-7.5863333333333616E-3</v>
      </c>
      <c r="K74" s="2"/>
    </row>
    <row r="75" spans="1:11" x14ac:dyDescent="0.25">
      <c r="A75" t="s">
        <v>14</v>
      </c>
      <c r="B75" s="20">
        <v>42600</v>
      </c>
      <c r="C75" s="2">
        <v>0.37465599999999999</v>
      </c>
      <c r="D75" s="2">
        <v>0.49670700000000001</v>
      </c>
      <c r="E75" s="2">
        <v>0.54026399999999997</v>
      </c>
      <c r="F75" s="2">
        <v>0.75005500000000003</v>
      </c>
      <c r="G75" s="2">
        <v>0.33333333333333331</v>
      </c>
      <c r="H75" s="29">
        <f t="shared" si="4"/>
        <v>0.33184200000000008</v>
      </c>
      <c r="I75" s="29">
        <f t="shared" si="5"/>
        <v>-1.4913333333332335E-3</v>
      </c>
      <c r="K75" s="2"/>
    </row>
    <row r="76" spans="1:11" x14ac:dyDescent="0.25">
      <c r="A76" t="s">
        <v>15</v>
      </c>
      <c r="B76" s="20">
        <v>42600</v>
      </c>
      <c r="C76" s="2">
        <v>0.383743</v>
      </c>
      <c r="D76" s="2">
        <v>0.50092599999999998</v>
      </c>
      <c r="E76" s="2">
        <v>0.53841099999999997</v>
      </c>
      <c r="F76" s="2">
        <v>0.74805500000000003</v>
      </c>
      <c r="G76" s="2">
        <v>0.33333333333333331</v>
      </c>
      <c r="H76" s="29">
        <f t="shared" si="4"/>
        <v>0.32682700000000003</v>
      </c>
      <c r="I76" s="29">
        <f t="shared" si="5"/>
        <v>-6.5063333333332807E-3</v>
      </c>
      <c r="K76" s="2"/>
    </row>
    <row r="77" spans="1:11" x14ac:dyDescent="0.25">
      <c r="A77" t="s">
        <v>16</v>
      </c>
      <c r="B77" s="20">
        <v>42600</v>
      </c>
      <c r="C77" s="2">
        <v>0.37667200000000001</v>
      </c>
      <c r="D77" s="2">
        <v>0.49964399999999998</v>
      </c>
      <c r="E77" s="2">
        <v>0.53711500000000001</v>
      </c>
      <c r="F77" s="2">
        <v>0.74578999999999995</v>
      </c>
      <c r="G77" s="2">
        <v>0.33333333333333331</v>
      </c>
      <c r="H77" s="29">
        <f t="shared" si="4"/>
        <v>0.33164699999999991</v>
      </c>
      <c r="I77" s="29">
        <f t="shared" si="5"/>
        <v>-1.6863333333334007E-3</v>
      </c>
      <c r="K77" s="2"/>
    </row>
    <row r="78" spans="1:11" x14ac:dyDescent="0.25">
      <c r="A78" t="s">
        <v>17</v>
      </c>
      <c r="B78" s="20">
        <v>42600</v>
      </c>
      <c r="C78" s="2">
        <v>0.37045899999999998</v>
      </c>
      <c r="D78" s="2">
        <v>0.49790400000000001</v>
      </c>
      <c r="E78" s="2">
        <v>0.54123399999999999</v>
      </c>
      <c r="F78" s="2">
        <v>0.74547799999999997</v>
      </c>
      <c r="G78" s="2">
        <v>0.33333333333333331</v>
      </c>
      <c r="H78" s="29">
        <f t="shared" si="4"/>
        <v>0.33168900000000001</v>
      </c>
      <c r="I78" s="29">
        <f t="shared" si="5"/>
        <v>-1.6443333333333032E-3</v>
      </c>
      <c r="K78" s="2"/>
    </row>
    <row r="79" spans="1:11" x14ac:dyDescent="0.25">
      <c r="A79" t="s">
        <v>18</v>
      </c>
      <c r="B79" s="20">
        <v>42600</v>
      </c>
      <c r="C79" s="2">
        <v>0.37759199999999998</v>
      </c>
      <c r="D79" s="2">
        <v>0.497506</v>
      </c>
      <c r="E79" s="2">
        <v>0.54174199999999995</v>
      </c>
      <c r="F79" s="2">
        <v>0.75278</v>
      </c>
      <c r="G79" s="2">
        <v>0.33333333333333331</v>
      </c>
      <c r="H79" s="29">
        <f t="shared" si="4"/>
        <v>0.33095200000000008</v>
      </c>
      <c r="I79" s="29">
        <f t="shared" si="5"/>
        <v>-2.3813333333332354E-3</v>
      </c>
      <c r="K79" s="2"/>
    </row>
    <row r="80" spans="1:11" x14ac:dyDescent="0.25">
      <c r="A80" t="s">
        <v>13</v>
      </c>
      <c r="B80" s="20">
        <v>42601</v>
      </c>
      <c r="C80" s="2">
        <v>0.36499799999999999</v>
      </c>
      <c r="D80" s="2">
        <v>0.50100699999999998</v>
      </c>
      <c r="E80" s="2">
        <v>0.53967600000000004</v>
      </c>
      <c r="F80" s="2">
        <v>0.74780999999999997</v>
      </c>
      <c r="G80" s="2">
        <v>0.33333333333333331</v>
      </c>
      <c r="H80" s="29">
        <f t="shared" si="4"/>
        <v>0.34414299999999992</v>
      </c>
      <c r="I80" s="29">
        <f t="shared" si="5"/>
        <v>1.0809666666666606E-2</v>
      </c>
      <c r="K80" s="2"/>
    </row>
    <row r="81" spans="1:11" x14ac:dyDescent="0.25">
      <c r="A81" t="s">
        <v>14</v>
      </c>
      <c r="B81" s="20">
        <v>42601</v>
      </c>
      <c r="C81" s="2">
        <v>0.379691</v>
      </c>
      <c r="D81" s="2">
        <v>0.49851600000000001</v>
      </c>
      <c r="E81" s="2">
        <v>0.54329899999999998</v>
      </c>
      <c r="F81" s="2">
        <v>0.74638599999999999</v>
      </c>
      <c r="G81" s="2">
        <v>0.33333333333333331</v>
      </c>
      <c r="H81" s="29">
        <f t="shared" si="4"/>
        <v>0.32191200000000003</v>
      </c>
      <c r="I81" s="29">
        <f t="shared" si="5"/>
        <v>-1.1421333333333283E-2</v>
      </c>
      <c r="K81" s="2"/>
    </row>
    <row r="82" spans="1:11" x14ac:dyDescent="0.25">
      <c r="A82" t="s">
        <v>15</v>
      </c>
      <c r="B82" s="20">
        <v>42601</v>
      </c>
      <c r="C82" s="2">
        <v>0.36475600000000002</v>
      </c>
      <c r="D82" s="2">
        <v>0.49907699999999999</v>
      </c>
      <c r="E82" s="2">
        <v>0.53691100000000003</v>
      </c>
      <c r="F82" s="2">
        <v>0.74713700000000005</v>
      </c>
      <c r="G82" s="2">
        <v>0.33333333333333331</v>
      </c>
      <c r="H82" s="29">
        <f t="shared" si="4"/>
        <v>0.34454699999999999</v>
      </c>
      <c r="I82" s="29">
        <f t="shared" si="5"/>
        <v>1.1213666666666677E-2</v>
      </c>
      <c r="K82" s="2"/>
    </row>
    <row r="83" spans="1:11" x14ac:dyDescent="0.25">
      <c r="A83" t="s">
        <v>16</v>
      </c>
      <c r="B83" s="20">
        <v>42601</v>
      </c>
      <c r="C83" s="2">
        <v>0.36585200000000001</v>
      </c>
      <c r="D83" s="2">
        <v>0.50265499999999996</v>
      </c>
      <c r="E83" s="2">
        <v>0.53557299999999997</v>
      </c>
      <c r="F83" s="2">
        <v>0.75021199999999999</v>
      </c>
      <c r="G83" s="2">
        <v>0.33333333333333331</v>
      </c>
      <c r="H83" s="29">
        <f t="shared" si="4"/>
        <v>0.35144199999999998</v>
      </c>
      <c r="I83" s="29">
        <f t="shared" si="5"/>
        <v>1.8108666666666662E-2</v>
      </c>
      <c r="K83" s="2"/>
    </row>
    <row r="84" spans="1:11" x14ac:dyDescent="0.25">
      <c r="A84" t="s">
        <v>17</v>
      </c>
      <c r="B84" s="20">
        <v>42601</v>
      </c>
      <c r="C84" s="2">
        <v>0.37326799999999999</v>
      </c>
      <c r="D84" s="2">
        <v>0.49668299999999999</v>
      </c>
      <c r="E84" s="2">
        <v>0.54304399999999997</v>
      </c>
      <c r="F84" s="2">
        <v>0.74444900000000003</v>
      </c>
      <c r="G84" s="2">
        <v>0.33333333333333331</v>
      </c>
      <c r="H84" s="29">
        <f t="shared" si="4"/>
        <v>0.32482000000000005</v>
      </c>
      <c r="I84" s="29">
        <f t="shared" si="5"/>
        <v>-8.5133333333332617E-3</v>
      </c>
      <c r="K84" s="2"/>
    </row>
    <row r="85" spans="1:11" x14ac:dyDescent="0.25">
      <c r="A85" t="s">
        <v>18</v>
      </c>
      <c r="B85" s="20">
        <v>42601</v>
      </c>
      <c r="C85" s="2">
        <v>0.36444300000000002</v>
      </c>
      <c r="D85" s="2">
        <v>0.49832300000000002</v>
      </c>
      <c r="E85" s="2">
        <v>0.534941</v>
      </c>
      <c r="F85" s="2">
        <v>0.74629900000000005</v>
      </c>
      <c r="G85" s="2">
        <v>0.33333333333333331</v>
      </c>
      <c r="H85" s="29">
        <f t="shared" si="4"/>
        <v>0.34523800000000004</v>
      </c>
      <c r="I85" s="29">
        <f t="shared" si="5"/>
        <v>1.190466666666673E-2</v>
      </c>
      <c r="K85" s="2"/>
    </row>
    <row r="86" spans="1:11" x14ac:dyDescent="0.25">
      <c r="A86" t="s">
        <v>13</v>
      </c>
      <c r="B86" s="20">
        <v>42602</v>
      </c>
      <c r="C86" s="2">
        <v>0.36278899999999997</v>
      </c>
      <c r="D86" s="2">
        <v>0.502938</v>
      </c>
      <c r="E86" s="2">
        <v>0.539659</v>
      </c>
      <c r="F86" s="2">
        <v>0.74990599999999996</v>
      </c>
      <c r="G86" s="2">
        <v>0.33333333333333331</v>
      </c>
      <c r="H86" s="29">
        <f t="shared" si="4"/>
        <v>0.35039599999999999</v>
      </c>
      <c r="I86" s="29">
        <f t="shared" si="5"/>
        <v>1.706266666666667E-2</v>
      </c>
      <c r="K86" s="2"/>
    </row>
    <row r="87" spans="1:11" x14ac:dyDescent="0.25">
      <c r="A87" t="s">
        <v>14</v>
      </c>
      <c r="B87" s="20">
        <v>42602</v>
      </c>
      <c r="C87" s="2">
        <v>0.37372</v>
      </c>
      <c r="D87" s="2">
        <v>0.498867</v>
      </c>
      <c r="E87" s="2">
        <v>0.54352500000000004</v>
      </c>
      <c r="F87" s="2">
        <v>0.74633700000000003</v>
      </c>
      <c r="G87" s="2">
        <v>0.33333333333333331</v>
      </c>
      <c r="H87" s="29">
        <f t="shared" si="4"/>
        <v>0.327959</v>
      </c>
      <c r="I87" s="29">
        <f t="shared" si="5"/>
        <v>-5.3743333333333143E-3</v>
      </c>
      <c r="K87" s="2"/>
    </row>
    <row r="88" spans="1:11" x14ac:dyDescent="0.25">
      <c r="A88" t="s">
        <v>15</v>
      </c>
      <c r="B88" s="20">
        <v>42602</v>
      </c>
      <c r="C88" s="2">
        <v>0.38076599999999999</v>
      </c>
      <c r="D88" s="2">
        <v>0.50064600000000004</v>
      </c>
      <c r="E88" s="2">
        <v>0.53743099999999999</v>
      </c>
      <c r="F88" s="2">
        <v>0.74935600000000002</v>
      </c>
      <c r="G88" s="2">
        <v>0.33333333333333331</v>
      </c>
      <c r="H88" s="29">
        <f t="shared" si="4"/>
        <v>0.33180500000000007</v>
      </c>
      <c r="I88" s="29">
        <f t="shared" si="5"/>
        <v>-1.5283333333332427E-3</v>
      </c>
      <c r="K88" s="2"/>
    </row>
    <row r="89" spans="1:11" x14ac:dyDescent="0.25">
      <c r="A89" t="s">
        <v>16</v>
      </c>
      <c r="B89" s="20">
        <v>42602</v>
      </c>
      <c r="C89" s="2">
        <v>0.38388100000000003</v>
      </c>
      <c r="D89" s="2">
        <v>0.49762600000000001</v>
      </c>
      <c r="E89" s="2">
        <v>0.53547999999999996</v>
      </c>
      <c r="F89" s="2">
        <v>0.75262399999999996</v>
      </c>
      <c r="G89" s="2">
        <v>0.33333333333333331</v>
      </c>
      <c r="H89" s="29">
        <f t="shared" si="4"/>
        <v>0.33088899999999999</v>
      </c>
      <c r="I89" s="29">
        <f t="shared" si="5"/>
        <v>-2.4443333333333261E-3</v>
      </c>
      <c r="K89" s="2"/>
    </row>
    <row r="90" spans="1:11" x14ac:dyDescent="0.25">
      <c r="A90" t="s">
        <v>17</v>
      </c>
      <c r="B90" s="20">
        <v>42602</v>
      </c>
      <c r="C90" s="2">
        <v>0.38299100000000003</v>
      </c>
      <c r="D90" s="2">
        <v>0.49935200000000002</v>
      </c>
      <c r="E90" s="2">
        <v>0.536551</v>
      </c>
      <c r="F90" s="2">
        <v>0.74412299999999998</v>
      </c>
      <c r="G90" s="2">
        <v>0.33333333333333331</v>
      </c>
      <c r="H90" s="29">
        <f t="shared" si="4"/>
        <v>0.32393299999999997</v>
      </c>
      <c r="I90" s="29">
        <f t="shared" si="5"/>
        <v>-9.4003333333333439E-3</v>
      </c>
      <c r="K90" s="2"/>
    </row>
    <row r="91" spans="1:11" x14ac:dyDescent="0.25">
      <c r="A91" t="s">
        <v>18</v>
      </c>
      <c r="B91" s="20">
        <v>42602</v>
      </c>
      <c r="C91" s="2">
        <v>0.365921</v>
      </c>
      <c r="D91" s="2">
        <v>0.49841099999999999</v>
      </c>
      <c r="E91" s="2">
        <v>0.53988800000000003</v>
      </c>
      <c r="F91" s="2">
        <v>0.74961699999999998</v>
      </c>
      <c r="G91" s="2">
        <v>0.33333333333333331</v>
      </c>
      <c r="H91" s="29">
        <f t="shared" si="4"/>
        <v>0.34221899999999994</v>
      </c>
      <c r="I91" s="29">
        <f t="shared" si="5"/>
        <v>8.8856666666666251E-3</v>
      </c>
      <c r="K91" s="2"/>
    </row>
    <row r="92" spans="1:11" x14ac:dyDescent="0.25">
      <c r="A92" t="s">
        <v>13</v>
      </c>
      <c r="B92" s="20">
        <v>42605</v>
      </c>
      <c r="C92" s="2">
        <v>0.36278899999999997</v>
      </c>
      <c r="D92" s="2">
        <v>0.502938</v>
      </c>
      <c r="E92" s="2">
        <v>0.539659</v>
      </c>
      <c r="F92" s="2">
        <v>0.74990599999999996</v>
      </c>
      <c r="G92" s="2">
        <v>0.33333333333333331</v>
      </c>
      <c r="H92" s="29">
        <f t="shared" si="4"/>
        <v>0.35039599999999999</v>
      </c>
      <c r="I92" s="29">
        <f t="shared" si="5"/>
        <v>1.706266666666667E-2</v>
      </c>
      <c r="K92" s="2"/>
    </row>
    <row r="93" spans="1:11" x14ac:dyDescent="0.25">
      <c r="A93" t="s">
        <v>14</v>
      </c>
      <c r="B93" s="20">
        <v>42605</v>
      </c>
      <c r="C93" s="2">
        <v>0.37372</v>
      </c>
      <c r="D93" s="2">
        <v>0.498867</v>
      </c>
      <c r="E93" s="2">
        <v>0.54352500000000004</v>
      </c>
      <c r="F93" s="2">
        <v>0.74633700000000003</v>
      </c>
      <c r="G93" s="2">
        <v>0.33333333333333331</v>
      </c>
      <c r="H93" s="29">
        <f t="shared" si="4"/>
        <v>0.327959</v>
      </c>
      <c r="I93" s="29">
        <f t="shared" si="5"/>
        <v>-5.3743333333333143E-3</v>
      </c>
      <c r="K93" s="2"/>
    </row>
    <row r="94" spans="1:11" x14ac:dyDescent="0.25">
      <c r="A94" t="s">
        <v>15</v>
      </c>
      <c r="B94" s="20">
        <v>42605</v>
      </c>
      <c r="C94" s="2">
        <v>0.38076599999999999</v>
      </c>
      <c r="D94" s="2">
        <v>0.50064600000000004</v>
      </c>
      <c r="E94" s="2">
        <v>0.53743099999999999</v>
      </c>
      <c r="F94" s="2">
        <v>0.74935600000000002</v>
      </c>
      <c r="G94" s="2">
        <v>0.33333333333333331</v>
      </c>
      <c r="H94" s="29">
        <f t="shared" si="4"/>
        <v>0.33180500000000007</v>
      </c>
      <c r="I94" s="29">
        <f t="shared" si="5"/>
        <v>-1.5283333333332427E-3</v>
      </c>
      <c r="K94" s="2"/>
    </row>
    <row r="95" spans="1:11" x14ac:dyDescent="0.25">
      <c r="A95" t="s">
        <v>16</v>
      </c>
      <c r="B95" s="20">
        <v>42605</v>
      </c>
      <c r="C95" s="2">
        <v>0.38388100000000003</v>
      </c>
      <c r="D95" s="2">
        <v>0.49762600000000001</v>
      </c>
      <c r="E95" s="2">
        <v>0.53547999999999996</v>
      </c>
      <c r="F95" s="2">
        <v>0.75262399999999996</v>
      </c>
      <c r="G95" s="2">
        <v>0.33333333333333331</v>
      </c>
      <c r="H95" s="29">
        <f t="shared" si="4"/>
        <v>0.33088899999999999</v>
      </c>
      <c r="I95" s="29">
        <f t="shared" si="5"/>
        <v>-2.4443333333333261E-3</v>
      </c>
      <c r="K95" s="2"/>
    </row>
    <row r="96" spans="1:11" x14ac:dyDescent="0.25">
      <c r="A96" t="s">
        <v>17</v>
      </c>
      <c r="B96" s="20">
        <v>42605</v>
      </c>
      <c r="C96" s="2">
        <v>0.38299100000000003</v>
      </c>
      <c r="D96" s="2">
        <v>0.49935200000000002</v>
      </c>
      <c r="E96" s="2">
        <v>0.536551</v>
      </c>
      <c r="F96" s="2">
        <v>0.74412299999999998</v>
      </c>
      <c r="G96" s="2">
        <v>0.33333333333333331</v>
      </c>
      <c r="H96" s="29">
        <f t="shared" si="4"/>
        <v>0.32393299999999997</v>
      </c>
      <c r="I96" s="29">
        <f t="shared" si="5"/>
        <v>-9.4003333333333439E-3</v>
      </c>
      <c r="K96" s="2"/>
    </row>
    <row r="97" spans="1:11" x14ac:dyDescent="0.25">
      <c r="A97" t="s">
        <v>18</v>
      </c>
      <c r="B97" s="20">
        <v>42605</v>
      </c>
      <c r="C97" s="2">
        <v>0.365921</v>
      </c>
      <c r="D97" s="2">
        <v>0.49841099999999999</v>
      </c>
      <c r="E97" s="2">
        <v>0.53988800000000003</v>
      </c>
      <c r="F97" s="2">
        <v>0.74961699999999998</v>
      </c>
      <c r="G97" s="2">
        <v>0.33333333333333331</v>
      </c>
      <c r="H97" s="29">
        <f t="shared" si="4"/>
        <v>0.34221899999999994</v>
      </c>
      <c r="I97" s="29">
        <f t="shared" si="5"/>
        <v>8.8856666666666251E-3</v>
      </c>
      <c r="K97" s="2"/>
    </row>
    <row r="98" spans="1:11" x14ac:dyDescent="0.25">
      <c r="A98" t="s">
        <v>13</v>
      </c>
      <c r="B98" s="20">
        <v>42606</v>
      </c>
      <c r="C98" s="2">
        <v>0.38120500000000002</v>
      </c>
      <c r="D98" s="2">
        <v>0.50184600000000001</v>
      </c>
      <c r="E98" s="2">
        <v>0.54410700000000001</v>
      </c>
      <c r="F98" s="2">
        <v>0.74624500000000005</v>
      </c>
      <c r="G98" s="2">
        <v>0.33333333333333331</v>
      </c>
      <c r="H98" s="29">
        <f t="shared" ref="H98:H103" si="6">(F98-C98)-(E98-D98)</f>
        <v>0.32277900000000004</v>
      </c>
      <c r="I98" s="29">
        <f t="shared" ref="I98:I129" si="7">H98-G98</f>
        <v>-1.0554333333333277E-2</v>
      </c>
      <c r="K98" s="2"/>
    </row>
    <row r="99" spans="1:11" x14ac:dyDescent="0.25">
      <c r="A99" t="s">
        <v>14</v>
      </c>
      <c r="B99" s="20">
        <v>42606</v>
      </c>
      <c r="C99" s="2">
        <v>0.37450699999999998</v>
      </c>
      <c r="D99" s="2">
        <v>0.49991099999999999</v>
      </c>
      <c r="E99" s="2">
        <v>0.53691</v>
      </c>
      <c r="F99" s="2">
        <v>0.75317699999999999</v>
      </c>
      <c r="G99" s="2">
        <v>0.33333333333333331</v>
      </c>
      <c r="H99" s="29">
        <f t="shared" si="6"/>
        <v>0.341671</v>
      </c>
      <c r="I99" s="29">
        <f t="shared" si="7"/>
        <v>8.3376666666666877E-3</v>
      </c>
      <c r="K99" s="2"/>
    </row>
    <row r="100" spans="1:11" x14ac:dyDescent="0.25">
      <c r="A100" t="s">
        <v>15</v>
      </c>
      <c r="B100" s="20">
        <v>42606</v>
      </c>
      <c r="C100" s="2">
        <v>0.37377899999999997</v>
      </c>
      <c r="D100" s="2">
        <v>0.49899100000000002</v>
      </c>
      <c r="E100" s="2">
        <v>0.54145900000000002</v>
      </c>
      <c r="F100" s="2">
        <v>0.752579</v>
      </c>
      <c r="G100" s="2">
        <v>0.33333333333333331</v>
      </c>
      <c r="H100" s="29">
        <f t="shared" si="6"/>
        <v>0.33633200000000002</v>
      </c>
      <c r="I100" s="29">
        <f t="shared" si="7"/>
        <v>2.998666666666705E-3</v>
      </c>
      <c r="K100" s="2"/>
    </row>
    <row r="101" spans="1:11" x14ac:dyDescent="0.25">
      <c r="A101" t="s">
        <v>16</v>
      </c>
      <c r="B101" s="20">
        <v>42606</v>
      </c>
      <c r="C101" s="2">
        <v>0.36163499999999998</v>
      </c>
      <c r="D101" s="2">
        <v>0.49755899999999997</v>
      </c>
      <c r="E101" s="2">
        <v>0.54017000000000004</v>
      </c>
      <c r="F101" s="2">
        <v>0.74596899999999999</v>
      </c>
      <c r="G101" s="2">
        <v>0.33333333333333331</v>
      </c>
      <c r="H101" s="29">
        <f t="shared" si="6"/>
        <v>0.34172299999999994</v>
      </c>
      <c r="I101" s="29">
        <f t="shared" si="7"/>
        <v>8.3896666666666286E-3</v>
      </c>
      <c r="K101" s="2"/>
    </row>
    <row r="102" spans="1:11" x14ac:dyDescent="0.25">
      <c r="A102" t="s">
        <v>17</v>
      </c>
      <c r="B102" s="20">
        <v>42606</v>
      </c>
      <c r="C102" s="2">
        <v>0.38097500000000001</v>
      </c>
      <c r="D102" s="2">
        <v>0.49715999999999999</v>
      </c>
      <c r="E102" s="2">
        <v>0.53689100000000001</v>
      </c>
      <c r="F102" s="2">
        <v>0.74400500000000003</v>
      </c>
      <c r="G102" s="2">
        <v>0.33333333333333331</v>
      </c>
      <c r="H102" s="29">
        <f t="shared" si="6"/>
        <v>0.323299</v>
      </c>
      <c r="I102" s="29">
        <f t="shared" si="7"/>
        <v>-1.0034333333333312E-2</v>
      </c>
      <c r="K102" s="2"/>
    </row>
    <row r="103" spans="1:11" x14ac:dyDescent="0.25">
      <c r="A103" t="s">
        <v>18</v>
      </c>
      <c r="B103" s="20">
        <v>42606</v>
      </c>
      <c r="C103" s="2">
        <v>0.38452599999999998</v>
      </c>
      <c r="D103" s="2">
        <v>0.50083500000000003</v>
      </c>
      <c r="E103" s="2">
        <v>0.53535900000000003</v>
      </c>
      <c r="F103" s="2">
        <v>0.75084099999999998</v>
      </c>
      <c r="G103" s="2">
        <v>0.33333333333333331</v>
      </c>
      <c r="H103" s="29">
        <f t="shared" si="6"/>
        <v>0.331791</v>
      </c>
      <c r="I103" s="29">
        <f t="shared" si="7"/>
        <v>-1.5423333333333122E-3</v>
      </c>
      <c r="K103" s="2"/>
    </row>
    <row r="104" spans="1:11" x14ac:dyDescent="0.25">
      <c r="A104" t="s">
        <v>13</v>
      </c>
      <c r="B104" s="20">
        <v>42607</v>
      </c>
      <c r="C104" s="2">
        <v>0.38120500000000002</v>
      </c>
      <c r="D104" s="2">
        <v>0.50184600000000001</v>
      </c>
      <c r="E104" s="2">
        <v>0.54410700000000001</v>
      </c>
      <c r="F104" s="2">
        <v>0.74624500000000005</v>
      </c>
      <c r="G104" s="2">
        <v>0.33333333333333331</v>
      </c>
      <c r="H104" s="29">
        <f t="shared" ref="H104:H121" si="8">(F104-C104)-(E104-D104)</f>
        <v>0.32277900000000004</v>
      </c>
      <c r="I104" s="30">
        <f t="shared" ref="I104:I121" si="9">H104-G104</f>
        <v>-1.0554333333333277E-2</v>
      </c>
      <c r="K104" s="2"/>
    </row>
    <row r="105" spans="1:11" x14ac:dyDescent="0.25">
      <c r="A105" t="s">
        <v>14</v>
      </c>
      <c r="B105" s="20">
        <v>42607</v>
      </c>
      <c r="C105" s="2">
        <v>0.37450699999999998</v>
      </c>
      <c r="D105" s="2">
        <v>0.49991099999999999</v>
      </c>
      <c r="E105" s="2">
        <v>0.53691</v>
      </c>
      <c r="F105" s="2">
        <v>0.75317699999999999</v>
      </c>
      <c r="G105" s="2">
        <v>0.33333333333333331</v>
      </c>
      <c r="H105" s="29">
        <f t="shared" si="8"/>
        <v>0.341671</v>
      </c>
      <c r="I105" s="30">
        <f t="shared" si="9"/>
        <v>8.3376666666666877E-3</v>
      </c>
      <c r="K105" s="2"/>
    </row>
    <row r="106" spans="1:11" x14ac:dyDescent="0.25">
      <c r="A106" t="s">
        <v>15</v>
      </c>
      <c r="B106" s="20">
        <v>42607</v>
      </c>
      <c r="C106" s="2">
        <v>0.37377899999999997</v>
      </c>
      <c r="D106" s="2">
        <v>0.49899100000000002</v>
      </c>
      <c r="E106" s="2">
        <v>0.54145900000000002</v>
      </c>
      <c r="F106" s="2">
        <v>0.752579</v>
      </c>
      <c r="G106" s="2">
        <v>0.33333333333333331</v>
      </c>
      <c r="H106" s="29">
        <f t="shared" si="8"/>
        <v>0.33633200000000002</v>
      </c>
      <c r="I106" s="30">
        <f t="shared" si="9"/>
        <v>2.998666666666705E-3</v>
      </c>
      <c r="K106" s="2"/>
    </row>
    <row r="107" spans="1:11" x14ac:dyDescent="0.25">
      <c r="A107" t="s">
        <v>16</v>
      </c>
      <c r="B107" s="20">
        <v>42607</v>
      </c>
      <c r="C107" s="2">
        <v>0.36163499999999998</v>
      </c>
      <c r="D107" s="2">
        <v>0.49755899999999997</v>
      </c>
      <c r="E107" s="2">
        <v>0.54017000000000004</v>
      </c>
      <c r="F107" s="2">
        <v>0.74596899999999999</v>
      </c>
      <c r="G107" s="2">
        <v>0.33333333333333331</v>
      </c>
      <c r="H107" s="29">
        <f t="shared" si="8"/>
        <v>0.34172299999999994</v>
      </c>
      <c r="I107" s="30">
        <f t="shared" si="9"/>
        <v>8.3896666666666286E-3</v>
      </c>
      <c r="K107" s="2"/>
    </row>
    <row r="108" spans="1:11" x14ac:dyDescent="0.25">
      <c r="A108" t="s">
        <v>17</v>
      </c>
      <c r="B108" s="20">
        <v>42607</v>
      </c>
      <c r="C108" s="2">
        <v>0.38097500000000001</v>
      </c>
      <c r="D108" s="2">
        <v>0.49715999999999999</v>
      </c>
      <c r="E108" s="2">
        <v>0.53689100000000001</v>
      </c>
      <c r="F108" s="2">
        <v>0.74400500000000003</v>
      </c>
      <c r="G108" s="2">
        <v>0.33333333333333331</v>
      </c>
      <c r="H108" s="29">
        <f t="shared" si="8"/>
        <v>0.323299</v>
      </c>
      <c r="I108" s="30">
        <f t="shared" si="9"/>
        <v>-1.0034333333333312E-2</v>
      </c>
      <c r="K108" s="2"/>
    </row>
    <row r="109" spans="1:11" x14ac:dyDescent="0.25">
      <c r="A109" t="s">
        <v>18</v>
      </c>
      <c r="B109" s="20">
        <v>42607</v>
      </c>
      <c r="C109" s="2">
        <v>0.38452599999999998</v>
      </c>
      <c r="D109" s="2">
        <v>0.50083500000000003</v>
      </c>
      <c r="E109" s="2">
        <v>0.53535900000000003</v>
      </c>
      <c r="F109" s="2">
        <v>0.75084099999999998</v>
      </c>
      <c r="G109" s="2">
        <v>0.33333333333333331</v>
      </c>
      <c r="H109" s="29">
        <f t="shared" si="8"/>
        <v>0.331791</v>
      </c>
      <c r="I109" s="30">
        <f t="shared" si="9"/>
        <v>-1.5423333333333122E-3</v>
      </c>
      <c r="K109" s="2"/>
    </row>
    <row r="110" spans="1:11" x14ac:dyDescent="0.25">
      <c r="A110" t="s">
        <v>13</v>
      </c>
      <c r="B110" s="20">
        <v>42608</v>
      </c>
      <c r="C110" s="2">
        <v>0.38079499999999999</v>
      </c>
      <c r="D110" s="2">
        <v>0.50213700000000006</v>
      </c>
      <c r="E110" s="2">
        <v>0.53937400000000002</v>
      </c>
      <c r="F110" s="2">
        <v>0.74307100000000004</v>
      </c>
      <c r="G110" s="2">
        <v>0.33333333333333331</v>
      </c>
      <c r="H110" s="29">
        <f t="shared" si="8"/>
        <v>0.32503900000000008</v>
      </c>
      <c r="I110" s="30">
        <f t="shared" si="9"/>
        <v>-8.294333333333237E-3</v>
      </c>
    </row>
    <row r="111" spans="1:11" x14ac:dyDescent="0.25">
      <c r="A111" t="s">
        <v>14</v>
      </c>
      <c r="B111" s="20">
        <v>42608</v>
      </c>
      <c r="C111" s="2">
        <v>0.38188899999999998</v>
      </c>
      <c r="D111" s="2">
        <v>0.49932900000000002</v>
      </c>
      <c r="E111" s="2">
        <v>0.53585199999999999</v>
      </c>
      <c r="F111" s="2">
        <v>0.74453599999999998</v>
      </c>
      <c r="G111" s="2">
        <v>0.33333333333333331</v>
      </c>
      <c r="H111" s="29">
        <f t="shared" si="8"/>
        <v>0.32612400000000002</v>
      </c>
      <c r="I111" s="30">
        <f t="shared" si="9"/>
        <v>-7.2093333333332899E-3</v>
      </c>
    </row>
    <row r="112" spans="1:11" x14ac:dyDescent="0.25">
      <c r="A112" t="s">
        <v>15</v>
      </c>
      <c r="B112" s="20">
        <v>42608</v>
      </c>
      <c r="C112" s="2">
        <v>0.36207800000000001</v>
      </c>
      <c r="D112" s="2">
        <v>0.49837100000000001</v>
      </c>
      <c r="E112" s="2">
        <v>0.54161899999999996</v>
      </c>
      <c r="F112" s="2">
        <v>0.74359500000000001</v>
      </c>
      <c r="G112" s="2">
        <v>0.33333333333333331</v>
      </c>
      <c r="H112" s="29">
        <f t="shared" si="8"/>
        <v>0.33826900000000004</v>
      </c>
      <c r="I112" s="30">
        <f t="shared" si="9"/>
        <v>4.935666666666727E-3</v>
      </c>
    </row>
    <row r="113" spans="1:9" x14ac:dyDescent="0.25">
      <c r="A113" t="s">
        <v>16</v>
      </c>
      <c r="B113" s="20">
        <v>42608</v>
      </c>
      <c r="C113" s="2">
        <v>0.36285600000000001</v>
      </c>
      <c r="D113" s="2">
        <v>0.50103799999999998</v>
      </c>
      <c r="E113" s="2">
        <v>0.54225699999999999</v>
      </c>
      <c r="F113" s="2">
        <v>0.75114199999999998</v>
      </c>
      <c r="G113" s="2">
        <v>0.33333333333333331</v>
      </c>
      <c r="H113" s="29">
        <f t="shared" si="8"/>
        <v>0.34706699999999996</v>
      </c>
      <c r="I113" s="30">
        <f t="shared" si="9"/>
        <v>1.3733666666666644E-2</v>
      </c>
    </row>
    <row r="114" spans="1:9" x14ac:dyDescent="0.25">
      <c r="A114" t="s">
        <v>17</v>
      </c>
      <c r="B114" s="20">
        <v>42608</v>
      </c>
      <c r="C114" s="2">
        <v>0.36940600000000001</v>
      </c>
      <c r="D114" s="2">
        <v>0.49766700000000003</v>
      </c>
      <c r="E114" s="2">
        <v>0.54351099999999997</v>
      </c>
      <c r="F114" s="2">
        <v>0.75101799999999996</v>
      </c>
      <c r="G114" s="2">
        <v>0.33333333333333331</v>
      </c>
      <c r="H114" s="29">
        <f t="shared" si="8"/>
        <v>0.33576800000000001</v>
      </c>
      <c r="I114" s="30">
        <f t="shared" si="9"/>
        <v>2.4346666666666961E-3</v>
      </c>
    </row>
    <row r="115" spans="1:9" x14ac:dyDescent="0.25">
      <c r="A115" t="s">
        <v>18</v>
      </c>
      <c r="B115" s="20">
        <v>42608</v>
      </c>
      <c r="C115" s="2">
        <v>0.377801</v>
      </c>
      <c r="D115" s="2">
        <v>0.49754300000000001</v>
      </c>
      <c r="E115" s="2">
        <v>0.54180700000000004</v>
      </c>
      <c r="F115" s="2">
        <v>0.75227500000000003</v>
      </c>
      <c r="G115" s="2">
        <v>0.33333333333333331</v>
      </c>
      <c r="H115" s="29">
        <f t="shared" si="8"/>
        <v>0.33021</v>
      </c>
      <c r="I115" s="30">
        <f t="shared" si="9"/>
        <v>-3.1233333333333113E-3</v>
      </c>
    </row>
    <row r="116" spans="1:9" x14ac:dyDescent="0.25">
      <c r="A116" t="s">
        <v>13</v>
      </c>
      <c r="B116" s="20">
        <v>42609</v>
      </c>
      <c r="C116" s="2">
        <v>0.37760300000000002</v>
      </c>
      <c r="D116" s="2">
        <v>0.49709100000000001</v>
      </c>
      <c r="E116" s="2">
        <v>0.54359400000000002</v>
      </c>
      <c r="F116" s="2">
        <v>0.74985299999999999</v>
      </c>
      <c r="G116" s="2">
        <v>0.33333333333333331</v>
      </c>
      <c r="H116" s="29">
        <f t="shared" si="8"/>
        <v>0.32574699999999995</v>
      </c>
      <c r="I116" s="30">
        <f t="shared" si="9"/>
        <v>-7.5863333333333616E-3</v>
      </c>
    </row>
    <row r="117" spans="1:9" x14ac:dyDescent="0.25">
      <c r="A117" t="s">
        <v>14</v>
      </c>
      <c r="B117" s="20">
        <v>42609</v>
      </c>
      <c r="C117" s="2">
        <v>0.37465599999999999</v>
      </c>
      <c r="D117" s="2">
        <v>0.49670700000000001</v>
      </c>
      <c r="E117" s="2">
        <v>0.54026399999999997</v>
      </c>
      <c r="F117" s="2">
        <v>0.75005500000000003</v>
      </c>
      <c r="G117" s="2">
        <v>0.33333333333333331</v>
      </c>
      <c r="H117" s="29">
        <f t="shared" si="8"/>
        <v>0.33184200000000008</v>
      </c>
      <c r="I117" s="30">
        <f t="shared" si="9"/>
        <v>-1.4913333333332335E-3</v>
      </c>
    </row>
    <row r="118" spans="1:9" x14ac:dyDescent="0.25">
      <c r="A118" t="s">
        <v>15</v>
      </c>
      <c r="B118" s="20">
        <v>42609</v>
      </c>
      <c r="C118" s="2">
        <v>0.383743</v>
      </c>
      <c r="D118" s="2">
        <v>0.50092599999999998</v>
      </c>
      <c r="E118" s="2">
        <v>0.53841099999999997</v>
      </c>
      <c r="F118" s="2">
        <v>0.74805500000000003</v>
      </c>
      <c r="G118" s="2">
        <v>0.33333333333333331</v>
      </c>
      <c r="H118" s="29">
        <f t="shared" si="8"/>
        <v>0.32682700000000003</v>
      </c>
      <c r="I118" s="30">
        <f t="shared" si="9"/>
        <v>-6.5063333333332807E-3</v>
      </c>
    </row>
    <row r="119" spans="1:9" x14ac:dyDescent="0.25">
      <c r="A119" t="s">
        <v>16</v>
      </c>
      <c r="B119" s="20">
        <v>42609</v>
      </c>
      <c r="C119" s="2">
        <v>0.37667200000000001</v>
      </c>
      <c r="D119" s="2">
        <v>0.49964399999999998</v>
      </c>
      <c r="E119" s="2">
        <v>0.53711500000000001</v>
      </c>
      <c r="F119" s="2">
        <v>0.74578999999999995</v>
      </c>
      <c r="G119" s="2">
        <v>0.33333333333333331</v>
      </c>
      <c r="H119" s="29">
        <f t="shared" si="8"/>
        <v>0.33164699999999991</v>
      </c>
      <c r="I119" s="30">
        <f t="shared" si="9"/>
        <v>-1.6863333333334007E-3</v>
      </c>
    </row>
    <row r="120" spans="1:9" x14ac:dyDescent="0.25">
      <c r="A120" t="s">
        <v>17</v>
      </c>
      <c r="B120" s="20">
        <v>42609</v>
      </c>
      <c r="C120" s="2">
        <v>0.37045899999999998</v>
      </c>
      <c r="D120" s="2">
        <v>0.49790400000000001</v>
      </c>
      <c r="E120" s="2">
        <v>0.54123399999999999</v>
      </c>
      <c r="F120" s="2">
        <v>0.74547799999999997</v>
      </c>
      <c r="G120" s="2">
        <v>0.33333333333333331</v>
      </c>
      <c r="H120" s="29">
        <f t="shared" si="8"/>
        <v>0.33168900000000001</v>
      </c>
      <c r="I120" s="30">
        <f t="shared" si="9"/>
        <v>-1.6443333333333032E-3</v>
      </c>
    </row>
    <row r="121" spans="1:9" x14ac:dyDescent="0.25">
      <c r="A121" t="s">
        <v>18</v>
      </c>
      <c r="B121" s="20">
        <v>42609</v>
      </c>
      <c r="C121" s="2">
        <v>0.37759199999999998</v>
      </c>
      <c r="D121" s="2">
        <v>0.497506</v>
      </c>
      <c r="E121" s="2">
        <v>0.54174199999999995</v>
      </c>
      <c r="F121" s="2">
        <v>0.75278</v>
      </c>
      <c r="G121" s="2">
        <v>0.33333333333333331</v>
      </c>
      <c r="H121" s="29">
        <f t="shared" si="8"/>
        <v>0.33095200000000008</v>
      </c>
      <c r="I121" s="30">
        <f t="shared" si="9"/>
        <v>-2.3813333333332354E-3</v>
      </c>
    </row>
    <row r="122" spans="1:9" x14ac:dyDescent="0.25">
      <c r="A122" t="s">
        <v>13</v>
      </c>
      <c r="B122" s="20">
        <v>42612</v>
      </c>
      <c r="C122" s="2">
        <v>0.38120500000000002</v>
      </c>
      <c r="D122" s="2">
        <v>0.50184600000000001</v>
      </c>
      <c r="E122" s="2">
        <v>0.54410700000000001</v>
      </c>
      <c r="F122" s="2">
        <v>0.74624500000000005</v>
      </c>
      <c r="G122" s="2">
        <v>0.33333333333333331</v>
      </c>
      <c r="H122" s="29">
        <f t="shared" ref="H122:H127" si="10">(F122-C122)-(E122-D122)</f>
        <v>0.32277900000000004</v>
      </c>
      <c r="I122" s="30">
        <f t="shared" ref="I122:I127" si="11">H122-G122</f>
        <v>-1.0554333333333277E-2</v>
      </c>
    </row>
    <row r="123" spans="1:9" x14ac:dyDescent="0.25">
      <c r="A123" t="s">
        <v>14</v>
      </c>
      <c r="B123" s="20">
        <v>42612</v>
      </c>
      <c r="C123" s="2">
        <v>0.37450699999999998</v>
      </c>
      <c r="D123" s="2">
        <v>0.49991099999999999</v>
      </c>
      <c r="E123" s="2">
        <v>0.53691</v>
      </c>
      <c r="F123" s="2">
        <v>0.75317699999999999</v>
      </c>
      <c r="G123" s="2">
        <v>0.33333333333333331</v>
      </c>
      <c r="H123" s="29">
        <f t="shared" si="10"/>
        <v>0.341671</v>
      </c>
      <c r="I123" s="30">
        <f t="shared" si="11"/>
        <v>8.3376666666666877E-3</v>
      </c>
    </row>
    <row r="124" spans="1:9" x14ac:dyDescent="0.25">
      <c r="A124" t="s">
        <v>15</v>
      </c>
      <c r="B124" s="20">
        <v>42612</v>
      </c>
      <c r="C124" s="2">
        <v>0.37377899999999997</v>
      </c>
      <c r="D124" s="2">
        <v>0.49899100000000002</v>
      </c>
      <c r="E124" s="2">
        <v>0.54145900000000002</v>
      </c>
      <c r="F124" s="2">
        <v>0.752579</v>
      </c>
      <c r="G124" s="2">
        <v>0.33333333333333331</v>
      </c>
      <c r="H124" s="29">
        <f t="shared" si="10"/>
        <v>0.33633200000000002</v>
      </c>
      <c r="I124" s="30">
        <f t="shared" si="11"/>
        <v>2.998666666666705E-3</v>
      </c>
    </row>
    <row r="125" spans="1:9" x14ac:dyDescent="0.25">
      <c r="A125" t="s">
        <v>16</v>
      </c>
      <c r="B125" s="20">
        <v>42612</v>
      </c>
      <c r="C125" s="2">
        <v>0.36163499999999998</v>
      </c>
      <c r="D125" s="2">
        <v>0.49755899999999997</v>
      </c>
      <c r="E125" s="2">
        <v>0.54017000000000004</v>
      </c>
      <c r="F125" s="2">
        <v>0.74596899999999999</v>
      </c>
      <c r="G125" s="2">
        <v>0.33333333333333331</v>
      </c>
      <c r="H125" s="29">
        <f t="shared" si="10"/>
        <v>0.34172299999999994</v>
      </c>
      <c r="I125" s="30">
        <f t="shared" si="11"/>
        <v>8.3896666666666286E-3</v>
      </c>
    </row>
    <row r="126" spans="1:9" x14ac:dyDescent="0.25">
      <c r="A126" t="s">
        <v>17</v>
      </c>
      <c r="B126" s="20">
        <v>42612</v>
      </c>
      <c r="C126" s="2">
        <v>0.38097500000000001</v>
      </c>
      <c r="D126" s="2">
        <v>0.49715999999999999</v>
      </c>
      <c r="E126" s="2">
        <v>0.53689100000000001</v>
      </c>
      <c r="F126" s="2">
        <v>0.74400500000000003</v>
      </c>
      <c r="G126" s="2">
        <v>0.33333333333333331</v>
      </c>
      <c r="H126" s="29">
        <f t="shared" si="10"/>
        <v>0.323299</v>
      </c>
      <c r="I126" s="30">
        <f t="shared" si="11"/>
        <v>-1.0034333333333312E-2</v>
      </c>
    </row>
    <row r="127" spans="1:9" x14ac:dyDescent="0.25">
      <c r="A127" t="s">
        <v>18</v>
      </c>
      <c r="B127" s="20">
        <v>42612</v>
      </c>
      <c r="C127" s="2">
        <v>0.38452599999999998</v>
      </c>
      <c r="D127" s="2">
        <v>0.50083500000000003</v>
      </c>
      <c r="E127" s="2">
        <v>0.53535900000000003</v>
      </c>
      <c r="F127" s="2">
        <v>0.75084099999999998</v>
      </c>
      <c r="G127" s="2">
        <v>0.33333333333333331</v>
      </c>
      <c r="H127" s="29">
        <f t="shared" si="10"/>
        <v>0.331791</v>
      </c>
      <c r="I127" s="30">
        <f t="shared" si="11"/>
        <v>-1.5423333333333122E-3</v>
      </c>
    </row>
  </sheetData>
  <dataValidations count="1">
    <dataValidation type="list" allowBlank="1" showInputMessage="1" showErrorMessage="1" sqref="A2:A127" xr:uid="{B3552E29-4015-4D3C-836B-6EEDD17183EA}">
      <formula1>INDIRECT("FUNCIONARIOS[Funcionário]")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661B-A79D-42A3-AC69-0E5449C35DCE}">
  <sheetPr codeName="Planilha4">
    <pageSetUpPr fitToPage="1"/>
  </sheetPr>
  <dimension ref="B1:Q149"/>
  <sheetViews>
    <sheetView showGridLines="0" topLeftCell="A12" zoomScale="55" zoomScaleNormal="55" workbookViewId="0">
      <selection activeCell="B14" sqref="B14"/>
    </sheetView>
  </sheetViews>
  <sheetFormatPr defaultRowHeight="15" x14ac:dyDescent="0.25"/>
  <cols>
    <col min="1" max="1" width="1.7109375" customWidth="1"/>
    <col min="2" max="9" width="24.140625" customWidth="1"/>
    <col min="16" max="16" width="11.85546875" bestFit="1" customWidth="1"/>
    <col min="17" max="17" width="12.140625" bestFit="1" customWidth="1"/>
  </cols>
  <sheetData>
    <row r="1" spans="2:17" ht="52.5" customHeight="1" x14ac:dyDescent="0.7">
      <c r="B1" s="28" t="s">
        <v>0</v>
      </c>
      <c r="C1" s="9"/>
      <c r="D1" s="9"/>
      <c r="E1" s="9"/>
      <c r="F1" s="9"/>
      <c r="G1" s="9"/>
      <c r="H1" s="9"/>
      <c r="I1" s="9"/>
    </row>
    <row r="2" spans="2:17" x14ac:dyDescent="0.25">
      <c r="O2" s="17" t="s">
        <v>43</v>
      </c>
      <c r="P2" s="17"/>
      <c r="Q2" s="17"/>
    </row>
    <row r="3" spans="2:17" ht="23.25" x14ac:dyDescent="0.35">
      <c r="B3" s="16" t="s">
        <v>2</v>
      </c>
      <c r="C3" s="14"/>
      <c r="D3" s="14"/>
      <c r="E3" s="14"/>
      <c r="F3" s="14"/>
      <c r="G3" s="14"/>
      <c r="H3" s="14"/>
      <c r="I3" s="14"/>
      <c r="O3" s="17" t="s">
        <v>3</v>
      </c>
      <c r="P3" s="17" t="s">
        <v>7</v>
      </c>
      <c r="Q3" s="17" t="s">
        <v>7</v>
      </c>
    </row>
    <row r="4" spans="2:17" x14ac:dyDescent="0.25">
      <c r="O4" s="17" t="str">
        <f>C5</f>
        <v>André</v>
      </c>
      <c r="P4" s="18" t="str">
        <f>"&gt;=" &amp; C11</f>
        <v>&gt;=42582</v>
      </c>
      <c r="Q4" s="18" t="str">
        <f>"&lt;=" &amp; C12</f>
        <v>&lt;=42612</v>
      </c>
    </row>
    <row r="5" spans="2:17" ht="21" x14ac:dyDescent="0.35">
      <c r="B5" s="10" t="s">
        <v>3</v>
      </c>
      <c r="C5" s="32" t="s">
        <v>15</v>
      </c>
      <c r="E5" s="10" t="s">
        <v>4</v>
      </c>
      <c r="F5" s="31" t="str">
        <f>VLOOKUP(C5,Funcionários!A:G,4,0)</f>
        <v>andré@hashtag.com</v>
      </c>
      <c r="P5" s="5"/>
      <c r="Q5" s="5"/>
    </row>
    <row r="6" spans="2:17" ht="21" x14ac:dyDescent="0.35">
      <c r="B6" s="10" t="s">
        <v>45</v>
      </c>
      <c r="C6" s="31" t="str">
        <f>VLOOKUP(C5,Funcionários!A:G,2,0)</f>
        <v>Gerente</v>
      </c>
      <c r="E6" s="10" t="s">
        <v>5</v>
      </c>
      <c r="F6" s="31" t="str">
        <f>VLOOKUP(C5,Funcionários!A:G,5,0)</f>
        <v>(21) 98474-2049</v>
      </c>
      <c r="P6" s="5"/>
      <c r="Q6" s="5"/>
    </row>
    <row r="7" spans="2:17" x14ac:dyDescent="0.25">
      <c r="P7" s="5"/>
      <c r="Q7" s="5"/>
    </row>
    <row r="8" spans="2:17" x14ac:dyDescent="0.25">
      <c r="P8" s="5"/>
      <c r="Q8" s="5"/>
    </row>
    <row r="9" spans="2:17" ht="23.25" x14ac:dyDescent="0.35">
      <c r="B9" s="16" t="s">
        <v>46</v>
      </c>
      <c r="C9" s="14"/>
      <c r="D9" s="14"/>
      <c r="E9" s="14"/>
      <c r="F9" s="14"/>
      <c r="G9" s="14"/>
      <c r="H9" s="14"/>
      <c r="I9" s="14"/>
      <c r="P9" s="5"/>
      <c r="Q9" s="5"/>
    </row>
    <row r="11" spans="2:17" ht="21" x14ac:dyDescent="0.35">
      <c r="B11" s="10" t="s">
        <v>47</v>
      </c>
      <c r="C11" s="13">
        <v>42582</v>
      </c>
    </row>
    <row r="12" spans="2:17" ht="21" x14ac:dyDescent="0.35">
      <c r="B12" s="10" t="s">
        <v>48</v>
      </c>
      <c r="C12" s="13">
        <v>42612</v>
      </c>
    </row>
    <row r="14" spans="2:17" ht="23.25" x14ac:dyDescent="0.35">
      <c r="B14" s="16" t="s">
        <v>49</v>
      </c>
      <c r="C14" s="14"/>
      <c r="D14" s="14"/>
      <c r="E14" s="14"/>
      <c r="F14" s="14"/>
      <c r="G14" s="14"/>
      <c r="H14" s="14"/>
      <c r="I14" s="14"/>
    </row>
    <row r="16" spans="2:17" ht="42" x14ac:dyDescent="0.25">
      <c r="B16" s="15" t="s">
        <v>52</v>
      </c>
      <c r="C16" s="15" t="s">
        <v>55</v>
      </c>
      <c r="D16" s="15" t="s">
        <v>51</v>
      </c>
      <c r="E16" s="15" t="s">
        <v>44</v>
      </c>
      <c r="F16" s="15" t="s">
        <v>50</v>
      </c>
      <c r="G16" s="15"/>
      <c r="H16" s="15"/>
      <c r="I16" s="15"/>
    </row>
    <row r="17" spans="2:10" ht="31.5" customHeight="1" x14ac:dyDescent="0.45">
      <c r="B17" s="25">
        <f>NETWORKDAYS(C11,C12)</f>
        <v>21</v>
      </c>
      <c r="C17" s="24">
        <v>8</v>
      </c>
      <c r="D17" s="26">
        <f>B17*C17</f>
        <v>168</v>
      </c>
      <c r="E17" s="24">
        <f>SUM(H:H)*24</f>
        <v>168.66237599999999</v>
      </c>
      <c r="F17" s="24">
        <f>SUM(I:I)*24</f>
        <v>0.66237600000002761</v>
      </c>
      <c r="G17" s="19"/>
      <c r="H17" s="19"/>
      <c r="I17" s="19"/>
    </row>
    <row r="19" spans="2:10" ht="42" x14ac:dyDescent="0.25">
      <c r="B19" s="15" t="s">
        <v>20</v>
      </c>
      <c r="C19" s="15" t="s">
        <v>53</v>
      </c>
      <c r="D19" s="15" t="s">
        <v>54</v>
      </c>
      <c r="E19" s="15"/>
      <c r="F19" s="15"/>
    </row>
    <row r="20" spans="2:10" ht="31.5" customHeight="1" x14ac:dyDescent="0.45">
      <c r="B20" s="19">
        <f>VLOOKUP(C5,Funcionários!A:G,6,0)</f>
        <v>16500</v>
      </c>
      <c r="C20" s="27">
        <f>B20/D17</f>
        <v>98.214285714285708</v>
      </c>
      <c r="D20" s="27">
        <f>C20*F17</f>
        <v>65.054785714288428</v>
      </c>
      <c r="E20" s="24"/>
      <c r="F20" s="24"/>
      <c r="G20" s="19"/>
      <c r="H20" s="19"/>
      <c r="I20" s="19"/>
    </row>
    <row r="24" spans="2:10" ht="15.75" thickBot="1" x14ac:dyDescent="0.3">
      <c r="B24" s="11" t="s">
        <v>7</v>
      </c>
      <c r="C24" s="11" t="s">
        <v>8</v>
      </c>
      <c r="D24" s="11" t="s">
        <v>10</v>
      </c>
      <c r="E24" s="11" t="s">
        <v>11</v>
      </c>
      <c r="F24" s="11" t="s">
        <v>9</v>
      </c>
      <c r="G24" s="11" t="s">
        <v>29</v>
      </c>
      <c r="H24" s="11" t="s">
        <v>12</v>
      </c>
      <c r="I24" s="11" t="s">
        <v>6</v>
      </c>
    </row>
    <row r="25" spans="2:10" x14ac:dyDescent="0.25">
      <c r="B25" s="20">
        <v>42584</v>
      </c>
      <c r="C25" s="2">
        <v>0.38076599999999999</v>
      </c>
      <c r="D25" s="2">
        <v>0.50064600000000004</v>
      </c>
      <c r="E25" s="2">
        <v>0.53743099999999999</v>
      </c>
      <c r="F25" s="2">
        <v>0.74935600000000002</v>
      </c>
      <c r="G25" s="2">
        <v>0.33333333333333331</v>
      </c>
      <c r="H25" s="29">
        <v>0.33180500000000007</v>
      </c>
      <c r="I25" s="29">
        <v>-1.5283333333332427E-3</v>
      </c>
    </row>
    <row r="26" spans="2:10" x14ac:dyDescent="0.25">
      <c r="B26" s="20">
        <v>42585</v>
      </c>
      <c r="C26" s="2">
        <v>0.37377899999999997</v>
      </c>
      <c r="D26" s="2">
        <v>0.49899100000000002</v>
      </c>
      <c r="E26" s="2">
        <v>0.54145900000000002</v>
      </c>
      <c r="F26" s="2">
        <v>0.752579</v>
      </c>
      <c r="G26" s="2">
        <v>0.33333333333333331</v>
      </c>
      <c r="H26" s="29">
        <v>0.33633200000000002</v>
      </c>
      <c r="I26" s="29">
        <v>2.998666666666705E-3</v>
      </c>
      <c r="J26" s="3"/>
    </row>
    <row r="27" spans="2:10" x14ac:dyDescent="0.25">
      <c r="B27" s="20">
        <v>42586</v>
      </c>
      <c r="C27" s="2">
        <v>0.36475600000000002</v>
      </c>
      <c r="D27" s="2">
        <v>0.49907699999999999</v>
      </c>
      <c r="E27" s="2">
        <v>0.53691100000000003</v>
      </c>
      <c r="F27" s="2">
        <v>0.74713700000000005</v>
      </c>
      <c r="G27" s="2">
        <v>0.33333333333333331</v>
      </c>
      <c r="H27" s="29">
        <v>0.34454699999999999</v>
      </c>
      <c r="I27" s="29">
        <v>1.1213666666666677E-2</v>
      </c>
    </row>
    <row r="28" spans="2:10" x14ac:dyDescent="0.25">
      <c r="B28" s="20">
        <v>42587</v>
      </c>
      <c r="C28" s="2">
        <v>0.38076599999999999</v>
      </c>
      <c r="D28" s="2">
        <v>0.50064600000000004</v>
      </c>
      <c r="E28" s="2">
        <v>0.53743099999999999</v>
      </c>
      <c r="F28" s="2">
        <v>0.74935600000000002</v>
      </c>
      <c r="G28" s="2">
        <v>0.33333333333333331</v>
      </c>
      <c r="H28" s="29">
        <v>0.33180500000000007</v>
      </c>
      <c r="I28" s="29">
        <v>-1.5283333333332427E-3</v>
      </c>
    </row>
    <row r="29" spans="2:10" x14ac:dyDescent="0.25">
      <c r="B29" s="20">
        <v>42588</v>
      </c>
      <c r="C29" s="2">
        <v>0.37377899999999997</v>
      </c>
      <c r="D29" s="2">
        <v>0.49899100000000002</v>
      </c>
      <c r="E29" s="2">
        <v>0.54145900000000002</v>
      </c>
      <c r="F29" s="2">
        <v>0.752579</v>
      </c>
      <c r="G29" s="2">
        <v>0.33333333333333331</v>
      </c>
      <c r="H29" s="29">
        <v>0.33633200000000002</v>
      </c>
      <c r="I29" s="29">
        <v>2.998666666666705E-3</v>
      </c>
      <c r="J29" s="3"/>
    </row>
    <row r="30" spans="2:10" x14ac:dyDescent="0.25">
      <c r="B30" s="20">
        <v>42591</v>
      </c>
      <c r="C30" s="2">
        <v>0.38076599999999999</v>
      </c>
      <c r="D30" s="2">
        <v>0.50064600000000004</v>
      </c>
      <c r="E30" s="2">
        <v>0.53743099999999999</v>
      </c>
      <c r="F30" s="2">
        <v>0.74935600000000002</v>
      </c>
      <c r="G30" s="2">
        <v>0.33333333333333331</v>
      </c>
      <c r="H30" s="29">
        <v>0.33180500000000007</v>
      </c>
      <c r="I30" s="29">
        <v>-1.5283333333332427E-3</v>
      </c>
      <c r="J30" s="4"/>
    </row>
    <row r="31" spans="2:10" x14ac:dyDescent="0.25">
      <c r="B31" s="20">
        <v>42592</v>
      </c>
      <c r="C31" s="2">
        <v>0.37377899999999997</v>
      </c>
      <c r="D31" s="2">
        <v>0.49899100000000002</v>
      </c>
      <c r="E31" s="2">
        <v>0.54145900000000002</v>
      </c>
      <c r="F31" s="2">
        <v>0.752579</v>
      </c>
      <c r="G31" s="2">
        <v>0.33333333333333331</v>
      </c>
      <c r="H31" s="29">
        <v>0.33633200000000002</v>
      </c>
      <c r="I31" s="29">
        <v>2.998666666666705E-3</v>
      </c>
      <c r="J31" s="4"/>
    </row>
    <row r="32" spans="2:10" x14ac:dyDescent="0.25">
      <c r="B32" s="20">
        <v>42593</v>
      </c>
      <c r="C32" s="2">
        <v>0.37377899999999997</v>
      </c>
      <c r="D32" s="2">
        <v>0.49899100000000002</v>
      </c>
      <c r="E32" s="2">
        <v>0.54145900000000002</v>
      </c>
      <c r="F32" s="2">
        <v>0.752579</v>
      </c>
      <c r="G32" s="2">
        <v>0.33333333333333331</v>
      </c>
      <c r="H32" s="29">
        <v>0.33633200000000002</v>
      </c>
      <c r="I32" s="29">
        <v>2.998666666666705E-3</v>
      </c>
      <c r="J32" s="4"/>
    </row>
    <row r="33" spans="2:10" x14ac:dyDescent="0.25">
      <c r="B33" s="20">
        <v>42594</v>
      </c>
      <c r="C33" s="2">
        <v>0.36207800000000001</v>
      </c>
      <c r="D33" s="2">
        <v>0.49837100000000001</v>
      </c>
      <c r="E33" s="2">
        <v>0.54161899999999996</v>
      </c>
      <c r="F33" s="2">
        <v>0.74359500000000001</v>
      </c>
      <c r="G33" s="2">
        <v>0.33333333333333331</v>
      </c>
      <c r="H33" s="29">
        <v>0.33826900000000004</v>
      </c>
      <c r="I33" s="29">
        <v>4.935666666666727E-3</v>
      </c>
      <c r="J33" s="4"/>
    </row>
    <row r="34" spans="2:10" x14ac:dyDescent="0.25">
      <c r="B34" s="20">
        <v>42595</v>
      </c>
      <c r="C34" s="2">
        <v>0.383743</v>
      </c>
      <c r="D34" s="2">
        <v>0.50092599999999998</v>
      </c>
      <c r="E34" s="2">
        <v>0.53841099999999997</v>
      </c>
      <c r="F34" s="2">
        <v>0.74805500000000003</v>
      </c>
      <c r="G34" s="2">
        <v>0.33333333333333331</v>
      </c>
      <c r="H34" s="29">
        <v>0.32682700000000003</v>
      </c>
      <c r="I34" s="29">
        <v>-6.5063333333332807E-3</v>
      </c>
      <c r="J34" s="4"/>
    </row>
    <row r="35" spans="2:10" x14ac:dyDescent="0.25">
      <c r="B35" s="20">
        <v>42598</v>
      </c>
      <c r="C35" s="2">
        <v>0.38076599999999999</v>
      </c>
      <c r="D35" s="2">
        <v>0.50064600000000004</v>
      </c>
      <c r="E35" s="2">
        <v>0.53743099999999999</v>
      </c>
      <c r="F35" s="2">
        <v>0.74935600000000002</v>
      </c>
      <c r="G35" s="2">
        <v>0.33333333333333331</v>
      </c>
      <c r="H35" s="29">
        <v>0.33180500000000007</v>
      </c>
      <c r="I35" s="29">
        <v>-1.5283333333332427E-3</v>
      </c>
      <c r="J35" s="4"/>
    </row>
    <row r="36" spans="2:10" x14ac:dyDescent="0.25">
      <c r="B36" s="20">
        <v>42599</v>
      </c>
      <c r="C36" s="2">
        <v>0.37377899999999997</v>
      </c>
      <c r="D36" s="2">
        <v>0.49899100000000002</v>
      </c>
      <c r="E36" s="2">
        <v>0.54145900000000002</v>
      </c>
      <c r="F36" s="2">
        <v>0.752579</v>
      </c>
      <c r="G36" s="2">
        <v>0.33333333333333331</v>
      </c>
      <c r="H36" s="29">
        <v>0.33633200000000002</v>
      </c>
      <c r="I36" s="29">
        <v>2.998666666666705E-3</v>
      </c>
      <c r="J36" s="4"/>
    </row>
    <row r="37" spans="2:10" x14ac:dyDescent="0.25">
      <c r="B37" s="20">
        <v>42600</v>
      </c>
      <c r="C37" s="2">
        <v>0.383743</v>
      </c>
      <c r="D37" s="2">
        <v>0.50092599999999998</v>
      </c>
      <c r="E37" s="2">
        <v>0.53841099999999997</v>
      </c>
      <c r="F37" s="2">
        <v>0.74805500000000003</v>
      </c>
      <c r="G37" s="2">
        <v>0.33333333333333331</v>
      </c>
      <c r="H37" s="29">
        <v>0.32682700000000003</v>
      </c>
      <c r="I37" s="29">
        <v>-6.5063333333332807E-3</v>
      </c>
      <c r="J37" s="4"/>
    </row>
    <row r="38" spans="2:10" x14ac:dyDescent="0.25">
      <c r="B38" s="20">
        <v>42601</v>
      </c>
      <c r="C38" s="2">
        <v>0.36475600000000002</v>
      </c>
      <c r="D38" s="2">
        <v>0.49907699999999999</v>
      </c>
      <c r="E38" s="2">
        <v>0.53691100000000003</v>
      </c>
      <c r="F38" s="2">
        <v>0.74713700000000005</v>
      </c>
      <c r="G38" s="2">
        <v>0.33333333333333331</v>
      </c>
      <c r="H38" s="29">
        <v>0.34454699999999999</v>
      </c>
      <c r="I38" s="29">
        <v>1.1213666666666677E-2</v>
      </c>
      <c r="J38" s="4"/>
    </row>
    <row r="39" spans="2:10" x14ac:dyDescent="0.25">
      <c r="B39" s="20">
        <v>42602</v>
      </c>
      <c r="C39" s="2">
        <v>0.38076599999999999</v>
      </c>
      <c r="D39" s="2">
        <v>0.50064600000000004</v>
      </c>
      <c r="E39" s="2">
        <v>0.53743099999999999</v>
      </c>
      <c r="F39" s="2">
        <v>0.74935600000000002</v>
      </c>
      <c r="G39" s="2">
        <v>0.33333333333333331</v>
      </c>
      <c r="H39" s="29">
        <v>0.33180500000000007</v>
      </c>
      <c r="I39" s="29">
        <v>-1.5283333333332427E-3</v>
      </c>
      <c r="J39" s="4"/>
    </row>
    <row r="40" spans="2:10" x14ac:dyDescent="0.25">
      <c r="B40" s="20">
        <v>42605</v>
      </c>
      <c r="C40" s="2">
        <v>0.38076599999999999</v>
      </c>
      <c r="D40" s="2">
        <v>0.50064600000000004</v>
      </c>
      <c r="E40" s="2">
        <v>0.53743099999999999</v>
      </c>
      <c r="F40" s="2">
        <v>0.74935600000000002</v>
      </c>
      <c r="G40" s="2">
        <v>0.33333333333333331</v>
      </c>
      <c r="H40" s="29">
        <v>0.33180500000000007</v>
      </c>
      <c r="I40" s="29">
        <v>-1.5283333333332427E-3</v>
      </c>
      <c r="J40" s="4"/>
    </row>
    <row r="41" spans="2:10" x14ac:dyDescent="0.25">
      <c r="B41" s="20">
        <v>42606</v>
      </c>
      <c r="C41" s="2">
        <v>0.37377899999999997</v>
      </c>
      <c r="D41" s="2">
        <v>0.49899100000000002</v>
      </c>
      <c r="E41" s="2">
        <v>0.54145900000000002</v>
      </c>
      <c r="F41" s="2">
        <v>0.752579</v>
      </c>
      <c r="G41" s="2">
        <v>0.33333333333333331</v>
      </c>
      <c r="H41" s="29">
        <v>0.33633200000000002</v>
      </c>
      <c r="I41" s="29">
        <v>2.998666666666705E-3</v>
      </c>
      <c r="J41" s="4"/>
    </row>
    <row r="42" spans="2:10" x14ac:dyDescent="0.25">
      <c r="B42" s="20">
        <v>42607</v>
      </c>
      <c r="C42" s="2">
        <v>0.37377899999999997</v>
      </c>
      <c r="D42" s="2">
        <v>0.49899100000000002</v>
      </c>
      <c r="E42" s="2">
        <v>0.54145900000000002</v>
      </c>
      <c r="F42" s="2">
        <v>0.752579</v>
      </c>
      <c r="G42" s="2">
        <v>0.33333333333333331</v>
      </c>
      <c r="H42" s="29">
        <v>0.33633200000000002</v>
      </c>
      <c r="I42" s="30">
        <v>2.998666666666705E-3</v>
      </c>
      <c r="J42" s="4"/>
    </row>
    <row r="43" spans="2:10" x14ac:dyDescent="0.25">
      <c r="B43" s="20">
        <v>42608</v>
      </c>
      <c r="C43" s="2">
        <v>0.36207800000000001</v>
      </c>
      <c r="D43" s="2">
        <v>0.49837100000000001</v>
      </c>
      <c r="E43" s="2">
        <v>0.54161899999999996</v>
      </c>
      <c r="F43" s="2">
        <v>0.74359500000000001</v>
      </c>
      <c r="G43" s="2">
        <v>0.33333333333333331</v>
      </c>
      <c r="H43" s="29">
        <v>0.33826900000000004</v>
      </c>
      <c r="I43" s="30">
        <v>4.935666666666727E-3</v>
      </c>
      <c r="J43" s="4"/>
    </row>
    <row r="44" spans="2:10" x14ac:dyDescent="0.25">
      <c r="B44" s="20">
        <v>42609</v>
      </c>
      <c r="C44" s="2">
        <v>0.383743</v>
      </c>
      <c r="D44" s="2">
        <v>0.50092599999999998</v>
      </c>
      <c r="E44" s="2">
        <v>0.53841099999999997</v>
      </c>
      <c r="F44" s="2">
        <v>0.74805500000000003</v>
      </c>
      <c r="G44" s="2">
        <v>0.33333333333333331</v>
      </c>
      <c r="H44" s="29">
        <v>0.32682700000000003</v>
      </c>
      <c r="I44" s="30">
        <v>-6.5063333333332807E-3</v>
      </c>
      <c r="J44" s="4"/>
    </row>
    <row r="45" spans="2:10" x14ac:dyDescent="0.25">
      <c r="B45" s="20">
        <v>42612</v>
      </c>
      <c r="C45" s="2">
        <v>0.37377899999999997</v>
      </c>
      <c r="D45" s="2">
        <v>0.49899100000000002</v>
      </c>
      <c r="E45" s="2">
        <v>0.54145900000000002</v>
      </c>
      <c r="F45" s="2">
        <v>0.752579</v>
      </c>
      <c r="G45" s="2">
        <v>0.33333333333333331</v>
      </c>
      <c r="H45" s="29">
        <v>0.33633200000000002</v>
      </c>
      <c r="I45" s="30">
        <v>2.998666666666705E-3</v>
      </c>
      <c r="J45" s="4"/>
    </row>
    <row r="46" spans="2:10" x14ac:dyDescent="0.25">
      <c r="B46" s="20"/>
      <c r="C46" s="21"/>
      <c r="D46" s="21"/>
      <c r="E46" s="21"/>
      <c r="F46" s="21"/>
      <c r="G46" s="21"/>
      <c r="H46" s="21"/>
      <c r="I46" s="22"/>
      <c r="J46" s="4"/>
    </row>
    <row r="47" spans="2:10" x14ac:dyDescent="0.25">
      <c r="B47" s="20"/>
      <c r="C47" s="21"/>
      <c r="D47" s="21"/>
      <c r="E47" s="21"/>
      <c r="F47" s="21"/>
      <c r="G47" s="21"/>
      <c r="H47" s="21"/>
      <c r="I47" s="22"/>
      <c r="J47" s="4"/>
    </row>
    <row r="48" spans="2:10" x14ac:dyDescent="0.25">
      <c r="B48" s="20"/>
      <c r="C48" s="21"/>
      <c r="D48" s="21"/>
      <c r="E48" s="21"/>
      <c r="F48" s="21"/>
      <c r="G48" s="21"/>
      <c r="H48" s="21"/>
      <c r="I48" s="22"/>
    </row>
    <row r="49" spans="2:9" x14ac:dyDescent="0.25">
      <c r="B49" s="20"/>
      <c r="C49" s="21"/>
      <c r="D49" s="21"/>
      <c r="E49" s="21"/>
      <c r="F49" s="21"/>
      <c r="G49" s="21"/>
      <c r="H49" s="21"/>
      <c r="I49" s="22"/>
    </row>
    <row r="50" spans="2:9" x14ac:dyDescent="0.25">
      <c r="B50" s="20"/>
      <c r="C50" s="21"/>
      <c r="D50" s="21"/>
      <c r="E50" s="21"/>
      <c r="F50" s="21"/>
      <c r="G50" s="21"/>
      <c r="H50" s="21"/>
      <c r="I50" s="22"/>
    </row>
    <row r="51" spans="2:9" x14ac:dyDescent="0.25">
      <c r="B51" s="20"/>
      <c r="C51" s="21"/>
      <c r="D51" s="21"/>
      <c r="E51" s="21"/>
      <c r="F51" s="21"/>
      <c r="G51" s="21"/>
      <c r="H51" s="21"/>
      <c r="I51" s="22"/>
    </row>
    <row r="52" spans="2:9" x14ac:dyDescent="0.25">
      <c r="B52" s="20"/>
      <c r="C52" s="21"/>
      <c r="D52" s="21"/>
      <c r="E52" s="21"/>
      <c r="F52" s="21"/>
      <c r="G52" s="21"/>
      <c r="H52" s="21"/>
      <c r="I52" s="22"/>
    </row>
    <row r="53" spans="2:9" x14ac:dyDescent="0.25">
      <c r="B53" s="20"/>
      <c r="C53" s="21"/>
      <c r="D53" s="21"/>
      <c r="E53" s="21"/>
      <c r="F53" s="21"/>
      <c r="G53" s="21"/>
      <c r="H53" s="21"/>
      <c r="I53" s="22"/>
    </row>
    <row r="54" spans="2:9" x14ac:dyDescent="0.25">
      <c r="B54" s="23"/>
      <c r="C54" s="23"/>
      <c r="D54" s="23"/>
      <c r="E54" s="23"/>
      <c r="F54" s="23"/>
      <c r="G54" s="23"/>
      <c r="H54" s="23"/>
      <c r="I54" s="23"/>
    </row>
    <row r="55" spans="2:9" x14ac:dyDescent="0.25">
      <c r="B55" s="23"/>
      <c r="C55" s="23"/>
      <c r="D55" s="23"/>
      <c r="E55" s="23"/>
      <c r="F55" s="23"/>
      <c r="G55" s="23"/>
      <c r="H55" s="23"/>
      <c r="I55" s="23"/>
    </row>
    <row r="56" spans="2:9" x14ac:dyDescent="0.25">
      <c r="B56" s="23"/>
      <c r="C56" s="23"/>
      <c r="D56" s="23"/>
      <c r="E56" s="23"/>
      <c r="F56" s="23"/>
      <c r="G56" s="23"/>
      <c r="H56" s="23"/>
      <c r="I56" s="23"/>
    </row>
    <row r="57" spans="2:9" x14ac:dyDescent="0.25">
      <c r="B57" s="23"/>
      <c r="C57" s="23"/>
      <c r="D57" s="23"/>
      <c r="E57" s="23"/>
      <c r="F57" s="23"/>
      <c r="G57" s="23"/>
      <c r="H57" s="23"/>
      <c r="I57" s="23"/>
    </row>
    <row r="58" spans="2:9" x14ac:dyDescent="0.25">
      <c r="B58" s="23"/>
      <c r="C58" s="23"/>
      <c r="D58" s="23"/>
      <c r="E58" s="23"/>
      <c r="F58" s="23"/>
      <c r="G58" s="23"/>
      <c r="H58" s="23"/>
      <c r="I58" s="23"/>
    </row>
    <row r="59" spans="2:9" x14ac:dyDescent="0.25">
      <c r="B59" s="23"/>
      <c r="C59" s="23"/>
      <c r="D59" s="23"/>
      <c r="E59" s="23"/>
      <c r="F59" s="23"/>
      <c r="G59" s="23"/>
      <c r="H59" s="23"/>
      <c r="I59" s="23"/>
    </row>
    <row r="60" spans="2:9" x14ac:dyDescent="0.25">
      <c r="B60" s="23"/>
      <c r="C60" s="23"/>
      <c r="D60" s="23"/>
      <c r="E60" s="23"/>
      <c r="F60" s="23"/>
      <c r="G60" s="23"/>
      <c r="H60" s="23"/>
      <c r="I60" s="23"/>
    </row>
    <row r="61" spans="2:9" x14ac:dyDescent="0.25">
      <c r="B61" s="23"/>
      <c r="C61" s="23"/>
      <c r="D61" s="23"/>
      <c r="E61" s="23"/>
      <c r="F61" s="23"/>
      <c r="G61" s="23"/>
      <c r="H61" s="23"/>
      <c r="I61" s="23"/>
    </row>
    <row r="62" spans="2:9" x14ac:dyDescent="0.25">
      <c r="B62" s="23"/>
      <c r="C62" s="23"/>
      <c r="D62" s="23"/>
      <c r="E62" s="23"/>
      <c r="F62" s="23"/>
      <c r="G62" s="23"/>
      <c r="H62" s="23"/>
      <c r="I62" s="23"/>
    </row>
    <row r="63" spans="2:9" x14ac:dyDescent="0.25">
      <c r="B63" s="23"/>
      <c r="C63" s="23"/>
      <c r="D63" s="23"/>
      <c r="E63" s="23"/>
      <c r="F63" s="23"/>
      <c r="G63" s="23"/>
      <c r="H63" s="23"/>
      <c r="I63" s="23"/>
    </row>
    <row r="64" spans="2:9" x14ac:dyDescent="0.25">
      <c r="B64" s="23"/>
      <c r="C64" s="23"/>
      <c r="D64" s="23"/>
      <c r="E64" s="23"/>
      <c r="F64" s="23"/>
      <c r="G64" s="23"/>
      <c r="H64" s="23"/>
      <c r="I64" s="23"/>
    </row>
    <row r="65" spans="2:9" x14ac:dyDescent="0.25">
      <c r="B65" s="23"/>
      <c r="C65" s="23"/>
      <c r="D65" s="23"/>
      <c r="E65" s="23"/>
      <c r="F65" s="23"/>
      <c r="G65" s="23"/>
      <c r="H65" s="23"/>
      <c r="I65" s="23"/>
    </row>
    <row r="66" spans="2:9" x14ac:dyDescent="0.25">
      <c r="B66" s="23"/>
      <c r="C66" s="23"/>
      <c r="D66" s="23"/>
      <c r="E66" s="23"/>
      <c r="F66" s="23"/>
      <c r="G66" s="23"/>
      <c r="H66" s="23"/>
      <c r="I66" s="23"/>
    </row>
    <row r="67" spans="2:9" x14ac:dyDescent="0.25">
      <c r="B67" s="23"/>
      <c r="C67" s="23"/>
      <c r="D67" s="23"/>
      <c r="E67" s="23"/>
      <c r="F67" s="23"/>
      <c r="G67" s="23"/>
      <c r="H67" s="23"/>
      <c r="I67" s="23"/>
    </row>
    <row r="68" spans="2:9" x14ac:dyDescent="0.25">
      <c r="B68" s="23"/>
      <c r="C68" s="23"/>
      <c r="D68" s="23"/>
      <c r="E68" s="23"/>
      <c r="F68" s="23"/>
      <c r="G68" s="23"/>
      <c r="H68" s="23"/>
      <c r="I68" s="23"/>
    </row>
    <row r="69" spans="2:9" x14ac:dyDescent="0.25">
      <c r="B69" s="23"/>
      <c r="C69" s="23"/>
      <c r="D69" s="23"/>
      <c r="E69" s="23"/>
      <c r="F69" s="23"/>
      <c r="G69" s="23"/>
      <c r="H69" s="23"/>
      <c r="I69" s="23"/>
    </row>
    <row r="70" spans="2:9" x14ac:dyDescent="0.25">
      <c r="B70" s="23"/>
      <c r="C70" s="23"/>
      <c r="D70" s="23"/>
      <c r="E70" s="23"/>
      <c r="F70" s="23"/>
      <c r="G70" s="23"/>
      <c r="H70" s="23"/>
      <c r="I70" s="23"/>
    </row>
    <row r="71" spans="2:9" x14ac:dyDescent="0.25">
      <c r="B71" s="23"/>
      <c r="C71" s="23"/>
      <c r="D71" s="23"/>
      <c r="E71" s="23"/>
      <c r="F71" s="23"/>
      <c r="G71" s="23"/>
      <c r="H71" s="23"/>
      <c r="I71" s="23"/>
    </row>
    <row r="72" spans="2:9" x14ac:dyDescent="0.25">
      <c r="B72" s="23"/>
      <c r="C72" s="23"/>
      <c r="D72" s="23"/>
      <c r="E72" s="23"/>
      <c r="F72" s="23"/>
      <c r="G72" s="23"/>
      <c r="H72" s="23"/>
      <c r="I72" s="23"/>
    </row>
    <row r="73" spans="2:9" x14ac:dyDescent="0.25">
      <c r="B73" s="23"/>
      <c r="C73" s="23"/>
      <c r="D73" s="23"/>
      <c r="E73" s="23"/>
      <c r="F73" s="23"/>
      <c r="G73" s="23"/>
      <c r="H73" s="23"/>
      <c r="I73" s="23"/>
    </row>
    <row r="74" spans="2:9" x14ac:dyDescent="0.25">
      <c r="B74" s="23"/>
      <c r="C74" s="23"/>
      <c r="D74" s="23"/>
      <c r="E74" s="23"/>
      <c r="F74" s="23"/>
      <c r="G74" s="23"/>
      <c r="H74" s="23"/>
      <c r="I74" s="23"/>
    </row>
    <row r="75" spans="2:9" x14ac:dyDescent="0.25">
      <c r="B75" s="23"/>
      <c r="C75" s="23"/>
      <c r="D75" s="23"/>
      <c r="E75" s="23"/>
      <c r="F75" s="23"/>
      <c r="G75" s="23"/>
      <c r="H75" s="23"/>
      <c r="I75" s="23"/>
    </row>
    <row r="76" spans="2:9" x14ac:dyDescent="0.25">
      <c r="B76" s="23"/>
      <c r="C76" s="23"/>
      <c r="D76" s="23"/>
      <c r="E76" s="23"/>
      <c r="F76" s="23"/>
      <c r="G76" s="23"/>
      <c r="H76" s="23"/>
      <c r="I76" s="23"/>
    </row>
    <row r="77" spans="2:9" x14ac:dyDescent="0.25">
      <c r="B77" s="23"/>
      <c r="C77" s="23"/>
      <c r="D77" s="23"/>
      <c r="E77" s="23"/>
      <c r="F77" s="23"/>
      <c r="G77" s="23"/>
      <c r="H77" s="23"/>
      <c r="I77" s="23"/>
    </row>
    <row r="78" spans="2:9" x14ac:dyDescent="0.25">
      <c r="B78" s="23"/>
      <c r="C78" s="23"/>
      <c r="D78" s="23"/>
      <c r="E78" s="23"/>
      <c r="F78" s="23"/>
      <c r="G78" s="23"/>
      <c r="H78" s="23"/>
      <c r="I78" s="23"/>
    </row>
    <row r="79" spans="2:9" x14ac:dyDescent="0.25">
      <c r="B79" s="23"/>
      <c r="C79" s="23"/>
      <c r="D79" s="23"/>
      <c r="E79" s="23"/>
      <c r="F79" s="23"/>
      <c r="G79" s="23"/>
      <c r="H79" s="23"/>
      <c r="I79" s="23"/>
    </row>
    <row r="80" spans="2:9" x14ac:dyDescent="0.25">
      <c r="B80" s="23"/>
      <c r="C80" s="23"/>
      <c r="D80" s="23"/>
      <c r="E80" s="23"/>
      <c r="F80" s="23"/>
      <c r="G80" s="23"/>
      <c r="H80" s="23"/>
      <c r="I80" s="23"/>
    </row>
    <row r="81" spans="2:9" x14ac:dyDescent="0.25">
      <c r="B81" s="23"/>
      <c r="C81" s="23"/>
      <c r="D81" s="23"/>
      <c r="E81" s="23"/>
      <c r="F81" s="23"/>
      <c r="G81" s="23"/>
      <c r="H81" s="23"/>
      <c r="I81" s="23"/>
    </row>
    <row r="82" spans="2:9" x14ac:dyDescent="0.25">
      <c r="B82" s="23"/>
      <c r="C82" s="23"/>
      <c r="D82" s="23"/>
      <c r="E82" s="23"/>
      <c r="F82" s="23"/>
      <c r="G82" s="23"/>
      <c r="H82" s="23"/>
      <c r="I82" s="23"/>
    </row>
    <row r="83" spans="2:9" x14ac:dyDescent="0.25">
      <c r="B83" s="23"/>
      <c r="C83" s="23"/>
      <c r="D83" s="23"/>
      <c r="E83" s="23"/>
      <c r="F83" s="23"/>
      <c r="G83" s="23"/>
      <c r="H83" s="23"/>
      <c r="I83" s="23"/>
    </row>
    <row r="84" spans="2:9" x14ac:dyDescent="0.25">
      <c r="B84" s="23"/>
      <c r="C84" s="23"/>
      <c r="D84" s="23"/>
      <c r="E84" s="23"/>
      <c r="F84" s="23"/>
      <c r="G84" s="23"/>
      <c r="H84" s="23"/>
      <c r="I84" s="23"/>
    </row>
    <row r="85" spans="2:9" x14ac:dyDescent="0.25">
      <c r="B85" s="23"/>
      <c r="C85" s="23"/>
      <c r="D85" s="23"/>
      <c r="E85" s="23"/>
      <c r="F85" s="23"/>
      <c r="G85" s="23"/>
      <c r="H85" s="23"/>
      <c r="I85" s="23"/>
    </row>
    <row r="86" spans="2:9" x14ac:dyDescent="0.25">
      <c r="B86" s="23"/>
      <c r="C86" s="23"/>
      <c r="D86" s="23"/>
      <c r="E86" s="23"/>
      <c r="F86" s="23"/>
      <c r="G86" s="23"/>
      <c r="H86" s="23"/>
      <c r="I86" s="23"/>
    </row>
    <row r="87" spans="2:9" x14ac:dyDescent="0.25">
      <c r="B87" s="23"/>
      <c r="C87" s="23"/>
      <c r="D87" s="23"/>
      <c r="E87" s="23"/>
      <c r="F87" s="23"/>
      <c r="G87" s="23"/>
      <c r="H87" s="23"/>
      <c r="I87" s="23"/>
    </row>
    <row r="88" spans="2:9" x14ac:dyDescent="0.25">
      <c r="B88" s="23"/>
      <c r="C88" s="23"/>
      <c r="D88" s="23"/>
      <c r="E88" s="23"/>
      <c r="F88" s="23"/>
      <c r="G88" s="23"/>
      <c r="H88" s="23"/>
      <c r="I88" s="23"/>
    </row>
    <row r="89" spans="2:9" x14ac:dyDescent="0.25">
      <c r="B89" s="23"/>
      <c r="C89" s="23"/>
      <c r="D89" s="23"/>
      <c r="E89" s="23"/>
      <c r="F89" s="23"/>
      <c r="G89" s="23"/>
      <c r="H89" s="23"/>
      <c r="I89" s="23"/>
    </row>
    <row r="90" spans="2:9" x14ac:dyDescent="0.25">
      <c r="B90" s="23"/>
      <c r="C90" s="23"/>
      <c r="D90" s="23"/>
      <c r="E90" s="23"/>
      <c r="F90" s="23"/>
      <c r="G90" s="23"/>
      <c r="H90" s="23"/>
      <c r="I90" s="23"/>
    </row>
    <row r="91" spans="2:9" x14ac:dyDescent="0.25">
      <c r="B91" s="23"/>
      <c r="C91" s="23"/>
      <c r="D91" s="23"/>
      <c r="E91" s="23"/>
      <c r="F91" s="23"/>
      <c r="G91" s="23"/>
      <c r="H91" s="23"/>
      <c r="I91" s="23"/>
    </row>
    <row r="92" spans="2:9" x14ac:dyDescent="0.25">
      <c r="B92" s="23"/>
      <c r="C92" s="23"/>
      <c r="D92" s="23"/>
      <c r="E92" s="23"/>
      <c r="F92" s="23"/>
      <c r="G92" s="23"/>
      <c r="H92" s="23"/>
      <c r="I92" s="23"/>
    </row>
    <row r="93" spans="2:9" x14ac:dyDescent="0.25">
      <c r="B93" s="23"/>
      <c r="C93" s="23"/>
      <c r="D93" s="23"/>
      <c r="E93" s="23"/>
      <c r="F93" s="23"/>
      <c r="G93" s="23"/>
      <c r="H93" s="23"/>
      <c r="I93" s="23"/>
    </row>
    <row r="94" spans="2:9" x14ac:dyDescent="0.25">
      <c r="B94" s="23"/>
      <c r="C94" s="23"/>
      <c r="D94" s="23"/>
      <c r="E94" s="23"/>
      <c r="F94" s="23"/>
      <c r="G94" s="23"/>
      <c r="H94" s="23"/>
      <c r="I94" s="23"/>
    </row>
    <row r="95" spans="2:9" x14ac:dyDescent="0.25">
      <c r="B95" s="23"/>
      <c r="C95" s="23"/>
      <c r="D95" s="23"/>
      <c r="E95" s="23"/>
      <c r="F95" s="23"/>
      <c r="G95" s="23"/>
      <c r="H95" s="23"/>
      <c r="I95" s="23"/>
    </row>
    <row r="96" spans="2:9" x14ac:dyDescent="0.25">
      <c r="B96" s="23"/>
      <c r="C96" s="23"/>
      <c r="D96" s="23"/>
      <c r="E96" s="23"/>
      <c r="F96" s="23"/>
      <c r="G96" s="23"/>
      <c r="H96" s="23"/>
      <c r="I96" s="23"/>
    </row>
    <row r="97" spans="2:9" x14ac:dyDescent="0.25">
      <c r="B97" s="23"/>
      <c r="C97" s="23"/>
      <c r="D97" s="23"/>
      <c r="E97" s="23"/>
      <c r="F97" s="23"/>
      <c r="G97" s="23"/>
      <c r="H97" s="23"/>
      <c r="I97" s="23"/>
    </row>
    <row r="98" spans="2:9" x14ac:dyDescent="0.25">
      <c r="B98" s="23"/>
      <c r="C98" s="23"/>
      <c r="D98" s="23"/>
      <c r="E98" s="23"/>
      <c r="F98" s="23"/>
      <c r="G98" s="23"/>
      <c r="H98" s="23"/>
      <c r="I98" s="23"/>
    </row>
    <row r="99" spans="2:9" x14ac:dyDescent="0.25">
      <c r="B99" s="23"/>
      <c r="C99" s="23"/>
      <c r="D99" s="23"/>
      <c r="E99" s="23"/>
      <c r="F99" s="23"/>
      <c r="G99" s="23"/>
      <c r="H99" s="23"/>
      <c r="I99" s="23"/>
    </row>
    <row r="100" spans="2:9" x14ac:dyDescent="0.25">
      <c r="B100" s="23"/>
      <c r="C100" s="23"/>
      <c r="D100" s="23"/>
      <c r="E100" s="23"/>
      <c r="F100" s="23"/>
      <c r="G100" s="23"/>
      <c r="H100" s="23"/>
      <c r="I100" s="23"/>
    </row>
    <row r="101" spans="2:9" x14ac:dyDescent="0.25">
      <c r="B101" s="23"/>
      <c r="C101" s="23"/>
      <c r="D101" s="23"/>
      <c r="E101" s="23"/>
      <c r="F101" s="23"/>
      <c r="G101" s="23"/>
      <c r="H101" s="23"/>
      <c r="I101" s="23"/>
    </row>
    <row r="102" spans="2:9" x14ac:dyDescent="0.25">
      <c r="B102" s="23"/>
      <c r="C102" s="23"/>
      <c r="D102" s="23"/>
      <c r="E102" s="23"/>
      <c r="F102" s="23"/>
      <c r="G102" s="23"/>
      <c r="H102" s="23"/>
      <c r="I102" s="23"/>
    </row>
    <row r="103" spans="2:9" x14ac:dyDescent="0.25">
      <c r="B103" s="23"/>
      <c r="C103" s="23"/>
      <c r="D103" s="23"/>
      <c r="E103" s="23"/>
      <c r="F103" s="23"/>
      <c r="G103" s="23"/>
      <c r="H103" s="23"/>
      <c r="I103" s="23"/>
    </row>
    <row r="104" spans="2:9" x14ac:dyDescent="0.25">
      <c r="B104" s="23"/>
      <c r="C104" s="23"/>
      <c r="D104" s="23"/>
      <c r="E104" s="23"/>
      <c r="F104" s="23"/>
      <c r="G104" s="23"/>
      <c r="H104" s="23"/>
      <c r="I104" s="23"/>
    </row>
    <row r="105" spans="2:9" x14ac:dyDescent="0.25">
      <c r="B105" s="23"/>
      <c r="C105" s="23"/>
      <c r="D105" s="23"/>
      <c r="E105" s="23"/>
      <c r="F105" s="23"/>
      <c r="G105" s="23"/>
      <c r="H105" s="23"/>
      <c r="I105" s="23"/>
    </row>
    <row r="106" spans="2:9" x14ac:dyDescent="0.25">
      <c r="B106" s="23"/>
      <c r="C106" s="23"/>
      <c r="D106" s="23"/>
      <c r="E106" s="23"/>
      <c r="F106" s="23"/>
      <c r="G106" s="23"/>
      <c r="H106" s="23"/>
      <c r="I106" s="23"/>
    </row>
    <row r="107" spans="2:9" x14ac:dyDescent="0.25">
      <c r="B107" s="23"/>
      <c r="C107" s="23"/>
      <c r="D107" s="23"/>
      <c r="E107" s="23"/>
      <c r="F107" s="23"/>
      <c r="G107" s="23"/>
      <c r="H107" s="23"/>
      <c r="I107" s="23"/>
    </row>
    <row r="108" spans="2:9" x14ac:dyDescent="0.25">
      <c r="B108" s="23"/>
      <c r="C108" s="23"/>
      <c r="D108" s="23"/>
      <c r="E108" s="23"/>
      <c r="F108" s="23"/>
      <c r="G108" s="23"/>
      <c r="H108" s="23"/>
      <c r="I108" s="23"/>
    </row>
    <row r="109" spans="2:9" x14ac:dyDescent="0.25">
      <c r="B109" s="23"/>
      <c r="C109" s="23"/>
      <c r="D109" s="23"/>
      <c r="E109" s="23"/>
      <c r="F109" s="23"/>
      <c r="G109" s="23"/>
      <c r="H109" s="23"/>
      <c r="I109" s="23"/>
    </row>
    <row r="110" spans="2:9" x14ac:dyDescent="0.25">
      <c r="B110" s="23"/>
      <c r="C110" s="23"/>
      <c r="D110" s="23"/>
      <c r="E110" s="23"/>
      <c r="F110" s="23"/>
      <c r="G110" s="23"/>
      <c r="H110" s="23"/>
      <c r="I110" s="23"/>
    </row>
    <row r="111" spans="2:9" x14ac:dyDescent="0.25">
      <c r="B111" s="23"/>
      <c r="C111" s="23"/>
      <c r="D111" s="23"/>
      <c r="E111" s="23"/>
      <c r="F111" s="23"/>
      <c r="G111" s="23"/>
      <c r="H111" s="23"/>
      <c r="I111" s="23"/>
    </row>
    <row r="112" spans="2:9" x14ac:dyDescent="0.25">
      <c r="B112" s="23"/>
      <c r="C112" s="23"/>
      <c r="D112" s="23"/>
      <c r="E112" s="23"/>
      <c r="F112" s="23"/>
      <c r="G112" s="23"/>
      <c r="H112" s="23"/>
      <c r="I112" s="23"/>
    </row>
    <row r="113" spans="2:9" x14ac:dyDescent="0.25">
      <c r="B113" s="23"/>
      <c r="C113" s="23"/>
      <c r="D113" s="23"/>
      <c r="E113" s="23"/>
      <c r="F113" s="23"/>
      <c r="G113" s="23"/>
      <c r="H113" s="23"/>
      <c r="I113" s="23"/>
    </row>
    <row r="114" spans="2:9" x14ac:dyDescent="0.25">
      <c r="B114" s="23"/>
      <c r="C114" s="23"/>
      <c r="D114" s="23"/>
      <c r="E114" s="23"/>
      <c r="F114" s="23"/>
      <c r="G114" s="23"/>
      <c r="H114" s="23"/>
      <c r="I114" s="23"/>
    </row>
    <row r="115" spans="2:9" x14ac:dyDescent="0.25">
      <c r="B115" s="23"/>
      <c r="C115" s="23"/>
      <c r="D115" s="23"/>
      <c r="E115" s="23"/>
      <c r="F115" s="23"/>
      <c r="G115" s="23"/>
      <c r="H115" s="23"/>
      <c r="I115" s="23"/>
    </row>
    <row r="116" spans="2:9" x14ac:dyDescent="0.25">
      <c r="B116" s="23"/>
      <c r="C116" s="23"/>
      <c r="D116" s="23"/>
      <c r="E116" s="23"/>
      <c r="F116" s="23"/>
      <c r="G116" s="23"/>
      <c r="H116" s="23"/>
      <c r="I116" s="23"/>
    </row>
    <row r="117" spans="2:9" x14ac:dyDescent="0.25">
      <c r="B117" s="23"/>
      <c r="C117" s="23"/>
      <c r="D117" s="23"/>
      <c r="E117" s="23"/>
      <c r="F117" s="23"/>
      <c r="G117" s="23"/>
      <c r="H117" s="23"/>
      <c r="I117" s="23"/>
    </row>
    <row r="118" spans="2:9" x14ac:dyDescent="0.25">
      <c r="B118" s="23"/>
      <c r="C118" s="23"/>
      <c r="D118" s="23"/>
      <c r="E118" s="23"/>
      <c r="F118" s="23"/>
      <c r="G118" s="23"/>
      <c r="H118" s="23"/>
      <c r="I118" s="23"/>
    </row>
    <row r="119" spans="2:9" x14ac:dyDescent="0.25">
      <c r="B119" s="23"/>
      <c r="C119" s="23"/>
      <c r="D119" s="23"/>
      <c r="E119" s="23"/>
      <c r="F119" s="23"/>
      <c r="G119" s="23"/>
      <c r="H119" s="23"/>
      <c r="I119" s="23"/>
    </row>
    <row r="120" spans="2:9" x14ac:dyDescent="0.25">
      <c r="B120" s="23"/>
      <c r="C120" s="23"/>
      <c r="D120" s="23"/>
      <c r="E120" s="23"/>
      <c r="F120" s="23"/>
      <c r="G120" s="23"/>
      <c r="H120" s="23"/>
      <c r="I120" s="23"/>
    </row>
    <row r="121" spans="2:9" x14ac:dyDescent="0.25">
      <c r="B121" s="23"/>
      <c r="C121" s="23"/>
      <c r="D121" s="23"/>
      <c r="E121" s="23"/>
      <c r="F121" s="23"/>
      <c r="G121" s="23"/>
      <c r="H121" s="23"/>
      <c r="I121" s="23"/>
    </row>
    <row r="122" spans="2:9" x14ac:dyDescent="0.25">
      <c r="B122" s="23"/>
      <c r="C122" s="23"/>
      <c r="D122" s="23"/>
      <c r="E122" s="23"/>
      <c r="F122" s="23"/>
      <c r="G122" s="23"/>
      <c r="H122" s="23"/>
      <c r="I122" s="23"/>
    </row>
    <row r="123" spans="2:9" x14ac:dyDescent="0.25">
      <c r="B123" s="23"/>
      <c r="C123" s="23"/>
      <c r="D123" s="23"/>
      <c r="E123" s="23"/>
      <c r="F123" s="23"/>
      <c r="G123" s="23"/>
      <c r="H123" s="23"/>
      <c r="I123" s="23"/>
    </row>
    <row r="124" spans="2:9" x14ac:dyDescent="0.25">
      <c r="B124" s="23"/>
      <c r="C124" s="23"/>
      <c r="D124" s="23"/>
      <c r="E124" s="23"/>
      <c r="F124" s="23"/>
      <c r="G124" s="23"/>
      <c r="H124" s="23"/>
      <c r="I124" s="23"/>
    </row>
    <row r="125" spans="2:9" x14ac:dyDescent="0.25">
      <c r="B125" s="23"/>
      <c r="C125" s="23"/>
      <c r="D125" s="23"/>
      <c r="E125" s="23"/>
      <c r="F125" s="23"/>
      <c r="G125" s="23"/>
      <c r="H125" s="23"/>
      <c r="I125" s="23"/>
    </row>
    <row r="126" spans="2:9" x14ac:dyDescent="0.25">
      <c r="B126" s="23"/>
      <c r="C126" s="23"/>
      <c r="D126" s="23"/>
      <c r="E126" s="23"/>
      <c r="F126" s="23"/>
      <c r="G126" s="23"/>
      <c r="H126" s="23"/>
      <c r="I126" s="23"/>
    </row>
    <row r="127" spans="2:9" x14ac:dyDescent="0.25">
      <c r="B127" s="23"/>
      <c r="C127" s="23"/>
      <c r="D127" s="23"/>
      <c r="E127" s="23"/>
      <c r="F127" s="23"/>
      <c r="G127" s="23"/>
      <c r="H127" s="23"/>
      <c r="I127" s="23"/>
    </row>
    <row r="128" spans="2:9" x14ac:dyDescent="0.25">
      <c r="B128" s="23"/>
      <c r="C128" s="23"/>
      <c r="D128" s="23"/>
      <c r="E128" s="23"/>
      <c r="F128" s="23"/>
      <c r="G128" s="23"/>
      <c r="H128" s="23"/>
      <c r="I128" s="23"/>
    </row>
    <row r="129" spans="2:9" x14ac:dyDescent="0.25">
      <c r="B129" s="23"/>
      <c r="C129" s="23"/>
      <c r="D129" s="23"/>
      <c r="E129" s="23"/>
      <c r="F129" s="23"/>
      <c r="G129" s="23"/>
      <c r="H129" s="23"/>
      <c r="I129" s="23"/>
    </row>
    <row r="130" spans="2:9" x14ac:dyDescent="0.25">
      <c r="B130" s="23"/>
      <c r="C130" s="23"/>
      <c r="D130" s="23"/>
      <c r="E130" s="23"/>
      <c r="F130" s="23"/>
      <c r="G130" s="23"/>
      <c r="H130" s="23"/>
      <c r="I130" s="23"/>
    </row>
    <row r="131" spans="2:9" x14ac:dyDescent="0.25">
      <c r="B131" s="23"/>
      <c r="C131" s="23"/>
      <c r="D131" s="23"/>
      <c r="E131" s="23"/>
      <c r="F131" s="23"/>
      <c r="G131" s="23"/>
      <c r="H131" s="23"/>
      <c r="I131" s="23"/>
    </row>
    <row r="132" spans="2:9" x14ac:dyDescent="0.25">
      <c r="B132" s="12"/>
      <c r="C132" s="12"/>
      <c r="D132" s="12"/>
      <c r="E132" s="12"/>
      <c r="F132" s="12"/>
      <c r="G132" s="12"/>
      <c r="H132" s="12"/>
      <c r="I132" s="12"/>
    </row>
    <row r="133" spans="2:9" x14ac:dyDescent="0.25">
      <c r="B133" s="12"/>
      <c r="C133" s="12"/>
      <c r="D133" s="12"/>
      <c r="E133" s="12"/>
      <c r="F133" s="12"/>
      <c r="G133" s="12"/>
      <c r="H133" s="12"/>
      <c r="I133" s="12"/>
    </row>
    <row r="134" spans="2:9" x14ac:dyDescent="0.25">
      <c r="B134" s="12"/>
      <c r="C134" s="12"/>
      <c r="D134" s="12"/>
      <c r="E134" s="12"/>
      <c r="F134" s="12"/>
      <c r="G134" s="12"/>
      <c r="H134" s="12"/>
      <c r="I134" s="12"/>
    </row>
    <row r="135" spans="2:9" x14ac:dyDescent="0.25">
      <c r="B135" s="12"/>
      <c r="C135" s="12"/>
      <c r="D135" s="12"/>
      <c r="E135" s="12"/>
      <c r="F135" s="12"/>
      <c r="G135" s="12"/>
      <c r="H135" s="12"/>
      <c r="I135" s="12"/>
    </row>
    <row r="136" spans="2:9" x14ac:dyDescent="0.25">
      <c r="B136" s="12"/>
      <c r="C136" s="12"/>
      <c r="D136" s="12"/>
      <c r="E136" s="12"/>
      <c r="F136" s="12"/>
      <c r="G136" s="12"/>
      <c r="H136" s="12"/>
      <c r="I136" s="12"/>
    </row>
    <row r="137" spans="2:9" x14ac:dyDescent="0.25">
      <c r="B137" s="12"/>
      <c r="C137" s="12"/>
      <c r="D137" s="12"/>
      <c r="E137" s="12"/>
      <c r="F137" s="12"/>
      <c r="G137" s="12"/>
      <c r="H137" s="12"/>
      <c r="I137" s="12"/>
    </row>
    <row r="138" spans="2:9" x14ac:dyDescent="0.25">
      <c r="B138" s="12"/>
      <c r="C138" s="12"/>
      <c r="D138" s="12"/>
      <c r="E138" s="12"/>
      <c r="F138" s="12"/>
      <c r="G138" s="12"/>
      <c r="H138" s="12"/>
      <c r="I138" s="12"/>
    </row>
    <row r="139" spans="2:9" x14ac:dyDescent="0.25">
      <c r="B139" s="12"/>
      <c r="C139" s="12"/>
      <c r="D139" s="12"/>
      <c r="E139" s="12"/>
      <c r="F139" s="12"/>
      <c r="G139" s="12"/>
      <c r="H139" s="12"/>
      <c r="I139" s="12"/>
    </row>
    <row r="140" spans="2:9" x14ac:dyDescent="0.25">
      <c r="B140" s="12"/>
      <c r="C140" s="12"/>
      <c r="D140" s="12"/>
      <c r="E140" s="12"/>
      <c r="F140" s="12"/>
      <c r="G140" s="12"/>
      <c r="H140" s="12"/>
      <c r="I140" s="12"/>
    </row>
    <row r="141" spans="2:9" x14ac:dyDescent="0.25">
      <c r="B141" s="12"/>
      <c r="C141" s="12"/>
      <c r="D141" s="12"/>
      <c r="E141" s="12"/>
      <c r="F141" s="12"/>
      <c r="G141" s="12"/>
      <c r="H141" s="12"/>
      <c r="I141" s="12"/>
    </row>
    <row r="142" spans="2:9" x14ac:dyDescent="0.25">
      <c r="B142" s="12"/>
      <c r="C142" s="12"/>
      <c r="D142" s="12"/>
      <c r="E142" s="12"/>
      <c r="F142" s="12"/>
      <c r="G142" s="12"/>
      <c r="H142" s="12"/>
      <c r="I142" s="12"/>
    </row>
    <row r="143" spans="2:9" x14ac:dyDescent="0.25">
      <c r="B143" s="12"/>
      <c r="C143" s="12"/>
      <c r="D143" s="12"/>
      <c r="E143" s="12"/>
      <c r="F143" s="12"/>
      <c r="G143" s="12"/>
      <c r="H143" s="12"/>
      <c r="I143" s="12"/>
    </row>
    <row r="144" spans="2:9" x14ac:dyDescent="0.25">
      <c r="B144" s="12"/>
      <c r="C144" s="12"/>
      <c r="D144" s="12"/>
      <c r="E144" s="12"/>
      <c r="F144" s="12"/>
      <c r="G144" s="12"/>
      <c r="H144" s="12"/>
      <c r="I144" s="12"/>
    </row>
    <row r="145" spans="2:9" x14ac:dyDescent="0.25">
      <c r="B145" s="12"/>
      <c r="C145" s="12"/>
      <c r="D145" s="12"/>
      <c r="E145" s="12"/>
      <c r="F145" s="12"/>
      <c r="G145" s="12"/>
      <c r="H145" s="12"/>
      <c r="I145" s="12"/>
    </row>
    <row r="146" spans="2:9" x14ac:dyDescent="0.25">
      <c r="B146" s="12"/>
      <c r="C146" s="12"/>
      <c r="D146" s="12"/>
      <c r="E146" s="12"/>
      <c r="F146" s="12"/>
      <c r="G146" s="12"/>
      <c r="H146" s="12"/>
      <c r="I146" s="12"/>
    </row>
    <row r="147" spans="2:9" x14ac:dyDescent="0.25">
      <c r="B147" s="12"/>
      <c r="C147" s="12"/>
      <c r="D147" s="12"/>
      <c r="E147" s="12"/>
      <c r="F147" s="12"/>
      <c r="G147" s="12"/>
      <c r="H147" s="12"/>
      <c r="I147" s="12"/>
    </row>
    <row r="148" spans="2:9" x14ac:dyDescent="0.25">
      <c r="B148" s="12"/>
      <c r="C148" s="12"/>
      <c r="D148" s="12"/>
      <c r="E148" s="12"/>
      <c r="F148" s="12"/>
      <c r="G148" s="12"/>
      <c r="H148" s="12"/>
      <c r="I148" s="12"/>
    </row>
    <row r="149" spans="2:9" x14ac:dyDescent="0.25">
      <c r="B149" s="12"/>
      <c r="C149" s="12"/>
      <c r="D149" s="12"/>
      <c r="E149" s="12"/>
      <c r="F149" s="12"/>
      <c r="G149" s="12"/>
      <c r="H149" s="12"/>
      <c r="I149" s="12"/>
    </row>
  </sheetData>
  <autoFilter ref="B24:I24" xr:uid="{57388931-BDC0-4F72-BCC0-2F0D7DE64A09}"/>
  <conditionalFormatting sqref="D20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C5" xr:uid="{B42C2B7C-2C70-4139-9F6A-D37BB777087E}">
      <formula1>INDIRECT("FUNCIONARIOS[Funcionário]")</formula1>
    </dataValidation>
  </dataValidations>
  <pageMargins left="0.511811024" right="0.511811024" top="0.78740157499999996" bottom="0.78740157499999996" header="0.31496062000000002" footer="0.31496062000000002"/>
  <pageSetup paperSize="9" scale="3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Menu</vt:lpstr>
      <vt:lpstr>Instruções</vt:lpstr>
      <vt:lpstr>Cadastro</vt:lpstr>
      <vt:lpstr>Funcionários</vt:lpstr>
      <vt:lpstr>Controle de Horas</vt:lpstr>
      <vt:lpstr>Folha de Ponto</vt:lpstr>
      <vt:lpstr>'Folha de Ponto'!Area_de_extracao</vt:lpstr>
      <vt:lpstr>'Folha de Ponto'!Criterios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cp:lastPrinted>2020-08-26T14:03:11Z</cp:lastPrinted>
  <dcterms:created xsi:type="dcterms:W3CDTF">2020-08-26T12:21:29Z</dcterms:created>
  <dcterms:modified xsi:type="dcterms:W3CDTF">2020-08-31T09:16:11Z</dcterms:modified>
</cp:coreProperties>
</file>