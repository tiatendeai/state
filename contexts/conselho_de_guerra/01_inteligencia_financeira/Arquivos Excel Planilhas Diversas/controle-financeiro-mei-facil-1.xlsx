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4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5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EI Facil\Desktop\"/>
    </mc:Choice>
  </mc:AlternateContent>
  <xr:revisionPtr revIDLastSave="0" documentId="8_{EFD67DE5-20B3-4932-B99F-67848A30DA21}" xr6:coauthVersionLast="41" xr6:coauthVersionMax="41" xr10:uidLastSave="{00000000-0000-0000-0000-000000000000}"/>
  <bookViews>
    <workbookView xWindow="-120" yWindow="-120" windowWidth="20730" windowHeight="11160" tabRatio="795" activeTab="13" xr2:uid="{4C755968-A086-4317-8486-6F8EA7C336C7}"/>
  </bookViews>
  <sheets>
    <sheet name="Jan" sheetId="1" r:id="rId1"/>
    <sheet name="Fev" sheetId="21" r:id="rId2"/>
    <sheet name="Mar" sheetId="20" r:id="rId3"/>
    <sheet name="Abr" sheetId="19" r:id="rId4"/>
    <sheet name="Mai" sheetId="18" r:id="rId5"/>
    <sheet name="Jun" sheetId="12" r:id="rId6"/>
    <sheet name="Jul" sheetId="10" r:id="rId7"/>
    <sheet name="Ago" sheetId="11" r:id="rId8"/>
    <sheet name="Set" sheetId="13" r:id="rId9"/>
    <sheet name="Out" sheetId="14" r:id="rId10"/>
    <sheet name="Nov" sheetId="15" r:id="rId11"/>
    <sheet name="Dez" sheetId="16" r:id="rId12"/>
    <sheet name="Declaração anual" sheetId="23" r:id="rId13"/>
    <sheet name="Jan_exemplo" sheetId="17" r:id="rId14"/>
    <sheet name="Fev_exemplo" sheetId="22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22" l="1"/>
  <c r="A36" i="22"/>
  <c r="C36" i="17"/>
  <c r="A36" i="17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12" i="22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12" i="16"/>
  <c r="A36" i="18"/>
  <c r="C36" i="18" s="1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12" i="19"/>
  <c r="A36" i="19"/>
  <c r="C36" i="19" s="1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12" i="20"/>
  <c r="A36" i="16"/>
  <c r="C36" i="16" s="1"/>
  <c r="J20" i="16"/>
  <c r="A36" i="15"/>
  <c r="C36" i="15" s="1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12" i="1"/>
  <c r="A36" i="14"/>
  <c r="C36" i="14" s="1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A36" i="13"/>
  <c r="C36" i="13" s="1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F36" i="11"/>
  <c r="A36" i="11"/>
  <c r="C36" i="11" s="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A36" i="10"/>
  <c r="C36" i="10" s="1"/>
  <c r="J32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3" i="10"/>
  <c r="J34" i="10"/>
  <c r="A36" i="12"/>
  <c r="C36" i="12" s="1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A36" i="20"/>
  <c r="C36" i="20" s="1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K26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A36" i="21"/>
  <c r="C36" i="21" s="1"/>
  <c r="A36" i="1"/>
  <c r="C36" i="1" s="1"/>
  <c r="J13" i="16"/>
  <c r="J14" i="16"/>
  <c r="J15" i="16"/>
  <c r="J16" i="16"/>
  <c r="J17" i="16"/>
  <c r="J18" i="16"/>
  <c r="J19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K13" i="1"/>
  <c r="K12" i="16"/>
  <c r="K13" i="16"/>
  <c r="K14" i="16"/>
  <c r="K15" i="16"/>
  <c r="K16" i="16"/>
  <c r="K17" i="16"/>
  <c r="K18" i="16"/>
  <c r="K19" i="16"/>
  <c r="K20" i="16"/>
  <c r="K12" i="15"/>
  <c r="K13" i="15"/>
  <c r="K14" i="15"/>
  <c r="K15" i="15"/>
  <c r="K16" i="15"/>
  <c r="K17" i="15"/>
  <c r="K18" i="15"/>
  <c r="K19" i="15"/>
  <c r="K20" i="15"/>
  <c r="K12" i="14"/>
  <c r="K13" i="14"/>
  <c r="K14" i="14"/>
  <c r="K15" i="14"/>
  <c r="K16" i="14"/>
  <c r="K17" i="14"/>
  <c r="K18" i="14"/>
  <c r="K19" i="14"/>
  <c r="K20" i="14"/>
  <c r="K21" i="14"/>
  <c r="K22" i="14"/>
  <c r="K23" i="14"/>
  <c r="K12" i="13"/>
  <c r="K13" i="13"/>
  <c r="K14" i="13"/>
  <c r="K15" i="13"/>
  <c r="K16" i="13"/>
  <c r="K17" i="13"/>
  <c r="K18" i="13"/>
  <c r="K19" i="13"/>
  <c r="K20" i="13"/>
  <c r="K21" i="13"/>
  <c r="K12" i="11"/>
  <c r="K13" i="11"/>
  <c r="K14" i="11"/>
  <c r="K15" i="11"/>
  <c r="K16" i="11"/>
  <c r="K17" i="11"/>
  <c r="K18" i="11"/>
  <c r="K19" i="11"/>
  <c r="K20" i="11"/>
  <c r="K12" i="10"/>
  <c r="K13" i="10"/>
  <c r="K14" i="10"/>
  <c r="K15" i="10"/>
  <c r="K16" i="10"/>
  <c r="K17" i="10"/>
  <c r="K18" i="10"/>
  <c r="K19" i="10"/>
  <c r="K12" i="12"/>
  <c r="K13" i="12"/>
  <c r="K14" i="12"/>
  <c r="K15" i="12"/>
  <c r="K16" i="12"/>
  <c r="K17" i="12"/>
  <c r="K18" i="12"/>
  <c r="K19" i="12"/>
  <c r="K12" i="18"/>
  <c r="K13" i="18"/>
  <c r="K14" i="18"/>
  <c r="K15" i="18"/>
  <c r="K16" i="18"/>
  <c r="K17" i="18"/>
  <c r="K18" i="18"/>
  <c r="K19" i="18"/>
  <c r="K12" i="19"/>
  <c r="K13" i="19"/>
  <c r="K14" i="19"/>
  <c r="K15" i="19"/>
  <c r="K16" i="19"/>
  <c r="K17" i="19"/>
  <c r="K18" i="19"/>
  <c r="F36" i="1" l="1"/>
  <c r="P36" i="22"/>
  <c r="M36" i="22"/>
  <c r="F36" i="22"/>
  <c r="S34" i="22"/>
  <c r="K34" i="22"/>
  <c r="S33" i="22"/>
  <c r="K33" i="22"/>
  <c r="S32" i="22"/>
  <c r="K32" i="22"/>
  <c r="S31" i="22"/>
  <c r="K31" i="22"/>
  <c r="S30" i="22"/>
  <c r="K30" i="22"/>
  <c r="S29" i="22"/>
  <c r="K29" i="22"/>
  <c r="S28" i="22"/>
  <c r="K28" i="22"/>
  <c r="S27" i="22"/>
  <c r="K27" i="22"/>
  <c r="S26" i="22"/>
  <c r="K26" i="22"/>
  <c r="S25" i="22"/>
  <c r="K25" i="22"/>
  <c r="S24" i="22"/>
  <c r="K24" i="22"/>
  <c r="S23" i="22"/>
  <c r="K23" i="22"/>
  <c r="S22" i="22"/>
  <c r="K22" i="22"/>
  <c r="S21" i="22"/>
  <c r="K21" i="22"/>
  <c r="S20" i="22"/>
  <c r="K20" i="22"/>
  <c r="S19" i="22"/>
  <c r="K19" i="22"/>
  <c r="S18" i="22"/>
  <c r="K18" i="22"/>
  <c r="S17" i="22"/>
  <c r="K17" i="22"/>
  <c r="S16" i="22"/>
  <c r="K16" i="22"/>
  <c r="S15" i="22"/>
  <c r="K15" i="22"/>
  <c r="S14" i="22"/>
  <c r="K14" i="22"/>
  <c r="S13" i="22"/>
  <c r="K13" i="22"/>
  <c r="S12" i="22"/>
  <c r="K12" i="22"/>
  <c r="Q9" i="22"/>
  <c r="H9" i="22"/>
  <c r="P36" i="21"/>
  <c r="M36" i="21"/>
  <c r="F36" i="21"/>
  <c r="S34" i="21"/>
  <c r="K34" i="21"/>
  <c r="S33" i="21"/>
  <c r="K33" i="21"/>
  <c r="S32" i="21"/>
  <c r="K32" i="21"/>
  <c r="S31" i="21"/>
  <c r="K31" i="21"/>
  <c r="S30" i="21"/>
  <c r="K30" i="21"/>
  <c r="S29" i="21"/>
  <c r="K29" i="21"/>
  <c r="S28" i="21"/>
  <c r="K28" i="21"/>
  <c r="S27" i="21"/>
  <c r="K27" i="21"/>
  <c r="S26" i="21"/>
  <c r="S25" i="21"/>
  <c r="K25" i="21"/>
  <c r="S24" i="21"/>
  <c r="K24" i="21"/>
  <c r="S23" i="21"/>
  <c r="K23" i="21"/>
  <c r="S22" i="21"/>
  <c r="K22" i="21"/>
  <c r="S21" i="21"/>
  <c r="K21" i="21"/>
  <c r="S20" i="21"/>
  <c r="K20" i="21"/>
  <c r="S19" i="21"/>
  <c r="K19" i="21"/>
  <c r="S18" i="21"/>
  <c r="K18" i="21"/>
  <c r="S17" i="21"/>
  <c r="K17" i="21"/>
  <c r="S16" i="21"/>
  <c r="K16" i="21"/>
  <c r="S15" i="21"/>
  <c r="K15" i="21"/>
  <c r="S14" i="21"/>
  <c r="K14" i="21"/>
  <c r="S13" i="21"/>
  <c r="K13" i="21"/>
  <c r="S12" i="21"/>
  <c r="K12" i="21"/>
  <c r="Q9" i="21"/>
  <c r="H9" i="21"/>
  <c r="P36" i="20"/>
  <c r="M36" i="20"/>
  <c r="F36" i="20"/>
  <c r="S34" i="20"/>
  <c r="K34" i="20"/>
  <c r="S33" i="20"/>
  <c r="K33" i="20"/>
  <c r="S32" i="20"/>
  <c r="K32" i="20"/>
  <c r="S31" i="20"/>
  <c r="K31" i="20"/>
  <c r="S30" i="20"/>
  <c r="K30" i="20"/>
  <c r="S29" i="20"/>
  <c r="K29" i="20"/>
  <c r="S28" i="20"/>
  <c r="K28" i="20"/>
  <c r="S27" i="20"/>
  <c r="K27" i="20"/>
  <c r="S26" i="20"/>
  <c r="K26" i="20"/>
  <c r="S25" i="20"/>
  <c r="K25" i="20"/>
  <c r="S24" i="20"/>
  <c r="K24" i="20"/>
  <c r="S23" i="20"/>
  <c r="K23" i="20"/>
  <c r="S22" i="20"/>
  <c r="K22" i="20"/>
  <c r="S21" i="20"/>
  <c r="K21" i="20"/>
  <c r="S20" i="20"/>
  <c r="K20" i="20"/>
  <c r="S19" i="20"/>
  <c r="K19" i="20"/>
  <c r="S18" i="20"/>
  <c r="K18" i="20"/>
  <c r="S17" i="20"/>
  <c r="K17" i="20"/>
  <c r="S16" i="20"/>
  <c r="K16" i="20"/>
  <c r="S15" i="20"/>
  <c r="K15" i="20"/>
  <c r="S14" i="20"/>
  <c r="K14" i="20"/>
  <c r="S13" i="20"/>
  <c r="K13" i="20"/>
  <c r="S12" i="20"/>
  <c r="K12" i="20"/>
  <c r="Q9" i="20"/>
  <c r="H9" i="20"/>
  <c r="P36" i="19"/>
  <c r="M36" i="19"/>
  <c r="F36" i="19"/>
  <c r="S34" i="19"/>
  <c r="K34" i="19"/>
  <c r="S33" i="19"/>
  <c r="K33" i="19"/>
  <c r="S32" i="19"/>
  <c r="K32" i="19"/>
  <c r="S31" i="19"/>
  <c r="K31" i="19"/>
  <c r="S30" i="19"/>
  <c r="K30" i="19"/>
  <c r="S29" i="19"/>
  <c r="K29" i="19"/>
  <c r="S28" i="19"/>
  <c r="K28" i="19"/>
  <c r="S27" i="19"/>
  <c r="K27" i="19"/>
  <c r="S26" i="19"/>
  <c r="K26" i="19"/>
  <c r="S25" i="19"/>
  <c r="K25" i="19"/>
  <c r="S24" i="19"/>
  <c r="K24" i="19"/>
  <c r="S23" i="19"/>
  <c r="K23" i="19"/>
  <c r="S22" i="19"/>
  <c r="K22" i="19"/>
  <c r="S21" i="19"/>
  <c r="K21" i="19"/>
  <c r="S20" i="19"/>
  <c r="K20" i="19"/>
  <c r="S19" i="19"/>
  <c r="K19" i="19"/>
  <c r="S18" i="19"/>
  <c r="S17" i="19"/>
  <c r="S16" i="19"/>
  <c r="S15" i="19"/>
  <c r="S14" i="19"/>
  <c r="S13" i="19"/>
  <c r="S12" i="19"/>
  <c r="Q9" i="19"/>
  <c r="H9" i="19"/>
  <c r="P36" i="18"/>
  <c r="M36" i="18"/>
  <c r="F36" i="18"/>
  <c r="S34" i="18"/>
  <c r="K34" i="18"/>
  <c r="S33" i="18"/>
  <c r="K33" i="18"/>
  <c r="S32" i="18"/>
  <c r="K32" i="18"/>
  <c r="S31" i="18"/>
  <c r="K31" i="18"/>
  <c r="S30" i="18"/>
  <c r="K30" i="18"/>
  <c r="S29" i="18"/>
  <c r="K29" i="18"/>
  <c r="S28" i="18"/>
  <c r="K28" i="18"/>
  <c r="S27" i="18"/>
  <c r="K27" i="18"/>
  <c r="S26" i="18"/>
  <c r="K26" i="18"/>
  <c r="S25" i="18"/>
  <c r="K25" i="18"/>
  <c r="S24" i="18"/>
  <c r="K24" i="18"/>
  <c r="S23" i="18"/>
  <c r="K23" i="18"/>
  <c r="S22" i="18"/>
  <c r="K22" i="18"/>
  <c r="S21" i="18"/>
  <c r="K21" i="18"/>
  <c r="S20" i="18"/>
  <c r="K20" i="18"/>
  <c r="Q9" i="18"/>
  <c r="H9" i="18"/>
  <c r="P36" i="17"/>
  <c r="M36" i="17"/>
  <c r="F36" i="17"/>
  <c r="S34" i="17"/>
  <c r="K34" i="17"/>
  <c r="S33" i="17"/>
  <c r="K33" i="17"/>
  <c r="S32" i="17"/>
  <c r="K32" i="17"/>
  <c r="S31" i="17"/>
  <c r="K31" i="17"/>
  <c r="S30" i="17"/>
  <c r="K30" i="17"/>
  <c r="S29" i="17"/>
  <c r="K29" i="17"/>
  <c r="S28" i="17"/>
  <c r="K28" i="17"/>
  <c r="S27" i="17"/>
  <c r="K27" i="17"/>
  <c r="S26" i="17"/>
  <c r="K26" i="17"/>
  <c r="S25" i="17"/>
  <c r="K25" i="17"/>
  <c r="S24" i="17"/>
  <c r="K24" i="17"/>
  <c r="S23" i="17"/>
  <c r="K23" i="17"/>
  <c r="S22" i="17"/>
  <c r="K22" i="17"/>
  <c r="S21" i="17"/>
  <c r="K21" i="17"/>
  <c r="S20" i="17"/>
  <c r="K20" i="17"/>
  <c r="S19" i="17"/>
  <c r="K19" i="17"/>
  <c r="S18" i="17"/>
  <c r="K18" i="17"/>
  <c r="S17" i="17"/>
  <c r="K17" i="17"/>
  <c r="S16" i="17"/>
  <c r="K16" i="17"/>
  <c r="S15" i="17"/>
  <c r="K15" i="17"/>
  <c r="S14" i="17"/>
  <c r="K14" i="17"/>
  <c r="S13" i="17"/>
  <c r="K13" i="17"/>
  <c r="S12" i="17"/>
  <c r="K12" i="17"/>
  <c r="Q9" i="17"/>
  <c r="H9" i="17"/>
  <c r="P36" i="16"/>
  <c r="M36" i="16"/>
  <c r="F36" i="16"/>
  <c r="S34" i="16"/>
  <c r="K34" i="16"/>
  <c r="S33" i="16"/>
  <c r="K33" i="16"/>
  <c r="S32" i="16"/>
  <c r="K32" i="16"/>
  <c r="S31" i="16"/>
  <c r="K31" i="16"/>
  <c r="S30" i="16"/>
  <c r="K30" i="16"/>
  <c r="S29" i="16"/>
  <c r="K29" i="16"/>
  <c r="S28" i="16"/>
  <c r="K28" i="16"/>
  <c r="S27" i="16"/>
  <c r="K27" i="16"/>
  <c r="S26" i="16"/>
  <c r="K26" i="16"/>
  <c r="S25" i="16"/>
  <c r="K25" i="16"/>
  <c r="S24" i="16"/>
  <c r="K24" i="16"/>
  <c r="S23" i="16"/>
  <c r="K23" i="16"/>
  <c r="S22" i="16"/>
  <c r="K22" i="16"/>
  <c r="S21" i="16"/>
  <c r="K21" i="16"/>
  <c r="Q9" i="16"/>
  <c r="H9" i="16"/>
  <c r="P36" i="15"/>
  <c r="M36" i="15"/>
  <c r="F36" i="15"/>
  <c r="S34" i="15"/>
  <c r="K34" i="15"/>
  <c r="S33" i="15"/>
  <c r="K33" i="15"/>
  <c r="S32" i="15"/>
  <c r="K32" i="15"/>
  <c r="S31" i="15"/>
  <c r="K31" i="15"/>
  <c r="S30" i="15"/>
  <c r="K30" i="15"/>
  <c r="S29" i="15"/>
  <c r="K29" i="15"/>
  <c r="S28" i="15"/>
  <c r="K28" i="15"/>
  <c r="S27" i="15"/>
  <c r="K27" i="15"/>
  <c r="S26" i="15"/>
  <c r="K26" i="15"/>
  <c r="S25" i="15"/>
  <c r="K25" i="15"/>
  <c r="S24" i="15"/>
  <c r="K24" i="15"/>
  <c r="S23" i="15"/>
  <c r="K23" i="15"/>
  <c r="S22" i="15"/>
  <c r="K22" i="15"/>
  <c r="S21" i="15"/>
  <c r="K21" i="15"/>
  <c r="Q9" i="15"/>
  <c r="H9" i="15"/>
  <c r="P36" i="14"/>
  <c r="M36" i="14"/>
  <c r="F36" i="14"/>
  <c r="S34" i="14"/>
  <c r="K34" i="14"/>
  <c r="S33" i="14"/>
  <c r="K33" i="14"/>
  <c r="S32" i="14"/>
  <c r="K32" i="14"/>
  <c r="S31" i="14"/>
  <c r="K31" i="14"/>
  <c r="S30" i="14"/>
  <c r="K30" i="14"/>
  <c r="S29" i="14"/>
  <c r="K29" i="14"/>
  <c r="S28" i="14"/>
  <c r="K28" i="14"/>
  <c r="S27" i="14"/>
  <c r="K27" i="14"/>
  <c r="S26" i="14"/>
  <c r="K26" i="14"/>
  <c r="S25" i="14"/>
  <c r="K25" i="14"/>
  <c r="S24" i="14"/>
  <c r="K24" i="14"/>
  <c r="Q9" i="14"/>
  <c r="H9" i="14"/>
  <c r="P36" i="13"/>
  <c r="M36" i="13"/>
  <c r="F36" i="13"/>
  <c r="S34" i="13"/>
  <c r="K34" i="13"/>
  <c r="S33" i="13"/>
  <c r="K33" i="13"/>
  <c r="S32" i="13"/>
  <c r="K32" i="13"/>
  <c r="S31" i="13"/>
  <c r="K31" i="13"/>
  <c r="S30" i="13"/>
  <c r="K30" i="13"/>
  <c r="S29" i="13"/>
  <c r="K29" i="13"/>
  <c r="S28" i="13"/>
  <c r="K28" i="13"/>
  <c r="S27" i="13"/>
  <c r="K27" i="13"/>
  <c r="S26" i="13"/>
  <c r="K26" i="13"/>
  <c r="S25" i="13"/>
  <c r="K25" i="13"/>
  <c r="S24" i="13"/>
  <c r="K24" i="13"/>
  <c r="S23" i="13"/>
  <c r="K23" i="13"/>
  <c r="S22" i="13"/>
  <c r="K22" i="13"/>
  <c r="Q9" i="13"/>
  <c r="H9" i="13"/>
  <c r="P36" i="12"/>
  <c r="M36" i="12"/>
  <c r="F36" i="12"/>
  <c r="S34" i="12"/>
  <c r="K34" i="12"/>
  <c r="S33" i="12"/>
  <c r="K33" i="12"/>
  <c r="S32" i="12"/>
  <c r="K32" i="12"/>
  <c r="S31" i="12"/>
  <c r="K31" i="12"/>
  <c r="S30" i="12"/>
  <c r="K30" i="12"/>
  <c r="S29" i="12"/>
  <c r="K29" i="12"/>
  <c r="S28" i="12"/>
  <c r="K28" i="12"/>
  <c r="S27" i="12"/>
  <c r="K27" i="12"/>
  <c r="S26" i="12"/>
  <c r="K26" i="12"/>
  <c r="S25" i="12"/>
  <c r="K25" i="12"/>
  <c r="S24" i="12"/>
  <c r="K24" i="12"/>
  <c r="S23" i="12"/>
  <c r="K23" i="12"/>
  <c r="S22" i="12"/>
  <c r="K22" i="12"/>
  <c r="S21" i="12"/>
  <c r="K21" i="12"/>
  <c r="S20" i="12"/>
  <c r="K20" i="12"/>
  <c r="Q9" i="12"/>
  <c r="H9" i="12"/>
  <c r="P36" i="11"/>
  <c r="M36" i="11"/>
  <c r="S34" i="11"/>
  <c r="K34" i="11"/>
  <c r="S33" i="11"/>
  <c r="K33" i="11"/>
  <c r="S32" i="11"/>
  <c r="K32" i="11"/>
  <c r="S31" i="11"/>
  <c r="K31" i="11"/>
  <c r="S30" i="11"/>
  <c r="K30" i="11"/>
  <c r="S29" i="11"/>
  <c r="K29" i="11"/>
  <c r="S28" i="11"/>
  <c r="K28" i="11"/>
  <c r="S27" i="11"/>
  <c r="K27" i="11"/>
  <c r="S26" i="11"/>
  <c r="K26" i="11"/>
  <c r="S25" i="11"/>
  <c r="K25" i="11"/>
  <c r="S24" i="11"/>
  <c r="K24" i="11"/>
  <c r="S23" i="11"/>
  <c r="K23" i="11"/>
  <c r="S22" i="11"/>
  <c r="K22" i="11"/>
  <c r="S21" i="11"/>
  <c r="K21" i="11"/>
  <c r="Q9" i="11"/>
  <c r="H9" i="11"/>
  <c r="P36" i="10"/>
  <c r="M36" i="10"/>
  <c r="F36" i="10"/>
  <c r="S34" i="10"/>
  <c r="K34" i="10"/>
  <c r="S33" i="10"/>
  <c r="K33" i="10"/>
  <c r="S32" i="10"/>
  <c r="K32" i="10"/>
  <c r="S31" i="10"/>
  <c r="K31" i="10"/>
  <c r="S30" i="10"/>
  <c r="K30" i="10"/>
  <c r="S29" i="10"/>
  <c r="K29" i="10"/>
  <c r="S28" i="10"/>
  <c r="K28" i="10"/>
  <c r="S27" i="10"/>
  <c r="K27" i="10"/>
  <c r="S26" i="10"/>
  <c r="K26" i="10"/>
  <c r="S25" i="10"/>
  <c r="K25" i="10"/>
  <c r="S24" i="10"/>
  <c r="K24" i="10"/>
  <c r="S23" i="10"/>
  <c r="K23" i="10"/>
  <c r="S22" i="10"/>
  <c r="K22" i="10"/>
  <c r="S21" i="10"/>
  <c r="K21" i="10"/>
  <c r="S20" i="10"/>
  <c r="K20" i="10"/>
  <c r="Q9" i="10"/>
  <c r="H9" i="10"/>
  <c r="D14" i="23"/>
  <c r="C13" i="23"/>
  <c r="C17" i="23"/>
  <c r="C10" i="23"/>
  <c r="D9" i="23"/>
  <c r="D13" i="23"/>
  <c r="C9" i="23"/>
  <c r="D20" i="23"/>
  <c r="C15" i="23"/>
  <c r="D12" i="23"/>
  <c r="C16" i="23"/>
  <c r="D19" i="23"/>
  <c r="C20" i="23"/>
  <c r="D17" i="23"/>
  <c r="D10" i="23"/>
  <c r="C11" i="23"/>
  <c r="C18" i="23"/>
  <c r="C14" i="23"/>
  <c r="D15" i="23"/>
  <c r="D18" i="23"/>
  <c r="D16" i="23"/>
  <c r="D11" i="23"/>
  <c r="C19" i="23"/>
  <c r="C12" i="23"/>
  <c r="I15" i="23" l="1"/>
  <c r="I9" i="23"/>
  <c r="S19" i="1"/>
  <c r="S20" i="1"/>
  <c r="S21" i="1"/>
  <c r="S22" i="1"/>
  <c r="S23" i="1"/>
  <c r="S24" i="1"/>
  <c r="S25" i="1"/>
  <c r="S26" i="1"/>
  <c r="S27" i="1"/>
  <c r="S28" i="1"/>
  <c r="S29" i="1"/>
  <c r="S30" i="1"/>
  <c r="K22" i="1"/>
  <c r="K23" i="1"/>
  <c r="K24" i="1"/>
  <c r="K25" i="1"/>
  <c r="K26" i="1"/>
  <c r="K27" i="1"/>
  <c r="K28" i="1"/>
  <c r="K29" i="1"/>
  <c r="K30" i="1"/>
  <c r="K31" i="1"/>
  <c r="K32" i="1"/>
  <c r="K33" i="1"/>
  <c r="H9" i="1"/>
  <c r="K12" i="1"/>
  <c r="K14" i="1"/>
  <c r="K15" i="1"/>
  <c r="K16" i="1"/>
  <c r="K17" i="1"/>
  <c r="K18" i="1"/>
  <c r="K19" i="1"/>
  <c r="K20" i="1"/>
  <c r="K21" i="1"/>
  <c r="K34" i="1"/>
  <c r="M36" i="1"/>
  <c r="S34" i="1"/>
  <c r="J19" i="23" l="1"/>
  <c r="Q9" i="1"/>
  <c r="S33" i="1"/>
  <c r="P36" i="1"/>
  <c r="S12" i="1"/>
  <c r="S13" i="1"/>
  <c r="S14" i="1"/>
  <c r="S15" i="1"/>
  <c r="S16" i="1"/>
  <c r="S17" i="1"/>
  <c r="S18" i="1"/>
  <c r="S31" i="1"/>
  <c r="S32" i="1"/>
</calcChain>
</file>

<file path=xl/sharedStrings.xml><?xml version="1.0" encoding="utf-8"?>
<sst xmlns="http://schemas.openxmlformats.org/spreadsheetml/2006/main" count="530" uniqueCount="95">
  <si>
    <t>Data</t>
  </si>
  <si>
    <t>Cliente</t>
  </si>
  <si>
    <t>Produto/Serviço</t>
  </si>
  <si>
    <t>Valor</t>
  </si>
  <si>
    <t>Pago</t>
  </si>
  <si>
    <t>1/2</t>
  </si>
  <si>
    <t>Sim</t>
  </si>
  <si>
    <t>Não</t>
  </si>
  <si>
    <t>Maira</t>
  </si>
  <si>
    <t>Recebido</t>
  </si>
  <si>
    <t>2/2</t>
  </si>
  <si>
    <t>Parcelas</t>
  </si>
  <si>
    <t>Dinheiro</t>
  </si>
  <si>
    <t>Tipo de despesa</t>
  </si>
  <si>
    <t>Parcelamento2</t>
  </si>
  <si>
    <t>Ano:</t>
  </si>
  <si>
    <t>Mês:</t>
  </si>
  <si>
    <t>Janeiro</t>
  </si>
  <si>
    <t>Tipo</t>
  </si>
  <si>
    <t>CONTROLE FINANCEIRO</t>
  </si>
  <si>
    <t>Forma 
de
 pagamento</t>
  </si>
  <si>
    <t>VENDAS TOTAL</t>
  </si>
  <si>
    <t>OUTROS MESES</t>
  </si>
  <si>
    <t>TOTAL DO MÊS</t>
  </si>
  <si>
    <t>GANHOS</t>
  </si>
  <si>
    <t>Forma
 de 
pagamento</t>
  </si>
  <si>
    <t>DESPESAS TOTAIS</t>
  </si>
  <si>
    <t>Nota 
Fiscal</t>
  </si>
  <si>
    <t>mês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</si>
  <si>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</si>
  <si>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</si>
  <si>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</si>
  <si>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</si>
  <si>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</si>
  <si>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</si>
  <si>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</si>
  <si>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</si>
  <si>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</si>
  <si>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</si>
  <si>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</si>
  <si>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Nome da empresa:</t>
  </si>
  <si>
    <t>Boleto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</si>
  <si>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</si>
  <si>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</si>
  <si>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</si>
  <si>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</si>
  <si>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</si>
  <si>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</si>
  <si>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</si>
  <si>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</si>
  <si>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</si>
  <si>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</si>
  <si>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</si>
  <si>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</si>
  <si>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Serviço</t>
  </si>
  <si>
    <t>TOTAL A DECLARAR</t>
  </si>
  <si>
    <t>Valores recebidos 
por mês</t>
  </si>
  <si>
    <t>DESPESAS</t>
  </si>
  <si>
    <t>Luzia</t>
  </si>
  <si>
    <t>Pé e Mão</t>
  </si>
  <si>
    <t>Cartão de débito</t>
  </si>
  <si>
    <t>Ronaldo</t>
  </si>
  <si>
    <t>Xampú</t>
  </si>
  <si>
    <t>Creme Hidratante</t>
  </si>
  <si>
    <t>3/2</t>
  </si>
  <si>
    <t>2/3</t>
  </si>
  <si>
    <t>3/3</t>
  </si>
  <si>
    <t>Ana</t>
  </si>
  <si>
    <t>Fabi</t>
  </si>
  <si>
    <t>Condicionador</t>
  </si>
  <si>
    <t>30/02/2019</t>
  </si>
  <si>
    <t>Conta de água</t>
  </si>
  <si>
    <t>Conta de Luz</t>
  </si>
  <si>
    <t>Conta de luz jan</t>
  </si>
  <si>
    <t>Ana cabelereira</t>
  </si>
  <si>
    <t xml:space="preserve"> </t>
  </si>
  <si>
    <t>Iolanda</t>
  </si>
  <si>
    <t>Escova+Hidratação</t>
  </si>
  <si>
    <t>João</t>
  </si>
  <si>
    <t>Barba</t>
  </si>
  <si>
    <t>DAS MEI</t>
  </si>
  <si>
    <t>TOTAL RECEBIDO NO MÊS</t>
  </si>
  <si>
    <t>TOTAL PAGO NO MÊS</t>
  </si>
  <si>
    <t>VENDAS DO MÊS</t>
  </si>
  <si>
    <t>*Essa parte da planilha te ajuda a ver o quanto você faturou por mês sobre produtos e serviços, de forma separada</t>
  </si>
  <si>
    <t>**Isso te ajuda a saber o valor do seu faturamento bruto e os valores para o MEI fazer sua Declaração Anual Obrigatória.</t>
  </si>
  <si>
    <t>CONTROLE FINANCEIRO ANUAL*</t>
  </si>
  <si>
    <t>***Faça a Declaração Anual do MEI no app da MEI Fácil!</t>
  </si>
  <si>
    <t>Veja abaixo um exemplo de como preencher a planilha e controlar tudo o que for parcelado, à vista, o que foi pago ou recebido e o que ainda está pendente de outros meses.</t>
  </si>
  <si>
    <t>Faturamento bruto do ano</t>
  </si>
  <si>
    <t>Comércio</t>
  </si>
  <si>
    <t>Indústria</t>
  </si>
  <si>
    <t>Transporte intermunicipais e interestaduais</t>
  </si>
  <si>
    <t>Fornecimento de refeições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</si>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</sst>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Helvetica"/>
    </font>
    <font>
      <sz val="11"/>
      <color theme="1"/>
      <name val="Helvetica Black"/>
      <family val="3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Helvetica Black"/>
      <family val="3"/>
    </font>
    <font>
      <b/>
      <sz val="18"/>
      <color theme="1"/>
      <name val="Helvetica Light"/>
      <family val="3"/>
    </font>
    <font>
      <sz val="24"/>
      <color theme="9" tint="-0.249977111117893"/>
      <name val="Calibri"/>
      <family val="2"/>
      <scheme val="minor"/>
    </font>
    <font>
      <sz val="24"/>
      <color theme="5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Helvetica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/>
      <right/>
      <top style="thin">
        <color theme="9" tint="-0.249977111117893"/>
      </top>
      <bottom/>
      <diagonal/>
    </border>
    <border>
      <left style="thin">
        <color theme="9" tint="-0.249977111117893"/>
      </left>
      <right/>
      <top/>
      <bottom/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/>
      <right style="thin">
        <color theme="9" tint="-0.249977111117893"/>
      </right>
      <top/>
      <bottom style="thin">
        <color theme="9" tint="-0.249977111117893"/>
      </bottom>
      <diagonal/>
    </border>
    <border>
      <left/>
      <right style="thin">
        <color theme="9" tint="-0.249977111117893"/>
      </right>
      <top/>
      <bottom/>
      <diagonal/>
    </border>
    <border>
      <left/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/>
      <diagonal/>
    </border>
    <border>
      <left/>
      <right/>
      <top style="thin">
        <color theme="5" tint="-0.499984740745262"/>
      </top>
      <bottom/>
      <diagonal/>
    </border>
    <border>
      <left/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/>
      <top/>
      <bottom/>
      <diagonal/>
    </border>
    <border>
      <left/>
      <right style="thin">
        <color theme="5" tint="-0.499984740745262"/>
      </right>
      <top/>
      <bottom/>
      <diagonal/>
    </border>
    <border>
      <left style="thin">
        <color theme="5" tint="-0.499984740745262"/>
      </left>
      <right/>
      <top/>
      <bottom style="thin">
        <color theme="5" tint="-0.499984740745262"/>
      </bottom>
      <diagonal/>
    </border>
    <border>
      <left/>
      <right/>
      <top/>
      <bottom style="thin">
        <color theme="5" tint="-0.499984740745262"/>
      </bottom>
      <diagonal/>
    </border>
    <border>
      <left/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/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 style="thin">
        <color theme="7" tint="-0.499984740745262"/>
      </right>
      <top/>
      <bottom style="thin">
        <color theme="7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Protection="1">
      <protection locked="0"/>
    </xf>
    <xf numFmtId="14" fontId="0" fillId="0" borderId="16" xfId="0" applyNumberFormat="1" applyBorder="1" applyProtection="1">
      <protection locked="0"/>
    </xf>
    <xf numFmtId="0" fontId="0" fillId="0" borderId="17" xfId="0" applyBorder="1" applyProtection="1">
      <protection locked="0"/>
    </xf>
    <xf numFmtId="44" fontId="0" fillId="0" borderId="17" xfId="1" applyFont="1" applyBorder="1" applyProtection="1">
      <protection locked="0"/>
    </xf>
    <xf numFmtId="49" fontId="0" fillId="0" borderId="17" xfId="0" applyNumberFormat="1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14" fontId="0" fillId="0" borderId="19" xfId="0" applyNumberFormat="1" applyBorder="1" applyProtection="1">
      <protection locked="0"/>
    </xf>
    <xf numFmtId="0" fontId="0" fillId="0" borderId="0" xfId="0" applyProtection="1">
      <protection locked="0"/>
    </xf>
    <xf numFmtId="44" fontId="0" fillId="0" borderId="0" xfId="1" applyFont="1" applyProtection="1"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44" fontId="0" fillId="0" borderId="22" xfId="1" applyFont="1" applyBorder="1" applyProtection="1">
      <protection locked="0"/>
    </xf>
    <xf numFmtId="49" fontId="0" fillId="0" borderId="22" xfId="0" applyNumberFormat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14" fontId="0" fillId="0" borderId="25" xfId="0" applyNumberFormat="1" applyBorder="1" applyProtection="1">
      <protection locked="0"/>
    </xf>
    <xf numFmtId="0" fontId="0" fillId="0" borderId="26" xfId="0" applyBorder="1" applyProtection="1">
      <protection locked="0"/>
    </xf>
    <xf numFmtId="44" fontId="0" fillId="0" borderId="26" xfId="1" applyFont="1" applyBorder="1" applyProtection="1">
      <protection locked="0"/>
    </xf>
    <xf numFmtId="49" fontId="0" fillId="0" borderId="26" xfId="0" applyNumberFormat="1" applyBorder="1" applyAlignment="1" applyProtection="1">
      <alignment horizontal="center"/>
      <protection locked="0"/>
    </xf>
    <xf numFmtId="0" fontId="0" fillId="0" borderId="27" xfId="0" applyBorder="1" applyProtection="1">
      <protection locked="0"/>
    </xf>
    <xf numFmtId="14" fontId="0" fillId="0" borderId="28" xfId="0" applyNumberFormat="1" applyBorder="1" applyProtection="1">
      <protection locked="0"/>
    </xf>
    <xf numFmtId="0" fontId="0" fillId="0" borderId="29" xfId="0" applyBorder="1" applyProtection="1">
      <protection locked="0"/>
    </xf>
    <xf numFmtId="14" fontId="0" fillId="0" borderId="30" xfId="0" applyNumberFormat="1" applyBorder="1" applyProtection="1">
      <protection locked="0"/>
    </xf>
    <xf numFmtId="0" fontId="0" fillId="0" borderId="31" xfId="0" applyBorder="1" applyProtection="1">
      <protection locked="0"/>
    </xf>
    <xf numFmtId="44" fontId="0" fillId="0" borderId="31" xfId="1" applyFont="1" applyBorder="1" applyProtection="1">
      <protection locked="0"/>
    </xf>
    <xf numFmtId="49" fontId="0" fillId="0" borderId="31" xfId="0" applyNumberFormat="1" applyBorder="1" applyAlignment="1" applyProtection="1">
      <alignment horizontal="center"/>
      <protection locked="0"/>
    </xf>
    <xf numFmtId="0" fontId="0" fillId="0" borderId="32" xfId="0" applyBorder="1" applyProtection="1">
      <protection locked="0"/>
    </xf>
    <xf numFmtId="49" fontId="0" fillId="0" borderId="0" xfId="0" applyNumberFormat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44" fontId="9" fillId="0" borderId="14" xfId="1" applyFont="1" applyBorder="1" applyAlignment="1" applyProtection="1">
      <alignment horizontal="center" vertical="center" wrapText="1"/>
      <protection locked="0"/>
    </xf>
    <xf numFmtId="49" fontId="9" fillId="0" borderId="14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9" fillId="0" borderId="7" xfId="0" applyFont="1" applyBorder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0" fillId="0" borderId="4" xfId="0" applyBorder="1" applyProtection="1">
      <protection locked="0"/>
    </xf>
    <xf numFmtId="44" fontId="0" fillId="0" borderId="37" xfId="0" applyNumberFormat="1" applyBorder="1"/>
    <xf numFmtId="0" fontId="10" fillId="0" borderId="0" xfId="0" applyFont="1" applyProtection="1"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49" fontId="3" fillId="0" borderId="0" xfId="0" applyNumberFormat="1" applyFont="1" applyAlignment="1" applyProtection="1">
      <alignment vertical="center"/>
      <protection locked="0"/>
    </xf>
    <xf numFmtId="49" fontId="0" fillId="0" borderId="0" xfId="0" applyNumberFormat="1" applyAlignment="1" applyProtection="1">
      <alignment vertical="center"/>
      <protection locked="0"/>
    </xf>
    <xf numFmtId="44" fontId="14" fillId="0" borderId="0" xfId="0" applyNumberFormat="1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9" fillId="0" borderId="24" xfId="0" applyFont="1" applyBorder="1" applyAlignment="1" applyProtection="1">
      <alignment horizontal="center"/>
      <protection locked="0"/>
    </xf>
    <xf numFmtId="44" fontId="11" fillId="0" borderId="15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8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44" fontId="13" fillId="0" borderId="15" xfId="1" applyFont="1" applyBorder="1" applyAlignment="1">
      <alignment horizontal="center" vertical="center"/>
    </xf>
    <xf numFmtId="0" fontId="8" fillId="3" borderId="0" xfId="0" applyFont="1" applyFill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/>
      <protection locked="0"/>
    </xf>
    <xf numFmtId="0" fontId="9" fillId="0" borderId="8" xfId="0" applyFont="1" applyBorder="1" applyAlignment="1" applyProtection="1">
      <alignment horizontal="center"/>
      <protection locked="0"/>
    </xf>
    <xf numFmtId="44" fontId="11" fillId="0" borderId="3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right" vertical="center"/>
      <protection locked="0"/>
    </xf>
    <xf numFmtId="49" fontId="0" fillId="0" borderId="0" xfId="0" applyNumberFormat="1" applyAlignment="1" applyProtection="1">
      <alignment horizontal="right" vertical="center"/>
      <protection locked="0"/>
    </xf>
    <xf numFmtId="44" fontId="14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1" fillId="0" borderId="11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9" fillId="0" borderId="6" xfId="0" applyNumberFormat="1" applyFont="1" applyBorder="1" applyAlignment="1" applyProtection="1">
      <alignment horizontal="center"/>
      <protection locked="0"/>
    </xf>
    <xf numFmtId="49" fontId="9" fillId="0" borderId="2" xfId="0" applyNumberFormat="1" applyFont="1" applyBorder="1" applyAlignment="1" applyProtection="1">
      <alignment horizontal="center"/>
      <protection locked="0"/>
    </xf>
    <xf numFmtId="49" fontId="9" fillId="0" borderId="8" xfId="0" applyNumberFormat="1" applyFont="1" applyBorder="1" applyAlignment="1" applyProtection="1">
      <alignment horizontal="center"/>
      <protection locked="0"/>
    </xf>
    <xf numFmtId="44" fontId="12" fillId="0" borderId="3" xfId="1" applyFont="1" applyBorder="1" applyAlignment="1">
      <alignment horizontal="center"/>
    </xf>
    <xf numFmtId="44" fontId="12" fillId="0" borderId="4" xfId="1" applyFont="1" applyBorder="1" applyAlignment="1">
      <alignment horizontal="center"/>
    </xf>
    <xf numFmtId="44" fontId="12" fillId="0" borderId="10" xfId="1" applyFont="1" applyBorder="1" applyAlignment="1">
      <alignment horizontal="center"/>
    </xf>
    <xf numFmtId="44" fontId="12" fillId="0" borderId="5" xfId="1" applyFont="1" applyBorder="1" applyAlignment="1">
      <alignment horizontal="center"/>
    </xf>
    <xf numFmtId="44" fontId="12" fillId="0" borderId="0" xfId="1" applyFont="1" applyAlignment="1">
      <alignment horizontal="center"/>
    </xf>
    <xf numFmtId="44" fontId="12" fillId="0" borderId="9" xfId="1" applyFont="1" applyBorder="1" applyAlignment="1">
      <alignment horizontal="center"/>
    </xf>
    <xf numFmtId="44" fontId="12" fillId="0" borderId="6" xfId="1" applyFont="1" applyBorder="1" applyAlignment="1">
      <alignment horizontal="center"/>
    </xf>
    <xf numFmtId="44" fontId="12" fillId="0" borderId="2" xfId="1" applyFont="1" applyBorder="1" applyAlignment="1">
      <alignment horizontal="center"/>
    </xf>
    <xf numFmtId="44" fontId="12" fillId="0" borderId="8" xfId="1" applyFont="1" applyBorder="1" applyAlignment="1">
      <alignment horizontal="center"/>
    </xf>
    <xf numFmtId="0" fontId="10" fillId="0" borderId="0" xfId="0" applyFont="1" applyAlignment="1" applyProtection="1">
      <alignment horizontal="center" vertical="center"/>
      <protection locked="0"/>
    </xf>
    <xf numFmtId="0" fontId="7" fillId="4" borderId="0" xfId="0" applyFont="1" applyFill="1" applyAlignment="1">
      <alignment horizontal="center" vertical="center"/>
    </xf>
    <xf numFmtId="44" fontId="14" fillId="0" borderId="49" xfId="0" applyNumberFormat="1" applyFont="1" applyBorder="1" applyAlignment="1">
      <alignment horizontal="center" vertical="center"/>
    </xf>
    <xf numFmtId="44" fontId="14" fillId="0" borderId="50" xfId="0" applyNumberFormat="1" applyFont="1" applyBorder="1" applyAlignment="1">
      <alignment horizontal="center" vertical="center"/>
    </xf>
    <xf numFmtId="44" fontId="14" fillId="0" borderId="51" xfId="0" applyNumberFormat="1" applyFont="1" applyBorder="1" applyAlignment="1">
      <alignment horizontal="center" vertical="center"/>
    </xf>
    <xf numFmtId="44" fontId="14" fillId="0" borderId="52" xfId="0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44" fontId="15" fillId="0" borderId="33" xfId="0" applyNumberFormat="1" applyFont="1" applyBorder="1" applyAlignment="1">
      <alignment horizontal="center" vertical="center"/>
    </xf>
    <xf numFmtId="44" fontId="15" fillId="0" borderId="34" xfId="0" applyNumberFormat="1" applyFont="1" applyBorder="1" applyAlignment="1">
      <alignment horizontal="center" vertical="center"/>
    </xf>
    <xf numFmtId="44" fontId="15" fillId="0" borderId="35" xfId="0" applyNumberFormat="1" applyFont="1" applyBorder="1" applyAlignment="1">
      <alignment horizontal="center" vertical="center"/>
    </xf>
    <xf numFmtId="44" fontId="15" fillId="0" borderId="36" xfId="0" applyNumberFormat="1" applyFont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44" xfId="0" applyFont="1" applyFill="1" applyBorder="1" applyAlignment="1">
      <alignment horizontal="center" vertical="center"/>
    </xf>
    <xf numFmtId="44" fontId="15" fillId="0" borderId="46" xfId="0" applyNumberFormat="1" applyFont="1" applyBorder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44" fontId="15" fillId="0" borderId="48" xfId="0" applyNumberFormat="1" applyFont="1" applyBorder="1" applyAlignment="1">
      <alignment horizontal="center" vertical="center"/>
    </xf>
    <xf numFmtId="44" fontId="15" fillId="0" borderId="47" xfId="0" applyNumberFormat="1" applyFont="1" applyBorder="1" applyAlignment="1">
      <alignment horizontal="center" vertical="center"/>
    </xf>
    <xf numFmtId="44" fontId="15" fillId="0" borderId="0" xfId="1" applyFont="1" applyAlignment="1" applyProtection="1">
      <alignment horizontal="center" wrapText="1"/>
      <protection locked="0"/>
    </xf>
  </cellXfs>
  <cellStyles count="2">
    <cellStyle name="Moeda" xfId="1" builtinId="4"/>
    <cellStyle name="Normal" xfId="0" builtinId="0"/>
  </cellStyles>
  <dxfs count="323"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rgb="FFFFFFFF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rgb="FFFFFFFF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rgb="FFFFFFFF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rgb="FFFFFFFF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rgb="FFFFFFFF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rgb="FFFFFFFF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rgb="FFFFFFFF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rgb="FFFFFFFF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rgb="FFFFFFFF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rgb="FFFFFFFF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rgb="FFFFFFFF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rgb="FFFFFFFF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rgb="FFFFFFFF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5" tint="-0.499984740745262"/>
        </right>
        <top/>
        <bottom/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border diagonalUp="0" diagonalDown="0">
        <left style="thin">
          <color theme="5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border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numFmt numFmtId="0" formatCode="General"/>
      <protection locked="0" hidden="0"/>
    </dxf>
    <dxf>
      <border diagonalUp="0" diagonalDown="0">
        <left/>
        <right style="thin">
          <color theme="9" tint="-0.499984740745262"/>
        </right>
        <top/>
        <bottom/>
        <vertical/>
        <horizontal/>
      </border>
      <protection locked="0" hidden="0"/>
    </dxf>
    <dxf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fill>
        <patternFill>
          <bgColor rgb="FFFF0000"/>
        </patternFill>
      </fill>
    </dxf>
  </dxfs>
  <tableStyles count="1" defaultTableStyle="TableStyleMedium2" defaultPivotStyle="PivotStyleLight16">
    <tableStyle name="Estilo de Tabela 1" pivot="0" count="1" xr9:uid="{0B06F6BC-F885-499C-95A0-BD1EB32F9074}">
      <tableStyleElement type="wholeTable" dxfId="322"/>
    </tableStyle>
  </tableStyles>
  <colors>
    <mruColors>
      <color rgb="FF00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anuais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'Declaração anual'!$C$7:$C$8</c:f>
              <c:strCache>
                <c:ptCount val="2"/>
                <c:pt idx="0">
                  <c:v>Comércio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'Declaração anual'!$B$9:$B$20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'Declaração anual'!$C$9:$C$20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F-4761-8F6E-B9FB623579B1}"/>
            </c:ext>
          </c:extLst>
        </c:ser>
        <c:ser>
          <c:idx val="1"/>
          <c:order val="1"/>
          <c:tx>
            <c:strRef>
              <c:f>'Declaração anual'!$D$7:$D$8</c:f>
              <c:strCache>
                <c:ptCount val="2"/>
                <c:pt idx="0">
                  <c:v>Serviço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'Declaração anual'!$B$9:$B$20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'Declaração anual'!$D$9:$D$20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F-4761-8F6E-B9FB62357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025808"/>
        <c:axId val="887023248"/>
      </c:barChart>
      <c:catAx>
        <c:axId val="8870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7023248"/>
        <c:crosses val="autoZero"/>
        <c:auto val="1"/>
        <c:lblAlgn val="ctr"/>
        <c:lblOffset val="100"/>
        <c:noMultiLvlLbl val="0"/>
      </c:catAx>
      <c:valAx>
        <c:axId val="8870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702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3" Type="http://schemas.openxmlformats.org/officeDocument/2006/relationships/hyperlink" Target="https://blog.meifacil.com/" TargetMode="External"/><Relationship Id="rId7" Type="http://schemas.openxmlformats.org/officeDocument/2006/relationships/hyperlink" Target="https://instagram.com/meifacil" TargetMode="External"/><Relationship Id="rId2" Type="http://schemas.openxmlformats.org/officeDocument/2006/relationships/hyperlink" Target="https://blog.meifacil.com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facebook.com/soumeifacil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6.jpeg"/><Relationship Id="rId7" Type="http://schemas.openxmlformats.org/officeDocument/2006/relationships/hyperlink" Target="https://facebook.com/soumeifacil" TargetMode="External"/><Relationship Id="rId2" Type="http://schemas.openxmlformats.org/officeDocument/2006/relationships/hyperlink" Target="https://instagram.com/meifacil" TargetMode="External"/><Relationship Id="rId1" Type="http://schemas.openxmlformats.org/officeDocument/2006/relationships/image" Target="../media/image5.png"/><Relationship Id="rId6" Type="http://schemas.openxmlformats.org/officeDocument/2006/relationships/image" Target="../media/image2.png"/><Relationship Id="rId5" Type="http://schemas.openxmlformats.org/officeDocument/2006/relationships/hyperlink" Target="https://blog.meifacil.com/" TargetMode="External"/><Relationship Id="rId4" Type="http://schemas.openxmlformats.org/officeDocument/2006/relationships/hyperlink" Target="https://blog.meifacil.com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6.jpeg"/><Relationship Id="rId7" Type="http://schemas.openxmlformats.org/officeDocument/2006/relationships/hyperlink" Target="https://facebook.com/soumeifacil" TargetMode="External"/><Relationship Id="rId2" Type="http://schemas.openxmlformats.org/officeDocument/2006/relationships/hyperlink" Target="https://instagram.com/meifacil" TargetMode="External"/><Relationship Id="rId1" Type="http://schemas.openxmlformats.org/officeDocument/2006/relationships/image" Target="../media/image5.png"/><Relationship Id="rId6" Type="http://schemas.openxmlformats.org/officeDocument/2006/relationships/image" Target="../media/image2.png"/><Relationship Id="rId5" Type="http://schemas.openxmlformats.org/officeDocument/2006/relationships/hyperlink" Target="https://blog.meifacil.com/" TargetMode="External"/><Relationship Id="rId4" Type="http://schemas.openxmlformats.org/officeDocument/2006/relationships/hyperlink" Target="https://blog.meifacil.com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6.jpeg"/><Relationship Id="rId7" Type="http://schemas.openxmlformats.org/officeDocument/2006/relationships/hyperlink" Target="https://facebook.com/soumeifacil" TargetMode="External"/><Relationship Id="rId2" Type="http://schemas.openxmlformats.org/officeDocument/2006/relationships/hyperlink" Target="https://instagram.com/meifacil" TargetMode="External"/><Relationship Id="rId1" Type="http://schemas.openxmlformats.org/officeDocument/2006/relationships/image" Target="../media/image5.png"/><Relationship Id="rId6" Type="http://schemas.openxmlformats.org/officeDocument/2006/relationships/image" Target="../media/image2.png"/><Relationship Id="rId5" Type="http://schemas.openxmlformats.org/officeDocument/2006/relationships/hyperlink" Target="https://blog.meifacil.com/" TargetMode="External"/><Relationship Id="rId4" Type="http://schemas.openxmlformats.org/officeDocument/2006/relationships/hyperlink" Target="https://blog.meifacil.com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6.jpeg"/><Relationship Id="rId7" Type="http://schemas.openxmlformats.org/officeDocument/2006/relationships/hyperlink" Target="https://facebook.com/soumeifacil" TargetMode="External"/><Relationship Id="rId2" Type="http://schemas.openxmlformats.org/officeDocument/2006/relationships/hyperlink" Target="https://instagram.com/meifacil" TargetMode="External"/><Relationship Id="rId1" Type="http://schemas.openxmlformats.org/officeDocument/2006/relationships/image" Target="../media/image5.png"/><Relationship Id="rId6" Type="http://schemas.openxmlformats.org/officeDocument/2006/relationships/image" Target="../media/image2.png"/><Relationship Id="rId5" Type="http://schemas.openxmlformats.org/officeDocument/2006/relationships/hyperlink" Target="https://blog.meifacil.com/" TargetMode="External"/><Relationship Id="rId4" Type="http://schemas.openxmlformats.org/officeDocument/2006/relationships/hyperlink" Target="https://blog.meifacil.com" TargetMode="Externa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6.jpeg"/><Relationship Id="rId7" Type="http://schemas.openxmlformats.org/officeDocument/2006/relationships/hyperlink" Target="https://facebook.com/soumeifacil" TargetMode="External"/><Relationship Id="rId2" Type="http://schemas.openxmlformats.org/officeDocument/2006/relationships/hyperlink" Target="https://instagram.com/meifacil" TargetMode="External"/><Relationship Id="rId1" Type="http://schemas.openxmlformats.org/officeDocument/2006/relationships/image" Target="../media/image5.png"/><Relationship Id="rId6" Type="http://schemas.openxmlformats.org/officeDocument/2006/relationships/image" Target="../media/image2.png"/><Relationship Id="rId5" Type="http://schemas.openxmlformats.org/officeDocument/2006/relationships/hyperlink" Target="https://blog.meifacil.com/" TargetMode="External"/><Relationship Id="rId4" Type="http://schemas.openxmlformats.org/officeDocument/2006/relationships/hyperlink" Target="https://blog.meifacil.com" TargetMode="Externa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6.jpeg"/><Relationship Id="rId7" Type="http://schemas.openxmlformats.org/officeDocument/2006/relationships/hyperlink" Target="https://facebook.com/soumeifacil" TargetMode="External"/><Relationship Id="rId2" Type="http://schemas.openxmlformats.org/officeDocument/2006/relationships/hyperlink" Target="https://instagram.com/meifacil" TargetMode="External"/><Relationship Id="rId1" Type="http://schemas.openxmlformats.org/officeDocument/2006/relationships/image" Target="../media/image5.png"/><Relationship Id="rId6" Type="http://schemas.openxmlformats.org/officeDocument/2006/relationships/image" Target="../media/image2.png"/><Relationship Id="rId5" Type="http://schemas.openxmlformats.org/officeDocument/2006/relationships/hyperlink" Target="https://blog.meifacil.com/" TargetMode="External"/><Relationship Id="rId4" Type="http://schemas.openxmlformats.org/officeDocument/2006/relationships/hyperlink" Target="https://blog.meifacil.com" TargetMode="Externa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6.jpeg"/><Relationship Id="rId7" Type="http://schemas.openxmlformats.org/officeDocument/2006/relationships/hyperlink" Target="https://facebook.com/soumeifacil" TargetMode="External"/><Relationship Id="rId2" Type="http://schemas.openxmlformats.org/officeDocument/2006/relationships/hyperlink" Target="https://instagram.com/meifacil" TargetMode="External"/><Relationship Id="rId1" Type="http://schemas.openxmlformats.org/officeDocument/2006/relationships/image" Target="../media/image5.png"/><Relationship Id="rId6" Type="http://schemas.openxmlformats.org/officeDocument/2006/relationships/image" Target="../media/image2.png"/><Relationship Id="rId5" Type="http://schemas.openxmlformats.org/officeDocument/2006/relationships/hyperlink" Target="https://blog.meifacil.com/" TargetMode="External"/><Relationship Id="rId4" Type="http://schemas.openxmlformats.org/officeDocument/2006/relationships/hyperlink" Target="https://blog.meifacil.com" TargetMode="Externa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6.jpeg"/><Relationship Id="rId7" Type="http://schemas.openxmlformats.org/officeDocument/2006/relationships/hyperlink" Target="https://facebook.com/soumeifacil" TargetMode="External"/><Relationship Id="rId2" Type="http://schemas.openxmlformats.org/officeDocument/2006/relationships/hyperlink" Target="https://instagram.com/meifacil" TargetMode="External"/><Relationship Id="rId1" Type="http://schemas.openxmlformats.org/officeDocument/2006/relationships/image" Target="../media/image5.png"/><Relationship Id="rId6" Type="http://schemas.openxmlformats.org/officeDocument/2006/relationships/image" Target="../media/image2.png"/><Relationship Id="rId5" Type="http://schemas.openxmlformats.org/officeDocument/2006/relationships/hyperlink" Target="https://blog.meifacil.com/" TargetMode="External"/><Relationship Id="rId4" Type="http://schemas.openxmlformats.org/officeDocument/2006/relationships/hyperlink" Target="https://blog.meifacil.com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6.jpeg"/><Relationship Id="rId7" Type="http://schemas.openxmlformats.org/officeDocument/2006/relationships/hyperlink" Target="https://facebook.com/soumeifacil" TargetMode="External"/><Relationship Id="rId2" Type="http://schemas.openxmlformats.org/officeDocument/2006/relationships/hyperlink" Target="https://instagram.com/meifacil" TargetMode="External"/><Relationship Id="rId1" Type="http://schemas.openxmlformats.org/officeDocument/2006/relationships/image" Target="../media/image5.png"/><Relationship Id="rId6" Type="http://schemas.openxmlformats.org/officeDocument/2006/relationships/image" Target="../media/image2.png"/><Relationship Id="rId5" Type="http://schemas.openxmlformats.org/officeDocument/2006/relationships/hyperlink" Target="https://blog.meifacil.com/" TargetMode="External"/><Relationship Id="rId4" Type="http://schemas.openxmlformats.org/officeDocument/2006/relationships/hyperlink" Target="https://blog.meifacil.com" TargetMode="Externa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6.jpeg"/><Relationship Id="rId7" Type="http://schemas.openxmlformats.org/officeDocument/2006/relationships/hyperlink" Target="https://facebook.com/soumeifacil" TargetMode="External"/><Relationship Id="rId2" Type="http://schemas.openxmlformats.org/officeDocument/2006/relationships/hyperlink" Target="https://instagram.com/meifacil" TargetMode="External"/><Relationship Id="rId1" Type="http://schemas.openxmlformats.org/officeDocument/2006/relationships/image" Target="../media/image5.png"/><Relationship Id="rId6" Type="http://schemas.openxmlformats.org/officeDocument/2006/relationships/image" Target="../media/image2.png"/><Relationship Id="rId5" Type="http://schemas.openxmlformats.org/officeDocument/2006/relationships/hyperlink" Target="https://blog.meifacil.com/" TargetMode="External"/><Relationship Id="rId4" Type="http://schemas.openxmlformats.org/officeDocument/2006/relationships/hyperlink" Target="https://blog.meifacil.com" TargetMode="Externa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6.jpeg"/><Relationship Id="rId7" Type="http://schemas.openxmlformats.org/officeDocument/2006/relationships/hyperlink" Target="https://facebook.com/soumeifacil" TargetMode="External"/><Relationship Id="rId2" Type="http://schemas.openxmlformats.org/officeDocument/2006/relationships/hyperlink" Target="https://instagram.com/meifacil" TargetMode="External"/><Relationship Id="rId1" Type="http://schemas.openxmlformats.org/officeDocument/2006/relationships/image" Target="../media/image5.png"/><Relationship Id="rId6" Type="http://schemas.openxmlformats.org/officeDocument/2006/relationships/image" Target="../media/image2.png"/><Relationship Id="rId5" Type="http://schemas.openxmlformats.org/officeDocument/2006/relationships/hyperlink" Target="https://blog.meifacil.com/" TargetMode="External"/><Relationship Id="rId4" Type="http://schemas.openxmlformats.org/officeDocument/2006/relationships/hyperlink" Target="https://blog.meifacil.com" TargetMode="Externa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721180</xdr:colOff>
      <xdr:row>6</xdr:row>
      <xdr:rowOff>80636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5981BF6-7D47-43D4-A0D3-F1CADAD98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8145" y="236488"/>
          <a:ext cx="2748642" cy="769434"/>
        </a:xfrm>
        <a:prstGeom prst="rect">
          <a:avLst/>
        </a:prstGeom>
      </xdr:spPr>
    </xdr:pic>
    <xdr:clientData/>
  </xdr:twoCellAnchor>
  <xdr:twoCellAnchor>
    <xdr:from>
      <xdr:col>15</xdr:col>
      <xdr:colOff>706838</xdr:colOff>
      <xdr:row>40</xdr:row>
      <xdr:rowOff>130227</xdr:rowOff>
    </xdr:from>
    <xdr:to>
      <xdr:col>16</xdr:col>
      <xdr:colOff>540595</xdr:colOff>
      <xdr:row>42</xdr:row>
      <xdr:rowOff>58827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E997AC20-5B60-40D9-93B4-33A7692A9F9A}"/>
            </a:ext>
          </a:extLst>
        </xdr:cNvPr>
        <xdr:cNvGrpSpPr>
          <a:grpSpLocks noChangeAspect="1"/>
        </xdr:cNvGrpSpPr>
      </xdr:nvGrpSpPr>
      <xdr:grpSpPr>
        <a:xfrm>
          <a:off x="14880038" y="7978827"/>
          <a:ext cx="824357" cy="309600"/>
          <a:chOff x="1884219" y="2154519"/>
          <a:chExt cx="2964872" cy="1129008"/>
        </a:xfrm>
      </xdr:grpSpPr>
      <xdr:sp macro="" textlink="">
        <xdr:nvSpPr>
          <xdr:cNvPr id="18" name="Retângulo: Cantos Arredondados 1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4009A440-90A9-464F-9F79-423E707520EA}"/>
              </a:ext>
            </a:extLst>
          </xdr:cNvPr>
          <xdr:cNvSpPr/>
        </xdr:nvSpPr>
        <xdr:spPr>
          <a:xfrm>
            <a:off x="1884219" y="2154519"/>
            <a:ext cx="2964872" cy="1129008"/>
          </a:xfrm>
          <a:prstGeom prst="round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9AE4A752-A060-4ABF-A7B7-EF91819386DF}"/>
              </a:ext>
            </a:extLst>
          </xdr:cNvPr>
          <xdr:cNvGrpSpPr/>
        </xdr:nvGrpSpPr>
        <xdr:grpSpPr>
          <a:xfrm>
            <a:off x="2123653" y="2303525"/>
            <a:ext cx="2486005" cy="856453"/>
            <a:chOff x="2175160" y="2303525"/>
            <a:chExt cx="2569138" cy="856453"/>
          </a:xfrm>
        </xdr:grpSpPr>
        <xdr:sp macro="" textlink="">
          <xdr:nvSpPr>
            <xdr:cNvPr id="20" name="CaixaDeTexto 4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AACE2CC9-4E6C-4B89-BF4B-D56C3ED637FB}"/>
                </a:ext>
              </a:extLst>
            </xdr:cNvPr>
            <xdr:cNvSpPr txBox="1"/>
          </xdr:nvSpPr>
          <xdr:spPr>
            <a:xfrm>
              <a:off x="2175160" y="2316252"/>
              <a:ext cx="1745674" cy="80248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BR" sz="800" b="1">
                  <a:solidFill>
                    <a:schemeClr val="bg1"/>
                  </a:solidFill>
                  <a:latin typeface="Helvetica Black" pitchFamily="50" charset="0"/>
                </a:rPr>
                <a:t>Blog</a:t>
              </a:r>
              <a:endParaRPr lang="pt-BR" sz="300" b="1">
                <a:solidFill>
                  <a:schemeClr val="bg1"/>
                </a:solidFill>
                <a:latin typeface="Helvetica Black" pitchFamily="50" charset="0"/>
              </a:endParaRPr>
            </a:p>
          </xdr:txBody>
        </xdr:sp>
        <xdr:pic>
          <xdr:nvPicPr>
            <xdr:cNvPr id="21" name="Imagem 20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4CDCA3CE-1332-49AB-95EC-90D352422C1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74675"/>
            <a:stretch/>
          </xdr:blipFill>
          <xdr:spPr>
            <a:xfrm>
              <a:off x="3920833" y="2303525"/>
              <a:ext cx="823465" cy="85645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956066</xdr:colOff>
      <xdr:row>40</xdr:row>
      <xdr:rowOff>130227</xdr:rowOff>
    </xdr:from>
    <xdr:to>
      <xdr:col>17</xdr:col>
      <xdr:colOff>287584</xdr:colOff>
      <xdr:row>42</xdr:row>
      <xdr:rowOff>58827</xdr:rowOff>
    </xdr:to>
    <xdr:pic>
      <xdr:nvPicPr>
        <xdr:cNvPr id="15" name="Imagem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A715596-26E1-49B4-BA73-95C6633A9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55262" y="8114662"/>
          <a:ext cx="308865" cy="309600"/>
        </a:xfrm>
        <a:prstGeom prst="rect">
          <a:avLst/>
        </a:prstGeom>
      </xdr:spPr>
    </xdr:pic>
    <xdr:clientData/>
  </xdr:twoCellAnchor>
  <xdr:twoCellAnchor>
    <xdr:from>
      <xdr:col>15</xdr:col>
      <xdr:colOff>740456</xdr:colOff>
      <xdr:row>40</xdr:row>
      <xdr:rowOff>130227</xdr:rowOff>
    </xdr:from>
    <xdr:to>
      <xdr:col>19</xdr:col>
      <xdr:colOff>33368</xdr:colOff>
      <xdr:row>42</xdr:row>
      <xdr:rowOff>58827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3D738F70-D4C1-4853-854F-05A6F758C618}"/>
            </a:ext>
          </a:extLst>
        </xdr:cNvPr>
        <xdr:cNvGrpSpPr/>
      </xdr:nvGrpSpPr>
      <xdr:grpSpPr>
        <a:xfrm>
          <a:off x="14913656" y="7978827"/>
          <a:ext cx="2264712" cy="309600"/>
          <a:chOff x="14848662" y="8142433"/>
          <a:chExt cx="2251265" cy="309600"/>
        </a:xfrm>
      </xdr:grpSpPr>
      <xdr:pic>
        <xdr:nvPicPr>
          <xdr:cNvPr id="16" name="Imagem 1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3FE89B7B-94BB-47BE-B172-453B8F10B8B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723" t="11770" r="12426" b="11742"/>
          <a:stretch/>
        </xdr:blipFill>
        <xdr:spPr>
          <a:xfrm>
            <a:off x="16783494" y="8142433"/>
            <a:ext cx="316433" cy="309600"/>
          </a:xfrm>
          <a:prstGeom prst="roundRect">
            <a:avLst/>
          </a:prstGeom>
        </xdr:spPr>
      </xdr:pic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3BF043F1-23F8-4E61-A1E6-B80E1392391F}"/>
              </a:ext>
            </a:extLst>
          </xdr:cNvPr>
          <xdr:cNvGrpSpPr>
            <a:grpSpLocks noChangeAspect="1"/>
          </xdr:cNvGrpSpPr>
        </xdr:nvGrpSpPr>
        <xdr:grpSpPr>
          <a:xfrm>
            <a:off x="14848662" y="8142433"/>
            <a:ext cx="819875" cy="309600"/>
            <a:chOff x="1884219" y="2154519"/>
            <a:chExt cx="2964872" cy="1129008"/>
          </a:xfrm>
        </xdr:grpSpPr>
        <xdr:sp macro="" textlink="">
          <xdr:nvSpPr>
            <xdr:cNvPr id="24" name="Retângulo: Cantos Arredondados 23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98E63510-671A-4AFD-BD62-9BCAD3ACCA75}"/>
                </a:ext>
              </a:extLst>
            </xdr:cNvPr>
            <xdr:cNvSpPr/>
          </xdr:nvSpPr>
          <xdr:spPr>
            <a:xfrm>
              <a:off x="1884219" y="2154519"/>
              <a:ext cx="2964872" cy="1129008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grpSp>
          <xdr:nvGrpSpPr>
            <xdr:cNvPr id="25" name="Agrupar 24">
              <a:extLst>
                <a:ext uri="{FF2B5EF4-FFF2-40B4-BE49-F238E27FC236}">
                  <a16:creationId xmlns:a16="http://schemas.microsoft.com/office/drawing/2014/main" id="{1DA53270-04DA-4291-8979-FE97606910C3}"/>
                </a:ext>
              </a:extLst>
            </xdr:cNvPr>
            <xdr:cNvGrpSpPr/>
          </xdr:nvGrpSpPr>
          <xdr:grpSpPr>
            <a:xfrm>
              <a:off x="2123653" y="2303525"/>
              <a:ext cx="2486005" cy="856453"/>
              <a:chOff x="2175160" y="2303525"/>
              <a:chExt cx="2569138" cy="856453"/>
            </a:xfrm>
          </xdr:grpSpPr>
          <xdr:sp macro="" textlink="">
            <xdr:nvSpPr>
              <xdr:cNvPr id="26" name="CaixaDeTexto 4">
                <a:hlinkClick xmlns:r="http://schemas.openxmlformats.org/officeDocument/2006/relationships" r:id="rId3"/>
                <a:extLst>
                  <a:ext uri="{FF2B5EF4-FFF2-40B4-BE49-F238E27FC236}">
                    <a16:creationId xmlns:a16="http://schemas.microsoft.com/office/drawing/2014/main" id="{09D40F90-9786-4FF6-8BD6-A326F86C305A}"/>
                  </a:ext>
                </a:extLst>
              </xdr:cNvPr>
              <xdr:cNvSpPr txBox="1"/>
            </xdr:nvSpPr>
            <xdr:spPr>
              <a:xfrm>
                <a:off x="2175160" y="2316252"/>
                <a:ext cx="1745674" cy="80248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BR" sz="800" b="1">
                    <a:solidFill>
                      <a:schemeClr val="bg1"/>
                    </a:solidFill>
                    <a:latin typeface="Helvetica Black" pitchFamily="50" charset="0"/>
                  </a:rPr>
                  <a:t>Blog</a:t>
                </a:r>
                <a:endParaRPr lang="pt-BR" sz="300" b="1">
                  <a:solidFill>
                    <a:schemeClr val="bg1"/>
                  </a:solidFill>
                  <a:latin typeface="Helvetica Black" pitchFamily="50" charset="0"/>
                </a:endParaRPr>
              </a:p>
            </xdr:txBody>
          </xdr:sp>
          <xdr:pic>
            <xdr:nvPicPr>
              <xdr:cNvPr id="27" name="Imagem 26">
                <a:hlinkClick xmlns:r="http://schemas.openxmlformats.org/officeDocument/2006/relationships" r:id="rId3"/>
                <a:extLst>
                  <a:ext uri="{FF2B5EF4-FFF2-40B4-BE49-F238E27FC236}">
                    <a16:creationId xmlns:a16="http://schemas.microsoft.com/office/drawing/2014/main" id="{21E333EB-EE81-47F2-81D9-E745F569FE3F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675"/>
              <a:stretch/>
            </xdr:blipFill>
            <xdr:spPr>
              <a:xfrm>
                <a:off x="3920833" y="2303525"/>
                <a:ext cx="823465" cy="856453"/>
              </a:xfrm>
              <a:prstGeom prst="rect">
                <a:avLst/>
              </a:prstGeom>
            </xdr:spPr>
          </xdr:pic>
        </xdr:grpSp>
      </xdr:grpSp>
      <xdr:pic>
        <xdr:nvPicPr>
          <xdr:cNvPr id="28" name="Imagem 27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4472452-5B35-4E88-9A21-1695329430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84008" y="8142433"/>
            <a:ext cx="317635" cy="30960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721180</xdr:colOff>
      <xdr:row>6</xdr:row>
      <xdr:rowOff>80636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F3EC9E-399B-452B-B6F8-0AA8F30A9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341" y="236488"/>
          <a:ext cx="2751364" cy="758548"/>
        </a:xfrm>
        <a:prstGeom prst="rect">
          <a:avLst/>
        </a:prstGeom>
      </xdr:spPr>
    </xdr:pic>
    <xdr:clientData/>
  </xdr:twoCellAnchor>
  <xdr:twoCellAnchor>
    <xdr:from>
      <xdr:col>15</xdr:col>
      <xdr:colOff>680357</xdr:colOff>
      <xdr:row>39</xdr:row>
      <xdr:rowOff>149679</xdr:rowOff>
    </xdr:from>
    <xdr:to>
      <xdr:col>17</xdr:col>
      <xdr:colOff>972194</xdr:colOff>
      <xdr:row>41</xdr:row>
      <xdr:rowOff>78279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3A565276-2CF7-40CA-8887-E922937389C4}"/>
            </a:ext>
          </a:extLst>
        </xdr:cNvPr>
        <xdr:cNvGrpSpPr/>
      </xdr:nvGrpSpPr>
      <xdr:grpSpPr>
        <a:xfrm>
          <a:off x="14777357" y="7807779"/>
          <a:ext cx="2273037" cy="309600"/>
          <a:chOff x="14848662" y="8142433"/>
          <a:chExt cx="2251265" cy="309600"/>
        </a:xfrm>
      </xdr:grpSpPr>
      <xdr:pic>
        <xdr:nvPicPr>
          <xdr:cNvPr id="4" name="Imagem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3B772B2-13AA-4B2C-B146-A3F0E3C4D7C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723" t="11770" r="12426" b="11742"/>
          <a:stretch/>
        </xdr:blipFill>
        <xdr:spPr>
          <a:xfrm>
            <a:off x="16783494" y="8142433"/>
            <a:ext cx="316433" cy="309600"/>
          </a:xfrm>
          <a:prstGeom prst="roundRect">
            <a:avLst/>
          </a:prstGeom>
        </xdr:spPr>
      </xdr:pic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EF5CBF31-D5ED-4EFF-A3EE-FD11F713ED71}"/>
              </a:ext>
            </a:extLst>
          </xdr:cNvPr>
          <xdr:cNvGrpSpPr>
            <a:grpSpLocks noChangeAspect="1"/>
          </xdr:cNvGrpSpPr>
        </xdr:nvGrpSpPr>
        <xdr:grpSpPr>
          <a:xfrm>
            <a:off x="14848662" y="8142433"/>
            <a:ext cx="819875" cy="309600"/>
            <a:chOff x="1884219" y="2154519"/>
            <a:chExt cx="2964872" cy="1129008"/>
          </a:xfrm>
        </xdr:grpSpPr>
        <xdr:sp macro="" textlink="">
          <xdr:nvSpPr>
            <xdr:cNvPr id="7" name="Retângulo: Cantos Arredondados 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2F61D437-082E-4601-8F0B-711132E7E480}"/>
                </a:ext>
              </a:extLst>
            </xdr:cNvPr>
            <xdr:cNvSpPr/>
          </xdr:nvSpPr>
          <xdr:spPr>
            <a:xfrm>
              <a:off x="1884219" y="2154519"/>
              <a:ext cx="2964872" cy="1129008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9413EF0F-ABE1-46CF-8E4D-0667A381C6BD}"/>
                </a:ext>
              </a:extLst>
            </xdr:cNvPr>
            <xdr:cNvGrpSpPr/>
          </xdr:nvGrpSpPr>
          <xdr:grpSpPr>
            <a:xfrm>
              <a:off x="2123653" y="2303525"/>
              <a:ext cx="2486005" cy="856453"/>
              <a:chOff x="2175160" y="2303525"/>
              <a:chExt cx="2569138" cy="856453"/>
            </a:xfrm>
          </xdr:grpSpPr>
          <xdr:sp macro="" textlink="">
            <xdr:nvSpPr>
              <xdr:cNvPr id="9" name="CaixaDeTexto 4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3E34B5B5-8EB9-40BA-AD01-146722545C07}"/>
                  </a:ext>
                </a:extLst>
              </xdr:cNvPr>
              <xdr:cNvSpPr txBox="1"/>
            </xdr:nvSpPr>
            <xdr:spPr>
              <a:xfrm>
                <a:off x="2175160" y="2316252"/>
                <a:ext cx="1745674" cy="80248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BR" sz="800" b="1">
                    <a:solidFill>
                      <a:schemeClr val="bg1"/>
                    </a:solidFill>
                    <a:latin typeface="Helvetica Black" pitchFamily="50" charset="0"/>
                  </a:rPr>
                  <a:t>Blog</a:t>
                </a:r>
                <a:endParaRPr lang="pt-BR" sz="300" b="1">
                  <a:solidFill>
                    <a:schemeClr val="bg1"/>
                  </a:solidFill>
                  <a:latin typeface="Helvetica Black" pitchFamily="50" charset="0"/>
                </a:endParaRPr>
              </a:p>
            </xdr:txBody>
          </xdr:sp>
          <xdr:pic>
            <xdr:nvPicPr>
              <xdr:cNvPr id="10" name="Imagem 9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E3FE879D-1157-474D-A367-2D6DE6DA6FEC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675"/>
              <a:stretch/>
            </xdr:blipFill>
            <xdr:spPr>
              <a:xfrm>
                <a:off x="3920833" y="2303525"/>
                <a:ext cx="823465" cy="856453"/>
              </a:xfrm>
              <a:prstGeom prst="rect">
                <a:avLst/>
              </a:prstGeom>
            </xdr:spPr>
          </xdr:pic>
        </xdr:grpSp>
      </xdr:grpSp>
      <xdr:pic>
        <xdr:nvPicPr>
          <xdr:cNvPr id="6" name="Imagem 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1350BD62-DFAD-4448-9430-E89EEE2D40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84008" y="8142433"/>
            <a:ext cx="317635" cy="30960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721180</xdr:colOff>
      <xdr:row>6</xdr:row>
      <xdr:rowOff>80636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2BE644-C401-4402-9422-5770C07F3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341" y="236488"/>
          <a:ext cx="2751364" cy="758548"/>
        </a:xfrm>
        <a:prstGeom prst="rect">
          <a:avLst/>
        </a:prstGeom>
      </xdr:spPr>
    </xdr:pic>
    <xdr:clientData/>
  </xdr:twoCellAnchor>
  <xdr:twoCellAnchor>
    <xdr:from>
      <xdr:col>15</xdr:col>
      <xdr:colOff>598714</xdr:colOff>
      <xdr:row>40</xdr:row>
      <xdr:rowOff>108857</xdr:rowOff>
    </xdr:from>
    <xdr:to>
      <xdr:col>17</xdr:col>
      <xdr:colOff>890551</xdr:colOff>
      <xdr:row>42</xdr:row>
      <xdr:rowOff>37457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A5D5A428-A492-42C9-A38E-009C1D92E865}"/>
            </a:ext>
          </a:extLst>
        </xdr:cNvPr>
        <xdr:cNvGrpSpPr/>
      </xdr:nvGrpSpPr>
      <xdr:grpSpPr>
        <a:xfrm>
          <a:off x="14695714" y="7957457"/>
          <a:ext cx="2273037" cy="309600"/>
          <a:chOff x="14848662" y="8142433"/>
          <a:chExt cx="2251265" cy="309600"/>
        </a:xfrm>
      </xdr:grpSpPr>
      <xdr:pic>
        <xdr:nvPicPr>
          <xdr:cNvPr id="20" name="Imagem 1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465B6963-4EF3-4F6B-98EF-C8B6C3EFFAB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723" t="11770" r="12426" b="11742"/>
          <a:stretch/>
        </xdr:blipFill>
        <xdr:spPr>
          <a:xfrm>
            <a:off x="16783494" y="8142433"/>
            <a:ext cx="316433" cy="309600"/>
          </a:xfrm>
          <a:prstGeom prst="roundRect">
            <a:avLst/>
          </a:prstGeom>
        </xdr:spPr>
      </xdr:pic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0E635F25-CC87-4B25-A3F0-2D101F84F37F}"/>
              </a:ext>
            </a:extLst>
          </xdr:cNvPr>
          <xdr:cNvGrpSpPr>
            <a:grpSpLocks noChangeAspect="1"/>
          </xdr:cNvGrpSpPr>
        </xdr:nvGrpSpPr>
        <xdr:grpSpPr>
          <a:xfrm>
            <a:off x="14848662" y="8142433"/>
            <a:ext cx="819875" cy="309600"/>
            <a:chOff x="1884219" y="2154519"/>
            <a:chExt cx="2964872" cy="1129008"/>
          </a:xfrm>
        </xdr:grpSpPr>
        <xdr:sp macro="" textlink="">
          <xdr:nvSpPr>
            <xdr:cNvPr id="23" name="Retângulo: Cantos Arredondados 22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9152EC88-38A9-44E4-B7AE-0031598D333E}"/>
                </a:ext>
              </a:extLst>
            </xdr:cNvPr>
            <xdr:cNvSpPr/>
          </xdr:nvSpPr>
          <xdr:spPr>
            <a:xfrm>
              <a:off x="1884219" y="2154519"/>
              <a:ext cx="2964872" cy="1129008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grpSp>
          <xdr:nvGrpSpPr>
            <xdr:cNvPr id="24" name="Agrupar 23">
              <a:extLst>
                <a:ext uri="{FF2B5EF4-FFF2-40B4-BE49-F238E27FC236}">
                  <a16:creationId xmlns:a16="http://schemas.microsoft.com/office/drawing/2014/main" id="{04A0A443-DBA7-40EF-9B76-BB76AD4E8A3C}"/>
                </a:ext>
              </a:extLst>
            </xdr:cNvPr>
            <xdr:cNvGrpSpPr/>
          </xdr:nvGrpSpPr>
          <xdr:grpSpPr>
            <a:xfrm>
              <a:off x="2123653" y="2303525"/>
              <a:ext cx="2486005" cy="856453"/>
              <a:chOff x="2175160" y="2303525"/>
              <a:chExt cx="2569138" cy="856453"/>
            </a:xfrm>
          </xdr:grpSpPr>
          <xdr:sp macro="" textlink="">
            <xdr:nvSpPr>
              <xdr:cNvPr id="25" name="CaixaDeTexto 4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3AF1F595-3536-4823-A842-C1E7EDA41231}"/>
                  </a:ext>
                </a:extLst>
              </xdr:cNvPr>
              <xdr:cNvSpPr txBox="1"/>
            </xdr:nvSpPr>
            <xdr:spPr>
              <a:xfrm>
                <a:off x="2175160" y="2316252"/>
                <a:ext cx="1745674" cy="80248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BR" sz="800" b="1">
                    <a:solidFill>
                      <a:schemeClr val="bg1"/>
                    </a:solidFill>
                    <a:latin typeface="Helvetica Black" pitchFamily="50" charset="0"/>
                  </a:rPr>
                  <a:t>Blog</a:t>
                </a:r>
                <a:endParaRPr lang="pt-BR" sz="300" b="1">
                  <a:solidFill>
                    <a:schemeClr val="bg1"/>
                  </a:solidFill>
                  <a:latin typeface="Helvetica Black" pitchFamily="50" charset="0"/>
                </a:endParaRPr>
              </a:p>
            </xdr:txBody>
          </xdr:sp>
          <xdr:pic>
            <xdr:nvPicPr>
              <xdr:cNvPr id="26" name="Imagem 25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374BC9FE-970F-4FCB-A87A-0E70F2C8753A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675"/>
              <a:stretch/>
            </xdr:blipFill>
            <xdr:spPr>
              <a:xfrm>
                <a:off x="3920833" y="2303525"/>
                <a:ext cx="823465" cy="856453"/>
              </a:xfrm>
              <a:prstGeom prst="rect">
                <a:avLst/>
              </a:prstGeom>
            </xdr:spPr>
          </xdr:pic>
        </xdr:grpSp>
      </xdr:grpSp>
      <xdr:pic>
        <xdr:nvPicPr>
          <xdr:cNvPr id="22" name="Imagem 2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994D7B9E-DBCE-45AC-A1C4-F3B546F96D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84008" y="8142433"/>
            <a:ext cx="317635" cy="309600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721180</xdr:colOff>
      <xdr:row>6</xdr:row>
      <xdr:rowOff>80636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432F38-668E-4C3D-9F68-73D2A0976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341" y="236488"/>
          <a:ext cx="2751364" cy="758548"/>
        </a:xfrm>
        <a:prstGeom prst="rect">
          <a:avLst/>
        </a:prstGeom>
      </xdr:spPr>
    </xdr:pic>
    <xdr:clientData/>
  </xdr:twoCellAnchor>
  <xdr:twoCellAnchor>
    <xdr:from>
      <xdr:col>15</xdr:col>
      <xdr:colOff>653142</xdr:colOff>
      <xdr:row>39</xdr:row>
      <xdr:rowOff>136071</xdr:rowOff>
    </xdr:from>
    <xdr:to>
      <xdr:col>17</xdr:col>
      <xdr:colOff>944979</xdr:colOff>
      <xdr:row>41</xdr:row>
      <xdr:rowOff>64671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E88B89F7-7B7D-46BD-BFD5-543A208B199D}"/>
            </a:ext>
          </a:extLst>
        </xdr:cNvPr>
        <xdr:cNvGrpSpPr/>
      </xdr:nvGrpSpPr>
      <xdr:grpSpPr>
        <a:xfrm>
          <a:off x="14750142" y="7794171"/>
          <a:ext cx="2273037" cy="309600"/>
          <a:chOff x="14848662" y="8142433"/>
          <a:chExt cx="2251265" cy="309600"/>
        </a:xfrm>
      </xdr:grpSpPr>
      <xdr:pic>
        <xdr:nvPicPr>
          <xdr:cNvPr id="4" name="Imagem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EA4B3EC-7446-48A0-A560-9B12F2108C2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723" t="11770" r="12426" b="11742"/>
          <a:stretch/>
        </xdr:blipFill>
        <xdr:spPr>
          <a:xfrm>
            <a:off x="16783494" y="8142433"/>
            <a:ext cx="316433" cy="309600"/>
          </a:xfrm>
          <a:prstGeom prst="roundRect">
            <a:avLst/>
          </a:prstGeom>
        </xdr:spPr>
      </xdr:pic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560F72E4-2984-4BB0-9F1D-F2E47065C86F}"/>
              </a:ext>
            </a:extLst>
          </xdr:cNvPr>
          <xdr:cNvGrpSpPr>
            <a:grpSpLocks noChangeAspect="1"/>
          </xdr:cNvGrpSpPr>
        </xdr:nvGrpSpPr>
        <xdr:grpSpPr>
          <a:xfrm>
            <a:off x="14848662" y="8142433"/>
            <a:ext cx="819875" cy="309600"/>
            <a:chOff x="1884219" y="2154519"/>
            <a:chExt cx="2964872" cy="1129008"/>
          </a:xfrm>
        </xdr:grpSpPr>
        <xdr:sp macro="" textlink="">
          <xdr:nvSpPr>
            <xdr:cNvPr id="7" name="Retângulo: Cantos Arredondados 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CB6AB119-F671-47F4-BD77-D4C9AC226A09}"/>
                </a:ext>
              </a:extLst>
            </xdr:cNvPr>
            <xdr:cNvSpPr/>
          </xdr:nvSpPr>
          <xdr:spPr>
            <a:xfrm>
              <a:off x="1884219" y="2154519"/>
              <a:ext cx="2964872" cy="1129008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D7F51CFA-38FB-4FBD-8AC8-AA65989500E8}"/>
                </a:ext>
              </a:extLst>
            </xdr:cNvPr>
            <xdr:cNvGrpSpPr/>
          </xdr:nvGrpSpPr>
          <xdr:grpSpPr>
            <a:xfrm>
              <a:off x="2123653" y="2303525"/>
              <a:ext cx="2486005" cy="856453"/>
              <a:chOff x="2175160" y="2303525"/>
              <a:chExt cx="2569138" cy="856453"/>
            </a:xfrm>
          </xdr:grpSpPr>
          <xdr:sp macro="" textlink="">
            <xdr:nvSpPr>
              <xdr:cNvPr id="9" name="CaixaDeTexto 4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C6B0A01F-2699-47FF-B94C-07DB0F17ABC6}"/>
                  </a:ext>
                </a:extLst>
              </xdr:cNvPr>
              <xdr:cNvSpPr txBox="1"/>
            </xdr:nvSpPr>
            <xdr:spPr>
              <a:xfrm>
                <a:off x="2175160" y="2316252"/>
                <a:ext cx="1745674" cy="80248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BR" sz="800" b="1">
                    <a:solidFill>
                      <a:schemeClr val="bg1"/>
                    </a:solidFill>
                    <a:latin typeface="Helvetica Black" pitchFamily="50" charset="0"/>
                  </a:rPr>
                  <a:t>Blog</a:t>
                </a:r>
                <a:endParaRPr lang="pt-BR" sz="300" b="1">
                  <a:solidFill>
                    <a:schemeClr val="bg1"/>
                  </a:solidFill>
                  <a:latin typeface="Helvetica Black" pitchFamily="50" charset="0"/>
                </a:endParaRPr>
              </a:p>
            </xdr:txBody>
          </xdr:sp>
          <xdr:pic>
            <xdr:nvPicPr>
              <xdr:cNvPr id="10" name="Imagem 9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8D608DB9-8CB2-4C19-AFF5-3E9719E037D3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675"/>
              <a:stretch/>
            </xdr:blipFill>
            <xdr:spPr>
              <a:xfrm>
                <a:off x="3920833" y="2303525"/>
                <a:ext cx="823465" cy="856453"/>
              </a:xfrm>
              <a:prstGeom prst="rect">
                <a:avLst/>
              </a:prstGeom>
            </xdr:spPr>
          </xdr:pic>
        </xdr:grpSp>
      </xdr:grpSp>
      <xdr:pic>
        <xdr:nvPicPr>
          <xdr:cNvPr id="6" name="Imagem 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A3C6AD3E-73D9-439B-B97F-2AC0527CA2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84008" y="8142433"/>
            <a:ext cx="317635" cy="30960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721181</xdr:colOff>
      <xdr:row>6</xdr:row>
      <xdr:rowOff>80636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A4DB3D-1614-4449-B083-453E43396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341" y="236488"/>
          <a:ext cx="2751364" cy="758548"/>
        </a:xfrm>
        <a:prstGeom prst="rect">
          <a:avLst/>
        </a:prstGeom>
      </xdr:spPr>
    </xdr:pic>
    <xdr:clientData/>
  </xdr:twoCellAnchor>
  <xdr:twoCellAnchor>
    <xdr:from>
      <xdr:col>15</xdr:col>
      <xdr:colOff>639536</xdr:colOff>
      <xdr:row>39</xdr:row>
      <xdr:rowOff>122464</xdr:rowOff>
    </xdr:from>
    <xdr:to>
      <xdr:col>17</xdr:col>
      <xdr:colOff>931373</xdr:colOff>
      <xdr:row>41</xdr:row>
      <xdr:rowOff>51064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F580DCBC-B66F-43AC-85C4-AC831854C07F}"/>
            </a:ext>
          </a:extLst>
        </xdr:cNvPr>
        <xdr:cNvGrpSpPr/>
      </xdr:nvGrpSpPr>
      <xdr:grpSpPr>
        <a:xfrm>
          <a:off x="14736536" y="7780564"/>
          <a:ext cx="2273037" cy="309600"/>
          <a:chOff x="14848662" y="8142433"/>
          <a:chExt cx="2251265" cy="309600"/>
        </a:xfrm>
      </xdr:grpSpPr>
      <xdr:pic>
        <xdr:nvPicPr>
          <xdr:cNvPr id="4" name="Imagem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D1987DC-BA14-45A5-BB30-F90B548A24D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723" t="11770" r="12426" b="11742"/>
          <a:stretch/>
        </xdr:blipFill>
        <xdr:spPr>
          <a:xfrm>
            <a:off x="16783494" y="8142433"/>
            <a:ext cx="316433" cy="309600"/>
          </a:xfrm>
          <a:prstGeom prst="roundRect">
            <a:avLst/>
          </a:prstGeom>
        </xdr:spPr>
      </xdr:pic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65414084-DF01-47EF-A34B-2A4D2DB94224}"/>
              </a:ext>
            </a:extLst>
          </xdr:cNvPr>
          <xdr:cNvGrpSpPr>
            <a:grpSpLocks noChangeAspect="1"/>
          </xdr:cNvGrpSpPr>
        </xdr:nvGrpSpPr>
        <xdr:grpSpPr>
          <a:xfrm>
            <a:off x="14848662" y="8142433"/>
            <a:ext cx="819875" cy="309600"/>
            <a:chOff x="1884219" y="2154519"/>
            <a:chExt cx="2964872" cy="1129008"/>
          </a:xfrm>
        </xdr:grpSpPr>
        <xdr:sp macro="" textlink="">
          <xdr:nvSpPr>
            <xdr:cNvPr id="7" name="Retângulo: Cantos Arredondados 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C8443612-1E1F-4860-9D3E-E69F919A2EC2}"/>
                </a:ext>
              </a:extLst>
            </xdr:cNvPr>
            <xdr:cNvSpPr/>
          </xdr:nvSpPr>
          <xdr:spPr>
            <a:xfrm>
              <a:off x="1884219" y="2154519"/>
              <a:ext cx="2964872" cy="1129008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820B84E9-C286-4CBB-9C19-8C1AC964D41F}"/>
                </a:ext>
              </a:extLst>
            </xdr:cNvPr>
            <xdr:cNvGrpSpPr/>
          </xdr:nvGrpSpPr>
          <xdr:grpSpPr>
            <a:xfrm>
              <a:off x="2123653" y="2303525"/>
              <a:ext cx="2486005" cy="856453"/>
              <a:chOff x="2175160" y="2303525"/>
              <a:chExt cx="2569138" cy="856453"/>
            </a:xfrm>
          </xdr:grpSpPr>
          <xdr:sp macro="" textlink="">
            <xdr:nvSpPr>
              <xdr:cNvPr id="9" name="CaixaDeTexto 4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89EB403C-81C3-442B-ABC6-813D8564EC95}"/>
                  </a:ext>
                </a:extLst>
              </xdr:cNvPr>
              <xdr:cNvSpPr txBox="1"/>
            </xdr:nvSpPr>
            <xdr:spPr>
              <a:xfrm>
                <a:off x="2175160" y="2316252"/>
                <a:ext cx="1745674" cy="80248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BR" sz="800" b="1">
                    <a:solidFill>
                      <a:schemeClr val="bg1"/>
                    </a:solidFill>
                    <a:latin typeface="Helvetica Black" pitchFamily="50" charset="0"/>
                  </a:rPr>
                  <a:t>Blog</a:t>
                </a:r>
                <a:endParaRPr lang="pt-BR" sz="300" b="1">
                  <a:solidFill>
                    <a:schemeClr val="bg1"/>
                  </a:solidFill>
                  <a:latin typeface="Helvetica Black" pitchFamily="50" charset="0"/>
                </a:endParaRPr>
              </a:p>
            </xdr:txBody>
          </xdr:sp>
          <xdr:pic>
            <xdr:nvPicPr>
              <xdr:cNvPr id="10" name="Imagem 9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08E79828-B058-406D-A533-6E10D0337A9C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675"/>
              <a:stretch/>
            </xdr:blipFill>
            <xdr:spPr>
              <a:xfrm>
                <a:off x="3920833" y="2303525"/>
                <a:ext cx="823465" cy="856453"/>
              </a:xfrm>
              <a:prstGeom prst="rect">
                <a:avLst/>
              </a:prstGeom>
            </xdr:spPr>
          </xdr:pic>
        </xdr:grpSp>
      </xdr:grpSp>
      <xdr:pic>
        <xdr:nvPicPr>
          <xdr:cNvPr id="6" name="Imagem 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501E1C4B-8FE4-4358-8FB9-8CB821F7B7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84008" y="8142433"/>
            <a:ext cx="317635" cy="30960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721180</xdr:colOff>
      <xdr:row>6</xdr:row>
      <xdr:rowOff>80636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90DC71-0AC2-44F1-BEFF-7B09FF431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341" y="236488"/>
          <a:ext cx="2751364" cy="758548"/>
        </a:xfrm>
        <a:prstGeom prst="rect">
          <a:avLst/>
        </a:prstGeom>
      </xdr:spPr>
    </xdr:pic>
    <xdr:clientData/>
  </xdr:twoCellAnchor>
  <xdr:twoCellAnchor>
    <xdr:from>
      <xdr:col>15</xdr:col>
      <xdr:colOff>571500</xdr:colOff>
      <xdr:row>39</xdr:row>
      <xdr:rowOff>122464</xdr:rowOff>
    </xdr:from>
    <xdr:to>
      <xdr:col>17</xdr:col>
      <xdr:colOff>863337</xdr:colOff>
      <xdr:row>41</xdr:row>
      <xdr:rowOff>51064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E7F11882-3352-4EF1-B47F-720ED23A4687}"/>
            </a:ext>
          </a:extLst>
        </xdr:cNvPr>
        <xdr:cNvGrpSpPr/>
      </xdr:nvGrpSpPr>
      <xdr:grpSpPr>
        <a:xfrm>
          <a:off x="14668500" y="7780564"/>
          <a:ext cx="2273037" cy="309600"/>
          <a:chOff x="14848662" y="8142433"/>
          <a:chExt cx="2251265" cy="309600"/>
        </a:xfrm>
      </xdr:grpSpPr>
      <xdr:pic>
        <xdr:nvPicPr>
          <xdr:cNvPr id="4" name="Imagem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93E5FD7-4443-42A8-9F3E-6C9BA51AE77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723" t="11770" r="12426" b="11742"/>
          <a:stretch/>
        </xdr:blipFill>
        <xdr:spPr>
          <a:xfrm>
            <a:off x="16783494" y="8142433"/>
            <a:ext cx="316433" cy="309600"/>
          </a:xfrm>
          <a:prstGeom prst="roundRect">
            <a:avLst/>
          </a:prstGeom>
        </xdr:spPr>
      </xdr:pic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EA78E7D5-4092-4856-A595-5F2FAFEC400C}"/>
              </a:ext>
            </a:extLst>
          </xdr:cNvPr>
          <xdr:cNvGrpSpPr>
            <a:grpSpLocks noChangeAspect="1"/>
          </xdr:cNvGrpSpPr>
        </xdr:nvGrpSpPr>
        <xdr:grpSpPr>
          <a:xfrm>
            <a:off x="14848662" y="8142433"/>
            <a:ext cx="819875" cy="309600"/>
            <a:chOff x="1884219" y="2154519"/>
            <a:chExt cx="2964872" cy="1129008"/>
          </a:xfrm>
        </xdr:grpSpPr>
        <xdr:sp macro="" textlink="">
          <xdr:nvSpPr>
            <xdr:cNvPr id="7" name="Retângulo: Cantos Arredondados 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C9D3BF68-A86C-4821-B95E-D3AA5D0A8BF9}"/>
                </a:ext>
              </a:extLst>
            </xdr:cNvPr>
            <xdr:cNvSpPr/>
          </xdr:nvSpPr>
          <xdr:spPr>
            <a:xfrm>
              <a:off x="1884219" y="2154519"/>
              <a:ext cx="2964872" cy="1129008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8D5FE1F8-5D71-46F8-A2AD-52299A1485C4}"/>
                </a:ext>
              </a:extLst>
            </xdr:cNvPr>
            <xdr:cNvGrpSpPr/>
          </xdr:nvGrpSpPr>
          <xdr:grpSpPr>
            <a:xfrm>
              <a:off x="2123653" y="2303525"/>
              <a:ext cx="2486005" cy="856453"/>
              <a:chOff x="2175160" y="2303525"/>
              <a:chExt cx="2569138" cy="856453"/>
            </a:xfrm>
          </xdr:grpSpPr>
          <xdr:sp macro="" textlink="">
            <xdr:nvSpPr>
              <xdr:cNvPr id="9" name="CaixaDeTexto 4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0FDD9423-44E3-4EC7-A887-21FFCD5D36FF}"/>
                  </a:ext>
                </a:extLst>
              </xdr:cNvPr>
              <xdr:cNvSpPr txBox="1"/>
            </xdr:nvSpPr>
            <xdr:spPr>
              <a:xfrm>
                <a:off x="2175160" y="2316252"/>
                <a:ext cx="1745674" cy="80248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BR" sz="800" b="1">
                    <a:solidFill>
                      <a:schemeClr val="bg1"/>
                    </a:solidFill>
                    <a:latin typeface="Helvetica Black" pitchFamily="50" charset="0"/>
                  </a:rPr>
                  <a:t>Blog</a:t>
                </a:r>
                <a:endParaRPr lang="pt-BR" sz="300" b="1">
                  <a:solidFill>
                    <a:schemeClr val="bg1"/>
                  </a:solidFill>
                  <a:latin typeface="Helvetica Black" pitchFamily="50" charset="0"/>
                </a:endParaRPr>
              </a:p>
            </xdr:txBody>
          </xdr:sp>
          <xdr:pic>
            <xdr:nvPicPr>
              <xdr:cNvPr id="10" name="Imagem 9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9DBBAE88-E888-4DF0-B348-A8E47C9F68E4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675"/>
              <a:stretch/>
            </xdr:blipFill>
            <xdr:spPr>
              <a:xfrm>
                <a:off x="3920833" y="2303525"/>
                <a:ext cx="823465" cy="856453"/>
              </a:xfrm>
              <a:prstGeom prst="rect">
                <a:avLst/>
              </a:prstGeom>
            </xdr:spPr>
          </xdr:pic>
        </xdr:grpSp>
      </xdr:grpSp>
      <xdr:pic>
        <xdr:nvPicPr>
          <xdr:cNvPr id="6" name="Imagem 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87F2111D-6208-4F76-88A3-18127BE31E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84008" y="8142433"/>
            <a:ext cx="317635" cy="30960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721180</xdr:colOff>
      <xdr:row>6</xdr:row>
      <xdr:rowOff>80636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CE94AF9-3E83-4CE8-8CD9-C269D259A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341" y="236488"/>
          <a:ext cx="2751364" cy="758548"/>
        </a:xfrm>
        <a:prstGeom prst="rect">
          <a:avLst/>
        </a:prstGeom>
      </xdr:spPr>
    </xdr:pic>
    <xdr:clientData/>
  </xdr:twoCellAnchor>
  <xdr:twoCellAnchor>
    <xdr:from>
      <xdr:col>15</xdr:col>
      <xdr:colOff>612322</xdr:colOff>
      <xdr:row>39</xdr:row>
      <xdr:rowOff>136071</xdr:rowOff>
    </xdr:from>
    <xdr:to>
      <xdr:col>17</xdr:col>
      <xdr:colOff>904159</xdr:colOff>
      <xdr:row>41</xdr:row>
      <xdr:rowOff>64671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B2B21BB8-11BF-4D30-98E2-F6CC7DCE22B5}"/>
            </a:ext>
          </a:extLst>
        </xdr:cNvPr>
        <xdr:cNvGrpSpPr/>
      </xdr:nvGrpSpPr>
      <xdr:grpSpPr>
        <a:xfrm>
          <a:off x="14709322" y="7794171"/>
          <a:ext cx="2273037" cy="309600"/>
          <a:chOff x="14848662" y="8142433"/>
          <a:chExt cx="2251265" cy="309600"/>
        </a:xfrm>
      </xdr:grpSpPr>
      <xdr:pic>
        <xdr:nvPicPr>
          <xdr:cNvPr id="4" name="Imagem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F83E2B9-4A10-4AD1-B572-F0EFF5547FE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723" t="11770" r="12426" b="11742"/>
          <a:stretch/>
        </xdr:blipFill>
        <xdr:spPr>
          <a:xfrm>
            <a:off x="16783494" y="8142433"/>
            <a:ext cx="316433" cy="309600"/>
          </a:xfrm>
          <a:prstGeom prst="roundRect">
            <a:avLst/>
          </a:prstGeom>
        </xdr:spPr>
      </xdr:pic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6B7784B9-C058-4F19-9A8D-65140F066A85}"/>
              </a:ext>
            </a:extLst>
          </xdr:cNvPr>
          <xdr:cNvGrpSpPr>
            <a:grpSpLocks noChangeAspect="1"/>
          </xdr:cNvGrpSpPr>
        </xdr:nvGrpSpPr>
        <xdr:grpSpPr>
          <a:xfrm>
            <a:off x="14848662" y="8142433"/>
            <a:ext cx="819875" cy="309600"/>
            <a:chOff x="1884219" y="2154519"/>
            <a:chExt cx="2964872" cy="1129008"/>
          </a:xfrm>
        </xdr:grpSpPr>
        <xdr:sp macro="" textlink="">
          <xdr:nvSpPr>
            <xdr:cNvPr id="7" name="Retângulo: Cantos Arredondados 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56059C92-D2CC-4BD6-ACC3-E424D2F4DDB4}"/>
                </a:ext>
              </a:extLst>
            </xdr:cNvPr>
            <xdr:cNvSpPr/>
          </xdr:nvSpPr>
          <xdr:spPr>
            <a:xfrm>
              <a:off x="1884219" y="2154519"/>
              <a:ext cx="2964872" cy="1129008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DA876043-44CB-467B-951E-7BA7AEB72908}"/>
                </a:ext>
              </a:extLst>
            </xdr:cNvPr>
            <xdr:cNvGrpSpPr/>
          </xdr:nvGrpSpPr>
          <xdr:grpSpPr>
            <a:xfrm>
              <a:off x="2123653" y="2303525"/>
              <a:ext cx="2486005" cy="856453"/>
              <a:chOff x="2175160" y="2303525"/>
              <a:chExt cx="2569138" cy="856453"/>
            </a:xfrm>
          </xdr:grpSpPr>
          <xdr:sp macro="" textlink="">
            <xdr:nvSpPr>
              <xdr:cNvPr id="9" name="CaixaDeTexto 4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EE588A78-6EE2-4F30-B260-488205EC13A1}"/>
                  </a:ext>
                </a:extLst>
              </xdr:cNvPr>
              <xdr:cNvSpPr txBox="1"/>
            </xdr:nvSpPr>
            <xdr:spPr>
              <a:xfrm>
                <a:off x="2175160" y="2316252"/>
                <a:ext cx="1745674" cy="80248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BR" sz="800" b="1">
                    <a:solidFill>
                      <a:schemeClr val="bg1"/>
                    </a:solidFill>
                    <a:latin typeface="Helvetica Black" pitchFamily="50" charset="0"/>
                  </a:rPr>
                  <a:t>Blog</a:t>
                </a:r>
                <a:endParaRPr lang="pt-BR" sz="300" b="1">
                  <a:solidFill>
                    <a:schemeClr val="bg1"/>
                  </a:solidFill>
                  <a:latin typeface="Helvetica Black" pitchFamily="50" charset="0"/>
                </a:endParaRPr>
              </a:p>
            </xdr:txBody>
          </xdr:sp>
          <xdr:pic>
            <xdr:nvPicPr>
              <xdr:cNvPr id="10" name="Imagem 9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12767C9D-94BE-4A50-ACC2-3518737D1DD2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675"/>
              <a:stretch/>
            </xdr:blipFill>
            <xdr:spPr>
              <a:xfrm>
                <a:off x="3920833" y="2303525"/>
                <a:ext cx="823465" cy="856453"/>
              </a:xfrm>
              <a:prstGeom prst="rect">
                <a:avLst/>
              </a:prstGeom>
            </xdr:spPr>
          </xdr:pic>
        </xdr:grpSp>
      </xdr:grpSp>
      <xdr:pic>
        <xdr:nvPicPr>
          <xdr:cNvPr id="6" name="Imagem 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377EA48B-5336-4632-A56A-3410462B5B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84008" y="8142433"/>
            <a:ext cx="317635" cy="30960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721180</xdr:colOff>
      <xdr:row>6</xdr:row>
      <xdr:rowOff>80636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5D6AD6-8E10-4A8B-99C1-29672CAAE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341" y="236488"/>
          <a:ext cx="2751364" cy="758548"/>
        </a:xfrm>
        <a:prstGeom prst="rect">
          <a:avLst/>
        </a:prstGeom>
      </xdr:spPr>
    </xdr:pic>
    <xdr:clientData/>
  </xdr:twoCellAnchor>
  <xdr:twoCellAnchor>
    <xdr:from>
      <xdr:col>15</xdr:col>
      <xdr:colOff>612322</xdr:colOff>
      <xdr:row>39</xdr:row>
      <xdr:rowOff>163286</xdr:rowOff>
    </xdr:from>
    <xdr:to>
      <xdr:col>17</xdr:col>
      <xdr:colOff>904159</xdr:colOff>
      <xdr:row>41</xdr:row>
      <xdr:rowOff>91886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30B98A19-0B76-49D7-9C09-DE6854D3D123}"/>
            </a:ext>
          </a:extLst>
        </xdr:cNvPr>
        <xdr:cNvGrpSpPr/>
      </xdr:nvGrpSpPr>
      <xdr:grpSpPr>
        <a:xfrm>
          <a:off x="14709322" y="7821386"/>
          <a:ext cx="2273037" cy="309600"/>
          <a:chOff x="14848662" y="8142433"/>
          <a:chExt cx="2251265" cy="309600"/>
        </a:xfrm>
      </xdr:grpSpPr>
      <xdr:pic>
        <xdr:nvPicPr>
          <xdr:cNvPr id="4" name="Imagem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4482B96-089B-4F07-814C-F9D20A7FC1A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723" t="11770" r="12426" b="11742"/>
          <a:stretch/>
        </xdr:blipFill>
        <xdr:spPr>
          <a:xfrm>
            <a:off x="16783494" y="8142433"/>
            <a:ext cx="316433" cy="309600"/>
          </a:xfrm>
          <a:prstGeom prst="roundRect">
            <a:avLst/>
          </a:prstGeom>
        </xdr:spPr>
      </xdr:pic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A1571F94-D447-4BC7-89F0-A08AA6E7052D}"/>
              </a:ext>
            </a:extLst>
          </xdr:cNvPr>
          <xdr:cNvGrpSpPr>
            <a:grpSpLocks noChangeAspect="1"/>
          </xdr:cNvGrpSpPr>
        </xdr:nvGrpSpPr>
        <xdr:grpSpPr>
          <a:xfrm>
            <a:off x="14848662" y="8142433"/>
            <a:ext cx="819875" cy="309600"/>
            <a:chOff x="1884219" y="2154519"/>
            <a:chExt cx="2964872" cy="1129008"/>
          </a:xfrm>
        </xdr:grpSpPr>
        <xdr:sp macro="" textlink="">
          <xdr:nvSpPr>
            <xdr:cNvPr id="7" name="Retângulo: Cantos Arredondados 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69562706-2D4C-4550-9882-1DFACBE0FA08}"/>
                </a:ext>
              </a:extLst>
            </xdr:cNvPr>
            <xdr:cNvSpPr/>
          </xdr:nvSpPr>
          <xdr:spPr>
            <a:xfrm>
              <a:off x="1884219" y="2154519"/>
              <a:ext cx="2964872" cy="1129008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9D30D43C-B8CD-43A2-A0C7-BC5D187F43EE}"/>
                </a:ext>
              </a:extLst>
            </xdr:cNvPr>
            <xdr:cNvGrpSpPr/>
          </xdr:nvGrpSpPr>
          <xdr:grpSpPr>
            <a:xfrm>
              <a:off x="2123653" y="2303525"/>
              <a:ext cx="2486005" cy="856453"/>
              <a:chOff x="2175160" y="2303525"/>
              <a:chExt cx="2569138" cy="856453"/>
            </a:xfrm>
          </xdr:grpSpPr>
          <xdr:sp macro="" textlink="">
            <xdr:nvSpPr>
              <xdr:cNvPr id="9" name="CaixaDeTexto 4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BFFE5E02-74FC-4E58-996A-E9A2462EA0D0}"/>
                  </a:ext>
                </a:extLst>
              </xdr:cNvPr>
              <xdr:cNvSpPr txBox="1"/>
            </xdr:nvSpPr>
            <xdr:spPr>
              <a:xfrm>
                <a:off x="2175160" y="2316252"/>
                <a:ext cx="1745674" cy="80248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BR" sz="800" b="1">
                    <a:solidFill>
                      <a:schemeClr val="bg1"/>
                    </a:solidFill>
                    <a:latin typeface="Helvetica Black" pitchFamily="50" charset="0"/>
                  </a:rPr>
                  <a:t>Blog</a:t>
                </a:r>
                <a:endParaRPr lang="pt-BR" sz="300" b="1">
                  <a:solidFill>
                    <a:schemeClr val="bg1"/>
                  </a:solidFill>
                  <a:latin typeface="Helvetica Black" pitchFamily="50" charset="0"/>
                </a:endParaRPr>
              </a:p>
            </xdr:txBody>
          </xdr:sp>
          <xdr:pic>
            <xdr:nvPicPr>
              <xdr:cNvPr id="10" name="Imagem 9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CFD35A33-F6A5-4219-A964-A62B689CBCD8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675"/>
              <a:stretch/>
            </xdr:blipFill>
            <xdr:spPr>
              <a:xfrm>
                <a:off x="3920833" y="2303525"/>
                <a:ext cx="823465" cy="856453"/>
              </a:xfrm>
              <a:prstGeom prst="rect">
                <a:avLst/>
              </a:prstGeom>
            </xdr:spPr>
          </xdr:pic>
        </xdr:grpSp>
      </xdr:grpSp>
      <xdr:pic>
        <xdr:nvPicPr>
          <xdr:cNvPr id="6" name="Imagem 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02AB71FC-864F-4DA3-8623-1F19505259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84008" y="8142433"/>
            <a:ext cx="317635" cy="30960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721180</xdr:colOff>
      <xdr:row>6</xdr:row>
      <xdr:rowOff>80636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6C1AAF-0265-4E93-9204-3DB545865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341" y="236488"/>
          <a:ext cx="2751364" cy="758548"/>
        </a:xfrm>
        <a:prstGeom prst="rect">
          <a:avLst/>
        </a:prstGeom>
      </xdr:spPr>
    </xdr:pic>
    <xdr:clientData/>
  </xdr:twoCellAnchor>
  <xdr:twoCellAnchor>
    <xdr:from>
      <xdr:col>15</xdr:col>
      <xdr:colOff>530678</xdr:colOff>
      <xdr:row>39</xdr:row>
      <xdr:rowOff>176893</xdr:rowOff>
    </xdr:from>
    <xdr:to>
      <xdr:col>17</xdr:col>
      <xdr:colOff>822515</xdr:colOff>
      <xdr:row>41</xdr:row>
      <xdr:rowOff>105493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A4A97D71-038F-4501-B4F5-300FA02488E8}"/>
            </a:ext>
          </a:extLst>
        </xdr:cNvPr>
        <xdr:cNvGrpSpPr/>
      </xdr:nvGrpSpPr>
      <xdr:grpSpPr>
        <a:xfrm>
          <a:off x="14627678" y="7834993"/>
          <a:ext cx="2273037" cy="309600"/>
          <a:chOff x="14848662" y="8142433"/>
          <a:chExt cx="2251265" cy="309600"/>
        </a:xfrm>
      </xdr:grpSpPr>
      <xdr:pic>
        <xdr:nvPicPr>
          <xdr:cNvPr id="4" name="Imagem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0F7D51D-FD8D-4F71-9F5E-DC4D4972F2F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723" t="11770" r="12426" b="11742"/>
          <a:stretch/>
        </xdr:blipFill>
        <xdr:spPr>
          <a:xfrm>
            <a:off x="16783494" y="8142433"/>
            <a:ext cx="316433" cy="309600"/>
          </a:xfrm>
          <a:prstGeom prst="roundRect">
            <a:avLst/>
          </a:prstGeom>
        </xdr:spPr>
      </xdr:pic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22F80183-44D7-49CE-B828-D378074A9D59}"/>
              </a:ext>
            </a:extLst>
          </xdr:cNvPr>
          <xdr:cNvGrpSpPr>
            <a:grpSpLocks noChangeAspect="1"/>
          </xdr:cNvGrpSpPr>
        </xdr:nvGrpSpPr>
        <xdr:grpSpPr>
          <a:xfrm>
            <a:off x="14848662" y="8142433"/>
            <a:ext cx="819875" cy="309600"/>
            <a:chOff x="1884219" y="2154519"/>
            <a:chExt cx="2964872" cy="1129008"/>
          </a:xfrm>
        </xdr:grpSpPr>
        <xdr:sp macro="" textlink="">
          <xdr:nvSpPr>
            <xdr:cNvPr id="7" name="Retângulo: Cantos Arredondados 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325838C0-B804-4BCA-AFD3-636CAB127BF4}"/>
                </a:ext>
              </a:extLst>
            </xdr:cNvPr>
            <xdr:cNvSpPr/>
          </xdr:nvSpPr>
          <xdr:spPr>
            <a:xfrm>
              <a:off x="1884219" y="2154519"/>
              <a:ext cx="2964872" cy="1129008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91A08FE0-AEC4-4D68-AC95-93D20E9128F9}"/>
                </a:ext>
              </a:extLst>
            </xdr:cNvPr>
            <xdr:cNvGrpSpPr/>
          </xdr:nvGrpSpPr>
          <xdr:grpSpPr>
            <a:xfrm>
              <a:off x="2123653" y="2303525"/>
              <a:ext cx="2486005" cy="856453"/>
              <a:chOff x="2175160" y="2303525"/>
              <a:chExt cx="2569138" cy="856453"/>
            </a:xfrm>
          </xdr:grpSpPr>
          <xdr:sp macro="" textlink="">
            <xdr:nvSpPr>
              <xdr:cNvPr id="9" name="CaixaDeTexto 4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F8C49CF7-FD92-4B9F-AE3B-D66CDEC43C1C}"/>
                  </a:ext>
                </a:extLst>
              </xdr:cNvPr>
              <xdr:cNvSpPr txBox="1"/>
            </xdr:nvSpPr>
            <xdr:spPr>
              <a:xfrm>
                <a:off x="2175160" y="2316252"/>
                <a:ext cx="1745674" cy="80248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BR" sz="800" b="1">
                    <a:solidFill>
                      <a:schemeClr val="bg1"/>
                    </a:solidFill>
                    <a:latin typeface="Helvetica Black" pitchFamily="50" charset="0"/>
                  </a:rPr>
                  <a:t>Blog</a:t>
                </a:r>
                <a:endParaRPr lang="pt-BR" sz="300" b="1">
                  <a:solidFill>
                    <a:schemeClr val="bg1"/>
                  </a:solidFill>
                  <a:latin typeface="Helvetica Black" pitchFamily="50" charset="0"/>
                </a:endParaRPr>
              </a:p>
            </xdr:txBody>
          </xdr:sp>
          <xdr:pic>
            <xdr:nvPicPr>
              <xdr:cNvPr id="10" name="Imagem 9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9ABA39F0-96B3-4965-ACE2-84669E98CFC5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675"/>
              <a:stretch/>
            </xdr:blipFill>
            <xdr:spPr>
              <a:xfrm>
                <a:off x="3920833" y="2303525"/>
                <a:ext cx="823465" cy="856453"/>
              </a:xfrm>
              <a:prstGeom prst="rect">
                <a:avLst/>
              </a:prstGeom>
            </xdr:spPr>
          </xdr:pic>
        </xdr:grpSp>
      </xdr:grpSp>
      <xdr:pic>
        <xdr:nvPicPr>
          <xdr:cNvPr id="6" name="Imagem 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E896700E-1165-45BD-9F3B-9EB02163AF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84008" y="8142433"/>
            <a:ext cx="317635" cy="309600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721180</xdr:colOff>
      <xdr:row>6</xdr:row>
      <xdr:rowOff>80636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C27A00-8BDA-4C22-8F50-F3520EA64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341" y="236488"/>
          <a:ext cx="2751364" cy="758548"/>
        </a:xfrm>
        <a:prstGeom prst="rect">
          <a:avLst/>
        </a:prstGeom>
      </xdr:spPr>
    </xdr:pic>
    <xdr:clientData/>
  </xdr:twoCellAnchor>
  <xdr:twoCellAnchor>
    <xdr:from>
      <xdr:col>15</xdr:col>
      <xdr:colOff>571500</xdr:colOff>
      <xdr:row>39</xdr:row>
      <xdr:rowOff>176893</xdr:rowOff>
    </xdr:from>
    <xdr:to>
      <xdr:col>17</xdr:col>
      <xdr:colOff>863337</xdr:colOff>
      <xdr:row>41</xdr:row>
      <xdr:rowOff>105493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4C8F6A91-F217-45E2-AEC8-5DA68F52942E}"/>
            </a:ext>
          </a:extLst>
        </xdr:cNvPr>
        <xdr:cNvGrpSpPr/>
      </xdr:nvGrpSpPr>
      <xdr:grpSpPr>
        <a:xfrm>
          <a:off x="14668500" y="7834993"/>
          <a:ext cx="2273037" cy="309600"/>
          <a:chOff x="14848662" y="8142433"/>
          <a:chExt cx="2251265" cy="309600"/>
        </a:xfrm>
      </xdr:grpSpPr>
      <xdr:pic>
        <xdr:nvPicPr>
          <xdr:cNvPr id="4" name="Imagem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828B001-D91F-463B-B62B-6D44EA9F065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723" t="11770" r="12426" b="11742"/>
          <a:stretch/>
        </xdr:blipFill>
        <xdr:spPr>
          <a:xfrm>
            <a:off x="16783494" y="8142433"/>
            <a:ext cx="316433" cy="309600"/>
          </a:xfrm>
          <a:prstGeom prst="roundRect">
            <a:avLst/>
          </a:prstGeom>
        </xdr:spPr>
      </xdr:pic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47C24F93-B9CC-4296-8DB9-AA880E216E55}"/>
              </a:ext>
            </a:extLst>
          </xdr:cNvPr>
          <xdr:cNvGrpSpPr>
            <a:grpSpLocks noChangeAspect="1"/>
          </xdr:cNvGrpSpPr>
        </xdr:nvGrpSpPr>
        <xdr:grpSpPr>
          <a:xfrm>
            <a:off x="14848662" y="8142433"/>
            <a:ext cx="819875" cy="309600"/>
            <a:chOff x="1884219" y="2154519"/>
            <a:chExt cx="2964872" cy="1129008"/>
          </a:xfrm>
        </xdr:grpSpPr>
        <xdr:sp macro="" textlink="">
          <xdr:nvSpPr>
            <xdr:cNvPr id="7" name="Retângulo: Cantos Arredondados 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D2B67BA9-E261-459D-98B1-C32FA759C107}"/>
                </a:ext>
              </a:extLst>
            </xdr:cNvPr>
            <xdr:cNvSpPr/>
          </xdr:nvSpPr>
          <xdr:spPr>
            <a:xfrm>
              <a:off x="1884219" y="2154519"/>
              <a:ext cx="2964872" cy="1129008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9B5D3C51-EC94-46BE-8C29-2F39556F48D5}"/>
                </a:ext>
              </a:extLst>
            </xdr:cNvPr>
            <xdr:cNvGrpSpPr/>
          </xdr:nvGrpSpPr>
          <xdr:grpSpPr>
            <a:xfrm>
              <a:off x="2123653" y="2303525"/>
              <a:ext cx="2486005" cy="856453"/>
              <a:chOff x="2175160" y="2303525"/>
              <a:chExt cx="2569138" cy="856453"/>
            </a:xfrm>
          </xdr:grpSpPr>
          <xdr:sp macro="" textlink="">
            <xdr:nvSpPr>
              <xdr:cNvPr id="9" name="CaixaDeTexto 4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D16FEA64-9687-4314-A3CE-8D78615547F6}"/>
                  </a:ext>
                </a:extLst>
              </xdr:cNvPr>
              <xdr:cNvSpPr txBox="1"/>
            </xdr:nvSpPr>
            <xdr:spPr>
              <a:xfrm>
                <a:off x="2175160" y="2316252"/>
                <a:ext cx="1745674" cy="80248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BR" sz="800" b="1">
                    <a:solidFill>
                      <a:schemeClr val="bg1"/>
                    </a:solidFill>
                    <a:latin typeface="Helvetica Black" pitchFamily="50" charset="0"/>
                  </a:rPr>
                  <a:t>Blog</a:t>
                </a:r>
                <a:endParaRPr lang="pt-BR" sz="300" b="1">
                  <a:solidFill>
                    <a:schemeClr val="bg1"/>
                  </a:solidFill>
                  <a:latin typeface="Helvetica Black" pitchFamily="50" charset="0"/>
                </a:endParaRPr>
              </a:p>
            </xdr:txBody>
          </xdr:sp>
          <xdr:pic>
            <xdr:nvPicPr>
              <xdr:cNvPr id="10" name="Imagem 9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DD1545A4-6222-4FF6-A515-3A97A85A9A72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675"/>
              <a:stretch/>
            </xdr:blipFill>
            <xdr:spPr>
              <a:xfrm>
                <a:off x="3920833" y="2303525"/>
                <a:ext cx="823465" cy="856453"/>
              </a:xfrm>
              <a:prstGeom prst="rect">
                <a:avLst/>
              </a:prstGeom>
            </xdr:spPr>
          </xdr:pic>
        </xdr:grpSp>
      </xdr:grpSp>
      <xdr:pic>
        <xdr:nvPicPr>
          <xdr:cNvPr id="6" name="Imagem 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75EE331F-7E30-4E52-82D1-203FFC6D57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84008" y="8142433"/>
            <a:ext cx="317635" cy="309600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721180</xdr:colOff>
      <xdr:row>6</xdr:row>
      <xdr:rowOff>80636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6E909A-A579-476D-AE67-BD0593CA7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341" y="236488"/>
          <a:ext cx="2751364" cy="758548"/>
        </a:xfrm>
        <a:prstGeom prst="rect">
          <a:avLst/>
        </a:prstGeom>
      </xdr:spPr>
    </xdr:pic>
    <xdr:clientData/>
  </xdr:twoCellAnchor>
  <xdr:twoCellAnchor>
    <xdr:from>
      <xdr:col>15</xdr:col>
      <xdr:colOff>639535</xdr:colOff>
      <xdr:row>39</xdr:row>
      <xdr:rowOff>122465</xdr:rowOff>
    </xdr:from>
    <xdr:to>
      <xdr:col>17</xdr:col>
      <xdr:colOff>931372</xdr:colOff>
      <xdr:row>41</xdr:row>
      <xdr:rowOff>51065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14E94DBA-672E-4DEB-BF22-46D0FAC4DDD3}"/>
            </a:ext>
          </a:extLst>
        </xdr:cNvPr>
        <xdr:cNvGrpSpPr/>
      </xdr:nvGrpSpPr>
      <xdr:grpSpPr>
        <a:xfrm>
          <a:off x="14736535" y="7780565"/>
          <a:ext cx="2273037" cy="309600"/>
          <a:chOff x="14848662" y="8142433"/>
          <a:chExt cx="2251265" cy="309600"/>
        </a:xfrm>
      </xdr:grpSpPr>
      <xdr:pic>
        <xdr:nvPicPr>
          <xdr:cNvPr id="4" name="Imagem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85882FE-6A1F-4F36-B968-50F96995E88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723" t="11770" r="12426" b="11742"/>
          <a:stretch/>
        </xdr:blipFill>
        <xdr:spPr>
          <a:xfrm>
            <a:off x="16783494" y="8142433"/>
            <a:ext cx="316433" cy="309600"/>
          </a:xfrm>
          <a:prstGeom prst="roundRect">
            <a:avLst/>
          </a:prstGeom>
        </xdr:spPr>
      </xdr:pic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0B2966B8-1FA1-4B79-A509-F0924096BCDC}"/>
              </a:ext>
            </a:extLst>
          </xdr:cNvPr>
          <xdr:cNvGrpSpPr>
            <a:grpSpLocks noChangeAspect="1"/>
          </xdr:cNvGrpSpPr>
        </xdr:nvGrpSpPr>
        <xdr:grpSpPr>
          <a:xfrm>
            <a:off x="14848662" y="8142433"/>
            <a:ext cx="819875" cy="309600"/>
            <a:chOff x="1884219" y="2154519"/>
            <a:chExt cx="2964872" cy="1129008"/>
          </a:xfrm>
        </xdr:grpSpPr>
        <xdr:sp macro="" textlink="">
          <xdr:nvSpPr>
            <xdr:cNvPr id="7" name="Retângulo: Cantos Arredondados 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35212B87-1D18-427D-8A8E-ECF89C2FE797}"/>
                </a:ext>
              </a:extLst>
            </xdr:cNvPr>
            <xdr:cNvSpPr/>
          </xdr:nvSpPr>
          <xdr:spPr>
            <a:xfrm>
              <a:off x="1884219" y="2154519"/>
              <a:ext cx="2964872" cy="1129008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4F33CBA1-B3E3-4E2C-860F-82E50FA9724A}"/>
                </a:ext>
              </a:extLst>
            </xdr:cNvPr>
            <xdr:cNvGrpSpPr/>
          </xdr:nvGrpSpPr>
          <xdr:grpSpPr>
            <a:xfrm>
              <a:off x="2123653" y="2303525"/>
              <a:ext cx="2486005" cy="856453"/>
              <a:chOff x="2175160" y="2303525"/>
              <a:chExt cx="2569138" cy="856453"/>
            </a:xfrm>
          </xdr:grpSpPr>
          <xdr:sp macro="" textlink="">
            <xdr:nvSpPr>
              <xdr:cNvPr id="9" name="CaixaDeTexto 4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849B4D2E-7345-4E0C-950E-B46824D277A8}"/>
                  </a:ext>
                </a:extLst>
              </xdr:cNvPr>
              <xdr:cNvSpPr txBox="1"/>
            </xdr:nvSpPr>
            <xdr:spPr>
              <a:xfrm>
                <a:off x="2175160" y="2316252"/>
                <a:ext cx="1745674" cy="80248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BR" sz="800" b="1">
                    <a:solidFill>
                      <a:schemeClr val="bg1"/>
                    </a:solidFill>
                    <a:latin typeface="Helvetica Black" pitchFamily="50" charset="0"/>
                  </a:rPr>
                  <a:t>Blog</a:t>
                </a:r>
                <a:endParaRPr lang="pt-BR" sz="300" b="1">
                  <a:solidFill>
                    <a:schemeClr val="bg1"/>
                  </a:solidFill>
                  <a:latin typeface="Helvetica Black" pitchFamily="50" charset="0"/>
                </a:endParaRPr>
              </a:p>
            </xdr:txBody>
          </xdr:sp>
          <xdr:pic>
            <xdr:nvPicPr>
              <xdr:cNvPr id="10" name="Imagem 9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1D1D0328-4224-46EC-84B1-631B972A0AAD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675"/>
              <a:stretch/>
            </xdr:blipFill>
            <xdr:spPr>
              <a:xfrm>
                <a:off x="3920833" y="2303525"/>
                <a:ext cx="823465" cy="856453"/>
              </a:xfrm>
              <a:prstGeom prst="rect">
                <a:avLst/>
              </a:prstGeom>
            </xdr:spPr>
          </xdr:pic>
        </xdr:grpSp>
      </xdr:grpSp>
      <xdr:pic>
        <xdr:nvPicPr>
          <xdr:cNvPr id="6" name="Imagem 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6BF7C12-8091-4CFF-B9C4-30255DE8A1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84008" y="8142433"/>
            <a:ext cx="317635" cy="309600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721180</xdr:colOff>
      <xdr:row>6</xdr:row>
      <xdr:rowOff>80636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C5368B-06DB-4D5F-8C28-FE17D1372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341" y="236488"/>
          <a:ext cx="2751364" cy="758548"/>
        </a:xfrm>
        <a:prstGeom prst="rect">
          <a:avLst/>
        </a:prstGeom>
      </xdr:spPr>
    </xdr:pic>
    <xdr:clientData/>
  </xdr:twoCellAnchor>
  <xdr:twoCellAnchor>
    <xdr:from>
      <xdr:col>15</xdr:col>
      <xdr:colOff>571500</xdr:colOff>
      <xdr:row>39</xdr:row>
      <xdr:rowOff>108857</xdr:rowOff>
    </xdr:from>
    <xdr:to>
      <xdr:col>17</xdr:col>
      <xdr:colOff>863337</xdr:colOff>
      <xdr:row>41</xdr:row>
      <xdr:rowOff>37457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AD2B0974-3A38-4D39-AF6D-25269CC63A9B}"/>
            </a:ext>
          </a:extLst>
        </xdr:cNvPr>
        <xdr:cNvGrpSpPr/>
      </xdr:nvGrpSpPr>
      <xdr:grpSpPr>
        <a:xfrm>
          <a:off x="16230600" y="7766957"/>
          <a:ext cx="2273037" cy="309600"/>
          <a:chOff x="14848662" y="8142433"/>
          <a:chExt cx="2251265" cy="309600"/>
        </a:xfrm>
      </xdr:grpSpPr>
      <xdr:pic>
        <xdr:nvPicPr>
          <xdr:cNvPr id="4" name="Imagem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2D59E21-6C0A-42CE-82AD-7124C9317B1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723" t="11770" r="12426" b="11742"/>
          <a:stretch/>
        </xdr:blipFill>
        <xdr:spPr>
          <a:xfrm>
            <a:off x="16783494" y="8142433"/>
            <a:ext cx="316433" cy="309600"/>
          </a:xfrm>
          <a:prstGeom prst="roundRect">
            <a:avLst/>
          </a:prstGeom>
        </xdr:spPr>
      </xdr:pic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2595CD9C-CAF5-4B75-896C-79909C423924}"/>
              </a:ext>
            </a:extLst>
          </xdr:cNvPr>
          <xdr:cNvGrpSpPr>
            <a:grpSpLocks noChangeAspect="1"/>
          </xdr:cNvGrpSpPr>
        </xdr:nvGrpSpPr>
        <xdr:grpSpPr>
          <a:xfrm>
            <a:off x="14848662" y="8142433"/>
            <a:ext cx="819875" cy="309600"/>
            <a:chOff x="1884219" y="2154519"/>
            <a:chExt cx="2964872" cy="1129008"/>
          </a:xfrm>
        </xdr:grpSpPr>
        <xdr:sp macro="" textlink="">
          <xdr:nvSpPr>
            <xdr:cNvPr id="7" name="Retângulo: Cantos Arredondados 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DF8ABEDE-57AF-4EF4-B777-57A4A45BC02C}"/>
                </a:ext>
              </a:extLst>
            </xdr:cNvPr>
            <xdr:cNvSpPr/>
          </xdr:nvSpPr>
          <xdr:spPr>
            <a:xfrm>
              <a:off x="1884219" y="2154519"/>
              <a:ext cx="2964872" cy="1129008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E201DFCC-B3C8-4BD2-8A74-D15802241C34}"/>
                </a:ext>
              </a:extLst>
            </xdr:cNvPr>
            <xdr:cNvGrpSpPr/>
          </xdr:nvGrpSpPr>
          <xdr:grpSpPr>
            <a:xfrm>
              <a:off x="2123653" y="2303525"/>
              <a:ext cx="2486005" cy="856453"/>
              <a:chOff x="2175160" y="2303525"/>
              <a:chExt cx="2569138" cy="856453"/>
            </a:xfrm>
          </xdr:grpSpPr>
          <xdr:sp macro="" textlink="">
            <xdr:nvSpPr>
              <xdr:cNvPr id="9" name="CaixaDeTexto 4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B352AA05-81D6-4FCC-A217-6396EA1B2C59}"/>
                  </a:ext>
                </a:extLst>
              </xdr:cNvPr>
              <xdr:cNvSpPr txBox="1"/>
            </xdr:nvSpPr>
            <xdr:spPr>
              <a:xfrm>
                <a:off x="2175160" y="2316252"/>
                <a:ext cx="1745674" cy="80248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pt-BR" sz="800" b="1">
                    <a:solidFill>
                      <a:schemeClr val="bg1"/>
                    </a:solidFill>
                    <a:latin typeface="Helvetica Black" pitchFamily="50" charset="0"/>
                  </a:rPr>
                  <a:t>Blog</a:t>
                </a:r>
                <a:endParaRPr lang="pt-BR" sz="300" b="1">
                  <a:solidFill>
                    <a:schemeClr val="bg1"/>
                  </a:solidFill>
                  <a:latin typeface="Helvetica Black" pitchFamily="50" charset="0"/>
                </a:endParaRPr>
              </a:p>
            </xdr:txBody>
          </xdr:sp>
          <xdr:pic>
            <xdr:nvPicPr>
              <xdr:cNvPr id="10" name="Imagem 9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46B39AF8-6506-428C-B5A4-9453F0031C23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675"/>
              <a:stretch/>
            </xdr:blipFill>
            <xdr:spPr>
              <a:xfrm>
                <a:off x="3920833" y="2303525"/>
                <a:ext cx="823465" cy="856453"/>
              </a:xfrm>
              <a:prstGeom prst="rect">
                <a:avLst/>
              </a:prstGeom>
            </xdr:spPr>
          </xdr:pic>
        </xdr:grpSp>
      </xdr:grpSp>
      <xdr:pic>
        <xdr:nvPicPr>
          <xdr:cNvPr id="6" name="Imagem 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8EB70EFD-FC54-4F85-BD3B-287DD5982B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84008" y="8142433"/>
            <a:ext cx="317635" cy="309600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589429</xdr:colOff>
      <xdr:row>0</xdr:row>
      <xdr:rowOff>165287</xdr:rowOff>
    </xdr:from>
    <xdr:to>
      <xdr:col>20</xdr:col>
      <xdr:colOff>290071</xdr:colOff>
      <xdr:row>4</xdr:row>
      <xdr:rowOff>172721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6C9659-42EA-442B-903A-3A65F0582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0811" y="165287"/>
          <a:ext cx="2726231" cy="769434"/>
        </a:xfrm>
        <a:prstGeom prst="rect">
          <a:avLst/>
        </a:prstGeom>
      </xdr:spPr>
    </xdr:pic>
    <xdr:clientData/>
  </xdr:twoCellAnchor>
  <xdr:twoCellAnchor>
    <xdr:from>
      <xdr:col>12</xdr:col>
      <xdr:colOff>231402</xdr:colOff>
      <xdr:row>5</xdr:row>
      <xdr:rowOff>94688</xdr:rowOff>
    </xdr:from>
    <xdr:to>
      <xdr:col>20</xdr:col>
      <xdr:colOff>549088</xdr:colOff>
      <xdr:row>20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26119B-1CA4-4B81-B63C-81F5B1705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721180</xdr:colOff>
      <xdr:row>6</xdr:row>
      <xdr:rowOff>80636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5DDC4D-745E-4F24-8758-C56182962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341" y="236488"/>
          <a:ext cx="2751364" cy="75854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884466</xdr:colOff>
      <xdr:row>1</xdr:row>
      <xdr:rowOff>45988</xdr:rowOff>
    </xdr:from>
    <xdr:to>
      <xdr:col>17</xdr:col>
      <xdr:colOff>721180</xdr:colOff>
      <xdr:row>6</xdr:row>
      <xdr:rowOff>39815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250F74-1A44-4992-9EC2-738218EA6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341" y="236488"/>
          <a:ext cx="2751364" cy="7585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6E0A7-F83D-42DC-905D-9419EEB72743}" name="Tabela1" displayName="Tabela1" ref="A11:K34" totalsRowShown="0" headerRowDxfId="321" dataDxfId="320">
  <tableColumns count="11">
    <tableColumn id="1" xr3:uid="{E32AE5D8-9654-406B-AA10-785CD2C08B9C}" name="Data" dataDxfId="319"/>
    <tableColumn id="2" xr3:uid="{8C0B15DA-CE02-4872-9632-7554028C2F2B}" name="Cliente" dataDxfId="318"/>
    <tableColumn id="3" xr3:uid="{EC4DADA4-CDB2-4C5B-9800-8B8A21D29B92}" name="Produto/Serviço" dataDxfId="317"/>
    <tableColumn id="10" xr3:uid="{26C1E481-B86B-4D03-ABBF-E926477C76AD}" name="Tipo" dataDxfId="316"/>
    <tableColumn id="4" xr3:uid="{033601A9-124E-4D13-8DC4-B960D336DDCB}" name="Valor" dataDxfId="315" dataCellStyle="Moeda"/>
    <tableColumn id="5" xr3:uid="{65292C5A-05FB-4A42-B0C1-B9B482F0F9A2}" name="Forma _x000a_de_x000a_ pagamento" dataDxfId="314"/>
    <tableColumn id="6" xr3:uid="{C9753797-DA68-4257-A811-09CA26263DB7}" name="Parcelas" dataDxfId="313"/>
    <tableColumn id="7" xr3:uid="{31FD9069-60F4-4772-A83F-FFE616334326}" name="Nota _x000a_Fiscal" dataDxfId="312"/>
    <tableColumn id="8" xr3:uid="{EB20879B-F53F-44A8-A907-1F0044C429F0}" name="Recebido" dataDxfId="311"/>
    <tableColumn id="9" xr3:uid="{2883C149-4CC5-4FF2-B137-6F0DC4A25F3C}" name="Ano" dataDxfId="12">
      <calculatedColumnFormula>IF(Tabela1[[#This Row],[Data]]="","",YEAR(Tabela1[[#This Row],[Data]]))</calculatedColumnFormula>
    </tableColumn>
    <tableColumn id="11" xr3:uid="{E13D9246-A7B7-4F5B-B5F9-778BA0BC43A1}" name="mês" dataDxfId="310">
      <calculatedColumnFormula>IF(Tabela1[[#This Row],[Data]]="","",MONTH(Tabela1[[#This Row],[Data]]))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418340-F5B7-4624-8301-B0537FD8EAE5}" name="Tabela3" displayName="Tabela3" ref="M11:S34" totalsRowShown="0" headerRowDxfId="309" dataDxfId="307" headerRowBorderDxfId="308">
  <tableColumns count="7">
    <tableColumn id="1" xr3:uid="{D93DFE1C-067F-4703-8BDF-17127C2B073A}" name="Data" dataDxfId="306"/>
    <tableColumn id="2" xr3:uid="{73CEED9C-40BA-4E6F-AC5A-803A248F25CC}" name="Tipo de despesa" dataDxfId="305"/>
    <tableColumn id="3" xr3:uid="{944654F0-128B-41DE-A9CE-C945EDE57576}" name="Valor" dataDxfId="304" dataCellStyle="Moeda"/>
    <tableColumn id="4" xr3:uid="{5EE0801C-8346-4B03-9229-E6C21C06E21E}" name="Forma_x000a_ de _x000a_pagamento" dataDxfId="303"/>
    <tableColumn id="6" xr3:uid="{2722CBDD-43BE-4910-9B06-7A7E38341A6A}" name="Parcelas" dataDxfId="302"/>
    <tableColumn id="7" xr3:uid="{DF2E53E4-64D9-4C7C-971D-01D0E860E8CE}" name="Pago" dataDxfId="301"/>
    <tableColumn id="5" xr3:uid="{90C48DFE-5DFE-4C47-9F3B-881C09A7A1D9}" name="Parcelamento2" dataDxfId="300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1FF2285-1BF7-4E2B-A6DE-20B1979A8A31}" name="Tabela11618222438" displayName="Tabela11618222438" ref="A11:K34" totalsRowShown="0" headerRowDxfId="299" dataDxfId="298">
  <tableColumns count="11">
    <tableColumn id="1" xr3:uid="{C4F14B3C-9AFC-4132-AB78-221A049D9315}" name="Data" dataDxfId="297"/>
    <tableColumn id="2" xr3:uid="{1FAB186C-A77D-4F09-A127-D772D5805F03}" name="Cliente" dataDxfId="296"/>
    <tableColumn id="3" xr3:uid="{7CBC007C-4027-4064-9455-D615FD66788E}" name="Produto/Serviço" dataDxfId="295"/>
    <tableColumn id="10" xr3:uid="{57494D24-71E5-46FC-A6FF-6F2EAF9F6D68}" name="Tipo" dataDxfId="294"/>
    <tableColumn id="4" xr3:uid="{446E5E61-8FF7-45D5-901D-2172655544EC}" name="Valor" dataDxfId="293" dataCellStyle="Moeda"/>
    <tableColumn id="5" xr3:uid="{ED4CA98F-6D13-4993-9E37-A325EC866510}" name="Forma _x000a_de_x000a_ pagamento" dataDxfId="292"/>
    <tableColumn id="6" xr3:uid="{CF5F18EF-5F0D-4265-AC0B-395E28BAF9F5}" name="Parcelas" dataDxfId="291"/>
    <tableColumn id="7" xr3:uid="{79D550C0-9EA1-45FD-AFCD-87A65B5AF267}" name="Nota _x000a_Fiscal" dataDxfId="290"/>
    <tableColumn id="8" xr3:uid="{4385F166-C556-47B7-A61C-16BDFB43AE79}" name="Recebido" dataDxfId="289"/>
    <tableColumn id="9" xr3:uid="{E0834875-7673-428D-8938-407A5B40D166}" name="Ano" dataDxfId="11">
      <calculatedColumnFormula>IF(Tabela11618222438[[#This Row],[Data]]="","",YEAR(Tabela11618222438[[#This Row],[Data]]))</calculatedColumnFormula>
    </tableColumn>
    <tableColumn id="11" xr3:uid="{5CD6B64D-64A9-4528-B724-20ABE584C024}" name="mês" dataDxfId="288">
      <calculatedColumnFormula>IF(Tabela11618222438[[#This Row],[Data]]="","",MONTH(Tabela11618222438[[#This Row],[Data]]))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59E312B-74D9-4F64-877B-16A4F176368F}" name="Tabela31719232539" displayName="Tabela31719232539" ref="M11:S34" totalsRowShown="0" headerRowDxfId="287" dataDxfId="285" headerRowBorderDxfId="286">
  <tableColumns count="7">
    <tableColumn id="1" xr3:uid="{6665561F-989F-40A3-A88A-A79C9BD18F74}" name="Data" dataDxfId="284"/>
    <tableColumn id="2" xr3:uid="{071A059B-ACC4-4AB1-B816-355C25F3ABE5}" name="Tipo de despesa" dataDxfId="283"/>
    <tableColumn id="3" xr3:uid="{341BE575-2BE3-42F5-83A5-15ADD844FAFD}" name="Valor" dataDxfId="282" dataCellStyle="Moeda"/>
    <tableColumn id="4" xr3:uid="{18246FDC-473F-4CA4-A7F7-84DDABED79ED}" name="Forma_x000a_ de _x000a_pagamento" dataDxfId="281"/>
    <tableColumn id="6" xr3:uid="{13D3E1D8-9EA0-4082-8B30-A60DF193C18D}" name="Parcelas" dataDxfId="280"/>
    <tableColumn id="7" xr3:uid="{F6A6EE2D-6BA4-4623-A6FE-770B57F06837}" name="Pago" dataDxfId="279"/>
    <tableColumn id="5" xr3:uid="{6A5FCEC7-20E7-4C70-BF29-44823980B9CA}" name="Parcelamento2" dataDxfId="278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0ED5DC8-0FDB-452C-A9A1-B24D6F833CAD}" name="Tabela1161822242636" displayName="Tabela1161822242636" ref="A11:K34" totalsRowShown="0" headerRowDxfId="277" dataDxfId="276">
  <tableColumns count="11">
    <tableColumn id="1" xr3:uid="{6E2FD7AE-0561-473F-A98C-A70C69743694}" name="Data" dataDxfId="275"/>
    <tableColumn id="2" xr3:uid="{D8B73E58-0EB8-4DC8-BFC1-3839B92B406A}" name="Cliente" dataDxfId="274"/>
    <tableColumn id="3" xr3:uid="{9C676F1D-A5E4-49E2-85A8-87D5A6398F21}" name="Produto/Serviço" dataDxfId="273"/>
    <tableColumn id="10" xr3:uid="{B800CD84-4EDE-44F0-8DE9-7CAB287D9911}" name="Tipo" dataDxfId="272"/>
    <tableColumn id="4" xr3:uid="{554B6643-E421-4F19-BA7F-6B1C6989E081}" name="Valor" dataDxfId="271" dataCellStyle="Moeda"/>
    <tableColumn id="5" xr3:uid="{E148C17B-4EC5-45E0-8AFF-4AF00D69A0EB}" name="Forma _x000a_de_x000a_ pagamento" dataDxfId="270"/>
    <tableColumn id="6" xr3:uid="{86A91CE5-E4AA-4FA2-A71C-648E600F583D}" name="Parcelas" dataDxfId="269"/>
    <tableColumn id="7" xr3:uid="{81A14ED1-99F0-491F-9353-B4CEAFDF62D6}" name="Nota _x000a_Fiscal" dataDxfId="268"/>
    <tableColumn id="8" xr3:uid="{5DF5C624-9F9D-48D5-A4D5-849238E54843}" name="Recebido" dataDxfId="267"/>
    <tableColumn id="9" xr3:uid="{015D9C73-5762-4D24-A72E-010272573ADD}" name="Ano" dataDxfId="10">
      <calculatedColumnFormula>IF(Tabela1161822242636[[#This Row],[Data]]="","",YEAR(Tabela1161822242636[[#This Row],[Data]]))</calculatedColumnFormula>
    </tableColumn>
    <tableColumn id="11" xr3:uid="{CFF04EEC-3127-4A62-BB87-3086E4D16298}" name="mês" dataDxfId="266">
      <calculatedColumnFormula>IF(Tabela1161822242636[[#This Row],[Data]]="","",MONTH(Tabela1161822242636[[#This Row],[Data]]))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B0569EA-D5E7-4CF8-8726-19856A52330B}" name="Tabela3171923252737" displayName="Tabela3171923252737" ref="M11:S34" totalsRowShown="0" headerRowDxfId="265" dataDxfId="263" headerRowBorderDxfId="264">
  <tableColumns count="7">
    <tableColumn id="1" xr3:uid="{04A72FAC-BFD0-404F-9373-7C166ADD6ABB}" name="Data" dataDxfId="262"/>
    <tableColumn id="2" xr3:uid="{FB1A0D1C-94E2-4ADD-AC42-BADEF75CF5C1}" name="Tipo de despesa" dataDxfId="261"/>
    <tableColumn id="3" xr3:uid="{E85FD240-95C0-4300-B743-F401058392EA}" name="Valor" dataDxfId="260" dataCellStyle="Moeda"/>
    <tableColumn id="4" xr3:uid="{0E0BE440-C1BF-49C3-92ED-18BE6011F4CC}" name="Forma_x000a_ de _x000a_pagamento" dataDxfId="259"/>
    <tableColumn id="6" xr3:uid="{DA9530B7-C7AC-493E-868C-5B7651932E6E}" name="Parcelas" dataDxfId="258"/>
    <tableColumn id="7" xr3:uid="{8D5A7233-A7F3-4992-B474-171A0FFF62BA}" name="Pago" dataDxfId="257"/>
    <tableColumn id="5" xr3:uid="{E84FA745-1D27-41B4-BFD7-5848ABC70B97}" name="Parcelamento2" dataDxfId="256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6247B7F-3E89-4F6B-8449-7A8AC0F33965}" name="Tabela116182224262834" displayName="Tabela116182224262834" ref="A11:K34" totalsRowShown="0" headerRowDxfId="255" dataDxfId="254">
  <tableColumns count="11">
    <tableColumn id="1" xr3:uid="{30FFA4A5-269D-4ED8-9CAF-74E632AC100A}" name="Data" dataDxfId="253"/>
    <tableColumn id="2" xr3:uid="{60BD932E-F084-4274-92B7-AABAD88D7DC0}" name="Cliente" dataDxfId="252"/>
    <tableColumn id="3" xr3:uid="{8073E710-374C-4F48-B5AD-123484F42D75}" name="Produto/Serviço" dataDxfId="251"/>
    <tableColumn id="10" xr3:uid="{0F80A260-2E49-4E3F-A8DE-5AE0102E2FEF}" name="Tipo" dataDxfId="250"/>
    <tableColumn id="4" xr3:uid="{A07D78BC-5372-41EF-B126-1BB905C88C39}" name="Valor" dataDxfId="249" dataCellStyle="Moeda"/>
    <tableColumn id="5" xr3:uid="{89F96152-3B05-4CFE-9B0C-B1844CBE3D99}" name="Forma _x000a_de_x000a_ pagamento" dataDxfId="248"/>
    <tableColumn id="6" xr3:uid="{7BF31D95-EAC7-4E5C-B939-0D7E6C2186B2}" name="Parcelas" dataDxfId="247"/>
    <tableColumn id="7" xr3:uid="{5C7BD428-C1C7-4665-97D3-E518E43D3DE6}" name="Nota _x000a_Fiscal" dataDxfId="246"/>
    <tableColumn id="8" xr3:uid="{B504F287-75EE-4415-AFA4-DE30AF5D12C4}" name="Recebido" dataDxfId="245"/>
    <tableColumn id="9" xr3:uid="{F9F2BF1A-2DD7-45B7-9B1E-F1BE1DB80783}" name="Ano" dataDxfId="2">
      <calculatedColumnFormula>IF(Tabela116182224262834[[#This Row],[Data]]="","",YEAR(Tabela116182224262834[[#This Row],[Data]]))</calculatedColumnFormula>
    </tableColumn>
    <tableColumn id="11" xr3:uid="{F17FA087-0A34-4F08-89CA-26890ACA3F77}" name="mês" dataDxfId="244">
      <calculatedColumnFormula>IF(Tabela116182224262834[[#This Row],[Data]]="","",MONTH(Tabela116182224262834[[#This Row],[Data]]))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4B79DA6-FBFA-46E5-89FE-6704668934F3}" name="Tabela317192325272935" displayName="Tabela317192325272935" ref="M11:S34" totalsRowShown="0" headerRowDxfId="243" dataDxfId="241" headerRowBorderDxfId="242">
  <tableColumns count="7">
    <tableColumn id="1" xr3:uid="{4DC50B38-B82B-4CBE-8275-FBD5CDEAF774}" name="Data" dataDxfId="240"/>
    <tableColumn id="2" xr3:uid="{4AA6A8C3-3768-4899-A83E-63E40E935E12}" name="Tipo de despesa" dataDxfId="239"/>
    <tableColumn id="3" xr3:uid="{44B0149D-4404-47F8-A047-EE39E1730653}" name="Valor" dataDxfId="238" dataCellStyle="Moeda"/>
    <tableColumn id="4" xr3:uid="{7D729D18-5169-49DA-B6FE-47573B8B1376}" name="Forma_x000a_ de _x000a_pagamento" dataDxfId="237"/>
    <tableColumn id="6" xr3:uid="{5F43A64F-2726-4242-A627-65AD2F7D8E4D}" name="Parcelas" dataDxfId="236"/>
    <tableColumn id="7" xr3:uid="{69349223-E122-4E5B-9980-CE08A5EC0472}" name="Pago" dataDxfId="235"/>
    <tableColumn id="5" xr3:uid="{3E8851E9-F968-4D7F-9165-9A652C2E9EE0}" name="Parcelamento2" dataDxfId="234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176ABBE-0EE3-475F-ADAA-786014BE2638}" name="Tabela11618222426283032" displayName="Tabela11618222426283032" ref="A11:K34" totalsRowShown="0" headerRowDxfId="233" dataDxfId="232">
  <tableColumns count="11">
    <tableColumn id="1" xr3:uid="{EEE2F3A2-D37F-49A3-8641-9D0224083A80}" name="Data" dataDxfId="231"/>
    <tableColumn id="2" xr3:uid="{7A226ED8-B8D1-4021-92D6-9E4101B1B544}" name="Cliente" dataDxfId="230"/>
    <tableColumn id="3" xr3:uid="{12900B1F-7574-45DB-871E-5A8EFDBCF7C7}" name="Produto/Serviço" dataDxfId="229"/>
    <tableColumn id="10" xr3:uid="{9CDF86DE-7207-40E4-9C92-27DB105F3F6A}" name="Tipo" dataDxfId="228"/>
    <tableColumn id="4" xr3:uid="{5D82CD5F-A18E-4F71-B669-42C624776F6C}" name="Valor" dataDxfId="227" dataCellStyle="Moeda"/>
    <tableColumn id="5" xr3:uid="{039926DD-09DB-493D-BF80-2E95935EDA8E}" name="Forma _x000a_de_x000a_ pagamento" dataDxfId="226"/>
    <tableColumn id="6" xr3:uid="{E53BB03A-433E-4B46-9CC6-8F5E87AD1982}" name="Parcelas" dataDxfId="225"/>
    <tableColumn id="7" xr3:uid="{0813069E-519D-4F5C-9FD6-34E377E4DA02}" name="Nota _x000a_Fiscal" dataDxfId="224"/>
    <tableColumn id="8" xr3:uid="{6640DDD1-7C39-4330-A5CC-CE24C092500C}" name="Recebido" dataDxfId="223"/>
    <tableColumn id="9" xr3:uid="{BDB2797F-5E35-46AF-B30E-63DA06A6072C}" name="Ano" dataDxfId="1">
      <calculatedColumnFormula>IF(Tabela11618222426283032[[#This Row],[Data]]="","",YEAR(Tabela11618222426283032[[#This Row],[Data]]))</calculatedColumnFormula>
    </tableColumn>
    <tableColumn id="11" xr3:uid="{723E8D20-5035-4DDA-B263-0C7D7E483639}" name="mês" dataDxfId="222">
      <calculatedColumnFormula>IF(Tabela11618222426283032[[#This Row],[Data]]="","",MONTH(Tabela11618222426283032[[#This Row],[Data]]))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B5239C1-2123-4D50-83F5-0518E950BA13}" name="Tabela31719232527293133" displayName="Tabela31719232527293133" ref="M11:S34" totalsRowShown="0" headerRowDxfId="221" dataDxfId="219" headerRowBorderDxfId="220">
  <tableColumns count="7">
    <tableColumn id="1" xr3:uid="{4CE22EA9-A771-40E9-AB32-DA79924730E7}" name="Data" dataDxfId="218"/>
    <tableColumn id="2" xr3:uid="{E9179F89-BCF9-435D-8508-B48793A96EEF}" name="Tipo de despesa" dataDxfId="217"/>
    <tableColumn id="3" xr3:uid="{9587BF2C-B187-4D8E-B73D-F210CB4463FC}" name="Valor" dataDxfId="216" dataCellStyle="Moeda"/>
    <tableColumn id="4" xr3:uid="{E782280E-EDCF-421E-B33E-7638EE1D4675}" name="Forma_x000a_ de _x000a_pagamento" dataDxfId="215"/>
    <tableColumn id="6" xr3:uid="{01B85DD5-C88D-4413-8CAE-53B07CCECE30}" name="Parcelas" dataDxfId="214"/>
    <tableColumn id="7" xr3:uid="{6F14E804-32B8-4E91-B1EF-241E3CB242CA}" name="Pago" dataDxfId="213"/>
    <tableColumn id="5" xr3:uid="{2D1C2DEE-7033-4B7C-B3FC-19DE6CBDB15D}" name="Parcelamento2" dataDxfId="212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885835-56A7-4E32-A572-A2409270F70D}" name="Tabela1161820" displayName="Tabela1161820" ref="A11:K34" totalsRowShown="0" headerRowDxfId="211" dataDxfId="210">
  <tableColumns count="11">
    <tableColumn id="1" xr3:uid="{5BD83A51-65DD-4641-AFC4-60B432EE1940}" name="Data" dataDxfId="209"/>
    <tableColumn id="2" xr3:uid="{E57A7665-BFB9-471C-BA47-11B6C3A694A4}" name="Cliente" dataDxfId="208"/>
    <tableColumn id="3" xr3:uid="{CB81A486-1335-4E24-91A2-5756998ABDB8}" name="Produto/Serviço" dataDxfId="207"/>
    <tableColumn id="10" xr3:uid="{128CC689-AF96-4616-B7D2-B32C6CB6B9AB}" name="Tipo" dataDxfId="206"/>
    <tableColumn id="4" xr3:uid="{616950B4-6833-44A8-B13E-8E7BF7AF8874}" name="Valor" dataDxfId="205" dataCellStyle="Moeda"/>
    <tableColumn id="5" xr3:uid="{E9439F7E-3036-4BEC-850B-7E8EE4499C24}" name="Forma _x000a_de_x000a_ pagamento" dataDxfId="204"/>
    <tableColumn id="6" xr3:uid="{06F99909-206B-4F92-B663-1BA13500A3CA}" name="Parcelas" dataDxfId="203"/>
    <tableColumn id="7" xr3:uid="{9C8C75D0-EFB3-44BA-958D-2CA751A9BCC8}" name="Nota _x000a_Fiscal" dataDxfId="202"/>
    <tableColumn id="8" xr3:uid="{4576D7BC-C87B-44D6-BF51-A213FB73F9BE}" name="Recebido" dataDxfId="201"/>
    <tableColumn id="9" xr3:uid="{24FE7B0C-5BCB-4963-9971-D67DBB8D2B76}" name="Ano" dataDxfId="9">
      <calculatedColumnFormula>IF(Tabela1161820[[#This Row],[Data]]="","",YEAR(Tabela1161820[[#This Row],[Data]]))</calculatedColumnFormula>
    </tableColumn>
    <tableColumn id="11" xr3:uid="{8330A750-6678-4C78-A66C-9BAA844F6780}" name="mês" dataDxfId="200">
      <calculatedColumnFormula>IF(Tabela1161820[[#This Row],[Data]]="","",MONTH(Tabela1161820[[#This Row],[Data]]))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77F3338-9C07-40B4-8981-307F7CE6A057}" name="Tabela3171921" displayName="Tabela3171921" ref="M11:S34" totalsRowShown="0" headerRowDxfId="199" dataDxfId="197" headerRowBorderDxfId="198">
  <tableColumns count="7">
    <tableColumn id="1" xr3:uid="{0B55F178-43EF-4CEB-8C65-F07614A02AE6}" name="Data" dataDxfId="196"/>
    <tableColumn id="2" xr3:uid="{19B8FD63-9C85-439B-AD1E-BB4D36D4BDC5}" name="Tipo de despesa" dataDxfId="195"/>
    <tableColumn id="3" xr3:uid="{EB12A51D-9985-4F00-BED4-D4A83C0D2E02}" name="Valor" dataDxfId="194" dataCellStyle="Moeda"/>
    <tableColumn id="4" xr3:uid="{44BBD55D-6112-4D11-8D05-67176AF934B8}" name="Forma_x000a_ de _x000a_pagamento" dataDxfId="193"/>
    <tableColumn id="6" xr3:uid="{E8E93276-C811-4154-9C64-B388128E817D}" name="Parcelas" dataDxfId="192"/>
    <tableColumn id="7" xr3:uid="{85DBA823-3E95-4C4E-B98F-B7770C71221D}" name="Pago" dataDxfId="191"/>
    <tableColumn id="5" xr3:uid="{4CE27CCC-8B35-4A38-B62E-D4052F09E120}" name="Parcelamento2" dataDxfId="190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D2574A7-04A2-4956-9126-42E4150C71A5}" name="Tabela116" displayName="Tabela116" ref="A11:K34" totalsRowShown="0" headerRowDxfId="189" dataDxfId="188">
  <tableColumns count="11">
    <tableColumn id="1" xr3:uid="{A0DDA623-3095-43C9-803A-6B6C82538A1D}" name="Data" dataDxfId="187"/>
    <tableColumn id="2" xr3:uid="{DF2CBC23-D129-4104-A07A-A0CFD70611B3}" name="Cliente" dataDxfId="186"/>
    <tableColumn id="3" xr3:uid="{C225CFA7-5432-4196-997B-B3AA48AD07BC}" name="Produto/Serviço" dataDxfId="185"/>
    <tableColumn id="10" xr3:uid="{86AC22FB-395E-4C21-92DF-F7C8BCD38219}" name="Tipo" dataDxfId="184"/>
    <tableColumn id="4" xr3:uid="{222B3F71-DA2D-463D-8D89-B2B695FF846D}" name="Valor" dataDxfId="183" dataCellStyle="Moeda"/>
    <tableColumn id="5" xr3:uid="{15FFAC8D-E132-40EA-AC91-3BF3237655E5}" name="Forma _x000a_de_x000a_ pagamento" dataDxfId="182"/>
    <tableColumn id="6" xr3:uid="{1112404F-B61D-4975-A154-6ABE1B0CD45C}" name="Parcelas" dataDxfId="181"/>
    <tableColumn id="7" xr3:uid="{95149805-EBF1-4009-9DD1-8ECFF4C932CE}" name="Nota _x000a_Fiscal" dataDxfId="180"/>
    <tableColumn id="8" xr3:uid="{B59FAE63-451D-4FF4-8283-8A06F71FEB36}" name="Recebido" dataDxfId="179"/>
    <tableColumn id="9" xr3:uid="{10714D59-1EBF-463E-9EFF-B92CAF388880}" name="Ano" dataDxfId="8">
      <calculatedColumnFormula>IF(Tabela116[[#This Row],[Data]]="","",YEAR(Tabela116[[#This Row],[Data]]))</calculatedColumnFormula>
    </tableColumn>
    <tableColumn id="11" xr3:uid="{A4A09BBF-E802-4823-B5E2-DE3DAE085A2A}" name="mês" dataDxfId="178">
      <calculatedColumnFormula>IF(Tabela116[[#This Row],[Data]]="","",MONTH(Tabela116[[#This Row],[Data]]))</calculatedColumnFormula>
    </tableColumn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BD6D914-7C61-4E0D-8B8E-E11A3C5661E4}" name="Tabela317" displayName="Tabela317" ref="M11:S34" totalsRowShown="0" headerRowDxfId="177" dataDxfId="175" headerRowBorderDxfId="176">
  <tableColumns count="7">
    <tableColumn id="1" xr3:uid="{C7AC0E6E-4F5E-4FE4-8006-DE690B7D0EE2}" name="Data" dataDxfId="174"/>
    <tableColumn id="2" xr3:uid="{151FD3A0-C08D-49F6-BF5E-3930C21E6A4C}" name="Tipo de despesa" dataDxfId="173"/>
    <tableColumn id="3" xr3:uid="{F8CE2CAC-7ED0-4EF4-9F99-5C29682EA379}" name="Valor" dataDxfId="172" dataCellStyle="Moeda"/>
    <tableColumn id="4" xr3:uid="{5E61D829-5FAA-4215-996B-E71C37A4F6FA}" name="Forma_x000a_ de _x000a_pagamento" dataDxfId="171"/>
    <tableColumn id="6" xr3:uid="{7476875B-5CAC-4DD0-9407-DF3801C459AF}" name="Parcelas" dataDxfId="170"/>
    <tableColumn id="7" xr3:uid="{65E23965-B1A8-4279-A28C-3A11F899100F}" name="Pago" dataDxfId="169"/>
    <tableColumn id="5" xr3:uid="{61CF7F19-D2E5-4B19-A951-AA40895F05FF}" name="Parcelamento2" dataDxfId="168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B5B4277-03F0-47DB-B7B1-5CB0B97C6803}" name="Tabela11618" displayName="Tabela11618" ref="A11:K34" totalsRowShown="0" headerRowDxfId="167" dataDxfId="166">
  <tableColumns count="11">
    <tableColumn id="1" xr3:uid="{A2745C59-A289-4E3E-954D-760EF01B5505}" name="Data" dataDxfId="165"/>
    <tableColumn id="2" xr3:uid="{B6F300FF-50C5-499E-B64A-F4F451F58F74}" name="Cliente" dataDxfId="164"/>
    <tableColumn id="3" xr3:uid="{FAB281AA-F7BD-4966-8C11-D3B024CB4468}" name="Produto/Serviço" dataDxfId="163"/>
    <tableColumn id="10" xr3:uid="{3E8327C4-0EFB-46AF-8BAB-B0FA5DF5A81A}" name="Tipo" dataDxfId="162"/>
    <tableColumn id="4" xr3:uid="{63685780-D101-414A-B197-B97D6F169314}" name="Valor" dataDxfId="161" dataCellStyle="Moeda"/>
    <tableColumn id="5" xr3:uid="{20C324A7-80B0-49B5-838C-8233E4701BF5}" name="Forma _x000a_de_x000a_ pagamento" dataDxfId="160"/>
    <tableColumn id="6" xr3:uid="{E9711FA2-FAC0-4A4A-924D-C41C4ACF98EF}" name="Parcelas" dataDxfId="159"/>
    <tableColumn id="7" xr3:uid="{549D0BB0-BA49-4D70-A13A-C9B75C6E9F50}" name="Nota _x000a_Fiscal" dataDxfId="158"/>
    <tableColumn id="8" xr3:uid="{BC643B7C-18F9-409F-AFDD-65C48A724A1F}" name="Recebido" dataDxfId="157"/>
    <tableColumn id="9" xr3:uid="{034815F7-228B-4304-89DB-D17A72A307C0}" name="Ano" dataDxfId="7">
      <calculatedColumnFormula>IF(Tabela11618[[#This Row],[Data]]="","",YEAR(Tabela11618[[#This Row],[Data]]))</calculatedColumnFormula>
    </tableColumn>
    <tableColumn id="11" xr3:uid="{2C95429D-AE65-481C-B9FC-BEC1C151009B}" name="mês" dataDxfId="156">
      <calculatedColumnFormula>IF(Tabela11618[[#This Row],[Data]]="","",MONTH(Tabela11618[[#This Row],[Data]]))</calculatedColumn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35E3988-4FB4-4580-919D-EAAAE62E91E4}" name="Tabela31719" displayName="Tabela31719" ref="M11:S34" totalsRowShown="0" headerRowDxfId="155" dataDxfId="153" headerRowBorderDxfId="154">
  <tableColumns count="7">
    <tableColumn id="1" xr3:uid="{C6DEE023-F0F1-4B92-A72D-956D8B32D9D9}" name="Data" dataDxfId="152"/>
    <tableColumn id="2" xr3:uid="{167EFE82-70AF-4FF2-8393-EA55CCD524AE}" name="Tipo de despesa" dataDxfId="151"/>
    <tableColumn id="3" xr3:uid="{19FACC11-FC00-458C-B2F6-A341845ECACB}" name="Valor" dataDxfId="150" dataCellStyle="Moeda"/>
    <tableColumn id="4" xr3:uid="{EF175F2B-B062-4208-A624-CEDF4E8FA3E1}" name="Forma_x000a_ de _x000a_pagamento" dataDxfId="149"/>
    <tableColumn id="6" xr3:uid="{AAE77958-3FFB-49AB-8E82-637535AF9207}" name="Parcelas" dataDxfId="148"/>
    <tableColumn id="7" xr3:uid="{066281A8-D700-4668-9506-CC224165AF17}" name="Pago" dataDxfId="147"/>
    <tableColumn id="5" xr3:uid="{E5E6051E-D2A3-421D-A954-A6A93A0EFB18}" name="Parcelamento2" dataDxfId="146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7B3F349-02A4-4221-9CEA-72D2E28E76FF}" name="Tabela1161822" displayName="Tabela1161822" ref="A11:K34" totalsRowShown="0" headerRowDxfId="145" dataDxfId="144">
  <tableColumns count="11">
    <tableColumn id="1" xr3:uid="{C81F3FFB-90F5-462B-AD5A-6DFCB497885D}" name="Data" dataDxfId="143"/>
    <tableColumn id="2" xr3:uid="{BD5679ED-768F-4B1A-AE46-50370BDC5DA6}" name="Cliente" dataDxfId="142"/>
    <tableColumn id="3" xr3:uid="{780B016E-EB2D-4C7D-8E88-15B193D59B81}" name="Produto/Serviço" dataDxfId="141"/>
    <tableColumn id="10" xr3:uid="{64279EDA-12A0-4336-8C31-5C484F7F6878}" name="Tipo" dataDxfId="140"/>
    <tableColumn id="4" xr3:uid="{6D0C4111-48B6-4F9D-977B-FD68778BD547}" name="Valor" dataDxfId="139" dataCellStyle="Moeda"/>
    <tableColumn id="5" xr3:uid="{0492527D-F253-412E-8022-5AC642A51508}" name="Forma _x000a_de_x000a_ pagamento" dataDxfId="138"/>
    <tableColumn id="6" xr3:uid="{13948857-0C38-404A-BB92-D8873C4C2F5C}" name="Parcelas" dataDxfId="137"/>
    <tableColumn id="7" xr3:uid="{ED0B2910-C0A9-4458-B055-EF5A378A5BEF}" name="Nota _x000a_Fiscal" dataDxfId="136"/>
    <tableColumn id="8" xr3:uid="{4FFA9923-E1E5-46B1-9CD9-81F26070EDA2}" name="Recebido" dataDxfId="135"/>
    <tableColumn id="9" xr3:uid="{27B6A254-28A4-45E8-94A3-233D33AADC15}" name="Ano" dataDxfId="6">
      <calculatedColumnFormula>IF(Tabela1161822[[#This Row],[Data]]="","",YEAR(Tabela1161822[[#This Row],[Data]]))</calculatedColumnFormula>
    </tableColumn>
    <tableColumn id="11" xr3:uid="{0B18CB4B-4A5C-4545-B34E-E8C1C46DA2E2}" name="mês" dataDxfId="134">
      <calculatedColumnFormula>IF(Tabela1161822[[#This Row],[Data]]="","",MONTH(Tabela1161822[[#This Row],[Data]]))</calculatedColumnFormula>
    </tableColumn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5A4F8A5-4F98-4A7D-AC00-FD1CC7846E5F}" name="Tabela3171923" displayName="Tabela3171923" ref="M11:S34" totalsRowShown="0" headerRowDxfId="133" dataDxfId="131" headerRowBorderDxfId="132">
  <tableColumns count="7">
    <tableColumn id="1" xr3:uid="{9BF0D73D-3D90-4917-890B-46E8AADB3074}" name="Data" dataDxfId="130"/>
    <tableColumn id="2" xr3:uid="{FDF26C27-73E6-4C54-944B-61BE0E35F792}" name="Tipo de despesa" dataDxfId="129"/>
    <tableColumn id="3" xr3:uid="{0403708D-0544-4C07-A710-B455721AD59B}" name="Valor" dataDxfId="128" dataCellStyle="Moeda"/>
    <tableColumn id="4" xr3:uid="{DA59159A-FED4-4363-9726-F1DDA0E3D181}" name="Forma_x000a_ de _x000a_pagamento" dataDxfId="127"/>
    <tableColumn id="6" xr3:uid="{B13ABC12-D48C-4F8D-9A36-4BA492F33232}" name="Parcelas" dataDxfId="126"/>
    <tableColumn id="7" xr3:uid="{4AD174D1-5C5C-46E0-A6FE-A32D0E7D499C}" name="Pago" dataDxfId="125"/>
    <tableColumn id="5" xr3:uid="{1FFB35CA-F850-4DD8-8F0D-9928B95469DC}" name="Parcelamento2" dataDxfId="124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841AC9E-0978-404D-91E9-D1E164029CF6}" name="Tabela116182224" displayName="Tabela116182224" ref="A11:K34" totalsRowShown="0" headerRowDxfId="123" dataDxfId="122">
  <tableColumns count="11">
    <tableColumn id="1" xr3:uid="{C0A7071C-33F0-410E-B7F7-2437513C3C14}" name="Data" dataDxfId="121"/>
    <tableColumn id="2" xr3:uid="{282562F2-3F32-472D-9DEA-1B1571E9960B}" name="Cliente" dataDxfId="120"/>
    <tableColumn id="3" xr3:uid="{96D720A6-5989-46BD-8F99-8A02B0DBBAA7}" name="Produto/Serviço" dataDxfId="119"/>
    <tableColumn id="10" xr3:uid="{C8FBD9A6-ACAD-4DFE-81FE-0F1E3F014752}" name="Tipo" dataDxfId="118"/>
    <tableColumn id="4" xr3:uid="{203451D5-CEBA-40DA-BFF2-E62A8DE2E7C0}" name="Valor" dataDxfId="117" dataCellStyle="Moeda"/>
    <tableColumn id="5" xr3:uid="{122731F6-731F-4491-A87A-59AD0063C550}" name="Forma _x000a_de_x000a_ pagamento" dataDxfId="116"/>
    <tableColumn id="6" xr3:uid="{E7D00C58-53BB-4FD1-924A-60EF961FCE32}" name="Parcelas" dataDxfId="115"/>
    <tableColumn id="7" xr3:uid="{A89A8A6A-73B8-4FF7-A411-5F228D8B3B4F}" name="Nota _x000a_Fiscal" dataDxfId="114"/>
    <tableColumn id="8" xr3:uid="{AA2EF435-92C9-40A2-B280-4E5B7B7E0825}" name="Recebido" dataDxfId="113"/>
    <tableColumn id="9" xr3:uid="{9DB7A8B6-FA23-4418-A939-E720A85A0230}" name="Ano" dataDxfId="5">
      <calculatedColumnFormula>IF(Tabela116182224[[#This Row],[Data]]="","",YEAR(Tabela116182224[[#This Row],[Data]]))</calculatedColumnFormula>
    </tableColumn>
    <tableColumn id="11" xr3:uid="{532053B1-4FB6-4A2E-8DB8-BABEB78606A4}" name="mês" dataDxfId="112">
      <calculatedColumnFormula>IF(Tabela116182224[[#This Row],[Data]]="","",MONTH(Tabela116182224[[#This Row],[Data]]))</calculatedColumnFormula>
    </tableColumn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84BD1CE-FA49-42FA-BDCC-8DEF0A315305}" name="Tabela317192325" displayName="Tabela317192325" ref="M11:S34" totalsRowShown="0" headerRowDxfId="111" dataDxfId="109" headerRowBorderDxfId="110">
  <tableColumns count="7">
    <tableColumn id="1" xr3:uid="{4CA75DC3-1A54-43D7-A6E7-B0AF724A8FA1}" name="Data" dataDxfId="108"/>
    <tableColumn id="2" xr3:uid="{5717614C-4DCC-456A-BDD0-376F85E5F718}" name="Tipo de despesa" dataDxfId="107"/>
    <tableColumn id="3" xr3:uid="{09A3A071-D4CA-45AA-BC14-B9EA0C802945}" name="Valor" dataDxfId="106" dataCellStyle="Moeda"/>
    <tableColumn id="4" xr3:uid="{AE371237-6765-42FC-8F7F-59F1CEDFABFE}" name="Forma_x000a_ de _x000a_pagamento" dataDxfId="105"/>
    <tableColumn id="6" xr3:uid="{83B058BA-372E-4DF3-B4BF-9CC2D7C1338C}" name="Parcelas" dataDxfId="104"/>
    <tableColumn id="7" xr3:uid="{EC14B7ED-0E65-45B7-BCC9-251032D21D09}" name="Pago" dataDxfId="103"/>
    <tableColumn id="5" xr3:uid="{604B26F2-F3C6-4CCF-A761-7730877E86E6}" name="Parcelamento2" dataDxfId="102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8927EB0-E21A-4CE6-BD9C-AFBFAE6145C2}" name="Tabela11618222426" displayName="Tabela11618222426" ref="A11:K34" totalsRowShown="0" headerRowDxfId="101" dataDxfId="100">
  <tableColumns count="11">
    <tableColumn id="1" xr3:uid="{C2382803-3885-4062-8125-62DD3166BD81}" name="Data" dataDxfId="99"/>
    <tableColumn id="2" xr3:uid="{7759C350-AA01-48AA-900C-16992973211E}" name="Cliente" dataDxfId="98"/>
    <tableColumn id="3" xr3:uid="{AF474643-8E8D-4CC6-8333-6F39861F1017}" name="Produto/Serviço" dataDxfId="4">
      <calculatedColumnFormula>IF(Tabela11618222426[[#This Row],[Data]]="","",YEAR(Tabela11618222426[[#This Row],[Data]]))</calculatedColumnFormula>
    </tableColumn>
    <tableColumn id="10" xr3:uid="{2872898A-36B3-4E22-B2F7-0BFD982D4476}" name="Tipo" dataDxfId="97"/>
    <tableColumn id="4" xr3:uid="{2851DDC2-08F1-4DFC-A599-57B42246E6C6}" name="Valor" dataDxfId="96" dataCellStyle="Moeda"/>
    <tableColumn id="5" xr3:uid="{70486A78-B40C-40FA-9098-9E57C522A424}" name="Forma _x000a_de_x000a_ pagamento" dataDxfId="95"/>
    <tableColumn id="6" xr3:uid="{51F554C7-0EB0-4983-A778-E9434A52B755}" name="Parcelas" dataDxfId="94"/>
    <tableColumn id="7" xr3:uid="{539E2AE4-AEAB-4A4B-8595-4E6B9C1B052F}" name="Nota _x000a_Fiscal" dataDxfId="93"/>
    <tableColumn id="8" xr3:uid="{D9A4D425-77ED-4BDC-A77F-35B569D78464}" name="Recebido" dataDxfId="92"/>
    <tableColumn id="9" xr3:uid="{8264872B-47A3-41CB-A048-A0AC9F24FD93}" name="Ano" dataDxfId="3">
      <calculatedColumnFormula>IF(Tabela11618222426[[#This Row],[Data]]="","",YEAR(Tabela11618222426[[#This Row],[Data]]))</calculatedColumnFormula>
    </tableColumn>
    <tableColumn id="11" xr3:uid="{265084CE-78E2-4FAB-B982-8466DF1087E4}" name="mês" dataDxfId="91">
      <calculatedColumnFormula>IF(Tabela11618222426[[#This Row],[Data]]="","",MONTH(Tabela11618222426[[#This Row],[Data]]))</calculatedColumnFormula>
    </tableColumn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59386B5-CC77-4DC1-B73D-2D86F143246A}" name="Tabela31719232527" displayName="Tabela31719232527" ref="M11:S34" totalsRowShown="0" headerRowDxfId="90" dataDxfId="88" headerRowBorderDxfId="89">
  <tableColumns count="7">
    <tableColumn id="1" xr3:uid="{B7D3A431-65CE-49DD-B648-88DAA8F57748}" name="Data" dataDxfId="87"/>
    <tableColumn id="2" xr3:uid="{42597FF0-5A3C-4874-86BF-1CF82F7B9DD1}" name="Tipo de despesa" dataDxfId="86"/>
    <tableColumn id="3" xr3:uid="{2656D7B0-B2FD-4D41-A588-88EE50E356BD}" name="Valor" dataDxfId="85" dataCellStyle="Moeda"/>
    <tableColumn id="4" xr3:uid="{19DE10EB-E270-4722-87EF-50B064787D48}" name="Forma_x000a_ de _x000a_pagamento" dataDxfId="84"/>
    <tableColumn id="6" xr3:uid="{101FEF45-C6F4-41F9-A3FE-977A9AD3E12D}" name="Parcelas" dataDxfId="83"/>
    <tableColumn id="7" xr3:uid="{A8783437-FE0A-4E56-BB12-1C554C01673D}" name="Pago" dataDxfId="82"/>
    <tableColumn id="5" xr3:uid="{E0C3ADBB-0114-47DC-9362-15D08BFA1FC8}" name="Parcelamento2" dataDxfId="81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868CE1E-69E9-4EAA-B8CD-20C3EAA50974}" name="Tabela1161822242628" displayName="Tabela1161822242628" ref="A11:K34" totalsRowShown="0" headerRowDxfId="80" dataDxfId="79">
  <tableColumns count="11">
    <tableColumn id="1" xr3:uid="{E316DE2B-EC01-46C5-BE89-242A828883CD}" name="Data" dataDxfId="78"/>
    <tableColumn id="2" xr3:uid="{944E09F3-9BF0-4844-81D5-BA3E2E21301A}" name="Cliente" dataDxfId="77"/>
    <tableColumn id="3" xr3:uid="{C7D69594-394A-4D2B-9B3C-14395A7C478D}" name="Produto/Serviço" dataDxfId="76"/>
    <tableColumn id="10" xr3:uid="{5ED784AD-7697-4059-B377-6C074CB9AF07}" name="Tipo" dataDxfId="75"/>
    <tableColumn id="4" xr3:uid="{316812A5-B240-4705-91F6-15AA3DD844F8}" name="Valor" dataDxfId="74" dataCellStyle="Moeda"/>
    <tableColumn id="5" xr3:uid="{871BC422-28CF-4E39-96CC-CDD01F183372}" name="Forma _x000a_de_x000a_ pagamento" dataDxfId="73"/>
    <tableColumn id="6" xr3:uid="{A401F633-2D04-4FAA-A1B0-E2F529AC0153}" name="Parcelas" dataDxfId="72"/>
    <tableColumn id="7" xr3:uid="{85E1F845-E638-4D87-B607-B3613FA293CA}" name="Nota _x000a_Fiscal" dataDxfId="71"/>
    <tableColumn id="8" xr3:uid="{70C33345-B6D8-4B45-81E6-705EE6F31BC2}" name="Recebido" dataDxfId="70"/>
    <tableColumn id="9" xr3:uid="{94F5684D-B5C1-49B0-BA22-FF36B7A21E1F}" name="Ano" dataDxfId="13">
      <calculatedColumnFormula>IF(Tabela1161822242628[[#This Row],[Data]]="","",YEAR(Tabela1161822242628[[#This Row],[Data]]))</calculatedColumnFormula>
    </tableColumn>
    <tableColumn id="11" xr3:uid="{1114D334-777D-4B9F-8F58-DA632EFFD33B}" name="mês" dataDxfId="69">
      <calculatedColumnFormula>IF(Tabela1161822242628[[#This Row],[Data]]="","",MONTH(Tabela1161822242628[[#This Row],[Data]]))</calculatedColumnFormula>
    </tableColumn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9CD16BF-E39E-470E-BCA8-0C8968B20E53}" name="Tabela3171923252729" displayName="Tabela3171923252729" ref="M11:S34" totalsRowShown="0" headerRowDxfId="68" dataDxfId="66" headerRowBorderDxfId="67">
  <tableColumns count="7">
    <tableColumn id="1" xr3:uid="{5EEFD7FA-1041-4AD5-BB1D-6D0BF53ED33A}" name="Data" dataDxfId="65"/>
    <tableColumn id="2" xr3:uid="{98F89715-C447-460F-93B7-E887EB14B715}" name="Tipo de despesa" dataDxfId="64"/>
    <tableColumn id="3" xr3:uid="{477EA1AE-5F0D-4586-92A7-BDE989AE9CF8}" name="Valor" dataDxfId="63" dataCellStyle="Moeda"/>
    <tableColumn id="4" xr3:uid="{03F2F083-85A6-47F2-A850-CACC1F6DF7C9}" name="Forma_x000a_ de _x000a_pagamento" dataDxfId="62"/>
    <tableColumn id="6" xr3:uid="{31AE9E35-E05B-482D-9782-E30544CCEA84}" name="Parcelas" dataDxfId="61"/>
    <tableColumn id="7" xr3:uid="{1894E2A7-5C7B-4C6C-AF7D-9D1B71DCC298}" name="Pago" dataDxfId="60"/>
    <tableColumn id="5" xr3:uid="{83BC47A7-F481-4F53-953B-32552433EC86}" name="Parcelamento2" dataDxfId="59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D85F796-5111-419A-8ADF-EE9B019670E9}" name="Tabela116182224262830" displayName="Tabela116182224262830" ref="A11:K34" totalsRowShown="0" headerRowDxfId="58" dataDxfId="57">
  <tableColumns count="11">
    <tableColumn id="1" xr3:uid="{5BB03130-7FDD-4036-B246-4585067B2466}" name="Data" dataDxfId="56"/>
    <tableColumn id="2" xr3:uid="{40AF5D1E-ADD3-4414-9C32-D1C32DED613B}" name="Cliente" dataDxfId="55"/>
    <tableColumn id="3" xr3:uid="{72041A7C-41A2-4230-A7CF-48A768C7B87A}" name="Produto/Serviço" dataDxfId="54"/>
    <tableColumn id="10" xr3:uid="{B8225FAD-0EE6-403F-91C5-07083DBACF94}" name="Tipo" dataDxfId="53"/>
    <tableColumn id="4" xr3:uid="{FC9B5A31-1D1B-473B-8FD2-4815F5542AD7}" name="Valor" dataDxfId="52" dataCellStyle="Moeda"/>
    <tableColumn id="5" xr3:uid="{8228D4B6-6B90-423E-A511-4897962CA5E4}" name="Forma _x000a_de_x000a_ pagamento" dataDxfId="51"/>
    <tableColumn id="6" xr3:uid="{6964B5B5-A28A-4716-A8FC-C1E9DBF63D02}" name="Parcelas" dataDxfId="50"/>
    <tableColumn id="7" xr3:uid="{8B9983BD-E58D-4645-B84C-ED4D8CE38AAE}" name="Nota _x000a_Fiscal" dataDxfId="49"/>
    <tableColumn id="8" xr3:uid="{ADC96E56-E292-4E23-8F1A-AB7E6D42590D}" name="Recebido" dataDxfId="48"/>
    <tableColumn id="9" xr3:uid="{9CFBE531-8D61-4DDD-AD19-7A57A89B4848}" name="Ano" dataDxfId="0">
      <calculatedColumnFormula>IF(Tabela116182224262830[[#This Row],[Data]]="","",YEAR(Tabela116182224262830[[#This Row],[Data]]))</calculatedColumnFormula>
    </tableColumn>
    <tableColumn id="11" xr3:uid="{B5EBA821-5DBE-4BFE-92E6-20E94F274E8C}" name="mês" dataDxfId="47">
      <calculatedColumnFormula>IF(Tabela116182224262830[[#This Row],[Data]]="","",MONTH(Tabela116182224262830[[#This Row],[Data]]))</calculatedColumnFormula>
    </tableColumn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0C90CFB-1175-4536-B4B1-C675BD929E07}" name="Tabela317192325272931" displayName="Tabela317192325272931" ref="M11:S34" totalsRowShown="0" headerRowDxfId="46" dataDxfId="44" headerRowBorderDxfId="45">
  <tableColumns count="7">
    <tableColumn id="1" xr3:uid="{1C82F10F-663E-4CB3-B3C2-531D3C7299A7}" name="Data" dataDxfId="43"/>
    <tableColumn id="2" xr3:uid="{58516A43-D2A0-41A6-98BE-C93777AD1C9F}" name="Tipo de despesa" dataDxfId="42"/>
    <tableColumn id="3" xr3:uid="{BFACA2F6-2E3C-475B-9C06-AA88F0B13F41}" name="Valor" dataDxfId="41" dataCellStyle="Moeda"/>
    <tableColumn id="4" xr3:uid="{718BD468-5345-4EC6-8FEB-26966276BFF7}" name="Forma_x000a_ de _x000a_pagamento" dataDxfId="40"/>
    <tableColumn id="6" xr3:uid="{07EAA9FD-788A-4F80-98AC-C27B2D0AB252}" name="Parcelas" dataDxfId="39"/>
    <tableColumn id="7" xr3:uid="{03DE5595-0BA0-444B-BAB8-BF3BA0333F91}" name="Pago" dataDxfId="38"/>
    <tableColumn id="5" xr3:uid="{F45658F7-AEF0-437B-9A8E-E3ECB86115F3}" name="Parcelamento2" dataDxfId="37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1EEF21-CCD3-463E-97E9-B0DF3D4BA663}" name="Tabela11618222426283040" displayName="Tabela11618222426283040" ref="A11:K34" totalsRowShown="0" headerRowDxfId="36" dataDxfId="35">
  <tableColumns count="11">
    <tableColumn id="1" xr3:uid="{50156EE3-F094-4B97-8DA2-61205E8C05FD}" name="Data" dataDxfId="34"/>
    <tableColumn id="2" xr3:uid="{E56D7ABC-6048-4AB8-907C-BB811710DDD8}" name="Cliente" dataDxfId="33"/>
    <tableColumn id="3" xr3:uid="{8B1D9443-2CEE-4A86-BE24-256BC56B6F48}" name="Produto/Serviço" dataDxfId="32"/>
    <tableColumn id="10" xr3:uid="{A7676258-7AFC-4C77-8662-63BC884C33CE}" name="Tipo" dataDxfId="31"/>
    <tableColumn id="4" xr3:uid="{CCB1103D-422D-4B3F-BD20-83FBFF38C09E}" name="Valor" dataDxfId="30" dataCellStyle="Moeda"/>
    <tableColumn id="5" xr3:uid="{D9F6977B-5BA6-47A9-8081-067ECAE6BCDF}" name="Forma _x000a_de_x000a_ pagamento" dataDxfId="29"/>
    <tableColumn id="6" xr3:uid="{89D2662F-EB93-4702-8BF2-16CC67B1CF76}" name="Parcelas" dataDxfId="28"/>
    <tableColumn id="7" xr3:uid="{A94F1918-8286-48D1-B0B6-EEF21F3C498C}" name="Nota _x000a_Fiscal" dataDxfId="27"/>
    <tableColumn id="8" xr3:uid="{DF4FBDF1-B7E6-4E28-B7D1-5156F6D18065}" name="Recebido" dataDxfId="26"/>
    <tableColumn id="9" xr3:uid="{8CD41BCE-1506-443C-8328-4978D3D22C9B}" name="Ano" dataDxfId="25">
      <calculatedColumnFormula>IF(Tabela11618222426283040[[#This Row],[Data]]="","",YEAR(Tabela11618222426283040[[#This Row],[Data]]))</calculatedColumnFormula>
    </tableColumn>
    <tableColumn id="11" xr3:uid="{AC028FB6-846A-4C1A-BCAC-B9D4527B4642}" name="mês" dataDxfId="24">
      <calculatedColumnFormula>IF(Tabela11618222426283040[[#This Row],[Data]]="","",MONTH(Tabela11618222426283040[[#This Row],[Data]]))</calculatedColumnFormula>
    </tableColumn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7E04C107-5E6B-49E4-A936-93AA0D18491D}" name="Tabela31719232527293141" displayName="Tabela31719232527293141" ref="M11:S34" totalsRowShown="0" headerRowDxfId="23" dataDxfId="21" headerRowBorderDxfId="22">
  <tableColumns count="7">
    <tableColumn id="1" xr3:uid="{172CD99E-8625-4F73-84C7-E2C216921E94}" name="Data" dataDxfId="20"/>
    <tableColumn id="2" xr3:uid="{948C7461-1A71-4FCC-9AA4-7F3B6510631E}" name="Tipo de despesa" dataDxfId="19"/>
    <tableColumn id="3" xr3:uid="{F8A67A25-E847-439A-8021-EA48CA38E02E}" name="Valor" dataDxfId="18" dataCellStyle="Moeda"/>
    <tableColumn id="4" xr3:uid="{291C54C3-D0F8-4EC1-B1E8-F993DFEDFAD3}" name="Forma_x000a_ de _x000a_pagamento" dataDxfId="17"/>
    <tableColumn id="6" xr3:uid="{034428D2-117C-4018-831D-6FCE6CF20EC6}" name="Parcelas" dataDxfId="16"/>
    <tableColumn id="7" xr3:uid="{9DEC0D79-BEC2-4B91-987C-2F74BB8ED566}" name="Pago" dataDxfId="15"/>
    <tableColumn id="5" xr3:uid="{E86C40A6-D096-4046-B194-BB4FE638D5AC}" name="Parcelamento2" dataDxfId="14">
      <calculatedColumnFormula>IFERROR(LEFT(Q12,SEARCH("/",Q12)-1)*1,"-")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6D65-8675-4E67-852E-4982160AAB01}">
  <sheetPr codeName="Planilha1">
    <pageSetUpPr fitToPage="1"/>
  </sheetPr>
  <dimension ref="A1:S50"/>
  <sheetViews>
    <sheetView showGridLines="0" zoomScale="50" zoomScaleNormal="50" workbookViewId="0">
      <pane ySplit="11" topLeftCell="A12" activePane="bottomLeft" state="frozen"/>
      <selection activeCell="E31" sqref="E31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bestFit="1" customWidth="1"/>
    <col min="5" max="5" width="15.85546875" style="11" bestFit="1" customWidth="1"/>
    <col min="6" max="6" width="12.7109375" style="10" bestFit="1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hidden="1" customWidth="1"/>
    <col min="12" max="12" width="6.28515625" style="10" customWidth="1"/>
    <col min="13" max="13" width="11.5703125" style="10" bestFit="1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x14ac:dyDescent="0.25">
      <c r="A4" s="33" t="s">
        <v>16</v>
      </c>
      <c r="B4" s="78" t="s">
        <v>17</v>
      </c>
      <c r="C4" s="78"/>
    </row>
    <row r="5" spans="1:19" ht="15.75" x14ac:dyDescent="0.25">
      <c r="A5" s="33" t="s">
        <v>15</v>
      </c>
      <c r="B5" s="78">
        <v>2019</v>
      </c>
      <c r="C5" s="78"/>
      <c r="G5" s="80"/>
      <c r="H5" s="82"/>
      <c r="I5" s="83"/>
    </row>
    <row r="6" spans="1:19" ht="3.75" customHeight="1" x14ac:dyDescent="0.25">
      <c r="A6" s="33"/>
      <c r="B6" s="3"/>
      <c r="C6" s="3"/>
      <c r="G6" s="81"/>
      <c r="H6" s="83"/>
      <c r="I6" s="83"/>
    </row>
    <row r="7" spans="1:19" ht="15.75" x14ac:dyDescent="0.25">
      <c r="A7" s="33" t="s">
        <v>40</v>
      </c>
      <c r="B7" s="78"/>
      <c r="C7" s="78"/>
    </row>
    <row r="8" spans="1:19" ht="6.75" customHeight="1" x14ac:dyDescent="0.25">
      <c r="A8" s="34"/>
    </row>
    <row r="9" spans="1:19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Jan/19</v>
      </c>
      <c r="I9" s="66"/>
      <c r="M9" s="69" t="s">
        <v>57</v>
      </c>
      <c r="N9" s="69"/>
      <c r="O9" s="69"/>
      <c r="P9" s="69"/>
      <c r="Q9" s="67" t="str">
        <f>LEFT($B$4,3)&amp;"/"&amp;RIGHT($B$5,2)</f>
        <v>Jan/19</v>
      </c>
      <c r="R9" s="67"/>
    </row>
    <row r="10" spans="1:19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9"/>
      <c r="B12" s="5"/>
      <c r="C12" s="5"/>
      <c r="G12" s="12"/>
      <c r="I12" s="13"/>
      <c r="J12" s="10" t="str">
        <f>IF(Tabela1[[#This Row],[Data]]="","",YEAR(Tabela1[[#This Row],[Data]]))</f>
        <v/>
      </c>
      <c r="K12" s="10" t="str">
        <f>IF(Tabela1[[#This Row],[Data]]="","",MONTH(Tabela1[[#This Row],[Data]]))</f>
        <v/>
      </c>
      <c r="M12" s="20"/>
      <c r="N12" s="21"/>
      <c r="O12" s="22"/>
      <c r="P12" s="21"/>
      <c r="Q12" s="23"/>
      <c r="R12" s="24"/>
      <c r="S12" s="10" t="str">
        <f t="shared" ref="S12:S32" si="0">IFERROR(LEFT(Q12,SEARCH("/",Q12)-1)*1,"-")</f>
        <v>-</v>
      </c>
    </row>
    <row r="13" spans="1:19" x14ac:dyDescent="0.25">
      <c r="A13" s="9"/>
      <c r="G13" s="12"/>
      <c r="I13" s="13"/>
      <c r="J13" s="10" t="str">
        <f>IF(Tabela1[[#This Row],[Data]]="","",YEAR(Tabela1[[#This Row],[Data]]))</f>
        <v/>
      </c>
      <c r="K13" s="10" t="str">
        <f>IF(Tabela1[[#This Row],[Data]]="","",MONTH(Tabela1[[#This Row],[Data]]))</f>
        <v/>
      </c>
      <c r="M13" s="25"/>
      <c r="O13" s="11"/>
      <c r="Q13" s="12"/>
      <c r="R13" s="26"/>
      <c r="S13" s="10" t="str">
        <f t="shared" si="0"/>
        <v>-</v>
      </c>
    </row>
    <row r="14" spans="1:19" x14ac:dyDescent="0.25">
      <c r="A14" s="9"/>
      <c r="G14" s="12"/>
      <c r="I14" s="13"/>
      <c r="J14" s="10" t="str">
        <f>IF(Tabela1[[#This Row],[Data]]="","",YEAR(Tabela1[[#This Row],[Data]]))</f>
        <v/>
      </c>
      <c r="K14" s="10" t="str">
        <f>IF(Tabela1[[#This Row],[Data]]="","",MONTH(Tabela1[[#This Row],[Data]]))</f>
        <v/>
      </c>
      <c r="M14" s="25"/>
      <c r="O14" s="11"/>
      <c r="Q14" s="12"/>
      <c r="R14" s="26"/>
      <c r="S14" s="10" t="str">
        <f t="shared" si="0"/>
        <v>-</v>
      </c>
    </row>
    <row r="15" spans="1:19" x14ac:dyDescent="0.25">
      <c r="A15" s="9"/>
      <c r="G15" s="12"/>
      <c r="I15" s="13"/>
      <c r="J15" s="10" t="str">
        <f>IF(Tabela1[[#This Row],[Data]]="","",YEAR(Tabela1[[#This Row],[Data]]))</f>
        <v/>
      </c>
      <c r="K15" s="10" t="str">
        <f>IF(Tabela1[[#This Row],[Data]]="","",MONTH(Tabela1[[#This Row],[Data]]))</f>
        <v/>
      </c>
      <c r="M15" s="25"/>
      <c r="O15" s="11"/>
      <c r="Q15" s="12"/>
      <c r="R15" s="26"/>
      <c r="S15" s="10" t="str">
        <f t="shared" si="0"/>
        <v>-</v>
      </c>
    </row>
    <row r="16" spans="1:19" x14ac:dyDescent="0.25">
      <c r="A16" s="9"/>
      <c r="G16" s="12"/>
      <c r="I16" s="13"/>
      <c r="J16" s="10" t="str">
        <f>IF(Tabela1[[#This Row],[Data]]="","",YEAR(Tabela1[[#This Row],[Data]]))</f>
        <v/>
      </c>
      <c r="K16" s="10" t="str">
        <f>IF(Tabela1[[#This Row],[Data]]="","",MONTH(Tabela1[[#This Row],[Data]]))</f>
        <v/>
      </c>
      <c r="M16" s="25"/>
      <c r="O16" s="11"/>
      <c r="Q16" s="12"/>
      <c r="R16" s="26"/>
      <c r="S16" s="10" t="str">
        <f t="shared" si="0"/>
        <v>-</v>
      </c>
    </row>
    <row r="17" spans="1:19" x14ac:dyDescent="0.25">
      <c r="A17" s="9"/>
      <c r="G17" s="12"/>
      <c r="I17" s="13"/>
      <c r="J17" s="10" t="str">
        <f>IF(Tabela1[[#This Row],[Data]]="","",YEAR(Tabela1[[#This Row],[Data]]))</f>
        <v/>
      </c>
      <c r="K17" s="10" t="str">
        <f>IF(Tabela1[[#This Row],[Data]]="","",MONTH(Tabela1[[#This Row],[Data]]))</f>
        <v/>
      </c>
      <c r="M17" s="25"/>
      <c r="O17" s="11"/>
      <c r="Q17" s="12"/>
      <c r="R17" s="26"/>
      <c r="S17" s="10" t="str">
        <f t="shared" si="0"/>
        <v>-</v>
      </c>
    </row>
    <row r="18" spans="1:19" x14ac:dyDescent="0.25">
      <c r="A18" s="14"/>
      <c r="G18" s="12"/>
      <c r="I18" s="13"/>
      <c r="J18" s="10" t="str">
        <f>IF(Tabela1[[#This Row],[Data]]="","",YEAR(Tabela1[[#This Row],[Data]]))</f>
        <v/>
      </c>
      <c r="K18" s="10" t="str">
        <f>IF(Tabela1[[#This Row],[Data]]="","",MONTH(Tabela1[[#This Row],[Data]]))</f>
        <v/>
      </c>
      <c r="M18" s="25"/>
      <c r="O18" s="11"/>
      <c r="Q18" s="12"/>
      <c r="R18" s="26"/>
      <c r="S18" s="10" t="str">
        <f t="shared" si="0"/>
        <v>-</v>
      </c>
    </row>
    <row r="19" spans="1:19" x14ac:dyDescent="0.25">
      <c r="A19" s="14"/>
      <c r="G19" s="12"/>
      <c r="I19" s="13"/>
      <c r="J19" s="10" t="str">
        <f>IF(Tabela1[[#This Row],[Data]]="","",YEAR(Tabela1[[#This Row],[Data]]))</f>
        <v/>
      </c>
      <c r="K19" s="10" t="str">
        <f>IF(Tabela1[[#This Row],[Data]]="","",MONTH(Tabela1[[#This Row],[Data]]))</f>
        <v/>
      </c>
      <c r="M19" s="25"/>
      <c r="O19" s="11"/>
      <c r="Q19" s="12"/>
      <c r="R19" s="26"/>
      <c r="S19" s="10" t="str">
        <f t="shared" ref="S19:S30" si="1">IFERROR(LEFT(Q19,SEARCH("/",Q19)-1)*1,"-")</f>
        <v>-</v>
      </c>
    </row>
    <row r="20" spans="1:19" x14ac:dyDescent="0.25">
      <c r="A20" s="14"/>
      <c r="G20" s="12"/>
      <c r="I20" s="13"/>
      <c r="J20" s="10" t="str">
        <f>IF(Tabela1[[#This Row],[Data]]="","",YEAR(Tabela1[[#This Row],[Data]]))</f>
        <v/>
      </c>
      <c r="K20" s="10" t="str">
        <f>IF(Tabela1[[#This Row],[Data]]="","",MONTH(Tabela1[[#This Row],[Data]]))</f>
        <v/>
      </c>
      <c r="M20" s="25"/>
      <c r="O20" s="11"/>
      <c r="Q20" s="12"/>
      <c r="R20" s="26"/>
      <c r="S20" s="10" t="str">
        <f t="shared" si="1"/>
        <v>-</v>
      </c>
    </row>
    <row r="21" spans="1:19" x14ac:dyDescent="0.25">
      <c r="A21" s="14"/>
      <c r="G21" s="12"/>
      <c r="I21" s="13"/>
      <c r="J21" s="10" t="str">
        <f>IF(Tabela1[[#This Row],[Data]]="","",YEAR(Tabela1[[#This Row],[Data]]))</f>
        <v/>
      </c>
      <c r="K21" s="10" t="str">
        <f>IF(Tabela1[[#This Row],[Data]]="","",MONTH(Tabela1[[#This Row],[Data]]))</f>
        <v/>
      </c>
      <c r="M21" s="25"/>
      <c r="O21" s="11"/>
      <c r="Q21" s="12"/>
      <c r="R21" s="26"/>
      <c r="S21" s="10" t="str">
        <f t="shared" si="1"/>
        <v>-</v>
      </c>
    </row>
    <row r="22" spans="1:19" x14ac:dyDescent="0.25">
      <c r="A22" s="14"/>
      <c r="G22" s="12"/>
      <c r="I22" s="13"/>
      <c r="J22" s="10" t="str">
        <f>IF(Tabela1[[#This Row],[Data]]="","",YEAR(Tabela1[[#This Row],[Data]]))</f>
        <v/>
      </c>
      <c r="K22" s="10" t="str">
        <f>IF(Tabela1[[#This Row],[Data]]="","",MONTH(Tabela1[[#This Row],[Data]]))</f>
        <v/>
      </c>
      <c r="M22" s="25"/>
      <c r="O22" s="11"/>
      <c r="Q22" s="12"/>
      <c r="R22" s="26"/>
      <c r="S22" s="10" t="str">
        <f t="shared" si="1"/>
        <v>-</v>
      </c>
    </row>
    <row r="23" spans="1:19" x14ac:dyDescent="0.25">
      <c r="A23" s="14"/>
      <c r="G23" s="12"/>
      <c r="I23" s="13"/>
      <c r="J23" s="10" t="str">
        <f>IF(Tabela1[[#This Row],[Data]]="","",YEAR(Tabela1[[#This Row],[Data]]))</f>
        <v/>
      </c>
      <c r="K23" s="10" t="str">
        <f>IF(Tabela1[[#This Row],[Data]]="","",MONTH(Tabela1[[#This Row],[Data]]))</f>
        <v/>
      </c>
      <c r="M23" s="25"/>
      <c r="O23" s="11"/>
      <c r="Q23" s="12"/>
      <c r="R23" s="26"/>
      <c r="S23" s="10" t="str">
        <f t="shared" si="1"/>
        <v>-</v>
      </c>
    </row>
    <row r="24" spans="1:19" x14ac:dyDescent="0.25">
      <c r="A24" s="14"/>
      <c r="G24" s="12"/>
      <c r="I24" s="13"/>
      <c r="J24" s="10" t="str">
        <f>IF(Tabela1[[#This Row],[Data]]="","",YEAR(Tabela1[[#This Row],[Data]]))</f>
        <v/>
      </c>
      <c r="K24" s="10" t="str">
        <f>IF(Tabela1[[#This Row],[Data]]="","",MONTH(Tabela1[[#This Row],[Data]]))</f>
        <v/>
      </c>
      <c r="L24" s="42"/>
      <c r="M24" s="25"/>
      <c r="O24" s="11"/>
      <c r="Q24" s="12"/>
      <c r="R24" s="26"/>
      <c r="S24" s="10" t="str">
        <f t="shared" si="1"/>
        <v>-</v>
      </c>
    </row>
    <row r="25" spans="1:19" x14ac:dyDescent="0.25">
      <c r="A25" s="14"/>
      <c r="G25" s="12"/>
      <c r="I25" s="13"/>
      <c r="J25" s="10" t="str">
        <f>IF(Tabela1[[#This Row],[Data]]="","",YEAR(Tabela1[[#This Row],[Data]]))</f>
        <v/>
      </c>
      <c r="K25" s="10" t="str">
        <f>IF(Tabela1[[#This Row],[Data]]="","",MONTH(Tabela1[[#This Row],[Data]]))</f>
        <v/>
      </c>
      <c r="L25" s="42"/>
      <c r="M25" s="25"/>
      <c r="O25" s="11"/>
      <c r="Q25" s="12"/>
      <c r="R25" s="26"/>
      <c r="S25" s="10" t="str">
        <f t="shared" si="1"/>
        <v>-</v>
      </c>
    </row>
    <row r="26" spans="1:19" x14ac:dyDescent="0.25">
      <c r="A26" s="14"/>
      <c r="G26" s="12"/>
      <c r="I26" s="13"/>
      <c r="J26" s="10" t="str">
        <f>IF(Tabela1[[#This Row],[Data]]="","",YEAR(Tabela1[[#This Row],[Data]]))</f>
        <v/>
      </c>
      <c r="K26" s="10" t="str">
        <f>IF(Tabela1[[#This Row],[Data]]="","",MONTH(Tabela1[[#This Row],[Data]]))</f>
        <v/>
      </c>
      <c r="L26" s="42"/>
      <c r="M26" s="25"/>
      <c r="O26" s="11"/>
      <c r="Q26" s="12"/>
      <c r="R26" s="26"/>
      <c r="S26" s="10" t="str">
        <f t="shared" si="1"/>
        <v>-</v>
      </c>
    </row>
    <row r="27" spans="1:19" x14ac:dyDescent="0.25">
      <c r="A27" s="14"/>
      <c r="G27" s="12"/>
      <c r="I27" s="13"/>
      <c r="J27" s="10" t="str">
        <f>IF(Tabela1[[#This Row],[Data]]="","",YEAR(Tabela1[[#This Row],[Data]]))</f>
        <v/>
      </c>
      <c r="K27" s="10" t="str">
        <f>IF(Tabela1[[#This Row],[Data]]="","",MONTH(Tabela1[[#This Row],[Data]]))</f>
        <v/>
      </c>
      <c r="M27" s="25"/>
      <c r="O27" s="11"/>
      <c r="Q27" s="12"/>
      <c r="R27" s="26"/>
      <c r="S27" s="10" t="str">
        <f t="shared" si="1"/>
        <v>-</v>
      </c>
    </row>
    <row r="28" spans="1:19" x14ac:dyDescent="0.25">
      <c r="A28" s="14"/>
      <c r="G28" s="12"/>
      <c r="I28" s="13"/>
      <c r="J28" s="10" t="str">
        <f>IF(Tabela1[[#This Row],[Data]]="","",YEAR(Tabela1[[#This Row],[Data]]))</f>
        <v/>
      </c>
      <c r="K28" s="10" t="str">
        <f>IF(Tabela1[[#This Row],[Data]]="","",MONTH(Tabela1[[#This Row],[Data]]))</f>
        <v/>
      </c>
      <c r="M28" s="25"/>
      <c r="O28" s="11"/>
      <c r="Q28" s="12"/>
      <c r="R28" s="26"/>
      <c r="S28" s="10" t="str">
        <f t="shared" si="1"/>
        <v>-</v>
      </c>
    </row>
    <row r="29" spans="1:19" x14ac:dyDescent="0.25">
      <c r="A29" s="14"/>
      <c r="G29" s="12"/>
      <c r="I29" s="13"/>
      <c r="J29" s="10" t="str">
        <f>IF(Tabela1[[#This Row],[Data]]="","",YEAR(Tabela1[[#This Row],[Data]]))</f>
        <v/>
      </c>
      <c r="K29" s="10" t="str">
        <f>IF(Tabela1[[#This Row],[Data]]="","",MONTH(Tabela1[[#This Row],[Data]]))</f>
        <v/>
      </c>
      <c r="M29" s="25"/>
      <c r="O29" s="11"/>
      <c r="Q29" s="12"/>
      <c r="R29" s="26"/>
      <c r="S29" s="10" t="str">
        <f t="shared" si="1"/>
        <v>-</v>
      </c>
    </row>
    <row r="30" spans="1:19" x14ac:dyDescent="0.25">
      <c r="A30" s="14"/>
      <c r="G30" s="12"/>
      <c r="I30" s="13"/>
      <c r="J30" s="10" t="str">
        <f>IF(Tabela1[[#This Row],[Data]]="","",YEAR(Tabela1[[#This Row],[Data]]))</f>
        <v/>
      </c>
      <c r="K30" s="10" t="str">
        <f>IF(Tabela1[[#This Row],[Data]]="","",MONTH(Tabela1[[#This Row],[Data]]))</f>
        <v/>
      </c>
      <c r="M30" s="25"/>
      <c r="O30" s="11"/>
      <c r="Q30" s="12"/>
      <c r="R30" s="26"/>
      <c r="S30" s="10" t="str">
        <f t="shared" si="1"/>
        <v>-</v>
      </c>
    </row>
    <row r="31" spans="1:19" x14ac:dyDescent="0.25">
      <c r="A31" s="14"/>
      <c r="G31" s="12"/>
      <c r="I31" s="13"/>
      <c r="J31" s="10" t="str">
        <f>IF(Tabela1[[#This Row],[Data]]="","",YEAR(Tabela1[[#This Row],[Data]]))</f>
        <v/>
      </c>
      <c r="K31" s="10" t="str">
        <f>IF(Tabela1[[#This Row],[Data]]="","",MONTH(Tabela1[[#This Row],[Data]]))</f>
        <v/>
      </c>
      <c r="M31" s="25"/>
      <c r="O31" s="11"/>
      <c r="Q31" s="12"/>
      <c r="R31" s="26"/>
      <c r="S31" s="10" t="str">
        <f t="shared" si="0"/>
        <v>-</v>
      </c>
    </row>
    <row r="32" spans="1:19" x14ac:dyDescent="0.25">
      <c r="A32" s="14"/>
      <c r="G32" s="12"/>
      <c r="I32" s="13"/>
      <c r="J32" s="10" t="str">
        <f>IF(Tabela1[[#This Row],[Data]]="","",YEAR(Tabela1[[#This Row],[Data]]))</f>
        <v/>
      </c>
      <c r="K32" s="10" t="str">
        <f>IF(Tabela1[[#This Row],[Data]]="","",MONTH(Tabela1[[#This Row],[Data]]))</f>
        <v/>
      </c>
      <c r="M32" s="25"/>
      <c r="O32" s="11"/>
      <c r="Q32" s="12"/>
      <c r="R32" s="26"/>
      <c r="S32" s="10" t="str">
        <f t="shared" si="0"/>
        <v>-</v>
      </c>
    </row>
    <row r="33" spans="1:19" x14ac:dyDescent="0.25">
      <c r="A33" s="14"/>
      <c r="G33" s="12"/>
      <c r="I33" s="13"/>
      <c r="J33" s="10" t="str">
        <f>IF(Tabela1[[#This Row],[Data]]="","",YEAR(Tabela1[[#This Row],[Data]]))</f>
        <v/>
      </c>
      <c r="K33" s="10" t="str">
        <f>IF(Tabela1[[#This Row],[Data]]="","",MONTH(Tabela1[[#This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2"/>
      <c r="H34" s="16"/>
      <c r="I34" s="19"/>
      <c r="J34" s="10" t="str">
        <f>IF(Tabela1[[#This Row],[Data]]="","",YEAR(Tabela1[[#This Row],[Data]]))</f>
        <v/>
      </c>
      <c r="K34" s="10" t="str">
        <f>IF(Tabela1[[#This Row],[Data]]="","",MONTH(Tabela1[[#This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21</v>
      </c>
      <c r="B35" s="71"/>
      <c r="C35" s="43" t="s">
        <v>22</v>
      </c>
      <c r="D35" s="44"/>
      <c r="E35" s="44"/>
      <c r="F35" s="87" t="s">
        <v>23</v>
      </c>
      <c r="G35" s="88"/>
      <c r="H35" s="88"/>
      <c r="I35" s="89"/>
      <c r="M35" s="61" t="s">
        <v>26</v>
      </c>
      <c r="N35" s="61"/>
      <c r="P35" s="79" t="s">
        <v>23</v>
      </c>
      <c r="Q35" s="79"/>
      <c r="R35" s="79"/>
    </row>
    <row r="36" spans="1:19" ht="15" customHeight="1" x14ac:dyDescent="0.25">
      <c r="A36" s="72">
        <f>SUMIFS(Tabela1[Valor],Tabela1[Recebido],"Sim",Tabela1[Ano],YEAR($H$9),Tabela1[mês],MONTH($H$9))</f>
        <v>0</v>
      </c>
      <c r="B36" s="73"/>
      <c r="C36" s="84">
        <f>SUMIF(Tabela1[Recebido],"Sim",Tabela1[Valor])-A36</f>
        <v>0</v>
      </c>
      <c r="D36" s="11"/>
      <c r="F36" s="90">
        <f>SUMIF(I12:I34,"Sim",E12:E34)</f>
        <v>0</v>
      </c>
      <c r="G36" s="91"/>
      <c r="H36" s="91"/>
      <c r="I36" s="92"/>
      <c r="M36" s="62">
        <f>SUM(Tabela3[Valor])</f>
        <v>0</v>
      </c>
      <c r="N36" s="63"/>
      <c r="O36" s="11"/>
      <c r="P36" s="68">
        <f>SUMIF(Tabela3[Pago],"Sim",Tabela3[Valor])</f>
        <v>0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50" spans="16:16" x14ac:dyDescent="0.25">
      <c r="P50" s="10" t="s">
        <v>75</v>
      </c>
    </row>
  </sheetData>
  <mergeCells count="19">
    <mergeCell ref="C36:C38"/>
    <mergeCell ref="F35:I35"/>
    <mergeCell ref="F36:I38"/>
    <mergeCell ref="M35:N35"/>
    <mergeCell ref="M36:N38"/>
    <mergeCell ref="A9:G10"/>
    <mergeCell ref="A1:R2"/>
    <mergeCell ref="H9:I10"/>
    <mergeCell ref="Q9:R10"/>
    <mergeCell ref="P36:R38"/>
    <mergeCell ref="M9:P10"/>
    <mergeCell ref="A35:B35"/>
    <mergeCell ref="A36:B38"/>
    <mergeCell ref="B4:C4"/>
    <mergeCell ref="B5:C5"/>
    <mergeCell ref="B7:C7"/>
    <mergeCell ref="P35:R35"/>
    <mergeCell ref="G5:G6"/>
    <mergeCell ref="H5:I6"/>
  </mergeCells>
  <dataValidations count="6">
    <dataValidation type="list" allowBlank="1" showInputMessage="1" showErrorMessage="1" sqref="R12:R34 H12:I34" xr:uid="{FD8F688C-F88B-482D-B41A-3B6F45AA24C9}">
      <formula1>"Sim,Não,-"</formula1>
    </dataValidation>
    <dataValidation type="list" allowBlank="1" showInputMessage="1" showErrorMessage="1" sqref="F12:F34" xr:uid="{1982F2A9-B7DB-4B13-B874-139C936C1794}">
      <formula1>"Dinheiro,Boleto,Cartão de débito,Cartão de crédito,Cheque,Outros"</formula1>
    </dataValidation>
    <dataValidation type="list" allowBlank="1" showInputMessage="1" showErrorMessage="1" sqref="B4:C4" xr:uid="{96B60C1D-6D6D-4291-8DE0-8251ADA9B039}">
      <formula1>"Janeiro,Fevereiro,Março,Abril,Maio,Junho,Julho,Agosto,Setembro,Outubro,Novembro,Dezembro"</formula1>
    </dataValidation>
    <dataValidation type="list" allowBlank="1" showInputMessage="1" showErrorMessage="1" sqref="B5:C5" xr:uid="{5D8E8ECB-C342-4A67-AB0B-C5FA3C208EFB}">
      <formula1>"2019,2020,2021,2022"</formula1>
    </dataValidation>
    <dataValidation type="list" allowBlank="1" showInputMessage="1" showErrorMessage="1" sqref="D12:D34" xr:uid="{0731DF50-081E-48E2-BC93-92A0CDD7C869}">
      <formula1>"Comércio,Indústria,Transporte intermunicipais e interestaduais,Fornecimento de refeições,Serviço"</formula1>
    </dataValidation>
    <dataValidation type="list" allowBlank="1" showInputMessage="1" showErrorMessage="1" sqref="P12:P34" xr:uid="{286BC4C2-96A8-4355-9219-DE03C195651C}">
      <formula1>"Dinheiro,Cartão de débito,Cartão de crédito,Cheque,Outros"</formula1>
    </dataValidation>
  </dataValidations>
  <pageMargins left="0.511811024" right="0.511811024" top="0.78740157499999996" bottom="0.78740157499999996" header="0.31496062000000002" footer="0.31496062000000002"/>
  <pageSetup paperSize="9" scale="52" orientation="landscape" horizontalDpi="300" verticalDpi="30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C30D-87E8-4640-828A-74E714BA5CEC}">
  <sheetPr codeName="Planilha13">
    <pageSetUpPr fitToPage="1"/>
  </sheetPr>
  <dimension ref="A1:S46"/>
  <sheetViews>
    <sheetView showGridLines="0" zoomScale="50" zoomScaleNormal="50" workbookViewId="0">
      <pane ySplit="11" topLeftCell="A12" activePane="bottomLeft" state="frozen"/>
      <selection activeCell="D12" sqref="D12:I17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bestFit="1" customWidth="1"/>
    <col min="5" max="5" width="14.85546875" style="11" bestFit="1" customWidth="1"/>
    <col min="6" max="6" width="12.7109375" style="10" bestFit="1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hidden="1" customWidth="1"/>
    <col min="12" max="12" width="6.28515625" style="10" customWidth="1"/>
    <col min="13" max="13" width="11.5703125" style="10" bestFit="1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x14ac:dyDescent="0.25">
      <c r="A4" s="33" t="s">
        <v>16</v>
      </c>
      <c r="B4" s="78" t="s">
        <v>29</v>
      </c>
      <c r="C4" s="78"/>
    </row>
    <row r="5" spans="1:19" ht="15.75" x14ac:dyDescent="0.25">
      <c r="A5" s="33" t="s">
        <v>15</v>
      </c>
      <c r="B5" s="78">
        <v>2019</v>
      </c>
      <c r="C5" s="78"/>
      <c r="G5" s="80"/>
      <c r="H5" s="82"/>
      <c r="I5" s="83"/>
    </row>
    <row r="6" spans="1:19" ht="3.75" customHeight="1" x14ac:dyDescent="0.25">
      <c r="A6" s="33"/>
      <c r="B6" s="3"/>
      <c r="C6" s="3"/>
      <c r="G6" s="81"/>
      <c r="H6" s="83"/>
      <c r="I6" s="83"/>
    </row>
    <row r="7" spans="1:19" ht="15.75" x14ac:dyDescent="0.25">
      <c r="A7" s="33" t="s">
        <v>40</v>
      </c>
      <c r="B7" s="78"/>
      <c r="C7" s="78"/>
    </row>
    <row r="8" spans="1:19" ht="6.75" customHeight="1" x14ac:dyDescent="0.25">
      <c r="A8" s="34"/>
    </row>
    <row r="9" spans="1:19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Fev/19</v>
      </c>
      <c r="I9" s="66"/>
      <c r="M9" s="69" t="s">
        <v>57</v>
      </c>
      <c r="N9" s="69"/>
      <c r="O9" s="69"/>
      <c r="P9" s="69"/>
      <c r="Q9" s="67" t="str">
        <f>LEFT($B$4,3)&amp;"/"&amp;RIGHT($B$5,2)</f>
        <v>Fev/19</v>
      </c>
      <c r="R9" s="67"/>
    </row>
    <row r="10" spans="1:19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9"/>
      <c r="G12" s="12"/>
      <c r="I12" s="13"/>
      <c r="J12" s="10" t="str">
        <f>IF(Tabela11618222438[[#This Row],[Data]]="","",YEAR(Tabela11618222438[[#This Row],[Data]]))</f>
        <v/>
      </c>
      <c r="K12" s="10" t="str">
        <f>IF(Tabela11618222438[[#This Row],[Data]]="","",MONTH(Tabela11618222438[[#This Row],[Data]]))</f>
        <v/>
      </c>
      <c r="M12" s="20"/>
      <c r="N12" s="21"/>
      <c r="O12" s="22"/>
      <c r="P12" s="21"/>
      <c r="Q12" s="23"/>
      <c r="R12" s="24"/>
      <c r="S12" s="10" t="str">
        <f t="shared" ref="S12:S32" si="0">IFERROR(LEFT(Q12,SEARCH("/",Q12)-1)*1,"-")</f>
        <v>-</v>
      </c>
    </row>
    <row r="13" spans="1:19" x14ac:dyDescent="0.25">
      <c r="A13" s="9"/>
      <c r="G13" s="12"/>
      <c r="I13" s="13"/>
      <c r="J13" s="10" t="str">
        <f>IF(Tabela11618222438[[#This Row],[Data]]="","",YEAR(Tabela11618222438[[#This Row],[Data]]))</f>
        <v/>
      </c>
      <c r="K13" s="10" t="str">
        <f>IF(Tabela11618222438[[#This Row],[Data]]="","",MONTH(Tabela11618222438[[#This Row],[Data]]))</f>
        <v/>
      </c>
      <c r="M13" s="25"/>
      <c r="O13" s="11"/>
      <c r="Q13" s="12"/>
      <c r="R13" s="26"/>
      <c r="S13" s="10" t="str">
        <f t="shared" si="0"/>
        <v>-</v>
      </c>
    </row>
    <row r="14" spans="1:19" x14ac:dyDescent="0.25">
      <c r="A14" s="9"/>
      <c r="G14" s="12"/>
      <c r="I14" s="13"/>
      <c r="J14" s="10" t="str">
        <f>IF(Tabela11618222438[[#This Row],[Data]]="","",YEAR(Tabela11618222438[[#This Row],[Data]]))</f>
        <v/>
      </c>
      <c r="K14" s="10" t="str">
        <f>IF(Tabela11618222438[[#This Row],[Data]]="","",MONTH(Tabela11618222438[[#This Row],[Data]]))</f>
        <v/>
      </c>
      <c r="M14" s="25"/>
      <c r="O14" s="11"/>
      <c r="Q14" s="12"/>
      <c r="R14" s="26"/>
      <c r="S14" s="10" t="str">
        <f t="shared" si="0"/>
        <v>-</v>
      </c>
    </row>
    <row r="15" spans="1:19" x14ac:dyDescent="0.25">
      <c r="A15" s="9"/>
      <c r="G15" s="12"/>
      <c r="I15" s="13"/>
      <c r="J15" s="10" t="str">
        <f>IF(Tabela11618222438[[#This Row],[Data]]="","",YEAR(Tabela11618222438[[#This Row],[Data]]))</f>
        <v/>
      </c>
      <c r="K15" s="10" t="str">
        <f>IF(Tabela11618222438[[#This Row],[Data]]="","",MONTH(Tabela11618222438[[#This Row],[Data]]))</f>
        <v/>
      </c>
      <c r="M15" s="25"/>
      <c r="O15" s="11"/>
      <c r="Q15" s="12"/>
      <c r="R15" s="26"/>
      <c r="S15" s="10" t="str">
        <f t="shared" si="0"/>
        <v>-</v>
      </c>
    </row>
    <row r="16" spans="1:19" x14ac:dyDescent="0.25">
      <c r="A16" s="9"/>
      <c r="G16" s="12"/>
      <c r="I16" s="13"/>
      <c r="J16" s="10" t="str">
        <f>IF(Tabela11618222438[[#This Row],[Data]]="","",YEAR(Tabela11618222438[[#This Row],[Data]]))</f>
        <v/>
      </c>
      <c r="K16" s="10" t="str">
        <f>IF(Tabela11618222438[[#This Row],[Data]]="","",MONTH(Tabela11618222438[[#This Row],[Data]]))</f>
        <v/>
      </c>
      <c r="M16" s="25"/>
      <c r="O16" s="11"/>
      <c r="Q16" s="12"/>
      <c r="R16" s="26"/>
      <c r="S16" s="10" t="str">
        <f t="shared" si="0"/>
        <v>-</v>
      </c>
    </row>
    <row r="17" spans="1:19" x14ac:dyDescent="0.25">
      <c r="A17" s="14"/>
      <c r="G17" s="12"/>
      <c r="I17" s="13"/>
      <c r="J17" s="10" t="str">
        <f>IF(Tabela11618222438[[#This Row],[Data]]="","",YEAR(Tabela11618222438[[#This Row],[Data]]))</f>
        <v/>
      </c>
      <c r="K17" s="10" t="str">
        <f>IF(Tabela11618222438[[#This Row],[Data]]="","",MONTH(Tabela11618222438[[#This Row],[Data]]))</f>
        <v/>
      </c>
      <c r="M17" s="25"/>
      <c r="O17" s="11"/>
      <c r="Q17" s="12"/>
      <c r="R17" s="26"/>
      <c r="S17" s="10" t="str">
        <f t="shared" si="0"/>
        <v>-</v>
      </c>
    </row>
    <row r="18" spans="1:19" x14ac:dyDescent="0.25">
      <c r="A18" s="14"/>
      <c r="G18" s="12"/>
      <c r="I18" s="13"/>
      <c r="J18" s="10" t="str">
        <f>IF(Tabela11618222438[[#This Row],[Data]]="","",YEAR(Tabela11618222438[[#This Row],[Data]]))</f>
        <v/>
      </c>
      <c r="K18" s="10" t="str">
        <f>IF(Tabela11618222438[[#This Row],[Data]]="","",MONTH(Tabela11618222438[[#This Row],[Data]]))</f>
        <v/>
      </c>
      <c r="M18" s="25"/>
      <c r="O18" s="11"/>
      <c r="Q18" s="12"/>
      <c r="R18" s="26"/>
      <c r="S18" s="10" t="str">
        <f t="shared" si="0"/>
        <v>-</v>
      </c>
    </row>
    <row r="19" spans="1:19" x14ac:dyDescent="0.25">
      <c r="A19" s="14"/>
      <c r="G19" s="12"/>
      <c r="I19" s="13"/>
      <c r="J19" s="10" t="str">
        <f>IF(Tabela11618222438[[#This Row],[Data]]="","",YEAR(Tabela11618222438[[#This Row],[Data]]))</f>
        <v/>
      </c>
      <c r="K19" s="10" t="str">
        <f>IF(Tabela11618222438[[#This Row],[Data]]="","",MONTH(Tabela11618222438[[#This Row],[Data]]))</f>
        <v/>
      </c>
      <c r="M19" s="25"/>
      <c r="O19" s="11"/>
      <c r="Q19" s="12"/>
      <c r="R19" s="26"/>
      <c r="S19" s="10" t="str">
        <f t="shared" ref="S19:S30" si="1">IFERROR(LEFT(Q19,SEARCH("/",Q19)-1)*1,"-")</f>
        <v>-</v>
      </c>
    </row>
    <row r="20" spans="1:19" x14ac:dyDescent="0.25">
      <c r="A20" s="14"/>
      <c r="G20" s="12"/>
      <c r="I20" s="13"/>
      <c r="J20" s="10" t="str">
        <f>IF(Tabela11618222438[[#This Row],[Data]]="","",YEAR(Tabela11618222438[[#This Row],[Data]]))</f>
        <v/>
      </c>
      <c r="K20" s="10" t="str">
        <f>IF(Tabela11618222438[[#This Row],[Data]]="","",MONTH(Tabela11618222438[[#This Row],[Data]]))</f>
        <v/>
      </c>
      <c r="M20" s="25"/>
      <c r="O20" s="11"/>
      <c r="Q20" s="12"/>
      <c r="R20" s="26"/>
      <c r="S20" s="10" t="str">
        <f t="shared" si="1"/>
        <v>-</v>
      </c>
    </row>
    <row r="21" spans="1:19" x14ac:dyDescent="0.25">
      <c r="A21" s="14"/>
      <c r="G21" s="12"/>
      <c r="I21" s="13"/>
      <c r="J21" s="10" t="str">
        <f>IF(Tabela11618222438[[#This Row],[Data]]="","",YEAR(Tabela11618222438[[#This Row],[Data]]))</f>
        <v/>
      </c>
      <c r="K21" s="10" t="str">
        <f>IF(Tabela11618222438[[#This Row],[Data]]="","",MONTH(Tabela11618222438[[#This Row],[Data]]))</f>
        <v/>
      </c>
      <c r="M21" s="25"/>
      <c r="O21" s="11"/>
      <c r="Q21" s="12"/>
      <c r="R21" s="26"/>
      <c r="S21" s="10" t="str">
        <f t="shared" si="1"/>
        <v>-</v>
      </c>
    </row>
    <row r="22" spans="1:19" x14ac:dyDescent="0.25">
      <c r="A22" s="14"/>
      <c r="G22" s="12"/>
      <c r="I22" s="13"/>
      <c r="J22" s="10" t="str">
        <f>IF(Tabela11618222438[[#This Row],[Data]]="","",YEAR(Tabela11618222438[[#This Row],[Data]]))</f>
        <v/>
      </c>
      <c r="K22" s="10" t="str">
        <f>IF(Tabela11618222438[[#This Row],[Data]]="","",MONTH(Tabela11618222438[[#This Row],[Data]]))</f>
        <v/>
      </c>
      <c r="M22" s="25"/>
      <c r="O22" s="11"/>
      <c r="Q22" s="12"/>
      <c r="R22" s="26"/>
      <c r="S22" s="10" t="str">
        <f t="shared" si="1"/>
        <v>-</v>
      </c>
    </row>
    <row r="23" spans="1:19" x14ac:dyDescent="0.25">
      <c r="A23" s="14"/>
      <c r="G23" s="12"/>
      <c r="I23" s="13"/>
      <c r="J23" s="10" t="str">
        <f>IF(Tabela11618222438[[#This Row],[Data]]="","",YEAR(Tabela11618222438[[#This Row],[Data]]))</f>
        <v/>
      </c>
      <c r="K23" s="10" t="str">
        <f>IF(Tabela11618222438[[#This Row],[Data]]="","",MONTH(Tabela11618222438[[#This Row],[Data]]))</f>
        <v/>
      </c>
      <c r="M23" s="25"/>
      <c r="O23" s="11"/>
      <c r="Q23" s="12"/>
      <c r="R23" s="26"/>
      <c r="S23" s="10" t="str">
        <f t="shared" si="1"/>
        <v>-</v>
      </c>
    </row>
    <row r="24" spans="1:19" x14ac:dyDescent="0.25">
      <c r="A24" s="14"/>
      <c r="G24" s="12"/>
      <c r="I24" s="13"/>
      <c r="J24" s="10" t="str">
        <f>IF(Tabela11618222438[[#This Row],[Data]]="","",YEAR(Tabela11618222438[[#This Row],[Data]]))</f>
        <v/>
      </c>
      <c r="K24" s="10" t="str">
        <f>IF(Tabela11618222438[[#This Row],[Data]]="","",MONTH(Tabela11618222438[[#This Row],[Data]]))</f>
        <v/>
      </c>
      <c r="L24" s="42"/>
      <c r="M24" s="25"/>
      <c r="O24" s="11"/>
      <c r="Q24" s="12"/>
      <c r="R24" s="26"/>
      <c r="S24" s="10" t="str">
        <f t="shared" si="1"/>
        <v>-</v>
      </c>
    </row>
    <row r="25" spans="1:19" x14ac:dyDescent="0.25">
      <c r="A25" s="14"/>
      <c r="G25" s="12"/>
      <c r="I25" s="13"/>
      <c r="J25" s="10" t="str">
        <f>IF(Tabela11618222438[[#This Row],[Data]]="","",YEAR(Tabela11618222438[[#This Row],[Data]]))</f>
        <v/>
      </c>
      <c r="K25" s="10" t="str">
        <f>IF(Tabela11618222438[[#This Row],[Data]]="","",MONTH(Tabela11618222438[[#This Row],[Data]]))</f>
        <v/>
      </c>
      <c r="L25" s="42"/>
      <c r="M25" s="25"/>
      <c r="O25" s="11"/>
      <c r="Q25" s="12"/>
      <c r="R25" s="26"/>
      <c r="S25" s="10" t="str">
        <f t="shared" si="1"/>
        <v>-</v>
      </c>
    </row>
    <row r="26" spans="1:19" x14ac:dyDescent="0.25">
      <c r="A26" s="14"/>
      <c r="G26" s="12"/>
      <c r="I26" s="13"/>
      <c r="J26" s="10" t="str">
        <f>IF(Tabela11618222438[[#This Row],[Data]]="","",YEAR(Tabela11618222438[[#This Row],[Data]]))</f>
        <v/>
      </c>
      <c r="K26" s="10" t="str">
        <f>IF(Tabela11618222438[[#This Row],[Data]]="","",MONTH(Tabela11618222438[[#This Row],[Data]]))</f>
        <v/>
      </c>
      <c r="L26" s="42"/>
      <c r="M26" s="25"/>
      <c r="O26" s="11"/>
      <c r="Q26" s="12"/>
      <c r="R26" s="26"/>
      <c r="S26" s="10" t="str">
        <f t="shared" si="1"/>
        <v>-</v>
      </c>
    </row>
    <row r="27" spans="1:19" x14ac:dyDescent="0.25">
      <c r="A27" s="14"/>
      <c r="G27" s="12"/>
      <c r="I27" s="13"/>
      <c r="J27" s="10" t="str">
        <f>IF(Tabela11618222438[[#This Row],[Data]]="","",YEAR(Tabela11618222438[[#This Row],[Data]]))</f>
        <v/>
      </c>
      <c r="K27" s="10" t="str">
        <f>IF(Tabela11618222438[[#This Row],[Data]]="","",MONTH(Tabela11618222438[[#This Row],[Data]]))</f>
        <v/>
      </c>
      <c r="M27" s="25"/>
      <c r="O27" s="11"/>
      <c r="Q27" s="12"/>
      <c r="R27" s="26"/>
      <c r="S27" s="10" t="str">
        <f t="shared" si="1"/>
        <v>-</v>
      </c>
    </row>
    <row r="28" spans="1:19" x14ac:dyDescent="0.25">
      <c r="A28" s="14"/>
      <c r="G28" s="12"/>
      <c r="I28" s="13"/>
      <c r="J28" s="10" t="str">
        <f>IF(Tabela11618222438[[#This Row],[Data]]="","",YEAR(Tabela11618222438[[#This Row],[Data]]))</f>
        <v/>
      </c>
      <c r="K28" s="10" t="str">
        <f>IF(Tabela11618222438[[#This Row],[Data]]="","",MONTH(Tabela11618222438[[#This Row],[Data]]))</f>
        <v/>
      </c>
      <c r="M28" s="25"/>
      <c r="O28" s="11"/>
      <c r="Q28" s="12"/>
      <c r="R28" s="26"/>
      <c r="S28" s="10" t="str">
        <f t="shared" si="1"/>
        <v>-</v>
      </c>
    </row>
    <row r="29" spans="1:19" x14ac:dyDescent="0.25">
      <c r="A29" s="14"/>
      <c r="G29" s="12"/>
      <c r="I29" s="13"/>
      <c r="J29" s="10" t="str">
        <f>IF(Tabela11618222438[[#This Row],[Data]]="","",YEAR(Tabela11618222438[[#This Row],[Data]]))</f>
        <v/>
      </c>
      <c r="K29" s="10" t="str">
        <f>IF(Tabela11618222438[[#This Row],[Data]]="","",MONTH(Tabela11618222438[[#This Row],[Data]]))</f>
        <v/>
      </c>
      <c r="M29" s="25"/>
      <c r="O29" s="11"/>
      <c r="Q29" s="12"/>
      <c r="R29" s="26"/>
      <c r="S29" s="10" t="str">
        <f t="shared" si="1"/>
        <v>-</v>
      </c>
    </row>
    <row r="30" spans="1:19" x14ac:dyDescent="0.25">
      <c r="A30" s="14"/>
      <c r="G30" s="12"/>
      <c r="I30" s="13"/>
      <c r="J30" s="10" t="str">
        <f>IF(Tabela11618222438[[#This Row],[Data]]="","",YEAR(Tabela11618222438[[#This Row],[Data]]))</f>
        <v/>
      </c>
      <c r="K30" s="10" t="str">
        <f>IF(Tabela11618222438[[#This Row],[Data]]="","",MONTH(Tabela11618222438[[#This Row],[Data]]))</f>
        <v/>
      </c>
      <c r="M30" s="25"/>
      <c r="O30" s="11"/>
      <c r="Q30" s="12"/>
      <c r="R30" s="26"/>
      <c r="S30" s="10" t="str">
        <f t="shared" si="1"/>
        <v>-</v>
      </c>
    </row>
    <row r="31" spans="1:19" x14ac:dyDescent="0.25">
      <c r="A31" s="14"/>
      <c r="G31" s="12"/>
      <c r="I31" s="13"/>
      <c r="J31" s="10" t="str">
        <f>IF(Tabela11618222438[[#This Row],[Data]]="","",YEAR(Tabela11618222438[[#This Row],[Data]]))</f>
        <v/>
      </c>
      <c r="K31" s="10" t="str">
        <f>IF(Tabela11618222438[[#This Row],[Data]]="","",MONTH(Tabela11618222438[[#This Row],[Data]]))</f>
        <v/>
      </c>
      <c r="M31" s="25"/>
      <c r="O31" s="11"/>
      <c r="Q31" s="12"/>
      <c r="R31" s="26"/>
      <c r="S31" s="10" t="str">
        <f t="shared" si="0"/>
        <v>-</v>
      </c>
    </row>
    <row r="32" spans="1:19" x14ac:dyDescent="0.25">
      <c r="A32" s="14"/>
      <c r="G32" s="12"/>
      <c r="I32" s="13"/>
      <c r="J32" s="10" t="str">
        <f>IF(Tabela11618222438[[#This Row],[Data]]="","",YEAR(Tabela11618222438[[#This Row],[Data]]))</f>
        <v/>
      </c>
      <c r="K32" s="10" t="str">
        <f>IF(Tabela11618222438[[#This Row],[Data]]="","",MONTH(Tabela11618222438[[#This Row],[Data]]))</f>
        <v/>
      </c>
      <c r="M32" s="25"/>
      <c r="O32" s="11"/>
      <c r="Q32" s="12"/>
      <c r="R32" s="26"/>
      <c r="S32" s="10" t="str">
        <f t="shared" si="0"/>
        <v>-</v>
      </c>
    </row>
    <row r="33" spans="1:19" x14ac:dyDescent="0.25">
      <c r="A33" s="14"/>
      <c r="G33" s="12"/>
      <c r="I33" s="13"/>
      <c r="J33" s="10" t="str">
        <f>IF(Tabela11618222438[[#This Row],[Data]]="","",YEAR(Tabela11618222438[[#This Row],[Data]]))</f>
        <v/>
      </c>
      <c r="K33" s="10" t="str">
        <f>IF(Tabela11618222438[[#This Row],[Data]]="","",MONTH(Tabela11618222438[[#This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8"/>
      <c r="H34" s="16"/>
      <c r="I34" s="19"/>
      <c r="J34" s="10" t="str">
        <f>IF(Tabela11618222438[[#This Row],[Data]]="","",YEAR(Tabela11618222438[[#This Row],[Data]]))</f>
        <v/>
      </c>
      <c r="K34" s="10" t="str">
        <f>IF(Tabela11618222438[[#This Row],[Data]]="","",MONTH(Tabela11618222438[[#This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21</v>
      </c>
      <c r="B35" s="71"/>
      <c r="C35" s="43" t="s">
        <v>22</v>
      </c>
      <c r="D35" s="44"/>
      <c r="E35" s="44"/>
      <c r="F35" s="87" t="s">
        <v>23</v>
      </c>
      <c r="G35" s="88"/>
      <c r="H35" s="88"/>
      <c r="I35" s="89"/>
      <c r="M35" s="61" t="s">
        <v>26</v>
      </c>
      <c r="N35" s="61"/>
      <c r="P35" s="79" t="s">
        <v>23</v>
      </c>
      <c r="Q35" s="79"/>
      <c r="R35" s="79"/>
    </row>
    <row r="36" spans="1:19" ht="15" customHeight="1" x14ac:dyDescent="0.25">
      <c r="A36" s="72">
        <f>SUMIFS(Tabela11618222438[Valor],Tabela11618222438[Recebido],"Sim",Tabela11618222438[Ano],YEAR($H$9),Tabela11618222438[mês],MONTH($H$9))</f>
        <v>0</v>
      </c>
      <c r="B36" s="73"/>
      <c r="C36" s="84">
        <f>SUMIF(Tabela11618222438[Recebido],"Sim",Tabela11618222438[Valor])-A36</f>
        <v>0</v>
      </c>
      <c r="D36" s="11"/>
      <c r="F36" s="90">
        <f>SUMIF(I12:I34,"Sim",E12:E34)</f>
        <v>0</v>
      </c>
      <c r="G36" s="91"/>
      <c r="H36" s="91"/>
      <c r="I36" s="92"/>
      <c r="M36" s="62">
        <f>SUM(Tabela31719232539[Valor])</f>
        <v>0</v>
      </c>
      <c r="N36" s="63"/>
      <c r="O36" s="11"/>
      <c r="P36" s="68">
        <f>SUMIF(Tabela31719232539[Pago],"Sim",Tabela31719232539[Valor])</f>
        <v>0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46" spans="1:19" x14ac:dyDescent="0.25">
      <c r="G46" s="10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dataValidations count="6">
    <dataValidation type="list" allowBlank="1" showInputMessage="1" showErrorMessage="1" sqref="D12:D34" xr:uid="{8E70D33C-6A21-4D28-921C-0225D69CACD0}">
      <formula1>"Comércio,Indústria,Transporte intermunicipais e interestaduais,Fornecimento de refeições,Serviço"</formula1>
    </dataValidation>
    <dataValidation type="list" allowBlank="1" showInputMessage="1" showErrorMessage="1" sqref="B5:C5" xr:uid="{FBEC8DAD-1E53-4129-AC43-791DC0A10E53}">
      <formula1>"2019,2020,2021,2022"</formula1>
    </dataValidation>
    <dataValidation type="list" allowBlank="1" showInputMessage="1" showErrorMessage="1" sqref="B4:C4" xr:uid="{BDAA0768-C1B9-45BB-A14F-0967819F36C3}">
      <formula1>"Janeiro,Fevereiro,Março,Abril,Maio,Junho,Julho,Agosto,Setembro,Outubro,Novembro,Dezembro"</formula1>
    </dataValidation>
    <dataValidation type="list" allowBlank="1" showInputMessage="1" showErrorMessage="1" sqref="F12:F34" xr:uid="{5B7CD7B4-558C-4DB2-9E61-383497D4F050}">
      <formula1>"Dinheiro,Boleto,Cartão de débito,Cartão de crédito,Cheque,Outros"</formula1>
    </dataValidation>
    <dataValidation type="list" allowBlank="1" showInputMessage="1" showErrorMessage="1" sqref="R12:R34 H12:I34" xr:uid="{EC649586-68FC-45EE-82F2-C14B5F76D935}">
      <formula1>"Sim,Não,-"</formula1>
    </dataValidation>
    <dataValidation type="list" allowBlank="1" showInputMessage="1" showErrorMessage="1" sqref="P12:P34" xr:uid="{FE383631-97AD-4CEA-9446-ECC4CEFBF194}">
      <formula1>"Dinheiro,Cartão de débito,Cartão de crédito,Cheque,Outros"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300" verticalDpi="300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EBCE-3298-4FE0-ABC6-75CB7AB1B035}">
  <sheetPr codeName="Planilha12">
    <pageSetUpPr fitToPage="1"/>
  </sheetPr>
  <dimension ref="A1:S46"/>
  <sheetViews>
    <sheetView showGridLines="0" zoomScale="50" zoomScaleNormal="50" workbookViewId="0">
      <pane ySplit="11" topLeftCell="A12" activePane="bottomLeft" state="frozen"/>
      <selection activeCell="A41" sqref="A41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bestFit="1" customWidth="1"/>
    <col min="5" max="5" width="14.85546875" style="11" bestFit="1" customWidth="1"/>
    <col min="6" max="6" width="12.7109375" style="10" bestFit="1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hidden="1" customWidth="1"/>
    <col min="12" max="12" width="6.28515625" style="10" customWidth="1"/>
    <col min="13" max="13" width="11.5703125" style="10" bestFit="1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x14ac:dyDescent="0.25">
      <c r="A4" s="33" t="s">
        <v>16</v>
      </c>
      <c r="B4" s="78" t="s">
        <v>30</v>
      </c>
      <c r="C4" s="78"/>
    </row>
    <row r="5" spans="1:19" ht="15.75" x14ac:dyDescent="0.25">
      <c r="A5" s="33" t="s">
        <v>15</v>
      </c>
      <c r="B5" s="78">
        <v>2019</v>
      </c>
      <c r="C5" s="78"/>
      <c r="G5" s="80"/>
      <c r="H5" s="82"/>
      <c r="I5" s="83"/>
    </row>
    <row r="6" spans="1:19" ht="3.75" customHeight="1" x14ac:dyDescent="0.25">
      <c r="A6" s="33"/>
      <c r="B6" s="3"/>
      <c r="C6" s="3"/>
      <c r="G6" s="81"/>
      <c r="H6" s="83"/>
      <c r="I6" s="83"/>
    </row>
    <row r="7" spans="1:19" ht="15.75" x14ac:dyDescent="0.25">
      <c r="A7" s="33" t="s">
        <v>40</v>
      </c>
      <c r="B7" s="78"/>
      <c r="C7" s="78"/>
    </row>
    <row r="8" spans="1:19" ht="6.75" customHeight="1" x14ac:dyDescent="0.25">
      <c r="A8" s="34"/>
    </row>
    <row r="9" spans="1:19" ht="15" customHeight="1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Mar/19</v>
      </c>
      <c r="I9" s="66"/>
      <c r="M9" s="69" t="s">
        <v>57</v>
      </c>
      <c r="N9" s="69"/>
      <c r="O9" s="69"/>
      <c r="P9" s="69"/>
      <c r="Q9" s="67" t="str">
        <f>LEFT($B$4,3)&amp;"/"&amp;RIGHT($B$5,2)</f>
        <v>Mar/19</v>
      </c>
      <c r="R9" s="67"/>
    </row>
    <row r="10" spans="1:19" ht="15" customHeight="1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9"/>
      <c r="G12" s="12"/>
      <c r="I12" s="13"/>
      <c r="J12" s="10" t="str">
        <f>IF(Tabela1161822242636[[#This Row],[Data]]="","",YEAR(Tabela1161822242636[[#This Row],[Data]]))</f>
        <v/>
      </c>
      <c r="K12" s="10" t="str">
        <f>IF(Tabela1161822242636[[#This Row],[Data]]="","",MONTH(Tabela1161822242636[[#This Row],[Data]]))</f>
        <v/>
      </c>
      <c r="M12" s="20"/>
      <c r="N12" s="21"/>
      <c r="O12" s="22"/>
      <c r="P12" s="21"/>
      <c r="Q12" s="23"/>
      <c r="R12" s="24"/>
      <c r="S12" s="10" t="str">
        <f t="shared" ref="S12:S32" si="0">IFERROR(LEFT(Q12,SEARCH("/",Q12)-1)*1,"-")</f>
        <v>-</v>
      </c>
    </row>
    <row r="13" spans="1:19" x14ac:dyDescent="0.25">
      <c r="A13" s="9"/>
      <c r="G13" s="12"/>
      <c r="I13" s="13"/>
      <c r="J13" s="10" t="str">
        <f>IF(Tabela1161822242636[[#This Row],[Data]]="","",YEAR(Tabela1161822242636[[#This Row],[Data]]))</f>
        <v/>
      </c>
      <c r="K13" s="10" t="str">
        <f>IF(Tabela1161822242636[[#This Row],[Data]]="","",MONTH(Tabela1161822242636[[#This Row],[Data]]))</f>
        <v/>
      </c>
      <c r="M13" s="25"/>
      <c r="O13" s="11"/>
      <c r="Q13" s="12"/>
      <c r="R13" s="26"/>
      <c r="S13" s="10" t="str">
        <f t="shared" si="0"/>
        <v>-</v>
      </c>
    </row>
    <row r="14" spans="1:19" x14ac:dyDescent="0.25">
      <c r="A14" s="9"/>
      <c r="G14" s="12"/>
      <c r="I14" s="13"/>
      <c r="J14" s="10" t="str">
        <f>IF(Tabela1161822242636[[#This Row],[Data]]="","",YEAR(Tabela1161822242636[[#This Row],[Data]]))</f>
        <v/>
      </c>
      <c r="K14" s="10" t="str">
        <f>IF(Tabela1161822242636[[#This Row],[Data]]="","",MONTH(Tabela1161822242636[[#This Row],[Data]]))</f>
        <v/>
      </c>
      <c r="M14" s="25"/>
      <c r="O14" s="11"/>
      <c r="Q14" s="12"/>
      <c r="R14" s="26"/>
      <c r="S14" s="10" t="str">
        <f t="shared" si="0"/>
        <v>-</v>
      </c>
    </row>
    <row r="15" spans="1:19" x14ac:dyDescent="0.25">
      <c r="A15" s="9"/>
      <c r="G15" s="12"/>
      <c r="I15" s="13"/>
      <c r="J15" s="10" t="str">
        <f>IF(Tabela1161822242636[[#This Row],[Data]]="","",YEAR(Tabela1161822242636[[#This Row],[Data]]))</f>
        <v/>
      </c>
      <c r="K15" s="10" t="str">
        <f>IF(Tabela1161822242636[[#This Row],[Data]]="","",MONTH(Tabela1161822242636[[#This Row],[Data]]))</f>
        <v/>
      </c>
      <c r="M15" s="25"/>
      <c r="O15" s="11"/>
      <c r="Q15" s="12"/>
      <c r="R15" s="26"/>
      <c r="S15" s="10" t="str">
        <f t="shared" si="0"/>
        <v>-</v>
      </c>
    </row>
    <row r="16" spans="1:19" x14ac:dyDescent="0.25">
      <c r="A16" s="9"/>
      <c r="G16" s="12"/>
      <c r="I16" s="13"/>
      <c r="J16" s="10" t="str">
        <f>IF(Tabela1161822242636[[#This Row],[Data]]="","",YEAR(Tabela1161822242636[[#This Row],[Data]]))</f>
        <v/>
      </c>
      <c r="K16" s="10" t="str">
        <f>IF(Tabela1161822242636[[#This Row],[Data]]="","",MONTH(Tabela1161822242636[[#This Row],[Data]]))</f>
        <v/>
      </c>
      <c r="M16" s="25"/>
      <c r="O16" s="11"/>
      <c r="Q16" s="12"/>
      <c r="R16" s="26"/>
      <c r="S16" s="10" t="str">
        <f t="shared" si="0"/>
        <v>-</v>
      </c>
    </row>
    <row r="17" spans="1:19" x14ac:dyDescent="0.25">
      <c r="A17" s="14"/>
      <c r="G17" s="12"/>
      <c r="I17" s="13"/>
      <c r="J17" s="10" t="str">
        <f>IF(Tabela1161822242636[[#This Row],[Data]]="","",YEAR(Tabela1161822242636[[#This Row],[Data]]))</f>
        <v/>
      </c>
      <c r="K17" s="10" t="str">
        <f>IF(Tabela1161822242636[[#This Row],[Data]]="","",MONTH(Tabela1161822242636[[#This Row],[Data]]))</f>
        <v/>
      </c>
      <c r="M17" s="25"/>
      <c r="O17" s="11"/>
      <c r="Q17" s="12"/>
      <c r="R17" s="26"/>
      <c r="S17" s="10" t="str">
        <f t="shared" si="0"/>
        <v>-</v>
      </c>
    </row>
    <row r="18" spans="1:19" x14ac:dyDescent="0.25">
      <c r="A18" s="14"/>
      <c r="G18" s="12"/>
      <c r="I18" s="13"/>
      <c r="J18" s="10" t="str">
        <f>IF(Tabela1161822242636[[#This Row],[Data]]="","",YEAR(Tabela1161822242636[[#This Row],[Data]]))</f>
        <v/>
      </c>
      <c r="K18" s="10" t="str">
        <f>IF(Tabela1161822242636[[#This Row],[Data]]="","",MONTH(Tabela1161822242636[[#This Row],[Data]]))</f>
        <v/>
      </c>
      <c r="M18" s="25"/>
      <c r="O18" s="11"/>
      <c r="Q18" s="12"/>
      <c r="R18" s="26"/>
      <c r="S18" s="10" t="str">
        <f t="shared" si="0"/>
        <v>-</v>
      </c>
    </row>
    <row r="19" spans="1:19" x14ac:dyDescent="0.25">
      <c r="A19" s="14"/>
      <c r="G19" s="12"/>
      <c r="I19" s="13"/>
      <c r="J19" s="10" t="str">
        <f>IF(Tabela1161822242636[[#This Row],[Data]]="","",YEAR(Tabela1161822242636[[#This Row],[Data]]))</f>
        <v/>
      </c>
      <c r="K19" s="10" t="str">
        <f>IF(Tabela1161822242636[[#This Row],[Data]]="","",MONTH(Tabela1161822242636[[#This Row],[Data]]))</f>
        <v/>
      </c>
      <c r="M19" s="25"/>
      <c r="O19" s="11"/>
      <c r="Q19" s="12"/>
      <c r="R19" s="26"/>
      <c r="S19" s="10" t="str">
        <f t="shared" ref="S19:S30" si="1">IFERROR(LEFT(Q19,SEARCH("/",Q19)-1)*1,"-")</f>
        <v>-</v>
      </c>
    </row>
    <row r="20" spans="1:19" x14ac:dyDescent="0.25">
      <c r="A20" s="14"/>
      <c r="G20" s="12"/>
      <c r="I20" s="13"/>
      <c r="J20" s="10" t="str">
        <f>IF(Tabela1161822242636[[#This Row],[Data]]="","",YEAR(Tabela1161822242636[[#This Row],[Data]]))</f>
        <v/>
      </c>
      <c r="K20" s="10" t="str">
        <f>IF(Tabela1161822242636[[#This Row],[Data]]="","",MONTH(Tabela1161822242636[[#This Row],[Data]]))</f>
        <v/>
      </c>
      <c r="M20" s="25"/>
      <c r="O20" s="11"/>
      <c r="Q20" s="12"/>
      <c r="R20" s="26"/>
      <c r="S20" s="10" t="str">
        <f t="shared" si="1"/>
        <v>-</v>
      </c>
    </row>
    <row r="21" spans="1:19" x14ac:dyDescent="0.25">
      <c r="A21" s="14"/>
      <c r="G21" s="12"/>
      <c r="I21" s="13"/>
      <c r="J21" s="10" t="str">
        <f>IF(Tabela1161822242636[[#This Row],[Data]]="","",YEAR(Tabela1161822242636[[#This Row],[Data]]))</f>
        <v/>
      </c>
      <c r="K21" s="10" t="str">
        <f>IF(Tabela1161822242636[[#This Row],[Data]]="","",MONTH(Tabela1161822242636[[#This Row],[Data]]))</f>
        <v/>
      </c>
      <c r="M21" s="25"/>
      <c r="O21" s="11"/>
      <c r="Q21" s="12"/>
      <c r="R21" s="26"/>
      <c r="S21" s="10" t="str">
        <f t="shared" si="1"/>
        <v>-</v>
      </c>
    </row>
    <row r="22" spans="1:19" x14ac:dyDescent="0.25">
      <c r="A22" s="14"/>
      <c r="G22" s="12"/>
      <c r="I22" s="13"/>
      <c r="J22" s="10" t="str">
        <f>IF(Tabela1161822242636[[#This Row],[Data]]="","",YEAR(Tabela1161822242636[[#This Row],[Data]]))</f>
        <v/>
      </c>
      <c r="K22" s="10" t="str">
        <f>IF(Tabela1161822242636[[#This Row],[Data]]="","",MONTH(Tabela1161822242636[[#This Row],[Data]]))</f>
        <v/>
      </c>
      <c r="M22" s="25"/>
      <c r="O22" s="11"/>
      <c r="Q22" s="12"/>
      <c r="R22" s="26"/>
      <c r="S22" s="10" t="str">
        <f t="shared" si="1"/>
        <v>-</v>
      </c>
    </row>
    <row r="23" spans="1:19" x14ac:dyDescent="0.25">
      <c r="A23" s="14"/>
      <c r="G23" s="12"/>
      <c r="I23" s="13"/>
      <c r="J23" s="10" t="str">
        <f>IF(Tabela1161822242636[[#This Row],[Data]]="","",YEAR(Tabela1161822242636[[#This Row],[Data]]))</f>
        <v/>
      </c>
      <c r="K23" s="10" t="str">
        <f>IF(Tabela1161822242636[[#This Row],[Data]]="","",MONTH(Tabela1161822242636[[#This Row],[Data]]))</f>
        <v/>
      </c>
      <c r="M23" s="25"/>
      <c r="O23" s="11"/>
      <c r="Q23" s="12"/>
      <c r="R23" s="26"/>
      <c r="S23" s="10" t="str">
        <f t="shared" si="1"/>
        <v>-</v>
      </c>
    </row>
    <row r="24" spans="1:19" x14ac:dyDescent="0.25">
      <c r="A24" s="14"/>
      <c r="G24" s="12"/>
      <c r="I24" s="13"/>
      <c r="J24" s="10" t="str">
        <f>IF(Tabela1161822242636[[#This Row],[Data]]="","",YEAR(Tabela1161822242636[[#This Row],[Data]]))</f>
        <v/>
      </c>
      <c r="K24" s="10" t="str">
        <f>IF(Tabela1161822242636[[#This Row],[Data]]="","",MONTH(Tabela1161822242636[[#This Row],[Data]]))</f>
        <v/>
      </c>
      <c r="L24" s="42"/>
      <c r="M24" s="25"/>
      <c r="O24" s="11"/>
      <c r="Q24" s="12"/>
      <c r="R24" s="26"/>
      <c r="S24" s="10" t="str">
        <f t="shared" si="1"/>
        <v>-</v>
      </c>
    </row>
    <row r="25" spans="1:19" x14ac:dyDescent="0.25">
      <c r="A25" s="14"/>
      <c r="G25" s="12"/>
      <c r="I25" s="13"/>
      <c r="J25" s="10" t="str">
        <f>IF(Tabela1161822242636[[#This Row],[Data]]="","",YEAR(Tabela1161822242636[[#This Row],[Data]]))</f>
        <v/>
      </c>
      <c r="K25" s="10" t="str">
        <f>IF(Tabela1161822242636[[#This Row],[Data]]="","",MONTH(Tabela1161822242636[[#This Row],[Data]]))</f>
        <v/>
      </c>
      <c r="L25" s="42"/>
      <c r="M25" s="25"/>
      <c r="O25" s="11"/>
      <c r="Q25" s="12"/>
      <c r="R25" s="26"/>
      <c r="S25" s="10" t="str">
        <f t="shared" si="1"/>
        <v>-</v>
      </c>
    </row>
    <row r="26" spans="1:19" x14ac:dyDescent="0.25">
      <c r="A26" s="14"/>
      <c r="G26" s="12"/>
      <c r="I26" s="13"/>
      <c r="J26" s="10" t="str">
        <f>IF(Tabela1161822242636[[#This Row],[Data]]="","",YEAR(Tabela1161822242636[[#This Row],[Data]]))</f>
        <v/>
      </c>
      <c r="K26" s="10" t="str">
        <f>IF(Tabela1161822242636[[#This Row],[Data]]="","",MONTH(Tabela1161822242636[[#This Row],[Data]]))</f>
        <v/>
      </c>
      <c r="L26" s="42"/>
      <c r="M26" s="25"/>
      <c r="O26" s="11"/>
      <c r="Q26" s="12"/>
      <c r="R26" s="26"/>
      <c r="S26" s="10" t="str">
        <f t="shared" si="1"/>
        <v>-</v>
      </c>
    </row>
    <row r="27" spans="1:19" x14ac:dyDescent="0.25">
      <c r="A27" s="14"/>
      <c r="G27" s="12"/>
      <c r="I27" s="13"/>
      <c r="J27" s="10" t="str">
        <f>IF(Tabela1161822242636[[#This Row],[Data]]="","",YEAR(Tabela1161822242636[[#This Row],[Data]]))</f>
        <v/>
      </c>
      <c r="K27" s="10" t="str">
        <f>IF(Tabela1161822242636[[#This Row],[Data]]="","",MONTH(Tabela1161822242636[[#This Row],[Data]]))</f>
        <v/>
      </c>
      <c r="M27" s="25"/>
      <c r="O27" s="11"/>
      <c r="Q27" s="12"/>
      <c r="R27" s="26"/>
      <c r="S27" s="10" t="str">
        <f t="shared" si="1"/>
        <v>-</v>
      </c>
    </row>
    <row r="28" spans="1:19" x14ac:dyDescent="0.25">
      <c r="A28" s="14"/>
      <c r="G28" s="12"/>
      <c r="I28" s="13"/>
      <c r="J28" s="10" t="str">
        <f>IF(Tabela1161822242636[[#This Row],[Data]]="","",YEAR(Tabela1161822242636[[#This Row],[Data]]))</f>
        <v/>
      </c>
      <c r="K28" s="10" t="str">
        <f>IF(Tabela1161822242636[[#This Row],[Data]]="","",MONTH(Tabela1161822242636[[#This Row],[Data]]))</f>
        <v/>
      </c>
      <c r="M28" s="25"/>
      <c r="O28" s="11"/>
      <c r="Q28" s="12"/>
      <c r="R28" s="26"/>
      <c r="S28" s="10" t="str">
        <f t="shared" si="1"/>
        <v>-</v>
      </c>
    </row>
    <row r="29" spans="1:19" x14ac:dyDescent="0.25">
      <c r="A29" s="14"/>
      <c r="G29" s="12"/>
      <c r="I29" s="13"/>
      <c r="J29" s="10" t="str">
        <f>IF(Tabela1161822242636[[#This Row],[Data]]="","",YEAR(Tabela1161822242636[[#This Row],[Data]]))</f>
        <v/>
      </c>
      <c r="K29" s="10" t="str">
        <f>IF(Tabela1161822242636[[#This Row],[Data]]="","",MONTH(Tabela1161822242636[[#This Row],[Data]]))</f>
        <v/>
      </c>
      <c r="M29" s="25"/>
      <c r="O29" s="11"/>
      <c r="Q29" s="12"/>
      <c r="R29" s="26"/>
      <c r="S29" s="10" t="str">
        <f t="shared" si="1"/>
        <v>-</v>
      </c>
    </row>
    <row r="30" spans="1:19" x14ac:dyDescent="0.25">
      <c r="A30" s="14"/>
      <c r="G30" s="12"/>
      <c r="I30" s="13"/>
      <c r="J30" s="10" t="str">
        <f>IF(Tabela1161822242636[[#This Row],[Data]]="","",YEAR(Tabela1161822242636[[#This Row],[Data]]))</f>
        <v/>
      </c>
      <c r="K30" s="10" t="str">
        <f>IF(Tabela1161822242636[[#This Row],[Data]]="","",MONTH(Tabela1161822242636[[#This Row],[Data]]))</f>
        <v/>
      </c>
      <c r="M30" s="25"/>
      <c r="O30" s="11"/>
      <c r="Q30" s="12"/>
      <c r="R30" s="26"/>
      <c r="S30" s="10" t="str">
        <f t="shared" si="1"/>
        <v>-</v>
      </c>
    </row>
    <row r="31" spans="1:19" x14ac:dyDescent="0.25">
      <c r="A31" s="14"/>
      <c r="G31" s="12"/>
      <c r="I31" s="13"/>
      <c r="J31" s="10" t="str">
        <f>IF(Tabela1161822242636[[#This Row],[Data]]="","",YEAR(Tabela1161822242636[[#This Row],[Data]]))</f>
        <v/>
      </c>
      <c r="K31" s="10" t="str">
        <f>IF(Tabela1161822242636[[#This Row],[Data]]="","",MONTH(Tabela1161822242636[[#This Row],[Data]]))</f>
        <v/>
      </c>
      <c r="M31" s="25"/>
      <c r="O31" s="11"/>
      <c r="Q31" s="12"/>
      <c r="R31" s="26"/>
      <c r="S31" s="10" t="str">
        <f t="shared" si="0"/>
        <v>-</v>
      </c>
    </row>
    <row r="32" spans="1:19" x14ac:dyDescent="0.25">
      <c r="A32" s="14"/>
      <c r="G32" s="12"/>
      <c r="I32" s="13"/>
      <c r="J32" s="10" t="str">
        <f>IF(Tabela1161822242636[[#This Row],[Data]]="","",YEAR(Tabela1161822242636[[#This Row],[Data]]))</f>
        <v/>
      </c>
      <c r="K32" s="10" t="str">
        <f>IF(Tabela1161822242636[[#This Row],[Data]]="","",MONTH(Tabela1161822242636[[#This Row],[Data]]))</f>
        <v/>
      </c>
      <c r="M32" s="25"/>
      <c r="O32" s="11"/>
      <c r="Q32" s="12"/>
      <c r="R32" s="26"/>
      <c r="S32" s="10" t="str">
        <f t="shared" si="0"/>
        <v>-</v>
      </c>
    </row>
    <row r="33" spans="1:19" x14ac:dyDescent="0.25">
      <c r="A33" s="14"/>
      <c r="G33" s="12"/>
      <c r="I33" s="13"/>
      <c r="J33" s="10" t="str">
        <f>IF(Tabela1161822242636[[#This Row],[Data]]="","",YEAR(Tabela1161822242636[[#This Row],[Data]]))</f>
        <v/>
      </c>
      <c r="K33" s="10" t="str">
        <f>IF(Tabela1161822242636[[#This Row],[Data]]="","",MONTH(Tabela1161822242636[[#This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8"/>
      <c r="H34" s="16"/>
      <c r="I34" s="19"/>
      <c r="J34" s="10" t="str">
        <f>IF(Tabela1161822242636[[#This Row],[Data]]="","",YEAR(Tabela1161822242636[[#This Row],[Data]]))</f>
        <v/>
      </c>
      <c r="K34" s="10" t="str">
        <f>IF(Tabela1161822242636[[#This Row],[Data]]="","",MONTH(Tabela1161822242636[[#This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21</v>
      </c>
      <c r="B35" s="71"/>
      <c r="C35" s="43" t="s">
        <v>22</v>
      </c>
      <c r="D35" s="44"/>
      <c r="E35" s="44"/>
      <c r="F35" s="87" t="s">
        <v>23</v>
      </c>
      <c r="G35" s="88"/>
      <c r="H35" s="88"/>
      <c r="I35" s="89"/>
      <c r="M35" s="61" t="s">
        <v>26</v>
      </c>
      <c r="N35" s="61"/>
      <c r="P35" s="79" t="s">
        <v>23</v>
      </c>
      <c r="Q35" s="79"/>
      <c r="R35" s="79"/>
    </row>
    <row r="36" spans="1:19" ht="15" customHeight="1" x14ac:dyDescent="0.25">
      <c r="A36" s="72">
        <f>SUMIFS(Tabela1161822242636[Valor],Tabela1161822242636[Recebido],"Sim",Tabela1161822242636[Ano],YEAR($H$9),Tabela1161822242636[mês],MONTH($H$9))</f>
        <v>0</v>
      </c>
      <c r="B36" s="73"/>
      <c r="C36" s="84">
        <f>SUMIF(Tabela1161822242636[Recebido],"Sim",Tabela1161822242636[Valor])-A36</f>
        <v>0</v>
      </c>
      <c r="D36" s="11"/>
      <c r="F36" s="90">
        <f>SUMIF(I12:I34,"Sim",E12:E34)</f>
        <v>0</v>
      </c>
      <c r="G36" s="91"/>
      <c r="H36" s="91"/>
      <c r="I36" s="92"/>
      <c r="M36" s="62">
        <f>SUM(Tabela3171923252737[Valor])</f>
        <v>0</v>
      </c>
      <c r="N36" s="63"/>
      <c r="O36" s="11"/>
      <c r="P36" s="68">
        <f>SUMIF(Tabela3171923252737[Pago],"Sim",Tabela3171923252737[Valor])</f>
        <v>0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46" spans="1:19" x14ac:dyDescent="0.25">
      <c r="G46" s="10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dataValidations count="6">
    <dataValidation type="list" allowBlank="1" showInputMessage="1" showErrorMessage="1" sqref="R12:R34 H12:I34" xr:uid="{D352823E-DBC1-4CE3-B299-930904F612BB}">
      <formula1>"Sim,Não,-"</formula1>
    </dataValidation>
    <dataValidation type="list" allowBlank="1" showInputMessage="1" showErrorMessage="1" sqref="F12:F34" xr:uid="{C7215A40-0369-44B7-AED8-E30B3FB0A406}">
      <formula1>"Dinheiro,Boleto,Cartão de débito,Cartão de crédito,Cheque,Outros"</formula1>
    </dataValidation>
    <dataValidation type="list" allowBlank="1" showInputMessage="1" showErrorMessage="1" sqref="B4:C4" xr:uid="{EAB9E083-E498-4ACD-AC4A-95FA205128A7}">
      <formula1>"Janeiro,Fevereiro,Março,Abril,Maio,Junho,Julho,Agosto,Setembro,Outubro,Novembro,Dezembro"</formula1>
    </dataValidation>
    <dataValidation type="list" allowBlank="1" showInputMessage="1" showErrorMessage="1" sqref="B5:C5" xr:uid="{35F94D8D-E142-4AB4-AD37-E0EADBC33172}">
      <formula1>"2019,2020,2021,2022"</formula1>
    </dataValidation>
    <dataValidation type="list" allowBlank="1" showInputMessage="1" showErrorMessage="1" sqref="D12:D34" xr:uid="{37B48E12-E8AC-4FF3-85FD-AE9914F9CBEB}">
      <formula1>"Comércio,Indústria,Transporte intermunicipais e interestaduais,Fornecimento de refeições,Serviço"</formula1>
    </dataValidation>
    <dataValidation type="list" allowBlank="1" showInputMessage="1" showErrorMessage="1" sqref="P12:P34" xr:uid="{DA9FA833-8B24-4314-849B-F02DF9316257}">
      <formula1>"Dinheiro,Cartão de débito,Cartão de crédito,Cheque,Outros"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300" verticalDpi="300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AD0A-E2AC-4BAD-99B2-5C88ACC93D6E}">
  <sheetPr codeName="Planilha11">
    <pageSetUpPr fitToPage="1"/>
  </sheetPr>
  <dimension ref="A1:S46"/>
  <sheetViews>
    <sheetView showGridLines="0" zoomScale="50" zoomScaleNormal="50" workbookViewId="0">
      <pane ySplit="11" topLeftCell="A12" activePane="bottomLeft" state="frozen"/>
      <selection activeCell="A41" sqref="A41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bestFit="1" customWidth="1"/>
    <col min="5" max="5" width="14.85546875" style="11" bestFit="1" customWidth="1"/>
    <col min="6" max="6" width="12.7109375" style="10" bestFit="1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hidden="1" customWidth="1"/>
    <col min="12" max="12" width="6.28515625" style="10" customWidth="1"/>
    <col min="13" max="13" width="11.5703125" style="10" bestFit="1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x14ac:dyDescent="0.25">
      <c r="A4" s="33" t="s">
        <v>16</v>
      </c>
      <c r="B4" s="78" t="s">
        <v>31</v>
      </c>
      <c r="C4" s="78"/>
    </row>
    <row r="5" spans="1:19" ht="15.75" x14ac:dyDescent="0.25">
      <c r="A5" s="33" t="s">
        <v>15</v>
      </c>
      <c r="B5" s="78">
        <v>2019</v>
      </c>
      <c r="C5" s="78"/>
      <c r="G5" s="80"/>
      <c r="H5" s="82"/>
      <c r="I5" s="83"/>
    </row>
    <row r="6" spans="1:19" ht="3.75" customHeight="1" x14ac:dyDescent="0.25">
      <c r="A6" s="33"/>
      <c r="B6" s="3"/>
      <c r="C6" s="3"/>
      <c r="G6" s="81"/>
      <c r="H6" s="83"/>
      <c r="I6" s="83"/>
    </row>
    <row r="7" spans="1:19" ht="15.75" x14ac:dyDescent="0.25">
      <c r="A7" s="33" t="s">
        <v>40</v>
      </c>
      <c r="B7" s="78"/>
      <c r="C7" s="78"/>
    </row>
    <row r="8" spans="1:19" ht="6.75" customHeight="1" x14ac:dyDescent="0.25">
      <c r="A8" s="34"/>
    </row>
    <row r="9" spans="1:19" ht="15" customHeight="1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Abr/19</v>
      </c>
      <c r="I9" s="66"/>
      <c r="M9" s="69" t="s">
        <v>57</v>
      </c>
      <c r="N9" s="69"/>
      <c r="O9" s="69"/>
      <c r="P9" s="69"/>
      <c r="Q9" s="67" t="str">
        <f>LEFT($B$4,3)&amp;"/"&amp;RIGHT($B$5,2)</f>
        <v>Abr/19</v>
      </c>
      <c r="R9" s="67"/>
    </row>
    <row r="10" spans="1:19" ht="15" customHeight="1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9"/>
      <c r="G12" s="12"/>
      <c r="I12" s="13"/>
      <c r="J12" s="10" t="str">
        <f>IF(Tabela116182224262834[[#This Row],[Data]]="","",YEAR(Tabela116182224262834[[#This Row],[Data]]))</f>
        <v/>
      </c>
      <c r="K12" s="10" t="str">
        <f>IF(Tabela116182224262834[[#This Row],[Data]]="","",MONTH(Tabela116182224262834[[#This Row],[Data]]))</f>
        <v/>
      </c>
      <c r="M12" s="20"/>
      <c r="N12" s="21"/>
      <c r="O12" s="22"/>
      <c r="P12" s="21"/>
      <c r="Q12" s="23"/>
      <c r="R12" s="24"/>
      <c r="S12" s="10" t="str">
        <f t="shared" ref="S12:S32" si="0">IFERROR(LEFT(Q12,SEARCH("/",Q12)-1)*1,"-")</f>
        <v>-</v>
      </c>
    </row>
    <row r="13" spans="1:19" x14ac:dyDescent="0.25">
      <c r="A13" s="9"/>
      <c r="G13" s="12"/>
      <c r="I13" s="13"/>
      <c r="J13" s="10" t="str">
        <f>IF(Tabela116182224262834[[#This Row],[Data]]="","",YEAR(Tabela116182224262834[[#This Row],[Data]]))</f>
        <v/>
      </c>
      <c r="K13" s="10" t="str">
        <f>IF(Tabela116182224262834[[#This Row],[Data]]="","",MONTH(Tabela116182224262834[[#This Row],[Data]]))</f>
        <v/>
      </c>
      <c r="M13" s="25"/>
      <c r="O13" s="11"/>
      <c r="Q13" s="12"/>
      <c r="R13" s="26"/>
      <c r="S13" s="10" t="str">
        <f t="shared" si="0"/>
        <v>-</v>
      </c>
    </row>
    <row r="14" spans="1:19" x14ac:dyDescent="0.25">
      <c r="A14" s="9"/>
      <c r="G14" s="12"/>
      <c r="I14" s="13"/>
      <c r="J14" s="10" t="str">
        <f>IF(Tabela116182224262834[[#This Row],[Data]]="","",YEAR(Tabela116182224262834[[#This Row],[Data]]))</f>
        <v/>
      </c>
      <c r="K14" s="10" t="str">
        <f>IF(Tabela116182224262834[[#This Row],[Data]]="","",MONTH(Tabela116182224262834[[#This Row],[Data]]))</f>
        <v/>
      </c>
      <c r="M14" s="25"/>
      <c r="O14" s="11"/>
      <c r="Q14" s="12"/>
      <c r="R14" s="26"/>
      <c r="S14" s="10" t="str">
        <f t="shared" si="0"/>
        <v>-</v>
      </c>
    </row>
    <row r="15" spans="1:19" x14ac:dyDescent="0.25">
      <c r="A15" s="9"/>
      <c r="G15" s="12"/>
      <c r="I15" s="13"/>
      <c r="J15" s="10" t="str">
        <f>IF(Tabela116182224262834[[#This Row],[Data]]="","",YEAR(Tabela116182224262834[[#This Row],[Data]]))</f>
        <v/>
      </c>
      <c r="K15" s="10" t="str">
        <f>IF(Tabela116182224262834[[#This Row],[Data]]="","",MONTH(Tabela116182224262834[[#This Row],[Data]]))</f>
        <v/>
      </c>
      <c r="M15" s="25"/>
      <c r="O15" s="11"/>
      <c r="Q15" s="12"/>
      <c r="R15" s="26"/>
      <c r="S15" s="10" t="str">
        <f t="shared" si="0"/>
        <v>-</v>
      </c>
    </row>
    <row r="16" spans="1:19" x14ac:dyDescent="0.25">
      <c r="A16" s="9"/>
      <c r="G16" s="12"/>
      <c r="I16" s="13"/>
      <c r="J16" s="10" t="str">
        <f>IF(Tabela116182224262834[[#This Row],[Data]]="","",YEAR(Tabela116182224262834[[#This Row],[Data]]))</f>
        <v/>
      </c>
      <c r="K16" s="10" t="str">
        <f>IF(Tabela116182224262834[[#This Row],[Data]]="","",MONTH(Tabela116182224262834[[#This Row],[Data]]))</f>
        <v/>
      </c>
      <c r="M16" s="25"/>
      <c r="O16" s="11"/>
      <c r="Q16" s="12"/>
      <c r="R16" s="26"/>
      <c r="S16" s="10" t="str">
        <f t="shared" si="0"/>
        <v>-</v>
      </c>
    </row>
    <row r="17" spans="1:19" x14ac:dyDescent="0.25">
      <c r="A17" s="9"/>
      <c r="G17" s="12"/>
      <c r="J17" s="10" t="str">
        <f>IF(Tabela116182224262834[[#This Row],[Data]]="","",YEAR(Tabela116182224262834[[#This Row],[Data]]))</f>
        <v/>
      </c>
      <c r="K17" s="10" t="str">
        <f>IF(Tabela116182224262834[[#This Row],[Data]]="","",MONTH(Tabela116182224262834[[#This Row],[Data]]))</f>
        <v/>
      </c>
      <c r="M17" s="25"/>
      <c r="O17" s="11"/>
      <c r="Q17" s="12"/>
      <c r="R17" s="26"/>
      <c r="S17" s="10" t="str">
        <f t="shared" si="0"/>
        <v>-</v>
      </c>
    </row>
    <row r="18" spans="1:19" x14ac:dyDescent="0.25">
      <c r="A18" s="14"/>
      <c r="G18" s="12"/>
      <c r="J18" s="10" t="str">
        <f>IF(Tabela116182224262834[[#This Row],[Data]]="","",YEAR(Tabela116182224262834[[#This Row],[Data]]))</f>
        <v/>
      </c>
      <c r="K18" s="10" t="str">
        <f>IF(Tabela116182224262834[[#This Row],[Data]]="","",MONTH(Tabela116182224262834[[#This Row],[Data]]))</f>
        <v/>
      </c>
      <c r="M18" s="25"/>
      <c r="O18" s="11"/>
      <c r="Q18" s="12"/>
      <c r="R18" s="26"/>
      <c r="S18" s="10" t="str">
        <f t="shared" si="0"/>
        <v>-</v>
      </c>
    </row>
    <row r="19" spans="1:19" x14ac:dyDescent="0.25">
      <c r="A19" s="14"/>
      <c r="G19" s="12"/>
      <c r="J19" s="10" t="str">
        <f>IF(Tabela116182224262834[[#This Row],[Data]]="","",YEAR(Tabela116182224262834[[#This Row],[Data]]))</f>
        <v/>
      </c>
      <c r="K19" s="10" t="str">
        <f>IF(Tabela116182224262834[[#This Row],[Data]]="","",MONTH(Tabela116182224262834[[#This Row],[Data]]))</f>
        <v/>
      </c>
      <c r="M19" s="25"/>
      <c r="O19" s="11"/>
      <c r="Q19" s="12"/>
      <c r="R19" s="26"/>
      <c r="S19" s="10" t="str">
        <f t="shared" ref="S19:S30" si="1">IFERROR(LEFT(Q19,SEARCH("/",Q19)-1)*1,"-")</f>
        <v>-</v>
      </c>
    </row>
    <row r="20" spans="1:19" x14ac:dyDescent="0.25">
      <c r="A20" s="14"/>
      <c r="G20" s="12"/>
      <c r="I20" s="13"/>
      <c r="J20" s="10" t="str">
        <f>IF(Tabela116182224262834[[#This Row],[Data]]="","",YEAR(Tabela116182224262834[[#This Row],[Data]]))</f>
        <v/>
      </c>
      <c r="K20" s="10" t="str">
        <f>IF(Tabela116182224262834[[#This Row],[Data]]="","",MONTH(Tabela116182224262834[[#This Row],[Data]]))</f>
        <v/>
      </c>
      <c r="M20" s="25"/>
      <c r="O20" s="11"/>
      <c r="Q20" s="12"/>
      <c r="R20" s="26"/>
      <c r="S20" s="10" t="str">
        <f t="shared" si="1"/>
        <v>-</v>
      </c>
    </row>
    <row r="21" spans="1:19" x14ac:dyDescent="0.25">
      <c r="A21" s="14"/>
      <c r="G21" s="12"/>
      <c r="I21" s="13"/>
      <c r="J21" s="10" t="str">
        <f>IF(Tabela116182224262834[[#This Row],[Data]]="","",YEAR(Tabela116182224262834[[#This Row],[Data]]))</f>
        <v/>
      </c>
      <c r="K21" s="10" t="str">
        <f>IF(Tabela116182224262834[[#This Row],[Data]]="","",MONTH(Tabela116182224262834[[#This Row],[Data]]))</f>
        <v/>
      </c>
      <c r="M21" s="25"/>
      <c r="O21" s="11"/>
      <c r="Q21" s="12"/>
      <c r="R21" s="26"/>
      <c r="S21" s="10" t="str">
        <f t="shared" si="1"/>
        <v>-</v>
      </c>
    </row>
    <row r="22" spans="1:19" x14ac:dyDescent="0.25">
      <c r="A22" s="14"/>
      <c r="G22" s="12"/>
      <c r="I22" s="13"/>
      <c r="J22" s="10" t="str">
        <f>IF(Tabela116182224262834[[#This Row],[Data]]="","",YEAR(Tabela116182224262834[[#This Row],[Data]]))</f>
        <v/>
      </c>
      <c r="K22" s="10" t="str">
        <f>IF(Tabela116182224262834[[#This Row],[Data]]="","",MONTH(Tabela116182224262834[[#This Row],[Data]]))</f>
        <v/>
      </c>
      <c r="M22" s="25"/>
      <c r="O22" s="11"/>
      <c r="Q22" s="12"/>
      <c r="R22" s="26"/>
      <c r="S22" s="10" t="str">
        <f t="shared" si="1"/>
        <v>-</v>
      </c>
    </row>
    <row r="23" spans="1:19" x14ac:dyDescent="0.25">
      <c r="A23" s="14"/>
      <c r="G23" s="12"/>
      <c r="I23" s="13"/>
      <c r="J23" s="10" t="str">
        <f>IF(Tabela116182224262834[[#This Row],[Data]]="","",YEAR(Tabela116182224262834[[#This Row],[Data]]))</f>
        <v/>
      </c>
      <c r="K23" s="10" t="str">
        <f>IF(Tabela116182224262834[[#This Row],[Data]]="","",MONTH(Tabela116182224262834[[#This Row],[Data]]))</f>
        <v/>
      </c>
      <c r="M23" s="25"/>
      <c r="O23" s="11"/>
      <c r="Q23" s="12"/>
      <c r="R23" s="26"/>
      <c r="S23" s="10" t="str">
        <f t="shared" si="1"/>
        <v>-</v>
      </c>
    </row>
    <row r="24" spans="1:19" x14ac:dyDescent="0.25">
      <c r="A24" s="14"/>
      <c r="G24" s="12"/>
      <c r="I24" s="13"/>
      <c r="J24" s="10" t="str">
        <f>IF(Tabela116182224262834[[#This Row],[Data]]="","",YEAR(Tabela116182224262834[[#This Row],[Data]]))</f>
        <v/>
      </c>
      <c r="K24" s="10" t="str">
        <f>IF(Tabela116182224262834[[#This Row],[Data]]="","",MONTH(Tabela116182224262834[[#This Row],[Data]]))</f>
        <v/>
      </c>
      <c r="L24" s="42"/>
      <c r="M24" s="25"/>
      <c r="O24" s="11"/>
      <c r="Q24" s="12"/>
      <c r="R24" s="26"/>
      <c r="S24" s="10" t="str">
        <f t="shared" si="1"/>
        <v>-</v>
      </c>
    </row>
    <row r="25" spans="1:19" x14ac:dyDescent="0.25">
      <c r="A25" s="14"/>
      <c r="G25" s="12"/>
      <c r="I25" s="13"/>
      <c r="J25" s="10" t="str">
        <f>IF(Tabela116182224262834[[#This Row],[Data]]="","",YEAR(Tabela116182224262834[[#This Row],[Data]]))</f>
        <v/>
      </c>
      <c r="K25" s="10" t="str">
        <f>IF(Tabela116182224262834[[#This Row],[Data]]="","",MONTH(Tabela116182224262834[[#This Row],[Data]]))</f>
        <v/>
      </c>
      <c r="L25" s="42"/>
      <c r="M25" s="25"/>
      <c r="O25" s="11"/>
      <c r="Q25" s="12"/>
      <c r="R25" s="26"/>
      <c r="S25" s="10" t="str">
        <f t="shared" si="1"/>
        <v>-</v>
      </c>
    </row>
    <row r="26" spans="1:19" x14ac:dyDescent="0.25">
      <c r="A26" s="14"/>
      <c r="G26" s="12"/>
      <c r="I26" s="13"/>
      <c r="J26" s="10" t="str">
        <f>IF(Tabela116182224262834[[#This Row],[Data]]="","",YEAR(Tabela116182224262834[[#This Row],[Data]]))</f>
        <v/>
      </c>
      <c r="K26" s="10" t="str">
        <f>IF(Tabela116182224262834[[#This Row],[Data]]="","",MONTH(Tabela116182224262834[[#This Row],[Data]]))</f>
        <v/>
      </c>
      <c r="L26" s="42"/>
      <c r="M26" s="25"/>
      <c r="O26" s="11"/>
      <c r="Q26" s="12"/>
      <c r="R26" s="26"/>
      <c r="S26" s="10" t="str">
        <f t="shared" si="1"/>
        <v>-</v>
      </c>
    </row>
    <row r="27" spans="1:19" x14ac:dyDescent="0.25">
      <c r="A27" s="14"/>
      <c r="G27" s="12"/>
      <c r="I27" s="13"/>
      <c r="J27" s="10" t="str">
        <f>IF(Tabela116182224262834[[#This Row],[Data]]="","",YEAR(Tabela116182224262834[[#This Row],[Data]]))</f>
        <v/>
      </c>
      <c r="K27" s="10" t="str">
        <f>IF(Tabela116182224262834[[#This Row],[Data]]="","",MONTH(Tabela116182224262834[[#This Row],[Data]]))</f>
        <v/>
      </c>
      <c r="M27" s="25"/>
      <c r="O27" s="11"/>
      <c r="Q27" s="12"/>
      <c r="R27" s="26"/>
      <c r="S27" s="10" t="str">
        <f t="shared" si="1"/>
        <v>-</v>
      </c>
    </row>
    <row r="28" spans="1:19" x14ac:dyDescent="0.25">
      <c r="A28" s="14"/>
      <c r="G28" s="12"/>
      <c r="I28" s="13"/>
      <c r="J28" s="10" t="str">
        <f>IF(Tabela116182224262834[[#This Row],[Data]]="","",YEAR(Tabela116182224262834[[#This Row],[Data]]))</f>
        <v/>
      </c>
      <c r="K28" s="10" t="str">
        <f>IF(Tabela116182224262834[[#This Row],[Data]]="","",MONTH(Tabela116182224262834[[#This Row],[Data]]))</f>
        <v/>
      </c>
      <c r="M28" s="25"/>
      <c r="O28" s="11"/>
      <c r="Q28" s="12"/>
      <c r="R28" s="26"/>
      <c r="S28" s="10" t="str">
        <f t="shared" si="1"/>
        <v>-</v>
      </c>
    </row>
    <row r="29" spans="1:19" x14ac:dyDescent="0.25">
      <c r="A29" s="14"/>
      <c r="G29" s="12"/>
      <c r="I29" s="13"/>
      <c r="J29" s="10" t="str">
        <f>IF(Tabela116182224262834[[#This Row],[Data]]="","",YEAR(Tabela116182224262834[[#This Row],[Data]]))</f>
        <v/>
      </c>
      <c r="K29" s="10" t="str">
        <f>IF(Tabela116182224262834[[#This Row],[Data]]="","",MONTH(Tabela116182224262834[[#This Row],[Data]]))</f>
        <v/>
      </c>
      <c r="M29" s="25"/>
      <c r="O29" s="11"/>
      <c r="Q29" s="12"/>
      <c r="R29" s="26"/>
      <c r="S29" s="10" t="str">
        <f t="shared" si="1"/>
        <v>-</v>
      </c>
    </row>
    <row r="30" spans="1:19" x14ac:dyDescent="0.25">
      <c r="A30" s="14"/>
      <c r="G30" s="12"/>
      <c r="I30" s="13"/>
      <c r="J30" s="10" t="str">
        <f>IF(Tabela116182224262834[[#This Row],[Data]]="","",YEAR(Tabela116182224262834[[#This Row],[Data]]))</f>
        <v/>
      </c>
      <c r="K30" s="10" t="str">
        <f>IF(Tabela116182224262834[[#This Row],[Data]]="","",MONTH(Tabela116182224262834[[#This Row],[Data]]))</f>
        <v/>
      </c>
      <c r="M30" s="25"/>
      <c r="O30" s="11"/>
      <c r="Q30" s="12"/>
      <c r="R30" s="26"/>
      <c r="S30" s="10" t="str">
        <f t="shared" si="1"/>
        <v>-</v>
      </c>
    </row>
    <row r="31" spans="1:19" x14ac:dyDescent="0.25">
      <c r="A31" s="14"/>
      <c r="G31" s="12"/>
      <c r="I31" s="13"/>
      <c r="J31" s="10" t="str">
        <f>IF(Tabela116182224262834[[#This Row],[Data]]="","",YEAR(Tabela116182224262834[[#This Row],[Data]]))</f>
        <v/>
      </c>
      <c r="K31" s="10" t="str">
        <f>IF(Tabela116182224262834[[#This Row],[Data]]="","",MONTH(Tabela116182224262834[[#This Row],[Data]]))</f>
        <v/>
      </c>
      <c r="M31" s="25"/>
      <c r="O31" s="11"/>
      <c r="Q31" s="12"/>
      <c r="R31" s="26"/>
      <c r="S31" s="10" t="str">
        <f t="shared" si="0"/>
        <v>-</v>
      </c>
    </row>
    <row r="32" spans="1:19" x14ac:dyDescent="0.25">
      <c r="A32" s="14"/>
      <c r="G32" s="12"/>
      <c r="I32" s="13"/>
      <c r="J32" s="10" t="str">
        <f>IF(Tabela116182224262834[[#This Row],[Data]]="","",YEAR(Tabela116182224262834[[#This Row],[Data]]))</f>
        <v/>
      </c>
      <c r="K32" s="10" t="str">
        <f>IF(Tabela116182224262834[[#This Row],[Data]]="","",MONTH(Tabela116182224262834[[#This Row],[Data]]))</f>
        <v/>
      </c>
      <c r="M32" s="25"/>
      <c r="O32" s="11"/>
      <c r="Q32" s="12"/>
      <c r="R32" s="26"/>
      <c r="S32" s="10" t="str">
        <f t="shared" si="0"/>
        <v>-</v>
      </c>
    </row>
    <row r="33" spans="1:19" x14ac:dyDescent="0.25">
      <c r="A33" s="14"/>
      <c r="G33" s="12"/>
      <c r="I33" s="13"/>
      <c r="J33" s="10" t="str">
        <f>IF(Tabela116182224262834[[#This Row],[Data]]="","",YEAR(Tabela116182224262834[[#This Row],[Data]]))</f>
        <v/>
      </c>
      <c r="K33" s="10" t="str">
        <f>IF(Tabela116182224262834[[#This Row],[Data]]="","",MONTH(Tabela116182224262834[[#This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8"/>
      <c r="H34" s="16"/>
      <c r="I34" s="19"/>
      <c r="J34" s="10" t="str">
        <f>IF(Tabela116182224262834[[#This Row],[Data]]="","",YEAR(Tabela116182224262834[[#This Row],[Data]]))</f>
        <v/>
      </c>
      <c r="K34" s="10" t="str">
        <f>IF(Tabela116182224262834[[#This Row],[Data]]="","",MONTH(Tabela116182224262834[[#This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21</v>
      </c>
      <c r="B35" s="71"/>
      <c r="C35" s="43" t="s">
        <v>22</v>
      </c>
      <c r="D35" s="44"/>
      <c r="E35" s="44"/>
      <c r="F35" s="87" t="s">
        <v>23</v>
      </c>
      <c r="G35" s="88"/>
      <c r="H35" s="88"/>
      <c r="I35" s="89"/>
      <c r="M35" s="61" t="s">
        <v>26</v>
      </c>
      <c r="N35" s="61"/>
      <c r="P35" s="79" t="s">
        <v>23</v>
      </c>
      <c r="Q35" s="79"/>
      <c r="R35" s="79"/>
    </row>
    <row r="36" spans="1:19" ht="15" customHeight="1" x14ac:dyDescent="0.25">
      <c r="A36" s="72">
        <f>SUMIFS(Tabela116182224262834[Valor],Tabela116182224262834[Recebido],"Sim",Tabela116182224262834[Ano],YEAR($H$9),Tabela116182224262834[mês],MONTH($H$9))</f>
        <v>0</v>
      </c>
      <c r="B36" s="73"/>
      <c r="C36" s="84">
        <f>SUMIF(Tabela116182224262834[Recebido],"Sim",Tabela116182224262834[Valor])-A36</f>
        <v>0</v>
      </c>
      <c r="D36" s="11"/>
      <c r="F36" s="90">
        <f>SUMIF(I12:I34,"Sim",E12:E34)</f>
        <v>0</v>
      </c>
      <c r="G36" s="91"/>
      <c r="H36" s="91"/>
      <c r="I36" s="92"/>
      <c r="M36" s="62">
        <f>SUM(Tabela317192325272935[Valor])</f>
        <v>0</v>
      </c>
      <c r="N36" s="63"/>
      <c r="O36" s="11"/>
      <c r="P36" s="68">
        <f>SUMIF(Tabela317192325272935[Pago],"Sim",Tabela317192325272935[Valor])</f>
        <v>0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46" spans="1:19" x14ac:dyDescent="0.25">
      <c r="G46" s="10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dataValidations count="6">
    <dataValidation type="list" allowBlank="1" showInputMessage="1" showErrorMessage="1" sqref="D12:D34" xr:uid="{4C038BFE-BDD7-41E1-B9A0-4E8E47DA13C8}">
      <formula1>"Comércio,Indústria,Transporte intermunicipais e interestaduais,Fornecimento de refeições,Serviço"</formula1>
    </dataValidation>
    <dataValidation type="list" allowBlank="1" showInputMessage="1" showErrorMessage="1" sqref="B5:C5" xr:uid="{210AAB53-A195-4399-8465-DA7002CFC4AD}">
      <formula1>"2019,2020,2021,2022"</formula1>
    </dataValidation>
    <dataValidation type="list" allowBlank="1" showInputMessage="1" showErrorMessage="1" sqref="B4:C4" xr:uid="{7BE11EC8-7FDB-482D-A056-E2D753779B3B}">
      <formula1>"Janeiro,Fevereiro,Março,Abril,Maio,Junho,Julho,Agosto,Setembro,Outubro,Novembro,Dezembro"</formula1>
    </dataValidation>
    <dataValidation type="list" allowBlank="1" showInputMessage="1" showErrorMessage="1" sqref="F12:F34" xr:uid="{F8268D9C-FBFA-4F3E-90B0-B068026D8B11}">
      <formula1>"Dinheiro,Boleto,Cartão de débito,Cartão de crédito,Cheque,Outros"</formula1>
    </dataValidation>
    <dataValidation type="list" allowBlank="1" showInputMessage="1" showErrorMessage="1" sqref="R12:R34 H12:I34" xr:uid="{13EB1386-8F5B-4D0E-84F8-26B70743A520}">
      <formula1>"Sim,Não,-"</formula1>
    </dataValidation>
    <dataValidation type="list" allowBlank="1" showInputMessage="1" showErrorMessage="1" sqref="P12:P34" xr:uid="{498FCE1A-0F68-4C06-A833-FA704E36037C}">
      <formula1>"Dinheiro,Cartão de débito,Cartão de crédito,Cheque,Outros"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300" verticalDpi="300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2B96-A0E0-4CA3-85DF-0C9C59C1ADA9}">
  <sheetPr codeName="Planilha10">
    <pageSetUpPr fitToPage="1"/>
  </sheetPr>
  <dimension ref="A1:S46"/>
  <sheetViews>
    <sheetView showGridLines="0" zoomScale="50" zoomScaleNormal="50" workbookViewId="0">
      <pane ySplit="11" topLeftCell="A12" activePane="bottomLeft" state="frozen"/>
      <selection activeCell="A41" sqref="A41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bestFit="1" customWidth="1"/>
    <col min="5" max="5" width="14.85546875" style="11" bestFit="1" customWidth="1"/>
    <col min="6" max="6" width="12.7109375" style="10" bestFit="1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hidden="1" customWidth="1"/>
    <col min="12" max="12" width="6.28515625" style="10" customWidth="1"/>
    <col min="13" max="13" width="11.5703125" style="10" bestFit="1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x14ac:dyDescent="0.25">
      <c r="A4" s="33" t="s">
        <v>16</v>
      </c>
      <c r="B4" s="78" t="s">
        <v>32</v>
      </c>
      <c r="C4" s="78"/>
    </row>
    <row r="5" spans="1:19" ht="15.75" x14ac:dyDescent="0.25">
      <c r="A5" s="33" t="s">
        <v>15</v>
      </c>
      <c r="B5" s="78">
        <v>2019</v>
      </c>
      <c r="C5" s="78"/>
      <c r="G5" s="80"/>
      <c r="H5" s="82"/>
      <c r="I5" s="83"/>
    </row>
    <row r="6" spans="1:19" ht="3.75" customHeight="1" x14ac:dyDescent="0.25">
      <c r="A6" s="33"/>
      <c r="B6" s="3"/>
      <c r="C6" s="3"/>
      <c r="G6" s="81"/>
      <c r="H6" s="83"/>
      <c r="I6" s="83"/>
    </row>
    <row r="7" spans="1:19" ht="15.75" x14ac:dyDescent="0.25">
      <c r="A7" s="33" t="s">
        <v>40</v>
      </c>
      <c r="B7" s="78"/>
      <c r="C7" s="78"/>
    </row>
    <row r="8" spans="1:19" ht="6.75" customHeight="1" x14ac:dyDescent="0.25">
      <c r="A8" s="34"/>
    </row>
    <row r="9" spans="1:19" ht="15" customHeight="1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Mai/19</v>
      </c>
      <c r="I9" s="66"/>
      <c r="M9" s="69" t="s">
        <v>57</v>
      </c>
      <c r="N9" s="69"/>
      <c r="O9" s="69"/>
      <c r="P9" s="69"/>
      <c r="Q9" s="67" t="str">
        <f>LEFT($B$4,3)&amp;"/"&amp;RIGHT($B$5,2)</f>
        <v>Mai/19</v>
      </c>
      <c r="R9" s="67"/>
    </row>
    <row r="10" spans="1:19" ht="15" customHeight="1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9"/>
      <c r="G12" s="12"/>
      <c r="I12" s="13"/>
      <c r="J12" s="10" t="str">
        <f>IF(Tabela11618222426283032[[#This Row],[Data]]="","",YEAR(Tabela11618222426283032[[#This Row],[Data]]))</f>
        <v/>
      </c>
      <c r="K12" s="10" t="str">
        <f>IF(Tabela11618222426283032[[#This Row],[Data]]="","",MONTH(Tabela11618222426283032[[#This Row],[Data]]))</f>
        <v/>
      </c>
      <c r="M12" s="20"/>
      <c r="N12" s="21"/>
      <c r="O12" s="22"/>
      <c r="P12" s="21"/>
      <c r="Q12" s="23"/>
      <c r="R12" s="24"/>
    </row>
    <row r="13" spans="1:19" x14ac:dyDescent="0.25">
      <c r="A13" s="9"/>
      <c r="G13" s="12"/>
      <c r="I13" s="13"/>
      <c r="J13" s="10" t="str">
        <f>IF(Tabela11618222426283032[[#This Row],[Data]]="","",YEAR(Tabela11618222426283032[[#This Row],[Data]]))</f>
        <v/>
      </c>
      <c r="K13" s="10" t="str">
        <f>IF(Tabela11618222426283032[[#This Row],[Data]]="","",MONTH(Tabela11618222426283032[[#This Row],[Data]]))</f>
        <v/>
      </c>
      <c r="M13" s="25"/>
      <c r="O13" s="11"/>
      <c r="Q13" s="12"/>
      <c r="R13" s="26"/>
    </row>
    <row r="14" spans="1:19" x14ac:dyDescent="0.25">
      <c r="A14" s="9"/>
      <c r="G14" s="12"/>
      <c r="I14" s="13"/>
      <c r="J14" s="10" t="str">
        <f>IF(Tabela11618222426283032[[#This Row],[Data]]="","",YEAR(Tabela11618222426283032[[#This Row],[Data]]))</f>
        <v/>
      </c>
      <c r="K14" s="10" t="str">
        <f>IF(Tabela11618222426283032[[#This Row],[Data]]="","",MONTH(Tabela11618222426283032[[#This Row],[Data]]))</f>
        <v/>
      </c>
      <c r="M14" s="25"/>
      <c r="O14" s="11"/>
      <c r="Q14" s="12"/>
      <c r="R14" s="26"/>
    </row>
    <row r="15" spans="1:19" x14ac:dyDescent="0.25">
      <c r="A15" s="9"/>
      <c r="G15" s="12"/>
      <c r="I15" s="13"/>
      <c r="J15" s="10" t="str">
        <f>IF(Tabela11618222426283032[[#This Row],[Data]]="","",YEAR(Tabela11618222426283032[[#This Row],[Data]]))</f>
        <v/>
      </c>
      <c r="K15" s="10" t="str">
        <f>IF(Tabela11618222426283032[[#This Row],[Data]]="","",MONTH(Tabela11618222426283032[[#This Row],[Data]]))</f>
        <v/>
      </c>
      <c r="M15" s="25"/>
      <c r="O15" s="11"/>
      <c r="Q15" s="12"/>
      <c r="R15" s="26"/>
    </row>
    <row r="16" spans="1:19" x14ac:dyDescent="0.25">
      <c r="A16" s="9"/>
      <c r="G16" s="12"/>
      <c r="I16" s="13"/>
      <c r="J16" s="10" t="str">
        <f>IF(Tabela11618222426283032[[#This Row],[Data]]="","",YEAR(Tabela11618222426283032[[#This Row],[Data]]))</f>
        <v/>
      </c>
      <c r="K16" s="10" t="str">
        <f>IF(Tabela11618222426283032[[#This Row],[Data]]="","",MONTH(Tabela11618222426283032[[#This Row],[Data]]))</f>
        <v/>
      </c>
      <c r="M16" s="25"/>
      <c r="O16" s="11"/>
      <c r="Q16" s="12"/>
      <c r="R16" s="26"/>
    </row>
    <row r="17" spans="1:19" x14ac:dyDescent="0.25">
      <c r="A17" s="9"/>
      <c r="G17" s="12"/>
      <c r="J17" s="10" t="str">
        <f>IF(Tabela11618222426283032[[#This Row],[Data]]="","",YEAR(Tabela11618222426283032[[#This Row],[Data]]))</f>
        <v/>
      </c>
      <c r="K17" s="10" t="str">
        <f>IF(Tabela11618222426283032[[#This Row],[Data]]="","",MONTH(Tabela11618222426283032[[#This Row],[Data]]))</f>
        <v/>
      </c>
      <c r="M17" s="25"/>
      <c r="O17" s="11"/>
      <c r="Q17" s="12"/>
      <c r="R17" s="26"/>
    </row>
    <row r="18" spans="1:19" x14ac:dyDescent="0.25">
      <c r="A18" s="9"/>
      <c r="G18" s="12"/>
      <c r="I18" s="13"/>
      <c r="J18" s="10" t="str">
        <f>IF(Tabela11618222426283032[[#This Row],[Data]]="","",YEAR(Tabela11618222426283032[[#This Row],[Data]]))</f>
        <v/>
      </c>
      <c r="K18" s="10" t="str">
        <f>IF(Tabela11618222426283032[[#This Row],[Data]]="","",MONTH(Tabela11618222426283032[[#This Row],[Data]]))</f>
        <v/>
      </c>
      <c r="M18" s="25"/>
      <c r="O18" s="11"/>
      <c r="Q18" s="12"/>
      <c r="R18" s="26"/>
    </row>
    <row r="19" spans="1:19" x14ac:dyDescent="0.25">
      <c r="A19" s="14"/>
      <c r="G19" s="12"/>
      <c r="I19" s="13"/>
      <c r="J19" s="10" t="str">
        <f>IF(Tabela11618222426283032[[#This Row],[Data]]="","",YEAR(Tabela11618222426283032[[#This Row],[Data]]))</f>
        <v/>
      </c>
      <c r="K19" s="10" t="str">
        <f>IF(Tabela11618222426283032[[#This Row],[Data]]="","",MONTH(Tabela11618222426283032[[#This Row],[Data]]))</f>
        <v/>
      </c>
      <c r="M19" s="25"/>
      <c r="O19" s="11"/>
      <c r="Q19" s="12"/>
      <c r="R19" s="26"/>
    </row>
    <row r="20" spans="1:19" x14ac:dyDescent="0.25">
      <c r="A20" s="14"/>
      <c r="G20" s="12"/>
      <c r="I20" s="13"/>
      <c r="J20" s="10" t="str">
        <f>IF(Tabela11618222426283032[[#This Row],[Data]]="","",YEAR(Tabela11618222426283032[[#This Row],[Data]]))</f>
        <v/>
      </c>
      <c r="K20" s="10" t="str">
        <f>IF(Tabela11618222426283032[[#This Row],[Data]]="","",MONTH(Tabela11618222426283032[[#This Row],[Data]]))</f>
        <v/>
      </c>
      <c r="M20" s="25"/>
      <c r="O20" s="11"/>
      <c r="Q20" s="12"/>
      <c r="R20" s="26"/>
      <c r="S20" s="10" t="str">
        <f t="shared" ref="S20:S30" si="0">IFERROR(LEFT(Q20,SEARCH("/",Q20)-1)*1,"-")</f>
        <v>-</v>
      </c>
    </row>
    <row r="21" spans="1:19" x14ac:dyDescent="0.25">
      <c r="A21" s="14"/>
      <c r="G21" s="12"/>
      <c r="I21" s="13"/>
      <c r="J21" s="10" t="str">
        <f>IF(Tabela11618222426283032[[#This Row],[Data]]="","",YEAR(Tabela11618222426283032[[#This Row],[Data]]))</f>
        <v/>
      </c>
      <c r="K21" s="10" t="str">
        <f>IF(Tabela11618222426283032[[#This Row],[Data]]="","",MONTH(Tabela11618222426283032[[#This Row],[Data]]))</f>
        <v/>
      </c>
      <c r="M21" s="25"/>
      <c r="O21" s="11"/>
      <c r="Q21" s="12"/>
      <c r="R21" s="26"/>
      <c r="S21" s="10" t="str">
        <f t="shared" si="0"/>
        <v>-</v>
      </c>
    </row>
    <row r="22" spans="1:19" x14ac:dyDescent="0.25">
      <c r="A22" s="14"/>
      <c r="G22" s="12"/>
      <c r="I22" s="13"/>
      <c r="J22" s="10" t="str">
        <f>IF(Tabela11618222426283032[[#This Row],[Data]]="","",YEAR(Tabela11618222426283032[[#This Row],[Data]]))</f>
        <v/>
      </c>
      <c r="K22" s="10" t="str">
        <f>IF(Tabela11618222426283032[[#This Row],[Data]]="","",MONTH(Tabela11618222426283032[[#This Row],[Data]]))</f>
        <v/>
      </c>
      <c r="M22" s="25"/>
      <c r="O22" s="11"/>
      <c r="Q22" s="12"/>
      <c r="R22" s="26"/>
      <c r="S22" s="10" t="str">
        <f t="shared" si="0"/>
        <v>-</v>
      </c>
    </row>
    <row r="23" spans="1:19" x14ac:dyDescent="0.25">
      <c r="A23" s="14"/>
      <c r="G23" s="12"/>
      <c r="I23" s="13"/>
      <c r="J23" s="10" t="str">
        <f>IF(Tabela11618222426283032[[#This Row],[Data]]="","",YEAR(Tabela11618222426283032[[#This Row],[Data]]))</f>
        <v/>
      </c>
      <c r="K23" s="10" t="str">
        <f>IF(Tabela11618222426283032[[#This Row],[Data]]="","",MONTH(Tabela11618222426283032[[#This Row],[Data]]))</f>
        <v/>
      </c>
      <c r="M23" s="25"/>
      <c r="O23" s="11"/>
      <c r="Q23" s="12"/>
      <c r="R23" s="26"/>
      <c r="S23" s="10" t="str">
        <f t="shared" si="0"/>
        <v>-</v>
      </c>
    </row>
    <row r="24" spans="1:19" x14ac:dyDescent="0.25">
      <c r="A24" s="14"/>
      <c r="G24" s="12"/>
      <c r="I24" s="13"/>
      <c r="J24" s="10" t="str">
        <f>IF(Tabela11618222426283032[[#This Row],[Data]]="","",YEAR(Tabela11618222426283032[[#This Row],[Data]]))</f>
        <v/>
      </c>
      <c r="K24" s="10" t="str">
        <f>IF(Tabela11618222426283032[[#This Row],[Data]]="","",MONTH(Tabela11618222426283032[[#This Row],[Data]]))</f>
        <v/>
      </c>
      <c r="L24" s="42"/>
      <c r="M24" s="25"/>
      <c r="O24" s="11"/>
      <c r="Q24" s="12"/>
      <c r="R24" s="26"/>
      <c r="S24" s="10" t="str">
        <f t="shared" si="0"/>
        <v>-</v>
      </c>
    </row>
    <row r="25" spans="1:19" x14ac:dyDescent="0.25">
      <c r="A25" s="14"/>
      <c r="G25" s="12"/>
      <c r="I25" s="13"/>
      <c r="J25" s="10" t="str">
        <f>IF(Tabela11618222426283032[[#This Row],[Data]]="","",YEAR(Tabela11618222426283032[[#This Row],[Data]]))</f>
        <v/>
      </c>
      <c r="K25" s="10" t="str">
        <f>IF(Tabela11618222426283032[[#This Row],[Data]]="","",MONTH(Tabela11618222426283032[[#This Row],[Data]]))</f>
        <v/>
      </c>
      <c r="L25" s="42"/>
      <c r="M25" s="25"/>
      <c r="O25" s="11"/>
      <c r="Q25" s="12"/>
      <c r="R25" s="26"/>
      <c r="S25" s="10" t="str">
        <f t="shared" si="0"/>
        <v>-</v>
      </c>
    </row>
    <row r="26" spans="1:19" x14ac:dyDescent="0.25">
      <c r="A26" s="14"/>
      <c r="G26" s="12"/>
      <c r="I26" s="13"/>
      <c r="J26" s="10" t="str">
        <f>IF(Tabela11618222426283032[[#This Row],[Data]]="","",YEAR(Tabela11618222426283032[[#This Row],[Data]]))</f>
        <v/>
      </c>
      <c r="K26" s="10" t="str">
        <f>IF(Tabela11618222426283032[[#This Row],[Data]]="","",MONTH(Tabela11618222426283032[[#This Row],[Data]]))</f>
        <v/>
      </c>
      <c r="L26" s="42"/>
      <c r="M26" s="25"/>
      <c r="O26" s="11"/>
      <c r="Q26" s="12"/>
      <c r="R26" s="26"/>
      <c r="S26" s="10" t="str">
        <f t="shared" si="0"/>
        <v>-</v>
      </c>
    </row>
    <row r="27" spans="1:19" x14ac:dyDescent="0.25">
      <c r="A27" s="14"/>
      <c r="G27" s="12"/>
      <c r="I27" s="13"/>
      <c r="J27" s="10" t="str">
        <f>IF(Tabela11618222426283032[[#This Row],[Data]]="","",YEAR(Tabela11618222426283032[[#This Row],[Data]]))</f>
        <v/>
      </c>
      <c r="K27" s="10" t="str">
        <f>IF(Tabela11618222426283032[[#This Row],[Data]]="","",MONTH(Tabela11618222426283032[[#This Row],[Data]]))</f>
        <v/>
      </c>
      <c r="M27" s="25"/>
      <c r="O27" s="11"/>
      <c r="Q27" s="12"/>
      <c r="R27" s="26"/>
      <c r="S27" s="10" t="str">
        <f t="shared" si="0"/>
        <v>-</v>
      </c>
    </row>
    <row r="28" spans="1:19" x14ac:dyDescent="0.25">
      <c r="A28" s="14"/>
      <c r="G28" s="12"/>
      <c r="I28" s="13"/>
      <c r="J28" s="10" t="str">
        <f>IF(Tabela11618222426283032[[#This Row],[Data]]="","",YEAR(Tabela11618222426283032[[#This Row],[Data]]))</f>
        <v/>
      </c>
      <c r="K28" s="10" t="str">
        <f>IF(Tabela11618222426283032[[#This Row],[Data]]="","",MONTH(Tabela11618222426283032[[#This Row],[Data]]))</f>
        <v/>
      </c>
      <c r="M28" s="25"/>
      <c r="O28" s="11"/>
      <c r="Q28" s="12"/>
      <c r="R28" s="26"/>
      <c r="S28" s="10" t="str">
        <f t="shared" si="0"/>
        <v>-</v>
      </c>
    </row>
    <row r="29" spans="1:19" x14ac:dyDescent="0.25">
      <c r="A29" s="14"/>
      <c r="G29" s="12"/>
      <c r="I29" s="13"/>
      <c r="J29" s="10" t="str">
        <f>IF(Tabela11618222426283032[[#This Row],[Data]]="","",YEAR(Tabela11618222426283032[[#This Row],[Data]]))</f>
        <v/>
      </c>
      <c r="K29" s="10" t="str">
        <f>IF(Tabela11618222426283032[[#This Row],[Data]]="","",MONTH(Tabela11618222426283032[[#This Row],[Data]]))</f>
        <v/>
      </c>
      <c r="M29" s="25"/>
      <c r="O29" s="11"/>
      <c r="Q29" s="12"/>
      <c r="R29" s="26"/>
      <c r="S29" s="10" t="str">
        <f t="shared" si="0"/>
        <v>-</v>
      </c>
    </row>
    <row r="30" spans="1:19" x14ac:dyDescent="0.25">
      <c r="A30" s="14"/>
      <c r="G30" s="12"/>
      <c r="I30" s="13"/>
      <c r="J30" s="10" t="str">
        <f>IF(Tabela11618222426283032[[#This Row],[Data]]="","",YEAR(Tabela11618222426283032[[#This Row],[Data]]))</f>
        <v/>
      </c>
      <c r="K30" s="10" t="str">
        <f>IF(Tabela11618222426283032[[#This Row],[Data]]="","",MONTH(Tabela11618222426283032[[#This Row],[Data]]))</f>
        <v/>
      </c>
      <c r="M30" s="25"/>
      <c r="O30" s="11"/>
      <c r="Q30" s="12"/>
      <c r="R30" s="26"/>
      <c r="S30" s="10" t="str">
        <f t="shared" si="0"/>
        <v>-</v>
      </c>
    </row>
    <row r="31" spans="1:19" x14ac:dyDescent="0.25">
      <c r="A31" s="14"/>
      <c r="G31" s="12"/>
      <c r="I31" s="13"/>
      <c r="J31" s="10" t="str">
        <f>IF(Tabela11618222426283032[[#This Row],[Data]]="","",YEAR(Tabela11618222426283032[[#This Row],[Data]]))</f>
        <v/>
      </c>
      <c r="K31" s="10" t="str">
        <f>IF(Tabela11618222426283032[[#This Row],[Data]]="","",MONTH(Tabela11618222426283032[[#This Row],[Data]]))</f>
        <v/>
      </c>
      <c r="M31" s="25"/>
      <c r="O31" s="11"/>
      <c r="Q31" s="12"/>
      <c r="R31" s="26"/>
      <c r="S31" s="10" t="str">
        <f t="shared" ref="S31:S32" si="1">IFERROR(LEFT(Q31,SEARCH("/",Q31)-1)*1,"-")</f>
        <v>-</v>
      </c>
    </row>
    <row r="32" spans="1:19" x14ac:dyDescent="0.25">
      <c r="A32" s="14"/>
      <c r="G32" s="12"/>
      <c r="I32" s="13"/>
      <c r="J32" s="10" t="str">
        <f>IF(Tabela11618222426283032[[#This Row],[Data]]="","",YEAR(Tabela11618222426283032[[#This Row],[Data]]))</f>
        <v/>
      </c>
      <c r="K32" s="10" t="str">
        <f>IF(Tabela11618222426283032[[#This Row],[Data]]="","",MONTH(Tabela11618222426283032[[#This Row],[Data]]))</f>
        <v/>
      </c>
      <c r="M32" s="25"/>
      <c r="O32" s="11"/>
      <c r="Q32" s="12"/>
      <c r="R32" s="26"/>
      <c r="S32" s="10" t="str">
        <f t="shared" si="1"/>
        <v>-</v>
      </c>
    </row>
    <row r="33" spans="1:19" x14ac:dyDescent="0.25">
      <c r="A33" s="14"/>
      <c r="G33" s="12"/>
      <c r="I33" s="13"/>
      <c r="J33" s="10" t="str">
        <f>IF(Tabela11618222426283032[[#This Row],[Data]]="","",YEAR(Tabela11618222426283032[[#This Row],[Data]]))</f>
        <v/>
      </c>
      <c r="K33" s="10" t="str">
        <f>IF(Tabela11618222426283032[[#This Row],[Data]]="","",MONTH(Tabela11618222426283032[[#This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8"/>
      <c r="H34" s="16"/>
      <c r="I34" s="19"/>
      <c r="J34" s="10" t="str">
        <f>IF(Tabela11618222426283032[[#This Row],[Data]]="","",YEAR(Tabela11618222426283032[[#This Row],[Data]]))</f>
        <v/>
      </c>
      <c r="K34" s="10" t="str">
        <f>IF(Tabela11618222426283032[[#This Row],[Data]]="","",MONTH(Tabela11618222426283032[[#This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21</v>
      </c>
      <c r="B35" s="71"/>
      <c r="C35" s="43" t="s">
        <v>22</v>
      </c>
      <c r="D35" s="44"/>
      <c r="E35" s="44"/>
      <c r="F35" s="87" t="s">
        <v>23</v>
      </c>
      <c r="G35" s="88"/>
      <c r="H35" s="88"/>
      <c r="I35" s="89"/>
      <c r="M35" s="61" t="s">
        <v>26</v>
      </c>
      <c r="N35" s="61"/>
      <c r="P35" s="79" t="s">
        <v>23</v>
      </c>
      <c r="Q35" s="79"/>
      <c r="R35" s="79"/>
    </row>
    <row r="36" spans="1:19" ht="15" customHeight="1" x14ac:dyDescent="0.25">
      <c r="A36" s="72">
        <f>SUMIFS(Tabela11618222426283032[Valor],Tabela11618222426283032[Recebido],"Sim",Tabela11618222426283032[Ano],YEAR($H$9),Tabela11618222426283032[mês],MONTH($H$9))</f>
        <v>0</v>
      </c>
      <c r="B36" s="73"/>
      <c r="C36" s="84">
        <f>SUMIF(Tabela11618222426283032[Recebido],"Sim",Tabela11618222426283032[Valor])-A36</f>
        <v>0</v>
      </c>
      <c r="D36" s="11"/>
      <c r="F36" s="90">
        <f>SUMIF(I12:I34,"Sim",E12:E34)</f>
        <v>0</v>
      </c>
      <c r="G36" s="91"/>
      <c r="H36" s="91"/>
      <c r="I36" s="92"/>
      <c r="M36" s="62">
        <f>SUM(Tabela31719232527293133[Valor])</f>
        <v>0</v>
      </c>
      <c r="N36" s="63"/>
      <c r="O36" s="11"/>
      <c r="P36" s="68">
        <f>SUMIF(Tabela31719232527293133[Pago],"Sim",Tabela31719232527293133[Valor])</f>
        <v>0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46" spans="1:19" x14ac:dyDescent="0.25">
      <c r="G46" s="10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dataValidations count="6">
    <dataValidation type="list" allowBlank="1" showInputMessage="1" showErrorMessage="1" sqref="R12:R34 H12:I34" xr:uid="{01ED54D7-A197-43CA-B632-8DC5191CC627}">
      <formula1>"Sim,Não,-"</formula1>
    </dataValidation>
    <dataValidation type="list" allowBlank="1" showInputMessage="1" showErrorMessage="1" sqref="F12:F34" xr:uid="{8D485D27-70CC-429A-9702-4FB325D36F07}">
      <formula1>"Dinheiro,Boleto,Cartão de débito,Cartão de crédito,Cheque,Outros"</formula1>
    </dataValidation>
    <dataValidation type="list" allowBlank="1" showInputMessage="1" showErrorMessage="1" sqref="B4:C4" xr:uid="{5CC22981-D482-4F77-BCAA-107741F609A8}">
      <formula1>"Janeiro,Fevereiro,Março,Abril,Maio,Junho,Julho,Agosto,Setembro,Outubro,Novembro,Dezembro"</formula1>
    </dataValidation>
    <dataValidation type="list" allowBlank="1" showInputMessage="1" showErrorMessage="1" sqref="B5:C5" xr:uid="{1F7AE1E6-0EDF-446A-84B7-E570A600956F}">
      <formula1>"2019,2020,2021,2022"</formula1>
    </dataValidation>
    <dataValidation type="list" allowBlank="1" showInputMessage="1" showErrorMessage="1" sqref="D12:D34" xr:uid="{67BF7B88-7B1D-4B77-A471-EC09EB964719}">
      <formula1>"Comércio,Indústria,Transporte intermunicipais e interestaduais,Fornecimento de refeições,Serviço"</formula1>
    </dataValidation>
    <dataValidation type="list" allowBlank="1" showInputMessage="1" showErrorMessage="1" sqref="P12:P34" xr:uid="{E6D87848-C6DA-4800-A8A4-42F317003DD8}">
      <formula1>"Dinheiro,Cartão de débito,Cartão de crédito,Cheque,Outros"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300" verticalDpi="300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6D60-149B-456C-AB62-111AF840A38E}">
  <sheetPr codeName="Planilha4">
    <pageSetUpPr fitToPage="1"/>
  </sheetPr>
  <dimension ref="A1:S46"/>
  <sheetViews>
    <sheetView showGridLines="0" zoomScale="50" zoomScaleNormal="50" workbookViewId="0">
      <pane ySplit="11" topLeftCell="A12" activePane="bottomLeft" state="frozen"/>
      <selection activeCell="A41" sqref="A41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bestFit="1" customWidth="1"/>
    <col min="5" max="5" width="14.85546875" style="11" bestFit="1" customWidth="1"/>
    <col min="6" max="6" width="12.7109375" style="10" bestFit="1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hidden="1" customWidth="1"/>
    <col min="12" max="12" width="6.28515625" style="10" customWidth="1"/>
    <col min="13" max="13" width="11.5703125" style="10" bestFit="1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x14ac:dyDescent="0.25">
      <c r="A4" s="33" t="s">
        <v>16</v>
      </c>
      <c r="B4" s="78" t="s">
        <v>33</v>
      </c>
      <c r="C4" s="78"/>
    </row>
    <row r="5" spans="1:19" ht="15.75" x14ac:dyDescent="0.25">
      <c r="A5" s="33" t="s">
        <v>15</v>
      </c>
      <c r="B5" s="78">
        <v>2019</v>
      </c>
      <c r="C5" s="78"/>
      <c r="G5" s="80"/>
      <c r="H5" s="82"/>
      <c r="I5" s="83"/>
    </row>
    <row r="6" spans="1:19" ht="3.75" customHeight="1" x14ac:dyDescent="0.25">
      <c r="A6" s="33"/>
      <c r="B6" s="3"/>
      <c r="C6" s="3"/>
      <c r="G6" s="81"/>
      <c r="H6" s="83"/>
      <c r="I6" s="83"/>
    </row>
    <row r="7" spans="1:19" ht="15.75" x14ac:dyDescent="0.25">
      <c r="A7" s="33" t="s">
        <v>40</v>
      </c>
      <c r="B7" s="78"/>
      <c r="C7" s="78"/>
    </row>
    <row r="8" spans="1:19" ht="6.75" customHeight="1" x14ac:dyDescent="0.25">
      <c r="A8" s="34"/>
    </row>
    <row r="9" spans="1:19" ht="15" customHeight="1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Jun/19</v>
      </c>
      <c r="I9" s="66"/>
      <c r="M9" s="69" t="s">
        <v>57</v>
      </c>
      <c r="N9" s="69"/>
      <c r="O9" s="69"/>
      <c r="P9" s="69"/>
      <c r="Q9" s="67" t="str">
        <f>LEFT($B$4,3)&amp;"/"&amp;RIGHT($B$5,2)</f>
        <v>Jun/19</v>
      </c>
      <c r="R9" s="67"/>
    </row>
    <row r="10" spans="1:19" ht="15" customHeight="1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9"/>
      <c r="G12" s="12"/>
      <c r="I12" s="13"/>
      <c r="J12" s="10" t="str">
        <f>IF(Tabela1161820[[#This Row],[Data]]="","",YEAR(Tabela1161820[[#This Row],[Data]]))</f>
        <v/>
      </c>
      <c r="K12" s="10" t="str">
        <f>IF(Tabela1161820[[#This Row],[Data]]="","",MONTH(Tabela1161820[[#This Row],[Data]]))</f>
        <v/>
      </c>
      <c r="M12" s="20"/>
      <c r="N12" s="21"/>
      <c r="O12" s="22"/>
      <c r="P12" s="21"/>
      <c r="Q12" s="23"/>
      <c r="R12" s="24"/>
    </row>
    <row r="13" spans="1:19" x14ac:dyDescent="0.25">
      <c r="A13" s="9"/>
      <c r="G13" s="12"/>
      <c r="I13" s="13"/>
      <c r="J13" s="10" t="str">
        <f>IF(Tabela1161820[[#This Row],[Data]]="","",YEAR(Tabela1161820[[#This Row],[Data]]))</f>
        <v/>
      </c>
      <c r="K13" s="10" t="str">
        <f>IF(Tabela1161820[[#This Row],[Data]]="","",MONTH(Tabela1161820[[#This Row],[Data]]))</f>
        <v/>
      </c>
      <c r="M13" s="25"/>
      <c r="O13" s="11"/>
      <c r="Q13" s="12"/>
      <c r="R13" s="26"/>
    </row>
    <row r="14" spans="1:19" x14ac:dyDescent="0.25">
      <c r="A14" s="9"/>
      <c r="G14" s="12"/>
      <c r="I14" s="13"/>
      <c r="J14" s="10" t="str">
        <f>IF(Tabela1161820[[#This Row],[Data]]="","",YEAR(Tabela1161820[[#This Row],[Data]]))</f>
        <v/>
      </c>
      <c r="K14" s="10" t="str">
        <f>IF(Tabela1161820[[#This Row],[Data]]="","",MONTH(Tabela1161820[[#This Row],[Data]]))</f>
        <v/>
      </c>
      <c r="M14" s="25"/>
      <c r="O14" s="11"/>
      <c r="Q14" s="12"/>
      <c r="R14" s="26"/>
    </row>
    <row r="15" spans="1:19" x14ac:dyDescent="0.25">
      <c r="A15" s="9"/>
      <c r="G15" s="12"/>
      <c r="I15" s="13"/>
      <c r="J15" s="10" t="str">
        <f>IF(Tabela1161820[[#This Row],[Data]]="","",YEAR(Tabela1161820[[#This Row],[Data]]))</f>
        <v/>
      </c>
      <c r="K15" s="10" t="str">
        <f>IF(Tabela1161820[[#This Row],[Data]]="","",MONTH(Tabela1161820[[#This Row],[Data]]))</f>
        <v/>
      </c>
      <c r="M15" s="25"/>
      <c r="O15" s="11"/>
      <c r="Q15" s="12"/>
      <c r="R15" s="26"/>
    </row>
    <row r="16" spans="1:19" x14ac:dyDescent="0.25">
      <c r="A16" s="9"/>
      <c r="G16" s="12"/>
      <c r="I16" s="13"/>
      <c r="J16" s="10" t="str">
        <f>IF(Tabela1161820[[#This Row],[Data]]="","",YEAR(Tabela1161820[[#This Row],[Data]]))</f>
        <v/>
      </c>
      <c r="K16" s="10" t="str">
        <f>IF(Tabela1161820[[#This Row],[Data]]="","",MONTH(Tabela1161820[[#This Row],[Data]]))</f>
        <v/>
      </c>
      <c r="M16" s="25"/>
      <c r="O16" s="11"/>
      <c r="Q16" s="12"/>
      <c r="R16" s="26"/>
    </row>
    <row r="17" spans="1:19" x14ac:dyDescent="0.25">
      <c r="A17" s="9"/>
      <c r="G17" s="12"/>
      <c r="J17" s="10" t="str">
        <f>IF(Tabela1161820[[#This Row],[Data]]="","",YEAR(Tabela1161820[[#This Row],[Data]]))</f>
        <v/>
      </c>
      <c r="K17" s="10" t="str">
        <f>IF(Tabela1161820[[#This Row],[Data]]="","",MONTH(Tabela1161820[[#This Row],[Data]]))</f>
        <v/>
      </c>
      <c r="M17" s="25"/>
      <c r="O17" s="11"/>
      <c r="Q17" s="12"/>
      <c r="R17" s="26"/>
    </row>
    <row r="18" spans="1:19" x14ac:dyDescent="0.25">
      <c r="A18" s="9"/>
      <c r="G18" s="12"/>
      <c r="I18" s="13"/>
      <c r="J18" s="10" t="str">
        <f>IF(Tabela1161820[[#This Row],[Data]]="","",YEAR(Tabela1161820[[#This Row],[Data]]))</f>
        <v/>
      </c>
      <c r="K18" s="10" t="str">
        <f>IF(Tabela1161820[[#This Row],[Data]]="","",MONTH(Tabela1161820[[#This Row],[Data]]))</f>
        <v/>
      </c>
      <c r="M18" s="25"/>
      <c r="O18" s="11"/>
      <c r="Q18" s="12"/>
      <c r="R18" s="26"/>
    </row>
    <row r="19" spans="1:19" x14ac:dyDescent="0.25">
      <c r="A19" s="9"/>
      <c r="G19" s="12"/>
      <c r="I19" s="13"/>
      <c r="J19" s="10" t="str">
        <f>IF(Tabela1161820[[#This Row],[Data]]="","",YEAR(Tabela1161820[[#This Row],[Data]]))</f>
        <v/>
      </c>
      <c r="K19" s="10" t="str">
        <f>IF(Tabela1161820[[#This Row],[Data]]="","",MONTH(Tabela1161820[[#This Row],[Data]]))</f>
        <v/>
      </c>
      <c r="M19" s="25"/>
      <c r="O19" s="11"/>
      <c r="Q19" s="12"/>
      <c r="R19" s="26"/>
    </row>
    <row r="20" spans="1:19" x14ac:dyDescent="0.25">
      <c r="A20" s="14"/>
      <c r="G20" s="12"/>
      <c r="I20" s="13"/>
      <c r="J20" s="10" t="str">
        <f>IF(Tabela1161820[[#This Row],[Data]]="","",YEAR(Tabela1161820[[#This Row],[Data]]))</f>
        <v/>
      </c>
      <c r="K20" s="10" t="str">
        <f>IF(Tabela1161820[[#This Row],[Data]]="","",MONTH(Tabela1161820[[#This Row],[Data]]))</f>
        <v/>
      </c>
      <c r="M20" s="25"/>
      <c r="O20" s="11"/>
      <c r="Q20" s="12"/>
      <c r="R20" s="26"/>
      <c r="S20" s="10" t="str">
        <f t="shared" ref="S20:S30" si="0">IFERROR(LEFT(Q20,SEARCH("/",Q20)-1)*1,"-")</f>
        <v>-</v>
      </c>
    </row>
    <row r="21" spans="1:19" x14ac:dyDescent="0.25">
      <c r="A21" s="14"/>
      <c r="G21" s="12"/>
      <c r="I21" s="13"/>
      <c r="J21" s="10" t="str">
        <f>IF(Tabela1161820[[#This Row],[Data]]="","",YEAR(Tabela1161820[[#This Row],[Data]]))</f>
        <v/>
      </c>
      <c r="K21" s="10" t="str">
        <f>IF(Tabela1161820[[#This Row],[Data]]="","",MONTH(Tabela1161820[[#This Row],[Data]]))</f>
        <v/>
      </c>
      <c r="M21" s="25"/>
      <c r="O21" s="11"/>
      <c r="Q21" s="12"/>
      <c r="R21" s="26"/>
      <c r="S21" s="10" t="str">
        <f t="shared" si="0"/>
        <v>-</v>
      </c>
    </row>
    <row r="22" spans="1:19" x14ac:dyDescent="0.25">
      <c r="A22" s="14"/>
      <c r="G22" s="12"/>
      <c r="I22" s="13"/>
      <c r="J22" s="10" t="str">
        <f>IF(Tabela1161820[[#This Row],[Data]]="","",YEAR(Tabela1161820[[#This Row],[Data]]))</f>
        <v/>
      </c>
      <c r="K22" s="10" t="str">
        <f>IF(Tabela1161820[[#This Row],[Data]]="","",MONTH(Tabela1161820[[#This Row],[Data]]))</f>
        <v/>
      </c>
      <c r="M22" s="25"/>
      <c r="O22" s="11"/>
      <c r="Q22" s="12"/>
      <c r="R22" s="26"/>
      <c r="S22" s="10" t="str">
        <f t="shared" si="0"/>
        <v>-</v>
      </c>
    </row>
    <row r="23" spans="1:19" x14ac:dyDescent="0.25">
      <c r="A23" s="14"/>
      <c r="G23" s="12"/>
      <c r="I23" s="13"/>
      <c r="J23" s="10" t="str">
        <f>IF(Tabela1161820[[#This Row],[Data]]="","",YEAR(Tabela1161820[[#This Row],[Data]]))</f>
        <v/>
      </c>
      <c r="K23" s="10" t="str">
        <f>IF(Tabela1161820[[#This Row],[Data]]="","",MONTH(Tabela1161820[[#This Row],[Data]]))</f>
        <v/>
      </c>
      <c r="M23" s="25"/>
      <c r="O23" s="11"/>
      <c r="Q23" s="12"/>
      <c r="R23" s="26"/>
      <c r="S23" s="10" t="str">
        <f t="shared" si="0"/>
        <v>-</v>
      </c>
    </row>
    <row r="24" spans="1:19" x14ac:dyDescent="0.25">
      <c r="A24" s="14"/>
      <c r="G24" s="12"/>
      <c r="I24" s="13"/>
      <c r="J24" s="10" t="str">
        <f>IF(Tabela1161820[[#This Row],[Data]]="","",YEAR(Tabela1161820[[#This Row],[Data]]))</f>
        <v/>
      </c>
      <c r="K24" s="10" t="str">
        <f>IF(Tabela1161820[[#This Row],[Data]]="","",MONTH(Tabela1161820[[#This Row],[Data]]))</f>
        <v/>
      </c>
      <c r="L24" s="42"/>
      <c r="M24" s="25"/>
      <c r="O24" s="11"/>
      <c r="Q24" s="12"/>
      <c r="R24" s="26"/>
      <c r="S24" s="10" t="str">
        <f t="shared" si="0"/>
        <v>-</v>
      </c>
    </row>
    <row r="25" spans="1:19" x14ac:dyDescent="0.25">
      <c r="A25" s="14"/>
      <c r="G25" s="12"/>
      <c r="I25" s="13"/>
      <c r="J25" s="10" t="str">
        <f>IF(Tabela1161820[[#This Row],[Data]]="","",YEAR(Tabela1161820[[#This Row],[Data]]))</f>
        <v/>
      </c>
      <c r="K25" s="10" t="str">
        <f>IF(Tabela1161820[[#This Row],[Data]]="","",MONTH(Tabela1161820[[#This Row],[Data]]))</f>
        <v/>
      </c>
      <c r="L25" s="42"/>
      <c r="M25" s="25"/>
      <c r="O25" s="11"/>
      <c r="Q25" s="12"/>
      <c r="R25" s="26"/>
      <c r="S25" s="10" t="str">
        <f t="shared" si="0"/>
        <v>-</v>
      </c>
    </row>
    <row r="26" spans="1:19" x14ac:dyDescent="0.25">
      <c r="A26" s="14"/>
      <c r="G26" s="12"/>
      <c r="I26" s="13"/>
      <c r="J26" s="10" t="str">
        <f>IF(Tabela1161820[[#This Row],[Data]]="","",YEAR(Tabela1161820[[#This Row],[Data]]))</f>
        <v/>
      </c>
      <c r="K26" s="10" t="str">
        <f>IF(Tabela1161820[[#This Row],[Data]]="","",MONTH(Tabela1161820[[#This Row],[Data]]))</f>
        <v/>
      </c>
      <c r="L26" s="42"/>
      <c r="M26" s="25"/>
      <c r="O26" s="11"/>
      <c r="Q26" s="12"/>
      <c r="R26" s="26"/>
      <c r="S26" s="10" t="str">
        <f t="shared" si="0"/>
        <v>-</v>
      </c>
    </row>
    <row r="27" spans="1:19" x14ac:dyDescent="0.25">
      <c r="A27" s="14"/>
      <c r="G27" s="12"/>
      <c r="I27" s="13"/>
      <c r="J27" s="10" t="str">
        <f>IF(Tabela1161820[[#This Row],[Data]]="","",YEAR(Tabela1161820[[#This Row],[Data]]))</f>
        <v/>
      </c>
      <c r="K27" s="10" t="str">
        <f>IF(Tabela1161820[[#This Row],[Data]]="","",MONTH(Tabela1161820[[#This Row],[Data]]))</f>
        <v/>
      </c>
      <c r="M27" s="25"/>
      <c r="O27" s="11"/>
      <c r="Q27" s="12"/>
      <c r="R27" s="26"/>
      <c r="S27" s="10" t="str">
        <f t="shared" si="0"/>
        <v>-</v>
      </c>
    </row>
    <row r="28" spans="1:19" x14ac:dyDescent="0.25">
      <c r="A28" s="14"/>
      <c r="G28" s="12"/>
      <c r="I28" s="13"/>
      <c r="J28" s="10" t="str">
        <f>IF(Tabela1161820[[#This Row],[Data]]="","",YEAR(Tabela1161820[[#This Row],[Data]]))</f>
        <v/>
      </c>
      <c r="K28" s="10" t="str">
        <f>IF(Tabela1161820[[#This Row],[Data]]="","",MONTH(Tabela1161820[[#This Row],[Data]]))</f>
        <v/>
      </c>
      <c r="M28" s="25"/>
      <c r="O28" s="11"/>
      <c r="Q28" s="12"/>
      <c r="R28" s="26"/>
      <c r="S28" s="10" t="str">
        <f t="shared" si="0"/>
        <v>-</v>
      </c>
    </row>
    <row r="29" spans="1:19" x14ac:dyDescent="0.25">
      <c r="A29" s="14"/>
      <c r="G29" s="12"/>
      <c r="I29" s="13"/>
      <c r="J29" s="10" t="str">
        <f>IF(Tabela1161820[[#This Row],[Data]]="","",YEAR(Tabela1161820[[#This Row],[Data]]))</f>
        <v/>
      </c>
      <c r="K29" s="10" t="str">
        <f>IF(Tabela1161820[[#This Row],[Data]]="","",MONTH(Tabela1161820[[#This Row],[Data]]))</f>
        <v/>
      </c>
      <c r="M29" s="25"/>
      <c r="O29" s="11"/>
      <c r="Q29" s="12"/>
      <c r="R29" s="26"/>
      <c r="S29" s="10" t="str">
        <f t="shared" si="0"/>
        <v>-</v>
      </c>
    </row>
    <row r="30" spans="1:19" x14ac:dyDescent="0.25">
      <c r="A30" s="14"/>
      <c r="G30" s="12"/>
      <c r="I30" s="13"/>
      <c r="J30" s="10" t="str">
        <f>IF(Tabela1161820[[#This Row],[Data]]="","",YEAR(Tabela1161820[[#This Row],[Data]]))</f>
        <v/>
      </c>
      <c r="K30" s="10" t="str">
        <f>IF(Tabela1161820[[#This Row],[Data]]="","",MONTH(Tabela1161820[[#This Row],[Data]]))</f>
        <v/>
      </c>
      <c r="M30" s="25"/>
      <c r="O30" s="11"/>
      <c r="Q30" s="12"/>
      <c r="R30" s="26"/>
      <c r="S30" s="10" t="str">
        <f t="shared" si="0"/>
        <v>-</v>
      </c>
    </row>
    <row r="31" spans="1:19" x14ac:dyDescent="0.25">
      <c r="A31" s="14"/>
      <c r="G31" s="12"/>
      <c r="I31" s="13"/>
      <c r="J31" s="10" t="str">
        <f>IF(Tabela1161820[[#This Row],[Data]]="","",YEAR(Tabela1161820[[#This Row],[Data]]))</f>
        <v/>
      </c>
      <c r="K31" s="10" t="str">
        <f>IF(Tabela1161820[[#This Row],[Data]]="","",MONTH(Tabela1161820[[#This Row],[Data]]))</f>
        <v/>
      </c>
      <c r="M31" s="25"/>
      <c r="O31" s="11"/>
      <c r="Q31" s="12"/>
      <c r="R31" s="26"/>
      <c r="S31" s="10" t="str">
        <f t="shared" ref="S31:S32" si="1">IFERROR(LEFT(Q31,SEARCH("/",Q31)-1)*1,"-")</f>
        <v>-</v>
      </c>
    </row>
    <row r="32" spans="1:19" x14ac:dyDescent="0.25">
      <c r="A32" s="14"/>
      <c r="G32" s="12"/>
      <c r="I32" s="13"/>
      <c r="J32" s="10" t="str">
        <f>IF(Tabela1161820[[#This Row],[Data]]="","",YEAR(Tabela1161820[[#This Row],[Data]]))</f>
        <v/>
      </c>
      <c r="K32" s="10" t="str">
        <f>IF(Tabela1161820[[#This Row],[Data]]="","",MONTH(Tabela1161820[[#This Row],[Data]]))</f>
        <v/>
      </c>
      <c r="M32" s="25"/>
      <c r="O32" s="11"/>
      <c r="Q32" s="12"/>
      <c r="R32" s="26"/>
      <c r="S32" s="10" t="str">
        <f t="shared" si="1"/>
        <v>-</v>
      </c>
    </row>
    <row r="33" spans="1:19" x14ac:dyDescent="0.25">
      <c r="A33" s="14"/>
      <c r="G33" s="12"/>
      <c r="I33" s="13"/>
      <c r="J33" s="10" t="str">
        <f>IF(Tabela1161820[[#This Row],[Data]]="","",YEAR(Tabela1161820[[#This Row],[Data]]))</f>
        <v/>
      </c>
      <c r="K33" s="10" t="str">
        <f>IF(Tabela1161820[[#This Row],[Data]]="","",MONTH(Tabela1161820[[#This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8"/>
      <c r="H34" s="16"/>
      <c r="I34" s="19"/>
      <c r="J34" s="10" t="str">
        <f>IF(Tabela1161820[[#This Row],[Data]]="","",YEAR(Tabela1161820[[#This Row],[Data]]))</f>
        <v/>
      </c>
      <c r="K34" s="10" t="str">
        <f>IF(Tabela1161820[[#This Row],[Data]]="","",MONTH(Tabela1161820[[#This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21</v>
      </c>
      <c r="B35" s="71"/>
      <c r="C35" s="43" t="s">
        <v>22</v>
      </c>
      <c r="D35" s="44"/>
      <c r="E35" s="44"/>
      <c r="F35" s="87" t="s">
        <v>23</v>
      </c>
      <c r="G35" s="88"/>
      <c r="H35" s="88"/>
      <c r="I35" s="89"/>
      <c r="M35" s="61" t="s">
        <v>26</v>
      </c>
      <c r="N35" s="61"/>
      <c r="P35" s="79" t="s">
        <v>23</v>
      </c>
      <c r="Q35" s="79"/>
      <c r="R35" s="79"/>
    </row>
    <row r="36" spans="1:19" ht="15" customHeight="1" x14ac:dyDescent="0.25">
      <c r="A36" s="72">
        <f>SUMIFS(Tabela1161820[Valor],Tabela1161820[Recebido],"Sim",Tabela1161820[Ano],YEAR($H$9),Tabela1161820[mês],MONTH($H$9))</f>
        <v>0</v>
      </c>
      <c r="B36" s="73"/>
      <c r="C36" s="84">
        <f>SUMIF(Tabela1161820[Recebido],"Sim",Tabela1161820[Valor])-A36</f>
        <v>0</v>
      </c>
      <c r="D36" s="11"/>
      <c r="F36" s="90">
        <f>SUMIF(I12:I34,"Sim",E12:E34)</f>
        <v>0</v>
      </c>
      <c r="G36" s="91"/>
      <c r="H36" s="91"/>
      <c r="I36" s="92"/>
      <c r="M36" s="62">
        <f>SUM(Tabela3171921[Valor])</f>
        <v>0</v>
      </c>
      <c r="N36" s="63"/>
      <c r="O36" s="11"/>
      <c r="P36" s="68">
        <f>SUMIF(Tabela3171921[Pago],"Sim",Tabela3171921[Valor])</f>
        <v>0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46" spans="1:19" x14ac:dyDescent="0.25">
      <c r="G46" s="10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dataValidations count="6">
    <dataValidation type="list" allowBlank="1" showInputMessage="1" showErrorMessage="1" sqref="D12:D34" xr:uid="{CB162B54-EC5B-46D4-844B-7D283BE64A24}">
      <formula1>"Comércio,Indústria,Transporte intermunicipais e interestaduais,Fornecimento de refeições,Serviço"</formula1>
    </dataValidation>
    <dataValidation type="list" allowBlank="1" showInputMessage="1" showErrorMessage="1" sqref="B5:C5" xr:uid="{BDFE0A04-48F4-4AC4-9B03-A1CA528F67CF}">
      <formula1>"2019,2020,2021,2022"</formula1>
    </dataValidation>
    <dataValidation type="list" allowBlank="1" showInputMessage="1" showErrorMessage="1" sqref="B4:C4" xr:uid="{E2E6730D-B537-4668-B259-FB3F5BB1156C}">
      <formula1>"Janeiro,Fevereiro,Março,Abril,Maio,Junho,Julho,Agosto,Setembro,Outubro,Novembro,Dezembro"</formula1>
    </dataValidation>
    <dataValidation type="list" allowBlank="1" showInputMessage="1" showErrorMessage="1" sqref="F12:F34" xr:uid="{47323402-FCAE-4093-8812-D8B673572D5E}">
      <formula1>"Dinheiro,Boleto,Cartão de débito,Cartão de crédito,Cheque,Outros"</formula1>
    </dataValidation>
    <dataValidation type="list" allowBlank="1" showInputMessage="1" showErrorMessage="1" sqref="R12:R34 H12:I34" xr:uid="{CC47C4A3-5F84-4883-AC36-D424F5912143}">
      <formula1>"Sim,Não,-"</formula1>
    </dataValidation>
    <dataValidation type="list" allowBlank="1" showInputMessage="1" showErrorMessage="1" sqref="P12:P34" xr:uid="{2FC73B27-1B36-43A3-8FE6-632A1D02BDA4}">
      <formula1>"Dinheiro,Cartão de débito,Cartão de crédito,Cheque,Outros"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300" verticalDpi="300" r:id="rId1"/>
  <drawing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5C00-C28A-4F89-8A9B-6D049987CC55}">
  <sheetPr codeName="Planilha2">
    <pageSetUpPr fitToPage="1"/>
  </sheetPr>
  <dimension ref="A1:S46"/>
  <sheetViews>
    <sheetView showGridLines="0" zoomScale="50" zoomScaleNormal="50" workbookViewId="0">
      <pane ySplit="11" topLeftCell="A12" activePane="bottomLeft" state="frozen"/>
      <selection activeCell="A41" sqref="A41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bestFit="1" customWidth="1"/>
    <col min="5" max="5" width="14.85546875" style="11" bestFit="1" customWidth="1"/>
    <col min="6" max="6" width="12.7109375" style="10" bestFit="1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hidden="1" customWidth="1"/>
    <col min="12" max="12" width="6.28515625" style="10" customWidth="1"/>
    <col min="13" max="13" width="11.5703125" style="10" bestFit="1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x14ac:dyDescent="0.25">
      <c r="A4" s="33" t="s">
        <v>16</v>
      </c>
      <c r="B4" s="78" t="s">
        <v>34</v>
      </c>
      <c r="C4" s="78"/>
    </row>
    <row r="5" spans="1:19" ht="15.75" x14ac:dyDescent="0.25">
      <c r="A5" s="33" t="s">
        <v>15</v>
      </c>
      <c r="B5" s="78">
        <v>2019</v>
      </c>
      <c r="C5" s="78"/>
      <c r="G5" s="80"/>
      <c r="H5" s="82"/>
      <c r="I5" s="83"/>
    </row>
    <row r="6" spans="1:19" ht="3.75" customHeight="1" x14ac:dyDescent="0.25">
      <c r="A6" s="33"/>
      <c r="B6" s="3"/>
      <c r="C6" s="3"/>
      <c r="G6" s="81"/>
      <c r="H6" s="83"/>
      <c r="I6" s="83"/>
    </row>
    <row r="7" spans="1:19" ht="15.75" x14ac:dyDescent="0.25">
      <c r="A7" s="33" t="s">
        <v>40</v>
      </c>
      <c r="B7" s="78"/>
      <c r="C7" s="78"/>
    </row>
    <row r="8" spans="1:19" ht="6.75" customHeight="1" x14ac:dyDescent="0.25">
      <c r="A8" s="34"/>
    </row>
    <row r="9" spans="1:19" ht="15" customHeight="1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Jul/19</v>
      </c>
      <c r="I9" s="66"/>
      <c r="M9" s="69" t="s">
        <v>57</v>
      </c>
      <c r="N9" s="69"/>
      <c r="O9" s="69"/>
      <c r="P9" s="69"/>
      <c r="Q9" s="67" t="str">
        <f>LEFT($B$4,3)&amp;"/"&amp;RIGHT($B$5,2)</f>
        <v>Jul/19</v>
      </c>
      <c r="R9" s="67"/>
    </row>
    <row r="10" spans="1:19" ht="15" customHeight="1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9"/>
      <c r="G12" s="12"/>
      <c r="I12" s="13"/>
      <c r="J12" s="10" t="str">
        <f>IF(Tabela116[[#This Row],[Data]]="","",YEAR(Tabela116[[#This Row],[Data]]))</f>
        <v/>
      </c>
      <c r="K12" s="10" t="str">
        <f>IF(Tabela116[[#This Row],[Data]]="","",MONTH(Tabela116[[#This Row],[Data]]))</f>
        <v/>
      </c>
      <c r="M12" s="20"/>
      <c r="N12" s="21"/>
      <c r="O12" s="22"/>
      <c r="P12" s="21"/>
      <c r="Q12" s="23"/>
      <c r="R12" s="24"/>
    </row>
    <row r="13" spans="1:19" x14ac:dyDescent="0.25">
      <c r="A13" s="9"/>
      <c r="G13" s="12"/>
      <c r="I13" s="13"/>
      <c r="J13" s="10" t="str">
        <f>IF(Tabela116[[#This Row],[Data]]="","",YEAR(Tabela116[[#This Row],[Data]]))</f>
        <v/>
      </c>
      <c r="K13" s="10" t="str">
        <f>IF(Tabela116[[#This Row],[Data]]="","",MONTH(Tabela116[[#This Row],[Data]]))</f>
        <v/>
      </c>
      <c r="M13" s="25"/>
      <c r="O13" s="11"/>
      <c r="Q13" s="12"/>
      <c r="R13" s="26"/>
    </row>
    <row r="14" spans="1:19" x14ac:dyDescent="0.25">
      <c r="A14" s="9"/>
      <c r="G14" s="12"/>
      <c r="I14" s="13"/>
      <c r="J14" s="10" t="str">
        <f>IF(Tabela116[[#This Row],[Data]]="","",YEAR(Tabela116[[#This Row],[Data]]))</f>
        <v/>
      </c>
      <c r="K14" s="10" t="str">
        <f>IF(Tabela116[[#This Row],[Data]]="","",MONTH(Tabela116[[#This Row],[Data]]))</f>
        <v/>
      </c>
      <c r="M14" s="25"/>
      <c r="O14" s="11"/>
      <c r="Q14" s="12"/>
      <c r="R14" s="26"/>
    </row>
    <row r="15" spans="1:19" x14ac:dyDescent="0.25">
      <c r="A15" s="9"/>
      <c r="G15" s="12"/>
      <c r="I15" s="13"/>
      <c r="J15" s="10" t="str">
        <f>IF(Tabela116[[#This Row],[Data]]="","",YEAR(Tabela116[[#This Row],[Data]]))</f>
        <v/>
      </c>
      <c r="K15" s="10" t="str">
        <f>IF(Tabela116[[#This Row],[Data]]="","",MONTH(Tabela116[[#This Row],[Data]]))</f>
        <v/>
      </c>
      <c r="M15" s="25"/>
      <c r="O15" s="11"/>
      <c r="Q15" s="12"/>
      <c r="R15" s="26"/>
    </row>
    <row r="16" spans="1:19" x14ac:dyDescent="0.25">
      <c r="A16" s="9"/>
      <c r="G16" s="12"/>
      <c r="I16" s="13"/>
      <c r="J16" s="10" t="str">
        <f>IF(Tabela116[[#This Row],[Data]]="","",YEAR(Tabela116[[#This Row],[Data]]))</f>
        <v/>
      </c>
      <c r="K16" s="10" t="str">
        <f>IF(Tabela116[[#This Row],[Data]]="","",MONTH(Tabela116[[#This Row],[Data]]))</f>
        <v/>
      </c>
      <c r="M16" s="25"/>
      <c r="O16" s="11"/>
      <c r="Q16" s="12"/>
      <c r="R16" s="26"/>
    </row>
    <row r="17" spans="1:19" x14ac:dyDescent="0.25">
      <c r="A17" s="9"/>
      <c r="G17" s="12"/>
      <c r="J17" s="10" t="str">
        <f>IF(Tabela116[[#This Row],[Data]]="","",YEAR(Tabela116[[#This Row],[Data]]))</f>
        <v/>
      </c>
      <c r="K17" s="10" t="str">
        <f>IF(Tabela116[[#This Row],[Data]]="","",MONTH(Tabela116[[#This Row],[Data]]))</f>
        <v/>
      </c>
      <c r="M17" s="25"/>
      <c r="O17" s="11"/>
      <c r="Q17" s="12"/>
      <c r="R17" s="26"/>
    </row>
    <row r="18" spans="1:19" x14ac:dyDescent="0.25">
      <c r="A18" s="9"/>
      <c r="G18" s="12"/>
      <c r="I18" s="13"/>
      <c r="J18" s="10" t="str">
        <f>IF(Tabela116[[#This Row],[Data]]="","",YEAR(Tabela116[[#This Row],[Data]]))</f>
        <v/>
      </c>
      <c r="K18" s="10" t="str">
        <f>IF(Tabela116[[#This Row],[Data]]="","",MONTH(Tabela116[[#This Row],[Data]]))</f>
        <v/>
      </c>
      <c r="M18" s="25"/>
      <c r="O18" s="11"/>
      <c r="Q18" s="12"/>
      <c r="R18" s="26"/>
    </row>
    <row r="19" spans="1:19" x14ac:dyDescent="0.25">
      <c r="A19" s="9"/>
      <c r="G19" s="12"/>
      <c r="I19" s="13"/>
      <c r="J19" s="10" t="str">
        <f>IF(Tabela116[[#This Row],[Data]]="","",YEAR(Tabela116[[#This Row],[Data]]))</f>
        <v/>
      </c>
      <c r="K19" s="10" t="str">
        <f>IF(Tabela116[[#This Row],[Data]]="","",MONTH(Tabela116[[#This Row],[Data]]))</f>
        <v/>
      </c>
      <c r="M19" s="25"/>
      <c r="O19" s="11"/>
      <c r="Q19" s="12"/>
      <c r="R19" s="26"/>
    </row>
    <row r="20" spans="1:19" x14ac:dyDescent="0.25">
      <c r="A20" s="9"/>
      <c r="G20" s="12"/>
      <c r="I20" s="13"/>
      <c r="J20" s="10" t="str">
        <f>IF(Tabela116[[#This Row],[Data]]="","",YEAR(Tabela116[[#This Row],[Data]]))</f>
        <v/>
      </c>
      <c r="K20" s="10" t="str">
        <f>IF(Tabela116[[#This Row],[Data]]="","",MONTH(Tabela116[[#This Row],[Data]]))</f>
        <v/>
      </c>
      <c r="M20" s="25"/>
      <c r="O20" s="11"/>
      <c r="Q20" s="12"/>
      <c r="R20" s="26"/>
      <c r="S20" s="10" t="str">
        <f t="shared" ref="S20:S30" si="0">IFERROR(LEFT(Q20,SEARCH("/",Q20)-1)*1,"-")</f>
        <v>-</v>
      </c>
    </row>
    <row r="21" spans="1:19" x14ac:dyDescent="0.25">
      <c r="A21" s="14"/>
      <c r="G21" s="12"/>
      <c r="I21" s="13"/>
      <c r="J21" s="10" t="str">
        <f>IF(Tabela116[[#This Row],[Data]]="","",YEAR(Tabela116[[#This Row],[Data]]))</f>
        <v/>
      </c>
      <c r="K21" s="10" t="str">
        <f>IF(Tabela116[[#This Row],[Data]]="","",MONTH(Tabela116[[#This Row],[Data]]))</f>
        <v/>
      </c>
      <c r="M21" s="25"/>
      <c r="O21" s="11"/>
      <c r="Q21" s="12"/>
      <c r="R21" s="26"/>
      <c r="S21" s="10" t="str">
        <f t="shared" si="0"/>
        <v>-</v>
      </c>
    </row>
    <row r="22" spans="1:19" x14ac:dyDescent="0.25">
      <c r="A22" s="14"/>
      <c r="G22" s="12"/>
      <c r="I22" s="13"/>
      <c r="J22" s="10" t="str">
        <f>IF(Tabela116[[#This Row],[Data]]="","",YEAR(Tabela116[[#This Row],[Data]]))</f>
        <v/>
      </c>
      <c r="K22" s="10" t="str">
        <f>IF(Tabela116[[#This Row],[Data]]="","",MONTH(Tabela116[[#This Row],[Data]]))</f>
        <v/>
      </c>
      <c r="M22" s="25"/>
      <c r="O22" s="11"/>
      <c r="Q22" s="12"/>
      <c r="R22" s="26"/>
      <c r="S22" s="10" t="str">
        <f t="shared" si="0"/>
        <v>-</v>
      </c>
    </row>
    <row r="23" spans="1:19" x14ac:dyDescent="0.25">
      <c r="A23" s="14"/>
      <c r="G23" s="12"/>
      <c r="I23" s="13"/>
      <c r="J23" s="10" t="str">
        <f>IF(Tabela116[[#This Row],[Data]]="","",YEAR(Tabela116[[#This Row],[Data]]))</f>
        <v/>
      </c>
      <c r="K23" s="10" t="str">
        <f>IF(Tabela116[[#This Row],[Data]]="","",MONTH(Tabela116[[#This Row],[Data]]))</f>
        <v/>
      </c>
      <c r="M23" s="25"/>
      <c r="O23" s="11"/>
      <c r="Q23" s="12"/>
      <c r="R23" s="26"/>
      <c r="S23" s="10" t="str">
        <f t="shared" si="0"/>
        <v>-</v>
      </c>
    </row>
    <row r="24" spans="1:19" x14ac:dyDescent="0.25">
      <c r="A24" s="14"/>
      <c r="G24" s="12"/>
      <c r="I24" s="13"/>
      <c r="J24" s="10" t="str">
        <f>IF(Tabela116[[#This Row],[Data]]="","",YEAR(Tabela116[[#This Row],[Data]]))</f>
        <v/>
      </c>
      <c r="K24" s="10" t="str">
        <f>IF(Tabela116[[#This Row],[Data]]="","",MONTH(Tabela116[[#This Row],[Data]]))</f>
        <v/>
      </c>
      <c r="L24" s="42"/>
      <c r="M24" s="25"/>
      <c r="O24" s="11"/>
      <c r="Q24" s="12"/>
      <c r="R24" s="26"/>
      <c r="S24" s="10" t="str">
        <f t="shared" si="0"/>
        <v>-</v>
      </c>
    </row>
    <row r="25" spans="1:19" x14ac:dyDescent="0.25">
      <c r="A25" s="14"/>
      <c r="G25" s="12"/>
      <c r="I25" s="13"/>
      <c r="J25" s="10" t="str">
        <f>IF(Tabela116[[#This Row],[Data]]="","",YEAR(Tabela116[[#This Row],[Data]]))</f>
        <v/>
      </c>
      <c r="K25" s="10" t="str">
        <f>IF(Tabela116[[#This Row],[Data]]="","",MONTH(Tabela116[[#This Row],[Data]]))</f>
        <v/>
      </c>
      <c r="L25" s="42"/>
      <c r="M25" s="25"/>
      <c r="O25" s="11"/>
      <c r="Q25" s="12"/>
      <c r="R25" s="26"/>
      <c r="S25" s="10" t="str">
        <f t="shared" si="0"/>
        <v>-</v>
      </c>
    </row>
    <row r="26" spans="1:19" x14ac:dyDescent="0.25">
      <c r="A26" s="14"/>
      <c r="G26" s="12"/>
      <c r="I26" s="13"/>
      <c r="J26" s="10" t="str">
        <f>IF(Tabela116[[#This Row],[Data]]="","",YEAR(Tabela116[[#This Row],[Data]]))</f>
        <v/>
      </c>
      <c r="K26" s="10" t="str">
        <f>IF(Tabela116[[#This Row],[Data]]="","",MONTH(Tabela116[[#This Row],[Data]]))</f>
        <v/>
      </c>
      <c r="L26" s="42"/>
      <c r="M26" s="25"/>
      <c r="O26" s="11"/>
      <c r="Q26" s="12"/>
      <c r="R26" s="26"/>
      <c r="S26" s="10" t="str">
        <f t="shared" si="0"/>
        <v>-</v>
      </c>
    </row>
    <row r="27" spans="1:19" x14ac:dyDescent="0.25">
      <c r="A27" s="14"/>
      <c r="G27" s="12"/>
      <c r="I27" s="13"/>
      <c r="J27" s="10" t="str">
        <f>IF(Tabela116[[#This Row],[Data]]="","",YEAR(Tabela116[[#This Row],[Data]]))</f>
        <v/>
      </c>
      <c r="K27" s="10" t="str">
        <f>IF(Tabela116[[#This Row],[Data]]="","",MONTH(Tabela116[[#This Row],[Data]]))</f>
        <v/>
      </c>
      <c r="M27" s="25"/>
      <c r="O27" s="11"/>
      <c r="Q27" s="12"/>
      <c r="R27" s="26"/>
      <c r="S27" s="10" t="str">
        <f t="shared" si="0"/>
        <v>-</v>
      </c>
    </row>
    <row r="28" spans="1:19" x14ac:dyDescent="0.25">
      <c r="A28" s="14"/>
      <c r="G28" s="12"/>
      <c r="I28" s="13"/>
      <c r="J28" s="10" t="str">
        <f>IF(Tabela116[[#This Row],[Data]]="","",YEAR(Tabela116[[#This Row],[Data]]))</f>
        <v/>
      </c>
      <c r="K28" s="10" t="str">
        <f>IF(Tabela116[[#This Row],[Data]]="","",MONTH(Tabela116[[#This Row],[Data]]))</f>
        <v/>
      </c>
      <c r="M28" s="25"/>
      <c r="O28" s="11"/>
      <c r="Q28" s="12"/>
      <c r="R28" s="26"/>
      <c r="S28" s="10" t="str">
        <f t="shared" si="0"/>
        <v>-</v>
      </c>
    </row>
    <row r="29" spans="1:19" x14ac:dyDescent="0.25">
      <c r="A29" s="14"/>
      <c r="G29" s="12"/>
      <c r="I29" s="13"/>
      <c r="J29" s="10" t="str">
        <f>IF(Tabela116[[#This Row],[Data]]="","",YEAR(Tabela116[[#This Row],[Data]]))</f>
        <v/>
      </c>
      <c r="K29" s="10" t="str">
        <f>IF(Tabela116[[#This Row],[Data]]="","",MONTH(Tabela116[[#This Row],[Data]]))</f>
        <v/>
      </c>
      <c r="M29" s="25"/>
      <c r="O29" s="11"/>
      <c r="Q29" s="12"/>
      <c r="R29" s="26"/>
      <c r="S29" s="10" t="str">
        <f t="shared" si="0"/>
        <v>-</v>
      </c>
    </row>
    <row r="30" spans="1:19" x14ac:dyDescent="0.25">
      <c r="A30" s="14"/>
      <c r="G30" s="12"/>
      <c r="I30" s="13"/>
      <c r="J30" s="10" t="str">
        <f>IF(Tabela116[[#This Row],[Data]]="","",YEAR(Tabela116[[#This Row],[Data]]))</f>
        <v/>
      </c>
      <c r="K30" s="10" t="str">
        <f>IF(Tabela116[[#This Row],[Data]]="","",MONTH(Tabela116[[#This Row],[Data]]))</f>
        <v/>
      </c>
      <c r="M30" s="25"/>
      <c r="O30" s="11"/>
      <c r="Q30" s="12"/>
      <c r="R30" s="26"/>
      <c r="S30" s="10" t="str">
        <f t="shared" si="0"/>
        <v>-</v>
      </c>
    </row>
    <row r="31" spans="1:19" x14ac:dyDescent="0.25">
      <c r="A31" s="14"/>
      <c r="G31" s="12"/>
      <c r="I31" s="13"/>
      <c r="J31" s="10" t="str">
        <f>IF(Tabela116[[#This Row],[Data]]="","",YEAR(Tabela116[[#This Row],[Data]]))</f>
        <v/>
      </c>
      <c r="K31" s="10" t="str">
        <f>IF(Tabela116[[#This Row],[Data]]="","",MONTH(Tabela116[[#This Row],[Data]]))</f>
        <v/>
      </c>
      <c r="M31" s="25"/>
      <c r="O31" s="11"/>
      <c r="Q31" s="12"/>
      <c r="R31" s="26"/>
      <c r="S31" s="10" t="str">
        <f t="shared" ref="S31:S32" si="1">IFERROR(LEFT(Q31,SEARCH("/",Q31)-1)*1,"-")</f>
        <v>-</v>
      </c>
    </row>
    <row r="32" spans="1:19" x14ac:dyDescent="0.25">
      <c r="A32" s="14"/>
      <c r="G32" s="12"/>
      <c r="I32" s="13"/>
      <c r="J32" s="10" t="str">
        <f>IF(Tabela116[[#This Row],[Data]]="","",YEAR(Tabela116[[#This Row],[Data]]))</f>
        <v/>
      </c>
      <c r="K32" s="10" t="str">
        <f>IF(Tabela116[[#This Row],[Data]]="","",MONTH(Tabela116[[#This Row],[Data]]))</f>
        <v/>
      </c>
      <c r="M32" s="25"/>
      <c r="O32" s="11"/>
      <c r="Q32" s="12"/>
      <c r="R32" s="26"/>
      <c r="S32" s="10" t="str">
        <f t="shared" si="1"/>
        <v>-</v>
      </c>
    </row>
    <row r="33" spans="1:19" x14ac:dyDescent="0.25">
      <c r="A33" s="14"/>
      <c r="G33" s="12"/>
      <c r="I33" s="13"/>
      <c r="J33" s="10" t="str">
        <f>IF(Tabela116[[#This Row],[Data]]="","",YEAR(Tabela116[[#This Row],[Data]]))</f>
        <v/>
      </c>
      <c r="K33" s="10" t="str">
        <f>IF(Tabela116[[#This Row],[Data]]="","",MONTH(Tabela116[[#This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8"/>
      <c r="H34" s="16"/>
      <c r="I34" s="19"/>
      <c r="J34" s="10" t="str">
        <f>IF(Tabela116[[#This Row],[Data]]="","",YEAR(Tabela116[[#This Row],[Data]]))</f>
        <v/>
      </c>
      <c r="K34" s="10" t="str">
        <f>IF(Tabela116[[#This Row],[Data]]="","",MONTH(Tabela116[[#This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21</v>
      </c>
      <c r="B35" s="71"/>
      <c r="C35" s="43" t="s">
        <v>22</v>
      </c>
      <c r="D35" s="44"/>
      <c r="E35" s="44"/>
      <c r="F35" s="87" t="s">
        <v>23</v>
      </c>
      <c r="G35" s="88"/>
      <c r="H35" s="88"/>
      <c r="I35" s="89"/>
      <c r="M35" s="61" t="s">
        <v>26</v>
      </c>
      <c r="N35" s="61"/>
      <c r="P35" s="79" t="s">
        <v>23</v>
      </c>
      <c r="Q35" s="79"/>
      <c r="R35" s="79"/>
    </row>
    <row r="36" spans="1:19" ht="15" customHeight="1" x14ac:dyDescent="0.25">
      <c r="A36" s="72">
        <f>SUMIFS(Tabela116[Valor],Tabela116[Recebido],"Sim",Tabela116[Ano],YEAR($H$9),Tabela116[mês],MONTH($H$9))</f>
        <v>0</v>
      </c>
      <c r="B36" s="73"/>
      <c r="C36" s="84">
        <f>SUMIF(Tabela116[Recebido],"Sim",Tabela116[Valor])-A36</f>
        <v>0</v>
      </c>
      <c r="D36" s="11"/>
      <c r="F36" s="90">
        <f>SUMIF(I12:I34,"Sim",E12:E34)</f>
        <v>0</v>
      </c>
      <c r="G36" s="91"/>
      <c r="H36" s="91"/>
      <c r="I36" s="92"/>
      <c r="M36" s="62">
        <f>SUM(Tabela317[Valor])</f>
        <v>0</v>
      </c>
      <c r="N36" s="63"/>
      <c r="O36" s="11"/>
      <c r="P36" s="68">
        <f>SUMIF(Tabela317[Pago],"Sim",Tabela317[Valor])</f>
        <v>0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46" spans="1:19" x14ac:dyDescent="0.25">
      <c r="G46" s="10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dataValidations count="6">
    <dataValidation type="list" allowBlank="1" showInputMessage="1" showErrorMessage="1" sqref="D12:D34" xr:uid="{E51E95B2-9DC4-45FB-A7DC-9189FE90F1EF}">
      <formula1>"Comércio,Indústria,Transporte intermunicipais e interestaduais,Fornecimento de refeições,Serviço"</formula1>
    </dataValidation>
    <dataValidation type="list" allowBlank="1" showInputMessage="1" showErrorMessage="1" sqref="B5:C5" xr:uid="{ED2B58C4-7388-4426-9D69-4CD38AD90B7E}">
      <formula1>"2019,2020,2021,2022"</formula1>
    </dataValidation>
    <dataValidation type="list" allowBlank="1" showInputMessage="1" showErrorMessage="1" sqref="B4:C4" xr:uid="{28CC716C-928B-4E8B-A89F-0AEE98393F29}">
      <formula1>"Janeiro,Fevereiro,Março,Abril,Maio,Junho,Julho,Agosto,Setembro,Outubro,Novembro,Dezembro"</formula1>
    </dataValidation>
    <dataValidation type="list" allowBlank="1" showInputMessage="1" showErrorMessage="1" sqref="F12:F34" xr:uid="{07F5EB83-A733-4711-8BCB-E59C70C0ACDE}">
      <formula1>"Dinheiro,Boleto,Cartão de débito,Cartão de crédito,Cheque,Outros"</formula1>
    </dataValidation>
    <dataValidation type="list" allowBlank="1" showInputMessage="1" showErrorMessage="1" sqref="R12:R34 H12:I34" xr:uid="{8C47A6D8-EF81-48F1-B9B2-3574BB56C022}">
      <formula1>"Sim,Não,-"</formula1>
    </dataValidation>
    <dataValidation type="list" allowBlank="1" showInputMessage="1" showErrorMessage="1" sqref="P12:P34" xr:uid="{6A3A462A-FD88-472F-911C-0C1E43277CF3}">
      <formula1>"Dinheiro,Cartão de débito,Cartão de crédito,Cheque,Outros"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300" verticalDpi="300" r:id="rId1"/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AF9F-6680-45EA-95E1-6E5D1167028C}">
  <sheetPr codeName="Planilha3">
    <pageSetUpPr fitToPage="1"/>
  </sheetPr>
  <dimension ref="A1:S46"/>
  <sheetViews>
    <sheetView showGridLines="0" zoomScale="50" zoomScaleNormal="50" workbookViewId="0">
      <pane ySplit="11" topLeftCell="A12" activePane="bottomLeft" state="frozen"/>
      <selection activeCell="A41" sqref="A41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bestFit="1" customWidth="1"/>
    <col min="5" max="5" width="14.85546875" style="11" bestFit="1" customWidth="1"/>
    <col min="6" max="6" width="12.7109375" style="10" bestFit="1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hidden="1" customWidth="1"/>
    <col min="12" max="12" width="6.28515625" style="10" customWidth="1"/>
    <col min="13" max="13" width="11.5703125" style="10" bestFit="1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x14ac:dyDescent="0.25">
      <c r="A4" s="33" t="s">
        <v>16</v>
      </c>
      <c r="B4" s="78" t="s">
        <v>35</v>
      </c>
      <c r="C4" s="78"/>
    </row>
    <row r="5" spans="1:19" ht="15.75" x14ac:dyDescent="0.25">
      <c r="A5" s="33" t="s">
        <v>15</v>
      </c>
      <c r="B5" s="78">
        <v>2019</v>
      </c>
      <c r="C5" s="78"/>
      <c r="G5" s="80"/>
      <c r="H5" s="82"/>
      <c r="I5" s="83"/>
    </row>
    <row r="6" spans="1:19" ht="3.75" customHeight="1" x14ac:dyDescent="0.25">
      <c r="A6" s="33"/>
      <c r="B6" s="3"/>
      <c r="C6" s="3"/>
      <c r="G6" s="81"/>
      <c r="H6" s="83"/>
      <c r="I6" s="83"/>
    </row>
    <row r="7" spans="1:19" ht="15.75" x14ac:dyDescent="0.25">
      <c r="A7" s="33" t="s">
        <v>40</v>
      </c>
      <c r="B7" s="78"/>
      <c r="C7" s="78"/>
    </row>
    <row r="8" spans="1:19" ht="6.75" customHeight="1" x14ac:dyDescent="0.25">
      <c r="A8" s="34"/>
    </row>
    <row r="9" spans="1:19" ht="15" customHeight="1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Ago/19</v>
      </c>
      <c r="I9" s="66"/>
      <c r="M9" s="69" t="s">
        <v>57</v>
      </c>
      <c r="N9" s="69"/>
      <c r="O9" s="69"/>
      <c r="P9" s="69"/>
      <c r="Q9" s="67" t="str">
        <f>LEFT($B$4,3)&amp;"/"&amp;RIGHT($B$5,2)</f>
        <v>Ago/19</v>
      </c>
      <c r="R9" s="67"/>
    </row>
    <row r="10" spans="1:19" ht="15" customHeight="1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9"/>
      <c r="G12" s="12"/>
      <c r="I12" s="13"/>
      <c r="J12" s="10" t="str">
        <f>IF(Tabela11618[[#This Row],[Data]]="","",YEAR(Tabela11618[[#This Row],[Data]]))</f>
        <v/>
      </c>
      <c r="K12" s="10" t="str">
        <f>IF(Tabela11618[[#This Row],[Data]]="","",MONTH(Tabela11618[[#This Row],[Data]]))</f>
        <v/>
      </c>
      <c r="M12" s="20"/>
      <c r="N12" s="21"/>
      <c r="O12" s="22"/>
      <c r="P12" s="21"/>
      <c r="Q12" s="23"/>
      <c r="R12" s="24"/>
    </row>
    <row r="13" spans="1:19" x14ac:dyDescent="0.25">
      <c r="A13" s="9"/>
      <c r="G13" s="12"/>
      <c r="I13" s="13"/>
      <c r="J13" s="10" t="str">
        <f>IF(Tabela11618[[#This Row],[Data]]="","",YEAR(Tabela11618[[#This Row],[Data]]))</f>
        <v/>
      </c>
      <c r="K13" s="10" t="str">
        <f>IF(Tabela11618[[#This Row],[Data]]="","",MONTH(Tabela11618[[#This Row],[Data]]))</f>
        <v/>
      </c>
      <c r="M13" s="25"/>
      <c r="O13" s="11"/>
      <c r="Q13" s="12"/>
      <c r="R13" s="26"/>
    </row>
    <row r="14" spans="1:19" x14ac:dyDescent="0.25">
      <c r="A14" s="9"/>
      <c r="G14" s="12"/>
      <c r="I14" s="13"/>
      <c r="J14" s="10" t="str">
        <f>IF(Tabela11618[[#This Row],[Data]]="","",YEAR(Tabela11618[[#This Row],[Data]]))</f>
        <v/>
      </c>
      <c r="K14" s="10" t="str">
        <f>IF(Tabela11618[[#This Row],[Data]]="","",MONTH(Tabela11618[[#This Row],[Data]]))</f>
        <v/>
      </c>
      <c r="M14" s="25"/>
      <c r="O14" s="11"/>
      <c r="Q14" s="12"/>
      <c r="R14" s="26"/>
    </row>
    <row r="15" spans="1:19" x14ac:dyDescent="0.25">
      <c r="A15" s="9"/>
      <c r="G15" s="12"/>
      <c r="I15" s="13"/>
      <c r="J15" s="10" t="str">
        <f>IF(Tabela11618[[#This Row],[Data]]="","",YEAR(Tabela11618[[#This Row],[Data]]))</f>
        <v/>
      </c>
      <c r="K15" s="10" t="str">
        <f>IF(Tabela11618[[#This Row],[Data]]="","",MONTH(Tabela11618[[#This Row],[Data]]))</f>
        <v/>
      </c>
      <c r="M15" s="25"/>
      <c r="O15" s="11"/>
      <c r="Q15" s="12"/>
      <c r="R15" s="26"/>
    </row>
    <row r="16" spans="1:19" x14ac:dyDescent="0.25">
      <c r="A16" s="9"/>
      <c r="G16" s="12"/>
      <c r="I16" s="13"/>
      <c r="J16" s="10" t="str">
        <f>IF(Tabela11618[[#This Row],[Data]]="","",YEAR(Tabela11618[[#This Row],[Data]]))</f>
        <v/>
      </c>
      <c r="K16" s="10" t="str">
        <f>IF(Tabela11618[[#This Row],[Data]]="","",MONTH(Tabela11618[[#This Row],[Data]]))</f>
        <v/>
      </c>
      <c r="M16" s="25"/>
      <c r="O16" s="11"/>
      <c r="Q16" s="12"/>
      <c r="R16" s="26"/>
    </row>
    <row r="17" spans="1:19" x14ac:dyDescent="0.25">
      <c r="A17" s="9"/>
      <c r="G17" s="12"/>
      <c r="J17" s="10" t="str">
        <f>IF(Tabela11618[[#This Row],[Data]]="","",YEAR(Tabela11618[[#This Row],[Data]]))</f>
        <v/>
      </c>
      <c r="K17" s="10" t="str">
        <f>IF(Tabela11618[[#This Row],[Data]]="","",MONTH(Tabela11618[[#This Row],[Data]]))</f>
        <v/>
      </c>
      <c r="M17" s="25"/>
      <c r="O17" s="11"/>
      <c r="Q17" s="12"/>
      <c r="R17" s="26"/>
    </row>
    <row r="18" spans="1:19" x14ac:dyDescent="0.25">
      <c r="A18" s="9"/>
      <c r="G18" s="12"/>
      <c r="I18" s="13"/>
      <c r="J18" s="10" t="str">
        <f>IF(Tabela11618[[#This Row],[Data]]="","",YEAR(Tabela11618[[#This Row],[Data]]))</f>
        <v/>
      </c>
      <c r="K18" s="10" t="str">
        <f>IF(Tabela11618[[#This Row],[Data]]="","",MONTH(Tabela11618[[#This Row],[Data]]))</f>
        <v/>
      </c>
      <c r="M18" s="25"/>
      <c r="O18" s="11"/>
      <c r="Q18" s="12"/>
      <c r="R18" s="26"/>
    </row>
    <row r="19" spans="1:19" x14ac:dyDescent="0.25">
      <c r="A19" s="9"/>
      <c r="G19" s="12"/>
      <c r="I19" s="13"/>
      <c r="J19" s="10" t="str">
        <f>IF(Tabela11618[[#This Row],[Data]]="","",YEAR(Tabela11618[[#This Row],[Data]]))</f>
        <v/>
      </c>
      <c r="K19" s="10" t="str">
        <f>IF(Tabela11618[[#This Row],[Data]]="","",MONTH(Tabela11618[[#This Row],[Data]]))</f>
        <v/>
      </c>
      <c r="M19" s="25"/>
      <c r="O19" s="11"/>
      <c r="Q19" s="12"/>
      <c r="R19" s="26"/>
    </row>
    <row r="20" spans="1:19" x14ac:dyDescent="0.25">
      <c r="A20" s="9"/>
      <c r="G20" s="12"/>
      <c r="I20" s="13"/>
      <c r="J20" s="10" t="str">
        <f>IF(Tabela11618[[#This Row],[Data]]="","",YEAR(Tabela11618[[#This Row],[Data]]))</f>
        <v/>
      </c>
      <c r="K20" s="10" t="str">
        <f>IF(Tabela11618[[#This Row],[Data]]="","",MONTH(Tabela11618[[#This Row],[Data]]))</f>
        <v/>
      </c>
      <c r="M20" s="25"/>
      <c r="O20" s="11"/>
      <c r="Q20" s="12"/>
      <c r="R20" s="26"/>
    </row>
    <row r="21" spans="1:19" x14ac:dyDescent="0.25">
      <c r="A21" s="9"/>
      <c r="G21" s="12"/>
      <c r="I21" s="13"/>
      <c r="J21" s="10" t="str">
        <f>IF(Tabela11618[[#This Row],[Data]]="","",YEAR(Tabela11618[[#This Row],[Data]]))</f>
        <v/>
      </c>
      <c r="K21" s="10" t="str">
        <f>IF(Tabela11618[[#This Row],[Data]]="","",MONTH(Tabela11618[[#This Row],[Data]]))</f>
        <v/>
      </c>
      <c r="M21" s="25"/>
      <c r="O21" s="11"/>
      <c r="Q21" s="12"/>
      <c r="R21" s="26"/>
      <c r="S21" s="10" t="str">
        <f t="shared" ref="S21:S30" si="0">IFERROR(LEFT(Q21,SEARCH("/",Q21)-1)*1,"-")</f>
        <v>-</v>
      </c>
    </row>
    <row r="22" spans="1:19" x14ac:dyDescent="0.25">
      <c r="A22" s="14"/>
      <c r="G22" s="12"/>
      <c r="I22" s="13"/>
      <c r="J22" s="10" t="str">
        <f>IF(Tabela11618[[#This Row],[Data]]="","",YEAR(Tabela11618[[#This Row],[Data]]))</f>
        <v/>
      </c>
      <c r="K22" s="10" t="str">
        <f>IF(Tabela11618[[#This Row],[Data]]="","",MONTH(Tabela11618[[#This Row],[Data]]))</f>
        <v/>
      </c>
      <c r="M22" s="25"/>
      <c r="O22" s="11"/>
      <c r="Q22" s="12"/>
      <c r="R22" s="26"/>
      <c r="S22" s="10" t="str">
        <f t="shared" si="0"/>
        <v>-</v>
      </c>
    </row>
    <row r="23" spans="1:19" x14ac:dyDescent="0.25">
      <c r="A23" s="14"/>
      <c r="G23" s="12"/>
      <c r="I23" s="13"/>
      <c r="J23" s="10" t="str">
        <f>IF(Tabela11618[[#This Row],[Data]]="","",YEAR(Tabela11618[[#This Row],[Data]]))</f>
        <v/>
      </c>
      <c r="K23" s="10" t="str">
        <f>IF(Tabela11618[[#This Row],[Data]]="","",MONTH(Tabela11618[[#This Row],[Data]]))</f>
        <v/>
      </c>
      <c r="M23" s="25"/>
      <c r="O23" s="11"/>
      <c r="Q23" s="12"/>
      <c r="R23" s="26"/>
      <c r="S23" s="10" t="str">
        <f t="shared" si="0"/>
        <v>-</v>
      </c>
    </row>
    <row r="24" spans="1:19" x14ac:dyDescent="0.25">
      <c r="A24" s="14"/>
      <c r="G24" s="12"/>
      <c r="I24" s="13"/>
      <c r="J24" s="10" t="str">
        <f>IF(Tabela11618[[#This Row],[Data]]="","",YEAR(Tabela11618[[#This Row],[Data]]))</f>
        <v/>
      </c>
      <c r="K24" s="10" t="str">
        <f>IF(Tabela11618[[#This Row],[Data]]="","",MONTH(Tabela11618[[#This Row],[Data]]))</f>
        <v/>
      </c>
      <c r="L24" s="42"/>
      <c r="M24" s="25"/>
      <c r="O24" s="11"/>
      <c r="Q24" s="12"/>
      <c r="R24" s="26"/>
      <c r="S24" s="10" t="str">
        <f t="shared" si="0"/>
        <v>-</v>
      </c>
    </row>
    <row r="25" spans="1:19" x14ac:dyDescent="0.25">
      <c r="A25" s="14"/>
      <c r="G25" s="12"/>
      <c r="I25" s="13"/>
      <c r="J25" s="10" t="str">
        <f>IF(Tabela11618[[#This Row],[Data]]="","",YEAR(Tabela11618[[#This Row],[Data]]))</f>
        <v/>
      </c>
      <c r="K25" s="10" t="str">
        <f>IF(Tabela11618[[#This Row],[Data]]="","",MONTH(Tabela11618[[#This Row],[Data]]))</f>
        <v/>
      </c>
      <c r="L25" s="42"/>
      <c r="M25" s="25"/>
      <c r="O25" s="11"/>
      <c r="Q25" s="12"/>
      <c r="R25" s="26"/>
      <c r="S25" s="10" t="str">
        <f t="shared" si="0"/>
        <v>-</v>
      </c>
    </row>
    <row r="26" spans="1:19" x14ac:dyDescent="0.25">
      <c r="A26" s="14"/>
      <c r="G26" s="12"/>
      <c r="I26" s="13"/>
      <c r="J26" s="10" t="str">
        <f>IF(Tabela11618[[#This Row],[Data]]="","",YEAR(Tabela11618[[#This Row],[Data]]))</f>
        <v/>
      </c>
      <c r="K26" s="10" t="str">
        <f>IF(Tabela11618[[#This Row],[Data]]="","",MONTH(Tabela11618[[#This Row],[Data]]))</f>
        <v/>
      </c>
      <c r="L26" s="42"/>
      <c r="M26" s="25"/>
      <c r="O26" s="11"/>
      <c r="Q26" s="12"/>
      <c r="R26" s="26"/>
      <c r="S26" s="10" t="str">
        <f t="shared" si="0"/>
        <v>-</v>
      </c>
    </row>
    <row r="27" spans="1:19" x14ac:dyDescent="0.25">
      <c r="A27" s="14"/>
      <c r="G27" s="12"/>
      <c r="I27" s="13"/>
      <c r="J27" s="10" t="str">
        <f>IF(Tabela11618[[#This Row],[Data]]="","",YEAR(Tabela11618[[#This Row],[Data]]))</f>
        <v/>
      </c>
      <c r="K27" s="10" t="str">
        <f>IF(Tabela11618[[#This Row],[Data]]="","",MONTH(Tabela11618[[#This Row],[Data]]))</f>
        <v/>
      </c>
      <c r="M27" s="25"/>
      <c r="O27" s="11"/>
      <c r="Q27" s="12"/>
      <c r="R27" s="26"/>
      <c r="S27" s="10" t="str">
        <f t="shared" si="0"/>
        <v>-</v>
      </c>
    </row>
    <row r="28" spans="1:19" x14ac:dyDescent="0.25">
      <c r="A28" s="14"/>
      <c r="G28" s="12"/>
      <c r="I28" s="13"/>
      <c r="J28" s="10" t="str">
        <f>IF(Tabela11618[[#This Row],[Data]]="","",YEAR(Tabela11618[[#This Row],[Data]]))</f>
        <v/>
      </c>
      <c r="K28" s="10" t="str">
        <f>IF(Tabela11618[[#This Row],[Data]]="","",MONTH(Tabela11618[[#This Row],[Data]]))</f>
        <v/>
      </c>
      <c r="M28" s="25"/>
      <c r="O28" s="11"/>
      <c r="Q28" s="12"/>
      <c r="R28" s="26"/>
      <c r="S28" s="10" t="str">
        <f t="shared" si="0"/>
        <v>-</v>
      </c>
    </row>
    <row r="29" spans="1:19" x14ac:dyDescent="0.25">
      <c r="A29" s="14"/>
      <c r="G29" s="12"/>
      <c r="I29" s="13"/>
      <c r="J29" s="10" t="str">
        <f>IF(Tabela11618[[#This Row],[Data]]="","",YEAR(Tabela11618[[#This Row],[Data]]))</f>
        <v/>
      </c>
      <c r="K29" s="10" t="str">
        <f>IF(Tabela11618[[#This Row],[Data]]="","",MONTH(Tabela11618[[#This Row],[Data]]))</f>
        <v/>
      </c>
      <c r="M29" s="25"/>
      <c r="O29" s="11"/>
      <c r="Q29" s="12"/>
      <c r="R29" s="26"/>
      <c r="S29" s="10" t="str">
        <f t="shared" si="0"/>
        <v>-</v>
      </c>
    </row>
    <row r="30" spans="1:19" x14ac:dyDescent="0.25">
      <c r="A30" s="14"/>
      <c r="G30" s="12"/>
      <c r="I30" s="13"/>
      <c r="J30" s="10" t="str">
        <f>IF(Tabela11618[[#This Row],[Data]]="","",YEAR(Tabela11618[[#This Row],[Data]]))</f>
        <v/>
      </c>
      <c r="K30" s="10" t="str">
        <f>IF(Tabela11618[[#This Row],[Data]]="","",MONTH(Tabela11618[[#This Row],[Data]]))</f>
        <v/>
      </c>
      <c r="M30" s="25"/>
      <c r="O30" s="11"/>
      <c r="Q30" s="12"/>
      <c r="R30" s="26"/>
      <c r="S30" s="10" t="str">
        <f t="shared" si="0"/>
        <v>-</v>
      </c>
    </row>
    <row r="31" spans="1:19" x14ac:dyDescent="0.25">
      <c r="A31" s="14"/>
      <c r="G31" s="12"/>
      <c r="I31" s="13"/>
      <c r="J31" s="10" t="str">
        <f>IF(Tabela11618[[#This Row],[Data]]="","",YEAR(Tabela11618[[#This Row],[Data]]))</f>
        <v/>
      </c>
      <c r="K31" s="10" t="str">
        <f>IF(Tabela11618[[#This Row],[Data]]="","",MONTH(Tabela11618[[#This Row],[Data]]))</f>
        <v/>
      </c>
      <c r="M31" s="25"/>
      <c r="O31" s="11"/>
      <c r="Q31" s="12"/>
      <c r="R31" s="26"/>
      <c r="S31" s="10" t="str">
        <f t="shared" ref="S31:S32" si="1">IFERROR(LEFT(Q31,SEARCH("/",Q31)-1)*1,"-")</f>
        <v>-</v>
      </c>
    </row>
    <row r="32" spans="1:19" x14ac:dyDescent="0.25">
      <c r="A32" s="14"/>
      <c r="G32" s="12"/>
      <c r="I32" s="13"/>
      <c r="J32" s="10" t="str">
        <f>IF(Tabela11618[[#This Row],[Data]]="","",YEAR(Tabela11618[[#This Row],[Data]]))</f>
        <v/>
      </c>
      <c r="K32" s="10" t="str">
        <f>IF(Tabela11618[[#This Row],[Data]]="","",MONTH(Tabela11618[[#This Row],[Data]]))</f>
        <v/>
      </c>
      <c r="M32" s="25"/>
      <c r="O32" s="11"/>
      <c r="Q32" s="12"/>
      <c r="R32" s="26"/>
      <c r="S32" s="10" t="str">
        <f t="shared" si="1"/>
        <v>-</v>
      </c>
    </row>
    <row r="33" spans="1:19" x14ac:dyDescent="0.25">
      <c r="A33" s="14"/>
      <c r="G33" s="12"/>
      <c r="I33" s="13"/>
      <c r="J33" s="10" t="str">
        <f>IF(Tabela11618[[#This Row],[Data]]="","",YEAR(Tabela11618[[#This Row],[Data]]))</f>
        <v/>
      </c>
      <c r="K33" s="10" t="str">
        <f>IF(Tabela11618[[#This Row],[Data]]="","",MONTH(Tabela11618[[#This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8"/>
      <c r="H34" s="16"/>
      <c r="I34" s="19"/>
      <c r="J34" s="10" t="str">
        <f>IF(Tabela11618[[#This Row],[Data]]="","",YEAR(Tabela11618[[#This Row],[Data]]))</f>
        <v/>
      </c>
      <c r="K34" s="10" t="str">
        <f>IF(Tabela11618[[#This Row],[Data]]="","",MONTH(Tabela11618[[#This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21</v>
      </c>
      <c r="B35" s="71"/>
      <c r="C35" s="43" t="s">
        <v>22</v>
      </c>
      <c r="D35" s="44"/>
      <c r="E35" s="44"/>
      <c r="F35" s="87" t="s">
        <v>23</v>
      </c>
      <c r="G35" s="88"/>
      <c r="H35" s="88"/>
      <c r="I35" s="89"/>
      <c r="M35" s="61" t="s">
        <v>26</v>
      </c>
      <c r="N35" s="61"/>
      <c r="P35" s="79" t="s">
        <v>23</v>
      </c>
      <c r="Q35" s="79"/>
      <c r="R35" s="79"/>
    </row>
    <row r="36" spans="1:19" ht="15" customHeight="1" x14ac:dyDescent="0.25">
      <c r="A36" s="72">
        <f>SUMIFS(Tabela11618[Valor],Tabela11618[Recebido],"Sim",Tabela11618[Ano],YEAR($H$9),Tabela11618[mês],MONTH($H$9))</f>
        <v>0</v>
      </c>
      <c r="B36" s="73"/>
      <c r="C36" s="84">
        <f>SUMIF(Tabela11618[Recebido],"Sim",Tabela11618[Valor])-A36</f>
        <v>0</v>
      </c>
      <c r="D36" s="11"/>
      <c r="F36" s="90">
        <f>SUMIF(Tabela11618[Recebido],"Sim",Tabela11618[Valor])</f>
        <v>0</v>
      </c>
      <c r="G36" s="91"/>
      <c r="H36" s="91"/>
      <c r="I36" s="92"/>
      <c r="M36" s="62">
        <f>SUM(Tabela31719[Valor])</f>
        <v>0</v>
      </c>
      <c r="N36" s="63"/>
      <c r="O36" s="11"/>
      <c r="P36" s="68">
        <f>SUMIF(Tabela31719[Pago],"Sim",Tabela31719[Valor])</f>
        <v>0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46" spans="1:19" x14ac:dyDescent="0.25">
      <c r="G46" s="10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dataValidations count="6">
    <dataValidation type="list" allowBlank="1" showInputMessage="1" showErrorMessage="1" sqref="R12:R34 H12:I34" xr:uid="{2C8AC098-867D-4DBC-AB46-452E64B6126A}">
      <formula1>"Sim,Não,-"</formula1>
    </dataValidation>
    <dataValidation type="list" allowBlank="1" showInputMessage="1" showErrorMessage="1" sqref="F12:F34" xr:uid="{2416F706-4741-40A8-9BBA-B7E56BF171EA}">
      <formula1>"Dinheiro,Boleto,Cartão de débito,Cartão de crédito,Cheque,Outros"</formula1>
    </dataValidation>
    <dataValidation type="list" allowBlank="1" showInputMessage="1" showErrorMessage="1" sqref="B4:C4" xr:uid="{FEDF5490-2441-4B71-BC8B-38A9CA12549A}">
      <formula1>"Janeiro,Fevereiro,Março,Abril,Maio,Junho,Julho,Agosto,Setembro,Outubro,Novembro,Dezembro"</formula1>
    </dataValidation>
    <dataValidation type="list" allowBlank="1" showInputMessage="1" showErrorMessage="1" sqref="B5:C5" xr:uid="{0BF01404-252A-4E0D-B906-0B1E8E778C49}">
      <formula1>"2019,2020,2021,2022"</formula1>
    </dataValidation>
    <dataValidation type="list" allowBlank="1" showInputMessage="1" showErrorMessage="1" sqref="D12:D34" xr:uid="{CA7A4559-86DF-4072-8B4F-E774BCA22559}">
      <formula1>"Comércio,Indústria,Transporte intermunicipais e interestaduais,Fornecimento de refeições,Serviço"</formula1>
    </dataValidation>
    <dataValidation type="list" allowBlank="1" showInputMessage="1" showErrorMessage="1" sqref="P12:P34" xr:uid="{144F4C20-0A08-4EB7-9638-73D49C7E9822}">
      <formula1>"Dinheiro,Cartão de débito,Cartão de crédito,Cheque,Outros"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300" verticalDpi="300" r:id="rId1"/>
  <drawing r:id="rId2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0775-748C-434C-B892-C3D8C708FA44}">
  <sheetPr codeName="Planilha5">
    <pageSetUpPr fitToPage="1"/>
  </sheetPr>
  <dimension ref="A1:S46"/>
  <sheetViews>
    <sheetView showGridLines="0" zoomScale="50" zoomScaleNormal="50" workbookViewId="0">
      <pane ySplit="11" topLeftCell="A12" activePane="bottomLeft" state="frozen"/>
      <selection activeCell="A41" sqref="A41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bestFit="1" customWidth="1"/>
    <col min="5" max="5" width="14.85546875" style="11" bestFit="1" customWidth="1"/>
    <col min="6" max="6" width="12.7109375" style="10" bestFit="1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hidden="1" customWidth="1"/>
    <col min="12" max="12" width="6.28515625" style="10" customWidth="1"/>
    <col min="13" max="13" width="11.5703125" style="10" bestFit="1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x14ac:dyDescent="0.25">
      <c r="A4" s="33" t="s">
        <v>16</v>
      </c>
      <c r="B4" s="78" t="s">
        <v>36</v>
      </c>
      <c r="C4" s="78"/>
    </row>
    <row r="5" spans="1:19" ht="15.75" x14ac:dyDescent="0.25">
      <c r="A5" s="33" t="s">
        <v>15</v>
      </c>
      <c r="B5" s="78">
        <v>2019</v>
      </c>
      <c r="C5" s="78"/>
      <c r="G5" s="80"/>
      <c r="H5" s="82"/>
      <c r="I5" s="83"/>
    </row>
    <row r="6" spans="1:19" ht="3.75" customHeight="1" x14ac:dyDescent="0.25">
      <c r="A6" s="33"/>
      <c r="B6" s="3"/>
      <c r="C6" s="3"/>
      <c r="G6" s="81"/>
      <c r="H6" s="83"/>
      <c r="I6" s="83"/>
    </row>
    <row r="7" spans="1:19" ht="15.75" x14ac:dyDescent="0.25">
      <c r="A7" s="33" t="s">
        <v>40</v>
      </c>
      <c r="B7" s="78"/>
      <c r="C7" s="78"/>
    </row>
    <row r="8" spans="1:19" ht="6.75" customHeight="1" x14ac:dyDescent="0.25">
      <c r="A8" s="34"/>
    </row>
    <row r="9" spans="1:19" ht="15" customHeight="1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Set/19</v>
      </c>
      <c r="I9" s="66"/>
      <c r="M9" s="69" t="s">
        <v>57</v>
      </c>
      <c r="N9" s="69"/>
      <c r="O9" s="69"/>
      <c r="P9" s="69"/>
      <c r="Q9" s="67" t="str">
        <f>LEFT($B$4,3)&amp;"/"&amp;RIGHT($B$5,2)</f>
        <v>Set/19</v>
      </c>
      <c r="R9" s="67"/>
    </row>
    <row r="10" spans="1:19" ht="15" customHeight="1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9"/>
      <c r="G12" s="12"/>
      <c r="I12" s="13"/>
      <c r="J12" s="10" t="str">
        <f>IF(Tabela1161822[[#This Row],[Data]]="","",YEAR(Tabela1161822[[#This Row],[Data]]))</f>
        <v/>
      </c>
      <c r="K12" s="10" t="str">
        <f>IF(Tabela1161822[[#This Row],[Data]]="","",MONTH(Tabela1161822[[#This Row],[Data]]))</f>
        <v/>
      </c>
      <c r="M12" s="20"/>
      <c r="N12" s="21"/>
      <c r="O12" s="22"/>
      <c r="P12" s="21"/>
      <c r="Q12" s="23"/>
      <c r="R12" s="24"/>
    </row>
    <row r="13" spans="1:19" x14ac:dyDescent="0.25">
      <c r="A13" s="9"/>
      <c r="G13" s="12"/>
      <c r="I13" s="13"/>
      <c r="J13" s="10" t="str">
        <f>IF(Tabela1161822[[#This Row],[Data]]="","",YEAR(Tabela1161822[[#This Row],[Data]]))</f>
        <v/>
      </c>
      <c r="K13" s="10" t="str">
        <f>IF(Tabela1161822[[#This Row],[Data]]="","",MONTH(Tabela1161822[[#This Row],[Data]]))</f>
        <v/>
      </c>
      <c r="M13" s="25"/>
      <c r="O13" s="11"/>
      <c r="Q13" s="12"/>
      <c r="R13" s="26"/>
    </row>
    <row r="14" spans="1:19" x14ac:dyDescent="0.25">
      <c r="A14" s="9"/>
      <c r="G14" s="12"/>
      <c r="I14" s="13"/>
      <c r="J14" s="10" t="str">
        <f>IF(Tabela1161822[[#This Row],[Data]]="","",YEAR(Tabela1161822[[#This Row],[Data]]))</f>
        <v/>
      </c>
      <c r="K14" s="10" t="str">
        <f>IF(Tabela1161822[[#This Row],[Data]]="","",MONTH(Tabela1161822[[#This Row],[Data]]))</f>
        <v/>
      </c>
      <c r="M14" s="25"/>
      <c r="O14" s="11"/>
      <c r="Q14" s="12"/>
      <c r="R14" s="26"/>
    </row>
    <row r="15" spans="1:19" x14ac:dyDescent="0.25">
      <c r="A15" s="9"/>
      <c r="G15" s="12"/>
      <c r="I15" s="13"/>
      <c r="J15" s="10" t="str">
        <f>IF(Tabela1161822[[#This Row],[Data]]="","",YEAR(Tabela1161822[[#This Row],[Data]]))</f>
        <v/>
      </c>
      <c r="K15" s="10" t="str">
        <f>IF(Tabela1161822[[#This Row],[Data]]="","",MONTH(Tabela1161822[[#This Row],[Data]]))</f>
        <v/>
      </c>
      <c r="M15" s="25"/>
      <c r="O15" s="11"/>
      <c r="Q15" s="12"/>
      <c r="R15" s="26"/>
    </row>
    <row r="16" spans="1:19" x14ac:dyDescent="0.25">
      <c r="A16" s="9"/>
      <c r="G16" s="12"/>
      <c r="I16" s="13"/>
      <c r="J16" s="10" t="str">
        <f>IF(Tabela1161822[[#This Row],[Data]]="","",YEAR(Tabela1161822[[#This Row],[Data]]))</f>
        <v/>
      </c>
      <c r="K16" s="10" t="str">
        <f>IF(Tabela1161822[[#This Row],[Data]]="","",MONTH(Tabela1161822[[#This Row],[Data]]))</f>
        <v/>
      </c>
      <c r="M16" s="25"/>
      <c r="O16" s="11"/>
      <c r="Q16" s="12"/>
      <c r="R16" s="26"/>
    </row>
    <row r="17" spans="1:19" x14ac:dyDescent="0.25">
      <c r="A17" s="9"/>
      <c r="G17" s="12"/>
      <c r="J17" s="10" t="str">
        <f>IF(Tabela1161822[[#This Row],[Data]]="","",YEAR(Tabela1161822[[#This Row],[Data]]))</f>
        <v/>
      </c>
      <c r="K17" s="10" t="str">
        <f>IF(Tabela1161822[[#This Row],[Data]]="","",MONTH(Tabela1161822[[#This Row],[Data]]))</f>
        <v/>
      </c>
      <c r="M17" s="25"/>
      <c r="O17" s="11"/>
      <c r="Q17" s="12"/>
      <c r="R17" s="26"/>
    </row>
    <row r="18" spans="1:19" x14ac:dyDescent="0.25">
      <c r="A18" s="9"/>
      <c r="G18" s="12"/>
      <c r="I18" s="13"/>
      <c r="J18" s="10" t="str">
        <f>IF(Tabela1161822[[#This Row],[Data]]="","",YEAR(Tabela1161822[[#This Row],[Data]]))</f>
        <v/>
      </c>
      <c r="K18" s="10" t="str">
        <f>IF(Tabela1161822[[#This Row],[Data]]="","",MONTH(Tabela1161822[[#This Row],[Data]]))</f>
        <v/>
      </c>
      <c r="M18" s="25"/>
      <c r="O18" s="11"/>
      <c r="Q18" s="12"/>
      <c r="R18" s="26"/>
    </row>
    <row r="19" spans="1:19" x14ac:dyDescent="0.25">
      <c r="A19" s="9"/>
      <c r="G19" s="12"/>
      <c r="I19" s="13"/>
      <c r="J19" s="10" t="str">
        <f>IF(Tabela1161822[[#This Row],[Data]]="","",YEAR(Tabela1161822[[#This Row],[Data]]))</f>
        <v/>
      </c>
      <c r="K19" s="10" t="str">
        <f>IF(Tabela1161822[[#This Row],[Data]]="","",MONTH(Tabela1161822[[#This Row],[Data]]))</f>
        <v/>
      </c>
      <c r="M19" s="25"/>
      <c r="O19" s="11"/>
      <c r="Q19" s="12"/>
      <c r="R19" s="26"/>
    </row>
    <row r="20" spans="1:19" x14ac:dyDescent="0.25">
      <c r="A20" s="9"/>
      <c r="G20" s="12"/>
      <c r="I20" s="13"/>
      <c r="J20" s="10" t="str">
        <f>IF(Tabela1161822[[#This Row],[Data]]="","",YEAR(Tabela1161822[[#This Row],[Data]]))</f>
        <v/>
      </c>
      <c r="K20" s="10" t="str">
        <f>IF(Tabela1161822[[#This Row],[Data]]="","",MONTH(Tabela1161822[[#This Row],[Data]]))</f>
        <v/>
      </c>
      <c r="M20" s="25"/>
      <c r="O20" s="11"/>
      <c r="Q20" s="12"/>
      <c r="R20" s="26"/>
    </row>
    <row r="21" spans="1:19" x14ac:dyDescent="0.25">
      <c r="A21" s="9"/>
      <c r="G21" s="12"/>
      <c r="I21" s="13"/>
      <c r="J21" s="10" t="str">
        <f>IF(Tabela1161822[[#This Row],[Data]]="","",YEAR(Tabela1161822[[#This Row],[Data]]))</f>
        <v/>
      </c>
      <c r="K21" s="10" t="str">
        <f>IF(Tabela1161822[[#This Row],[Data]]="","",MONTH(Tabela1161822[[#This Row],[Data]]))</f>
        <v/>
      </c>
      <c r="M21" s="25"/>
      <c r="O21" s="11"/>
      <c r="Q21" s="12"/>
      <c r="R21" s="26"/>
    </row>
    <row r="22" spans="1:19" x14ac:dyDescent="0.25">
      <c r="A22" s="9"/>
      <c r="G22" s="12"/>
      <c r="I22" s="13"/>
      <c r="J22" s="10" t="str">
        <f>IF(Tabela1161822[[#This Row],[Data]]="","",YEAR(Tabela1161822[[#This Row],[Data]]))</f>
        <v/>
      </c>
      <c r="K22" s="10" t="str">
        <f>IF(Tabela1161822[[#This Row],[Data]]="","",MONTH(Tabela1161822[[#This Row],[Data]]))</f>
        <v/>
      </c>
      <c r="M22" s="25"/>
      <c r="O22" s="11"/>
      <c r="Q22" s="12"/>
      <c r="R22" s="26"/>
      <c r="S22" s="10" t="str">
        <f t="shared" ref="S22:S30" si="0">IFERROR(LEFT(Q22,SEARCH("/",Q22)-1)*1,"-")</f>
        <v>-</v>
      </c>
    </row>
    <row r="23" spans="1:19" x14ac:dyDescent="0.25">
      <c r="A23" s="14"/>
      <c r="G23" s="12"/>
      <c r="I23" s="13"/>
      <c r="J23" s="10" t="str">
        <f>IF(Tabela1161822[[#This Row],[Data]]="","",YEAR(Tabela1161822[[#This Row],[Data]]))</f>
        <v/>
      </c>
      <c r="K23" s="10" t="str">
        <f>IF(Tabela1161822[[#This Row],[Data]]="","",MONTH(Tabela1161822[[#This Row],[Data]]))</f>
        <v/>
      </c>
      <c r="M23" s="25"/>
      <c r="O23" s="11"/>
      <c r="Q23" s="12"/>
      <c r="R23" s="26"/>
      <c r="S23" s="10" t="str">
        <f t="shared" si="0"/>
        <v>-</v>
      </c>
    </row>
    <row r="24" spans="1:19" x14ac:dyDescent="0.25">
      <c r="A24" s="14"/>
      <c r="G24" s="12"/>
      <c r="I24" s="13"/>
      <c r="J24" s="10" t="str">
        <f>IF(Tabela1161822[[#This Row],[Data]]="","",YEAR(Tabela1161822[[#This Row],[Data]]))</f>
        <v/>
      </c>
      <c r="K24" s="10" t="str">
        <f>IF(Tabela1161822[[#This Row],[Data]]="","",MONTH(Tabela1161822[[#This Row],[Data]]))</f>
        <v/>
      </c>
      <c r="L24" s="42"/>
      <c r="M24" s="25"/>
      <c r="O24" s="11"/>
      <c r="Q24" s="12"/>
      <c r="R24" s="26"/>
      <c r="S24" s="10" t="str">
        <f t="shared" si="0"/>
        <v>-</v>
      </c>
    </row>
    <row r="25" spans="1:19" x14ac:dyDescent="0.25">
      <c r="A25" s="14"/>
      <c r="G25" s="12"/>
      <c r="I25" s="13"/>
      <c r="J25" s="10" t="str">
        <f>IF(Tabela1161822[[#This Row],[Data]]="","",YEAR(Tabela1161822[[#This Row],[Data]]))</f>
        <v/>
      </c>
      <c r="K25" s="10" t="str">
        <f>IF(Tabela1161822[[#This Row],[Data]]="","",MONTH(Tabela1161822[[#This Row],[Data]]))</f>
        <v/>
      </c>
      <c r="L25" s="42"/>
      <c r="M25" s="25"/>
      <c r="O25" s="11"/>
      <c r="Q25" s="12"/>
      <c r="R25" s="26"/>
      <c r="S25" s="10" t="str">
        <f t="shared" si="0"/>
        <v>-</v>
      </c>
    </row>
    <row r="26" spans="1:19" x14ac:dyDescent="0.25">
      <c r="A26" s="14"/>
      <c r="G26" s="12"/>
      <c r="I26" s="13"/>
      <c r="J26" s="10" t="str">
        <f>IF(Tabela1161822[[#This Row],[Data]]="","",YEAR(Tabela1161822[[#This Row],[Data]]))</f>
        <v/>
      </c>
      <c r="K26" s="10" t="str">
        <f>IF(Tabela1161822[[#This Row],[Data]]="","",MONTH(Tabela1161822[[#This Row],[Data]]))</f>
        <v/>
      </c>
      <c r="L26" s="42"/>
      <c r="M26" s="25"/>
      <c r="O26" s="11"/>
      <c r="Q26" s="12"/>
      <c r="R26" s="26"/>
      <c r="S26" s="10" t="str">
        <f t="shared" si="0"/>
        <v>-</v>
      </c>
    </row>
    <row r="27" spans="1:19" x14ac:dyDescent="0.25">
      <c r="A27" s="14"/>
      <c r="G27" s="12"/>
      <c r="I27" s="13"/>
      <c r="J27" s="10" t="str">
        <f>IF(Tabela1161822[[#This Row],[Data]]="","",YEAR(Tabela1161822[[#This Row],[Data]]))</f>
        <v/>
      </c>
      <c r="K27" s="10" t="str">
        <f>IF(Tabela1161822[[#This Row],[Data]]="","",MONTH(Tabela1161822[[#This Row],[Data]]))</f>
        <v/>
      </c>
      <c r="M27" s="25"/>
      <c r="O27" s="11"/>
      <c r="Q27" s="12"/>
      <c r="R27" s="26"/>
      <c r="S27" s="10" t="str">
        <f t="shared" si="0"/>
        <v>-</v>
      </c>
    </row>
    <row r="28" spans="1:19" x14ac:dyDescent="0.25">
      <c r="A28" s="14"/>
      <c r="G28" s="12"/>
      <c r="I28" s="13"/>
      <c r="J28" s="10" t="str">
        <f>IF(Tabela1161822[[#This Row],[Data]]="","",YEAR(Tabela1161822[[#This Row],[Data]]))</f>
        <v/>
      </c>
      <c r="K28" s="10" t="str">
        <f>IF(Tabela1161822[[#This Row],[Data]]="","",MONTH(Tabela1161822[[#This Row],[Data]]))</f>
        <v/>
      </c>
      <c r="M28" s="25"/>
      <c r="O28" s="11"/>
      <c r="Q28" s="12"/>
      <c r="R28" s="26"/>
      <c r="S28" s="10" t="str">
        <f t="shared" si="0"/>
        <v>-</v>
      </c>
    </row>
    <row r="29" spans="1:19" x14ac:dyDescent="0.25">
      <c r="A29" s="14"/>
      <c r="G29" s="12"/>
      <c r="I29" s="13"/>
      <c r="J29" s="10" t="str">
        <f>IF(Tabela1161822[[#This Row],[Data]]="","",YEAR(Tabela1161822[[#This Row],[Data]]))</f>
        <v/>
      </c>
      <c r="K29" s="10" t="str">
        <f>IF(Tabela1161822[[#This Row],[Data]]="","",MONTH(Tabela1161822[[#This Row],[Data]]))</f>
        <v/>
      </c>
      <c r="M29" s="25"/>
      <c r="O29" s="11"/>
      <c r="Q29" s="12"/>
      <c r="R29" s="26"/>
      <c r="S29" s="10" t="str">
        <f t="shared" si="0"/>
        <v>-</v>
      </c>
    </row>
    <row r="30" spans="1:19" x14ac:dyDescent="0.25">
      <c r="A30" s="14"/>
      <c r="G30" s="12"/>
      <c r="I30" s="13"/>
      <c r="J30" s="10" t="str">
        <f>IF(Tabela1161822[[#This Row],[Data]]="","",YEAR(Tabela1161822[[#This Row],[Data]]))</f>
        <v/>
      </c>
      <c r="K30" s="10" t="str">
        <f>IF(Tabela1161822[[#This Row],[Data]]="","",MONTH(Tabela1161822[[#This Row],[Data]]))</f>
        <v/>
      </c>
      <c r="M30" s="25"/>
      <c r="O30" s="11"/>
      <c r="Q30" s="12"/>
      <c r="R30" s="26"/>
      <c r="S30" s="10" t="str">
        <f t="shared" si="0"/>
        <v>-</v>
      </c>
    </row>
    <row r="31" spans="1:19" x14ac:dyDescent="0.25">
      <c r="A31" s="14"/>
      <c r="G31" s="12"/>
      <c r="I31" s="13"/>
      <c r="J31" s="10" t="str">
        <f>IF(Tabela1161822[[#This Row],[Data]]="","",YEAR(Tabela1161822[[#This Row],[Data]]))</f>
        <v/>
      </c>
      <c r="K31" s="10" t="str">
        <f>IF(Tabela1161822[[#This Row],[Data]]="","",MONTH(Tabela1161822[[#This Row],[Data]]))</f>
        <v/>
      </c>
      <c r="M31" s="25"/>
      <c r="O31" s="11"/>
      <c r="Q31" s="12"/>
      <c r="R31" s="26"/>
      <c r="S31" s="10" t="str">
        <f t="shared" ref="S31:S32" si="1">IFERROR(LEFT(Q31,SEARCH("/",Q31)-1)*1,"-")</f>
        <v>-</v>
      </c>
    </row>
    <row r="32" spans="1:19" x14ac:dyDescent="0.25">
      <c r="A32" s="14"/>
      <c r="G32" s="12"/>
      <c r="I32" s="13"/>
      <c r="J32" s="10" t="str">
        <f>IF(Tabela1161822[[#This Row],[Data]]="","",YEAR(Tabela1161822[[#This Row],[Data]]))</f>
        <v/>
      </c>
      <c r="K32" s="10" t="str">
        <f>IF(Tabela1161822[[#This Row],[Data]]="","",MONTH(Tabela1161822[[#This Row],[Data]]))</f>
        <v/>
      </c>
      <c r="M32" s="25"/>
      <c r="O32" s="11"/>
      <c r="Q32" s="12"/>
      <c r="R32" s="26"/>
      <c r="S32" s="10" t="str">
        <f t="shared" si="1"/>
        <v>-</v>
      </c>
    </row>
    <row r="33" spans="1:19" x14ac:dyDescent="0.25">
      <c r="A33" s="14"/>
      <c r="G33" s="12"/>
      <c r="I33" s="13"/>
      <c r="J33" s="10" t="str">
        <f>IF(Tabela1161822[[#This Row],[Data]]="","",YEAR(Tabela1161822[[#This Row],[Data]]))</f>
        <v/>
      </c>
      <c r="K33" s="10" t="str">
        <f>IF(Tabela1161822[[#This Row],[Data]]="","",MONTH(Tabela1161822[[#This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8"/>
      <c r="H34" s="16"/>
      <c r="I34" s="19"/>
      <c r="J34" s="10" t="str">
        <f>IF(Tabela1161822[[#This Row],[Data]]="","",YEAR(Tabela1161822[[#This Row],[Data]]))</f>
        <v/>
      </c>
      <c r="K34" s="10" t="str">
        <f>IF(Tabela1161822[[#This Row],[Data]]="","",MONTH(Tabela1161822[[#This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21</v>
      </c>
      <c r="B35" s="71"/>
      <c r="C35" s="43" t="s">
        <v>22</v>
      </c>
      <c r="D35" s="44"/>
      <c r="E35" s="44"/>
      <c r="F35" s="87" t="s">
        <v>23</v>
      </c>
      <c r="G35" s="88"/>
      <c r="H35" s="88"/>
      <c r="I35" s="89"/>
      <c r="M35" s="61" t="s">
        <v>26</v>
      </c>
      <c r="N35" s="61"/>
      <c r="P35" s="79" t="s">
        <v>23</v>
      </c>
      <c r="Q35" s="79"/>
      <c r="R35" s="79"/>
    </row>
    <row r="36" spans="1:19" ht="15" customHeight="1" x14ac:dyDescent="0.25">
      <c r="A36" s="72">
        <f>SUMIFS(Tabela1161822[Valor],Tabela1161822[Recebido],"Sim",Tabela1161822[Ano],YEAR($H$9),Tabela1161822[mês],MONTH($H$9))</f>
        <v>0</v>
      </c>
      <c r="B36" s="73"/>
      <c r="C36" s="84">
        <f>SUMIF(Tabela1161822[Recebido],"Sim",Tabela1161822[Valor])-A36</f>
        <v>0</v>
      </c>
      <c r="D36" s="11"/>
      <c r="F36" s="90">
        <f>SUMIF(I12:I34,"Sim",E12:E34)</f>
        <v>0</v>
      </c>
      <c r="G36" s="91"/>
      <c r="H36" s="91"/>
      <c r="I36" s="92"/>
      <c r="M36" s="62">
        <f>SUM(Tabela3171923[Valor])</f>
        <v>0</v>
      </c>
      <c r="N36" s="63"/>
      <c r="O36" s="11"/>
      <c r="P36" s="68">
        <f>SUMIF(Tabela3171923[Pago],"Sim",Tabela3171923[Valor])</f>
        <v>0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46" spans="1:19" x14ac:dyDescent="0.25">
      <c r="G46" s="10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dataValidations count="6">
    <dataValidation type="list" allowBlank="1" showInputMessage="1" showErrorMessage="1" sqref="B5:C5" xr:uid="{18A1A23C-7023-4F00-A6E2-84B1C91FD1CD}">
      <formula1>"2019,2020,2021,2022"</formula1>
    </dataValidation>
    <dataValidation type="list" allowBlank="1" showInputMessage="1" showErrorMessage="1" sqref="B4:C4" xr:uid="{B2E31811-4846-4A9F-A7A3-1D5AD42EAE47}">
      <formula1>"Janeiro,Fevereiro,Março,Abril,Maio,Junho,Julho,Agosto,Setembro,Outubro,Novembro,Dezembro"</formula1>
    </dataValidation>
    <dataValidation type="list" allowBlank="1" showInputMessage="1" showErrorMessage="1" sqref="F12:F34" xr:uid="{4DDF328E-D84B-463B-AEBC-E8A0A1C867DE}">
      <formula1>"Dinheiro,Boleto,Cartão de débito,Cartão de crédito,Cheque,Outros"</formula1>
    </dataValidation>
    <dataValidation type="list" allowBlank="1" showInputMessage="1" showErrorMessage="1" sqref="R12:R34 H12:I34" xr:uid="{D05AC146-777E-446C-B7F6-8762F5383567}">
      <formula1>"Sim,Não,-"</formula1>
    </dataValidation>
    <dataValidation type="list" allowBlank="1" showInputMessage="1" showErrorMessage="1" sqref="P12:P34" xr:uid="{89ABD6E6-5F6D-4C00-A198-8AF7F0184C6A}">
      <formula1>"Dinheiro,Cartão de débito,Cartão de crédito,Cheque,Outros"</formula1>
    </dataValidation>
    <dataValidation type="list" allowBlank="1" showInputMessage="1" showErrorMessage="1" sqref="D12:D34" xr:uid="{4FD4240A-4F14-4A5A-8F7F-36D97B618838}">
      <formula1>"Comércio,Indústria,Transporte intermunicipais e interestaduais,Fornecimento de refeições,Serviço"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300" verticalDpi="300" r:id="rId1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C0C0-8529-4C7C-B214-13A0A4FDA5C0}">
  <sheetPr codeName="Planilha6">
    <pageSetUpPr fitToPage="1"/>
  </sheetPr>
  <dimension ref="A1:S46"/>
  <sheetViews>
    <sheetView showGridLines="0" zoomScale="50" zoomScaleNormal="50" workbookViewId="0">
      <pane ySplit="11" topLeftCell="A12" activePane="bottomLeft" state="frozen"/>
      <selection activeCell="A41" sqref="A41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bestFit="1" customWidth="1"/>
    <col min="5" max="5" width="14.85546875" style="11" bestFit="1" customWidth="1"/>
    <col min="6" max="6" width="12.7109375" style="10" bestFit="1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hidden="1" customWidth="1"/>
    <col min="12" max="12" width="6.28515625" style="10" customWidth="1"/>
    <col min="13" max="13" width="11.5703125" style="10" bestFit="1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x14ac:dyDescent="0.25">
      <c r="A4" s="33" t="s">
        <v>16</v>
      </c>
      <c r="B4" s="78" t="s">
        <v>37</v>
      </c>
      <c r="C4" s="78"/>
    </row>
    <row r="5" spans="1:19" ht="15.75" x14ac:dyDescent="0.25">
      <c r="A5" s="33" t="s">
        <v>15</v>
      </c>
      <c r="B5" s="78">
        <v>2019</v>
      </c>
      <c r="C5" s="78"/>
      <c r="G5" s="80"/>
      <c r="H5" s="82"/>
      <c r="I5" s="83"/>
    </row>
    <row r="6" spans="1:19" ht="3.75" customHeight="1" x14ac:dyDescent="0.25">
      <c r="A6" s="33"/>
      <c r="B6" s="3"/>
      <c r="C6" s="3"/>
      <c r="G6" s="81"/>
      <c r="H6" s="83"/>
      <c r="I6" s="83"/>
    </row>
    <row r="7" spans="1:19" ht="15.75" x14ac:dyDescent="0.25">
      <c r="A7" s="33" t="s">
        <v>40</v>
      </c>
      <c r="B7" s="78"/>
      <c r="C7" s="78"/>
    </row>
    <row r="8" spans="1:19" ht="6.75" customHeight="1" x14ac:dyDescent="0.25">
      <c r="A8" s="34"/>
    </row>
    <row r="9" spans="1:19" ht="15" customHeight="1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Out/19</v>
      </c>
      <c r="I9" s="66"/>
      <c r="M9" s="69" t="s">
        <v>57</v>
      </c>
      <c r="N9" s="69"/>
      <c r="O9" s="69"/>
      <c r="P9" s="69"/>
      <c r="Q9" s="67" t="str">
        <f>LEFT($B$4,3)&amp;"/"&amp;RIGHT($B$5,2)</f>
        <v>Out/19</v>
      </c>
      <c r="R9" s="67"/>
    </row>
    <row r="10" spans="1:19" ht="15" customHeight="1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9"/>
      <c r="G12" s="12"/>
      <c r="I12" s="13"/>
      <c r="J12" s="10" t="str">
        <f>IF(Tabela116182224[[#This Row],[Data]]="","",YEAR(Tabela116182224[[#This Row],[Data]]))</f>
        <v/>
      </c>
      <c r="K12" s="10" t="str">
        <f>IF(Tabela116182224[[#This Row],[Data]]="","",MONTH(Tabela116182224[[#This Row],[Data]]))</f>
        <v/>
      </c>
      <c r="M12" s="20"/>
      <c r="N12" s="21"/>
      <c r="O12" s="22"/>
      <c r="P12" s="21"/>
      <c r="Q12" s="23"/>
      <c r="R12" s="24"/>
    </row>
    <row r="13" spans="1:19" x14ac:dyDescent="0.25">
      <c r="A13" s="9"/>
      <c r="G13" s="12"/>
      <c r="I13" s="13"/>
      <c r="J13" s="10" t="str">
        <f>IF(Tabela116182224[[#This Row],[Data]]="","",YEAR(Tabela116182224[[#This Row],[Data]]))</f>
        <v/>
      </c>
      <c r="K13" s="10" t="str">
        <f>IF(Tabela116182224[[#This Row],[Data]]="","",MONTH(Tabela116182224[[#This Row],[Data]]))</f>
        <v/>
      </c>
      <c r="M13" s="25"/>
      <c r="O13" s="11"/>
      <c r="Q13" s="12"/>
      <c r="R13" s="26"/>
    </row>
    <row r="14" spans="1:19" x14ac:dyDescent="0.25">
      <c r="A14" s="9"/>
      <c r="G14" s="12"/>
      <c r="I14" s="13"/>
      <c r="J14" s="10" t="str">
        <f>IF(Tabela116182224[[#This Row],[Data]]="","",YEAR(Tabela116182224[[#This Row],[Data]]))</f>
        <v/>
      </c>
      <c r="K14" s="10" t="str">
        <f>IF(Tabela116182224[[#This Row],[Data]]="","",MONTH(Tabela116182224[[#This Row],[Data]]))</f>
        <v/>
      </c>
      <c r="M14" s="25"/>
      <c r="O14" s="11"/>
      <c r="Q14" s="12"/>
      <c r="R14" s="26"/>
    </row>
    <row r="15" spans="1:19" x14ac:dyDescent="0.25">
      <c r="A15" s="9"/>
      <c r="G15" s="12"/>
      <c r="I15" s="13"/>
      <c r="J15" s="10" t="str">
        <f>IF(Tabela116182224[[#This Row],[Data]]="","",YEAR(Tabela116182224[[#This Row],[Data]]))</f>
        <v/>
      </c>
      <c r="K15" s="10" t="str">
        <f>IF(Tabela116182224[[#This Row],[Data]]="","",MONTH(Tabela116182224[[#This Row],[Data]]))</f>
        <v/>
      </c>
      <c r="M15" s="25"/>
      <c r="O15" s="11"/>
      <c r="Q15" s="12"/>
      <c r="R15" s="26"/>
    </row>
    <row r="16" spans="1:19" x14ac:dyDescent="0.25">
      <c r="A16" s="9"/>
      <c r="G16" s="12"/>
      <c r="I16" s="13"/>
      <c r="J16" s="10" t="str">
        <f>IF(Tabela116182224[[#This Row],[Data]]="","",YEAR(Tabela116182224[[#This Row],[Data]]))</f>
        <v/>
      </c>
      <c r="K16" s="10" t="str">
        <f>IF(Tabela116182224[[#This Row],[Data]]="","",MONTH(Tabela116182224[[#This Row],[Data]]))</f>
        <v/>
      </c>
      <c r="M16" s="25"/>
      <c r="O16" s="11"/>
      <c r="Q16" s="12"/>
      <c r="R16" s="26"/>
    </row>
    <row r="17" spans="1:19" x14ac:dyDescent="0.25">
      <c r="A17" s="9"/>
      <c r="G17" s="12"/>
      <c r="J17" s="10" t="str">
        <f>IF(Tabela116182224[[#This Row],[Data]]="","",YEAR(Tabela116182224[[#This Row],[Data]]))</f>
        <v/>
      </c>
      <c r="K17" s="10" t="str">
        <f>IF(Tabela116182224[[#This Row],[Data]]="","",MONTH(Tabela116182224[[#This Row],[Data]]))</f>
        <v/>
      </c>
      <c r="M17" s="25"/>
      <c r="O17" s="11"/>
      <c r="Q17" s="12"/>
      <c r="R17" s="26"/>
    </row>
    <row r="18" spans="1:19" x14ac:dyDescent="0.25">
      <c r="A18" s="9"/>
      <c r="G18" s="12"/>
      <c r="I18" s="13"/>
      <c r="J18" s="10" t="str">
        <f>IF(Tabela116182224[[#This Row],[Data]]="","",YEAR(Tabela116182224[[#This Row],[Data]]))</f>
        <v/>
      </c>
      <c r="K18" s="10" t="str">
        <f>IF(Tabela116182224[[#This Row],[Data]]="","",MONTH(Tabela116182224[[#This Row],[Data]]))</f>
        <v/>
      </c>
      <c r="M18" s="25"/>
      <c r="O18" s="11"/>
      <c r="Q18" s="12"/>
      <c r="R18" s="26"/>
    </row>
    <row r="19" spans="1:19" x14ac:dyDescent="0.25">
      <c r="A19" s="9"/>
      <c r="G19" s="12"/>
      <c r="I19" s="13"/>
      <c r="J19" s="10" t="str">
        <f>IF(Tabela116182224[[#This Row],[Data]]="","",YEAR(Tabela116182224[[#This Row],[Data]]))</f>
        <v/>
      </c>
      <c r="K19" s="10" t="str">
        <f>IF(Tabela116182224[[#This Row],[Data]]="","",MONTH(Tabela116182224[[#This Row],[Data]]))</f>
        <v/>
      </c>
      <c r="M19" s="25"/>
      <c r="O19" s="11"/>
      <c r="Q19" s="12"/>
      <c r="R19" s="26"/>
    </row>
    <row r="20" spans="1:19" x14ac:dyDescent="0.25">
      <c r="A20" s="9"/>
      <c r="G20" s="12"/>
      <c r="I20" s="13"/>
      <c r="J20" s="10" t="str">
        <f>IF(Tabela116182224[[#This Row],[Data]]="","",YEAR(Tabela116182224[[#This Row],[Data]]))</f>
        <v/>
      </c>
      <c r="K20" s="10" t="str">
        <f>IF(Tabela116182224[[#This Row],[Data]]="","",MONTH(Tabela116182224[[#This Row],[Data]]))</f>
        <v/>
      </c>
      <c r="M20" s="25"/>
      <c r="O20" s="11"/>
      <c r="Q20" s="12"/>
      <c r="R20" s="26"/>
    </row>
    <row r="21" spans="1:19" x14ac:dyDescent="0.25">
      <c r="A21" s="9"/>
      <c r="G21" s="12"/>
      <c r="I21" s="13"/>
      <c r="J21" s="10" t="str">
        <f>IF(Tabela116182224[[#This Row],[Data]]="","",YEAR(Tabela116182224[[#This Row],[Data]]))</f>
        <v/>
      </c>
      <c r="K21" s="10" t="str">
        <f>IF(Tabela116182224[[#This Row],[Data]]="","",MONTH(Tabela116182224[[#This Row],[Data]]))</f>
        <v/>
      </c>
      <c r="M21" s="25"/>
      <c r="O21" s="11"/>
      <c r="Q21" s="12"/>
      <c r="R21" s="26"/>
    </row>
    <row r="22" spans="1:19" x14ac:dyDescent="0.25">
      <c r="A22" s="9"/>
      <c r="G22" s="12"/>
      <c r="I22" s="13"/>
      <c r="J22" s="10" t="str">
        <f>IF(Tabela116182224[[#This Row],[Data]]="","",YEAR(Tabela116182224[[#This Row],[Data]]))</f>
        <v/>
      </c>
      <c r="K22" s="10" t="str">
        <f>IF(Tabela116182224[[#This Row],[Data]]="","",MONTH(Tabela116182224[[#This Row],[Data]]))</f>
        <v/>
      </c>
      <c r="M22" s="25"/>
      <c r="O22" s="11"/>
      <c r="Q22" s="12"/>
      <c r="R22" s="26"/>
    </row>
    <row r="23" spans="1:19" x14ac:dyDescent="0.25">
      <c r="A23" s="9"/>
      <c r="G23" s="12"/>
      <c r="I23" s="13"/>
      <c r="J23" s="10" t="str">
        <f>IF(Tabela116182224[[#This Row],[Data]]="","",YEAR(Tabela116182224[[#This Row],[Data]]))</f>
        <v/>
      </c>
      <c r="K23" s="10" t="str">
        <f>IF(Tabela116182224[[#This Row],[Data]]="","",MONTH(Tabela116182224[[#This Row],[Data]]))</f>
        <v/>
      </c>
      <c r="M23" s="25"/>
      <c r="O23" s="11"/>
      <c r="Q23" s="12"/>
      <c r="R23" s="26"/>
    </row>
    <row r="24" spans="1:19" x14ac:dyDescent="0.25">
      <c r="A24" s="9"/>
      <c r="G24" s="12"/>
      <c r="I24" s="13"/>
      <c r="J24" s="10" t="str">
        <f>IF(Tabela116182224[[#This Row],[Data]]="","",YEAR(Tabela116182224[[#This Row],[Data]]))</f>
        <v/>
      </c>
      <c r="K24" s="10" t="str">
        <f>IF(Tabela116182224[[#This Row],[Data]]="","",MONTH(Tabela116182224[[#This Row],[Data]]))</f>
        <v/>
      </c>
      <c r="L24" s="42"/>
      <c r="M24" s="25"/>
      <c r="O24" s="11"/>
      <c r="Q24" s="12"/>
      <c r="R24" s="26"/>
      <c r="S24" s="10" t="str">
        <f t="shared" ref="S24:S30" si="0">IFERROR(LEFT(Q24,SEARCH("/",Q24)-1)*1,"-")</f>
        <v>-</v>
      </c>
    </row>
    <row r="25" spans="1:19" x14ac:dyDescent="0.25">
      <c r="A25" s="14"/>
      <c r="G25" s="12"/>
      <c r="I25" s="13"/>
      <c r="J25" s="10" t="str">
        <f>IF(Tabela116182224[[#This Row],[Data]]="","",YEAR(Tabela116182224[[#This Row],[Data]]))</f>
        <v/>
      </c>
      <c r="K25" s="10" t="str">
        <f>IF(Tabela116182224[[#This Row],[Data]]="","",MONTH(Tabela116182224[[#This Row],[Data]]))</f>
        <v/>
      </c>
      <c r="L25" s="42"/>
      <c r="M25" s="25"/>
      <c r="O25" s="11"/>
      <c r="Q25" s="12"/>
      <c r="R25" s="26"/>
      <c r="S25" s="10" t="str">
        <f t="shared" si="0"/>
        <v>-</v>
      </c>
    </row>
    <row r="26" spans="1:19" x14ac:dyDescent="0.25">
      <c r="A26" s="14"/>
      <c r="G26" s="12"/>
      <c r="I26" s="13"/>
      <c r="J26" s="10" t="str">
        <f>IF(Tabela116182224[[#This Row],[Data]]="","",YEAR(Tabela116182224[[#This Row],[Data]]))</f>
        <v/>
      </c>
      <c r="K26" s="10" t="str">
        <f>IF(Tabela116182224[[#This Row],[Data]]="","",MONTH(Tabela116182224[[#This Row],[Data]]))</f>
        <v/>
      </c>
      <c r="L26" s="42"/>
      <c r="M26" s="25"/>
      <c r="O26" s="11"/>
      <c r="Q26" s="12"/>
      <c r="R26" s="26"/>
      <c r="S26" s="10" t="str">
        <f t="shared" si="0"/>
        <v>-</v>
      </c>
    </row>
    <row r="27" spans="1:19" x14ac:dyDescent="0.25">
      <c r="A27" s="14"/>
      <c r="G27" s="12"/>
      <c r="I27" s="13"/>
      <c r="J27" s="10" t="str">
        <f>IF(Tabela116182224[[#This Row],[Data]]="","",YEAR(Tabela116182224[[#This Row],[Data]]))</f>
        <v/>
      </c>
      <c r="K27" s="10" t="str">
        <f>IF(Tabela116182224[[#This Row],[Data]]="","",MONTH(Tabela116182224[[#This Row],[Data]]))</f>
        <v/>
      </c>
      <c r="M27" s="25"/>
      <c r="O27" s="11"/>
      <c r="Q27" s="12"/>
      <c r="R27" s="26"/>
      <c r="S27" s="10" t="str">
        <f t="shared" si="0"/>
        <v>-</v>
      </c>
    </row>
    <row r="28" spans="1:19" x14ac:dyDescent="0.25">
      <c r="A28" s="14"/>
      <c r="G28" s="12"/>
      <c r="I28" s="13"/>
      <c r="J28" s="10" t="str">
        <f>IF(Tabela116182224[[#This Row],[Data]]="","",YEAR(Tabela116182224[[#This Row],[Data]]))</f>
        <v/>
      </c>
      <c r="K28" s="10" t="str">
        <f>IF(Tabela116182224[[#This Row],[Data]]="","",MONTH(Tabela116182224[[#This Row],[Data]]))</f>
        <v/>
      </c>
      <c r="M28" s="25"/>
      <c r="O28" s="11"/>
      <c r="Q28" s="12"/>
      <c r="R28" s="26"/>
      <c r="S28" s="10" t="str">
        <f t="shared" si="0"/>
        <v>-</v>
      </c>
    </row>
    <row r="29" spans="1:19" x14ac:dyDescent="0.25">
      <c r="A29" s="14"/>
      <c r="G29" s="12"/>
      <c r="I29" s="13"/>
      <c r="J29" s="10" t="str">
        <f>IF(Tabela116182224[[#This Row],[Data]]="","",YEAR(Tabela116182224[[#This Row],[Data]]))</f>
        <v/>
      </c>
      <c r="K29" s="10" t="str">
        <f>IF(Tabela116182224[[#This Row],[Data]]="","",MONTH(Tabela116182224[[#This Row],[Data]]))</f>
        <v/>
      </c>
      <c r="M29" s="25"/>
      <c r="O29" s="11"/>
      <c r="Q29" s="12"/>
      <c r="R29" s="26"/>
      <c r="S29" s="10" t="str">
        <f t="shared" si="0"/>
        <v>-</v>
      </c>
    </row>
    <row r="30" spans="1:19" x14ac:dyDescent="0.25">
      <c r="A30" s="14"/>
      <c r="G30" s="12"/>
      <c r="I30" s="13"/>
      <c r="J30" s="10" t="str">
        <f>IF(Tabela116182224[[#This Row],[Data]]="","",YEAR(Tabela116182224[[#This Row],[Data]]))</f>
        <v/>
      </c>
      <c r="K30" s="10" t="str">
        <f>IF(Tabela116182224[[#This Row],[Data]]="","",MONTH(Tabela116182224[[#This Row],[Data]]))</f>
        <v/>
      </c>
      <c r="M30" s="25"/>
      <c r="O30" s="11"/>
      <c r="Q30" s="12"/>
      <c r="R30" s="26"/>
      <c r="S30" s="10" t="str">
        <f t="shared" si="0"/>
        <v>-</v>
      </c>
    </row>
    <row r="31" spans="1:19" x14ac:dyDescent="0.25">
      <c r="A31" s="14"/>
      <c r="G31" s="12"/>
      <c r="I31" s="13"/>
      <c r="J31" s="10" t="str">
        <f>IF(Tabela116182224[[#This Row],[Data]]="","",YEAR(Tabela116182224[[#This Row],[Data]]))</f>
        <v/>
      </c>
      <c r="K31" s="10" t="str">
        <f>IF(Tabela116182224[[#This Row],[Data]]="","",MONTH(Tabela116182224[[#This Row],[Data]]))</f>
        <v/>
      </c>
      <c r="M31" s="25"/>
      <c r="O31" s="11"/>
      <c r="Q31" s="12"/>
      <c r="R31" s="26"/>
      <c r="S31" s="10" t="str">
        <f t="shared" ref="S31:S32" si="1">IFERROR(LEFT(Q31,SEARCH("/",Q31)-1)*1,"-")</f>
        <v>-</v>
      </c>
    </row>
    <row r="32" spans="1:19" x14ac:dyDescent="0.25">
      <c r="A32" s="14"/>
      <c r="G32" s="12"/>
      <c r="I32" s="13"/>
      <c r="J32" s="10" t="str">
        <f>IF(Tabela116182224[[#This Row],[Data]]="","",YEAR(Tabela116182224[[#This Row],[Data]]))</f>
        <v/>
      </c>
      <c r="K32" s="10" t="str">
        <f>IF(Tabela116182224[[#This Row],[Data]]="","",MONTH(Tabela116182224[[#This Row],[Data]]))</f>
        <v/>
      </c>
      <c r="M32" s="25"/>
      <c r="O32" s="11"/>
      <c r="Q32" s="12"/>
      <c r="R32" s="26"/>
      <c r="S32" s="10" t="str">
        <f t="shared" si="1"/>
        <v>-</v>
      </c>
    </row>
    <row r="33" spans="1:19" x14ac:dyDescent="0.25">
      <c r="A33" s="14"/>
      <c r="G33" s="12"/>
      <c r="I33" s="13"/>
      <c r="J33" s="10" t="str">
        <f>IF(Tabela116182224[[#This Row],[Data]]="","",YEAR(Tabela116182224[[#This Row],[Data]]))</f>
        <v/>
      </c>
      <c r="K33" s="10" t="str">
        <f>IF(Tabela116182224[[#This Row],[Data]]="","",MONTH(Tabela116182224[[#This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8"/>
      <c r="H34" s="16"/>
      <c r="I34" s="19"/>
      <c r="J34" s="10" t="str">
        <f>IF(Tabela116182224[[#This Row],[Data]]="","",YEAR(Tabela116182224[[#This Row],[Data]]))</f>
        <v/>
      </c>
      <c r="K34" s="10" t="str">
        <f>IF(Tabela116182224[[#This Row],[Data]]="","",MONTH(Tabela116182224[[#This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21</v>
      </c>
      <c r="B35" s="71"/>
      <c r="C35" s="43" t="s">
        <v>22</v>
      </c>
      <c r="D35" s="44"/>
      <c r="E35" s="44"/>
      <c r="F35" s="87" t="s">
        <v>23</v>
      </c>
      <c r="G35" s="88"/>
      <c r="H35" s="88"/>
      <c r="I35" s="89"/>
      <c r="M35" s="61" t="s">
        <v>26</v>
      </c>
      <c r="N35" s="61"/>
      <c r="P35" s="79" t="s">
        <v>23</v>
      </c>
      <c r="Q35" s="79"/>
      <c r="R35" s="79"/>
    </row>
    <row r="36" spans="1:19" ht="15" customHeight="1" x14ac:dyDescent="0.25">
      <c r="A36" s="72">
        <f>SUMIFS(Tabela116182224[Valor],Tabela116182224[Recebido],"Sim",Tabela116182224[Ano],YEAR($H$9),Tabela116182224[mês],MONTH($H$9))</f>
        <v>0</v>
      </c>
      <c r="B36" s="73"/>
      <c r="C36" s="84">
        <f>SUMIF(Tabela116182224[Recebido],"Sim",Tabela116182224[Valor])-A36</f>
        <v>0</v>
      </c>
      <c r="D36" s="11"/>
      <c r="F36" s="90">
        <f>SUMIF(I12:I34,"Sim",E12:E34)</f>
        <v>0</v>
      </c>
      <c r="G36" s="91"/>
      <c r="H36" s="91"/>
      <c r="I36" s="92"/>
      <c r="M36" s="62">
        <f>SUM(Tabela317192325[Valor])</f>
        <v>0</v>
      </c>
      <c r="N36" s="63"/>
      <c r="O36" s="11"/>
      <c r="P36" s="68">
        <f>SUMIF(Tabela317192325[Pago],"Sim",Tabela317192325[Valor])</f>
        <v>0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46" spans="1:19" x14ac:dyDescent="0.25">
      <c r="G46" s="10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dataValidations count="6">
    <dataValidation type="list" allowBlank="1" showInputMessage="1" showErrorMessage="1" sqref="R12:R34 H12:I34" xr:uid="{1273FAEB-1752-4745-9024-E5132F452BBA}">
      <formula1>"Sim,Não,-"</formula1>
    </dataValidation>
    <dataValidation type="list" allowBlank="1" showInputMessage="1" showErrorMessage="1" sqref="F12:F34" xr:uid="{6A76C030-321C-4C8B-B8F9-A03B3742DFD9}">
      <formula1>"Dinheiro,Boleto,Cartão de débito,Cartão de crédito,Cheque,Outros"</formula1>
    </dataValidation>
    <dataValidation type="list" allowBlank="1" showInputMessage="1" showErrorMessage="1" sqref="B4:C4" xr:uid="{36F0BAAC-E71F-49C0-941B-E6CB30B0260B}">
      <formula1>"Janeiro,Fevereiro,Março,Abril,Maio,Junho,Julho,Agosto,Setembro,Outubro,Novembro,Dezembro"</formula1>
    </dataValidation>
    <dataValidation type="list" allowBlank="1" showInputMessage="1" showErrorMessage="1" sqref="B5:C5" xr:uid="{C79B0FD6-9E78-44E5-BA1C-68ED08223495}">
      <formula1>"2019,2020,2021,2022"</formula1>
    </dataValidation>
    <dataValidation type="list" allowBlank="1" showInputMessage="1" showErrorMessage="1" sqref="D12:D34" xr:uid="{887361B6-8D8D-4833-A1FC-EDAE95A830BF}">
      <formula1>"Comércio,Indústria,Transporte intermunicipais e interestaduais,Fornecimento de refeições,Serviço"</formula1>
    </dataValidation>
    <dataValidation type="list" allowBlank="1" showInputMessage="1" showErrorMessage="1" sqref="P12:P34" xr:uid="{536E25C1-51C2-4E53-841A-2C3AF119CD6C}">
      <formula1>"Dinheiro,Cartão de débito,Cartão de crédito,Cheque,Outros"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300" verticalDpi="300" r:id="rId1"/>
  <drawing r:id="rId2"/>
  <tableParts count="2"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7509-752A-4657-965F-91C646C268C6}">
  <sheetPr codeName="Planilha7">
    <pageSetUpPr fitToPage="1"/>
  </sheetPr>
  <dimension ref="A1:S46"/>
  <sheetViews>
    <sheetView showGridLines="0" zoomScale="50" zoomScaleNormal="50" workbookViewId="0">
      <pane ySplit="11" topLeftCell="A12" activePane="bottomLeft" state="frozen"/>
      <selection activeCell="A41" sqref="A41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bestFit="1" customWidth="1"/>
    <col min="5" max="5" width="14.85546875" style="11" bestFit="1" customWidth="1"/>
    <col min="6" max="6" width="12.7109375" style="10" bestFit="1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hidden="1" customWidth="1"/>
    <col min="12" max="12" width="6.28515625" style="10" customWidth="1"/>
    <col min="13" max="13" width="11.5703125" style="10" bestFit="1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x14ac:dyDescent="0.25">
      <c r="A4" s="33" t="s">
        <v>16</v>
      </c>
      <c r="B4" s="78" t="s">
        <v>38</v>
      </c>
      <c r="C4" s="78"/>
    </row>
    <row r="5" spans="1:19" ht="15.75" x14ac:dyDescent="0.25">
      <c r="A5" s="33" t="s">
        <v>15</v>
      </c>
      <c r="B5" s="78">
        <v>2019</v>
      </c>
      <c r="C5" s="78"/>
      <c r="G5" s="80"/>
      <c r="H5" s="82"/>
      <c r="I5" s="83"/>
    </row>
    <row r="6" spans="1:19" ht="3.75" customHeight="1" x14ac:dyDescent="0.25">
      <c r="A6" s="33"/>
      <c r="B6" s="3"/>
      <c r="C6" s="3"/>
      <c r="G6" s="81"/>
      <c r="H6" s="83"/>
      <c r="I6" s="83"/>
    </row>
    <row r="7" spans="1:19" ht="15.75" x14ac:dyDescent="0.25">
      <c r="A7" s="33" t="s">
        <v>40</v>
      </c>
      <c r="B7" s="78"/>
      <c r="C7" s="78"/>
    </row>
    <row r="8" spans="1:19" ht="6.75" customHeight="1" x14ac:dyDescent="0.25">
      <c r="A8" s="34"/>
    </row>
    <row r="9" spans="1:19" ht="15" customHeight="1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Nov/19</v>
      </c>
      <c r="I9" s="66"/>
      <c r="M9" s="69" t="s">
        <v>57</v>
      </c>
      <c r="N9" s="69"/>
      <c r="O9" s="69"/>
      <c r="P9" s="69"/>
      <c r="Q9" s="67" t="str">
        <f>LEFT($B$4,3)&amp;"/"&amp;RIGHT($B$5,2)</f>
        <v>Nov/19</v>
      </c>
      <c r="R9" s="67"/>
    </row>
    <row r="10" spans="1:19" ht="15" customHeight="1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9"/>
      <c r="G12" s="12"/>
      <c r="I12" s="13"/>
      <c r="J12" s="10" t="str">
        <f>IF(Tabela11618222426[[#This Row],[Data]]="","",YEAR(Tabela11618222426[[#This Row],[Data]]))</f>
        <v/>
      </c>
      <c r="K12" s="10" t="str">
        <f>IF(Tabela11618222426[[#This Row],[Data]]="","",MONTH(Tabela11618222426[[#This Row],[Data]]))</f>
        <v/>
      </c>
      <c r="M12" s="20"/>
      <c r="N12" s="21"/>
      <c r="O12" s="22"/>
      <c r="P12" s="21"/>
      <c r="Q12" s="23"/>
      <c r="R12" s="24"/>
    </row>
    <row r="13" spans="1:19" x14ac:dyDescent="0.25">
      <c r="A13" s="9"/>
      <c r="G13" s="12"/>
      <c r="I13" s="13"/>
      <c r="J13" s="10" t="str">
        <f>IF(Tabela11618222426[[#This Row],[Data]]="","",YEAR(Tabela11618222426[[#This Row],[Data]]))</f>
        <v/>
      </c>
      <c r="K13" s="10" t="str">
        <f>IF(Tabela11618222426[[#This Row],[Data]]="","",MONTH(Tabela11618222426[[#This Row],[Data]]))</f>
        <v/>
      </c>
      <c r="M13" s="25"/>
      <c r="O13" s="11"/>
      <c r="Q13" s="12"/>
      <c r="R13" s="26"/>
    </row>
    <row r="14" spans="1:19" x14ac:dyDescent="0.25">
      <c r="A14" s="9"/>
      <c r="G14" s="12"/>
      <c r="I14" s="13"/>
      <c r="J14" s="10" t="str">
        <f>IF(Tabela11618222426[[#This Row],[Data]]="","",YEAR(Tabela11618222426[[#This Row],[Data]]))</f>
        <v/>
      </c>
      <c r="K14" s="10" t="str">
        <f>IF(Tabela11618222426[[#This Row],[Data]]="","",MONTH(Tabela11618222426[[#This Row],[Data]]))</f>
        <v/>
      </c>
      <c r="M14" s="25"/>
      <c r="O14" s="11"/>
      <c r="Q14" s="12"/>
      <c r="R14" s="26"/>
    </row>
    <row r="15" spans="1:19" x14ac:dyDescent="0.25">
      <c r="A15" s="9"/>
      <c r="G15" s="12"/>
      <c r="I15" s="13"/>
      <c r="J15" s="10" t="str">
        <f>IF(Tabela11618222426[[#This Row],[Data]]="","",YEAR(Tabela11618222426[[#This Row],[Data]]))</f>
        <v/>
      </c>
      <c r="K15" s="10" t="str">
        <f>IF(Tabela11618222426[[#This Row],[Data]]="","",MONTH(Tabela11618222426[[#This Row],[Data]]))</f>
        <v/>
      </c>
      <c r="M15" s="25"/>
      <c r="O15" s="11"/>
      <c r="Q15" s="12"/>
      <c r="R15" s="26"/>
    </row>
    <row r="16" spans="1:19" x14ac:dyDescent="0.25">
      <c r="A16" s="9"/>
      <c r="G16" s="12"/>
      <c r="I16" s="13"/>
      <c r="J16" s="10" t="str">
        <f>IF(Tabela11618222426[[#This Row],[Data]]="","",YEAR(Tabela11618222426[[#This Row],[Data]]))</f>
        <v/>
      </c>
      <c r="K16" s="10" t="str">
        <f>IF(Tabela11618222426[[#This Row],[Data]]="","",MONTH(Tabela11618222426[[#This Row],[Data]]))</f>
        <v/>
      </c>
      <c r="M16" s="25"/>
      <c r="O16" s="11"/>
      <c r="Q16" s="12"/>
      <c r="R16" s="26"/>
    </row>
    <row r="17" spans="1:19" x14ac:dyDescent="0.25">
      <c r="A17" s="9"/>
      <c r="G17" s="12"/>
      <c r="J17" s="10" t="str">
        <f>IF(Tabela11618222426[[#This Row],[Data]]="","",YEAR(Tabela11618222426[[#This Row],[Data]]))</f>
        <v/>
      </c>
      <c r="K17" s="10" t="str">
        <f>IF(Tabela11618222426[[#This Row],[Data]]="","",MONTH(Tabela11618222426[[#This Row],[Data]]))</f>
        <v/>
      </c>
      <c r="M17" s="25"/>
      <c r="O17" s="11"/>
      <c r="Q17" s="12"/>
      <c r="R17" s="26"/>
    </row>
    <row r="18" spans="1:19" x14ac:dyDescent="0.25">
      <c r="A18" s="9"/>
      <c r="G18" s="12"/>
      <c r="I18" s="13"/>
      <c r="J18" s="10" t="str">
        <f>IF(Tabela11618222426[[#This Row],[Data]]="","",YEAR(Tabela11618222426[[#This Row],[Data]]))</f>
        <v/>
      </c>
      <c r="K18" s="10" t="str">
        <f>IF(Tabela11618222426[[#This Row],[Data]]="","",MONTH(Tabela11618222426[[#This Row],[Data]]))</f>
        <v/>
      </c>
      <c r="M18" s="25"/>
      <c r="O18" s="11"/>
      <c r="Q18" s="12"/>
      <c r="R18" s="26"/>
    </row>
    <row r="19" spans="1:19" x14ac:dyDescent="0.25">
      <c r="A19" s="9"/>
      <c r="G19" s="12"/>
      <c r="I19" s="13"/>
      <c r="J19" s="10" t="str">
        <f>IF(Tabela11618222426[[#This Row],[Data]]="","",YEAR(Tabela11618222426[[#This Row],[Data]]))</f>
        <v/>
      </c>
      <c r="K19" s="10" t="str">
        <f>IF(Tabela11618222426[[#This Row],[Data]]="","",MONTH(Tabela11618222426[[#This Row],[Data]]))</f>
        <v/>
      </c>
      <c r="M19" s="25"/>
      <c r="O19" s="11"/>
      <c r="Q19" s="12"/>
      <c r="R19" s="26"/>
    </row>
    <row r="20" spans="1:19" x14ac:dyDescent="0.25">
      <c r="A20" s="9"/>
      <c r="G20" s="12"/>
      <c r="I20" s="13"/>
      <c r="J20" s="10" t="str">
        <f>IF(Tabela11618222426[[#This Row],[Data]]="","",YEAR(Tabela11618222426[[#This Row],[Data]]))</f>
        <v/>
      </c>
      <c r="K20" s="10" t="str">
        <f>IF(Tabela11618222426[[#This Row],[Data]]="","",MONTH(Tabela11618222426[[#This Row],[Data]]))</f>
        <v/>
      </c>
      <c r="M20" s="25"/>
      <c r="O20" s="11"/>
      <c r="Q20" s="12"/>
      <c r="R20" s="26"/>
    </row>
    <row r="21" spans="1:19" x14ac:dyDescent="0.25">
      <c r="A21" s="9"/>
      <c r="G21" s="12"/>
      <c r="I21" s="13"/>
      <c r="J21" s="10" t="str">
        <f>IF(Tabela11618222426[[#This Row],[Data]]="","",YEAR(Tabela11618222426[[#This Row],[Data]]))</f>
        <v/>
      </c>
      <c r="K21" s="10" t="str">
        <f>IF(Tabela11618222426[[#This Row],[Data]]="","",MONTH(Tabela11618222426[[#This Row],[Data]]))</f>
        <v/>
      </c>
      <c r="M21" s="25"/>
      <c r="O21" s="11"/>
      <c r="Q21" s="12"/>
      <c r="R21" s="26"/>
      <c r="S21" s="10" t="str">
        <f t="shared" ref="S21:S30" si="0">IFERROR(LEFT(Q21,SEARCH("/",Q21)-1)*1,"-")</f>
        <v>-</v>
      </c>
    </row>
    <row r="22" spans="1:19" x14ac:dyDescent="0.25">
      <c r="A22" s="9"/>
      <c r="G22" s="12"/>
      <c r="I22" s="13"/>
      <c r="J22" s="10" t="str">
        <f>IF(Tabela11618222426[[#This Row],[Data]]="","",YEAR(Tabela11618222426[[#This Row],[Data]]))</f>
        <v/>
      </c>
      <c r="K22" s="10" t="str">
        <f>IF(Tabela11618222426[[#This Row],[Data]]="","",MONTH(Tabela11618222426[[#This Row],[Data]]))</f>
        <v/>
      </c>
      <c r="M22" s="25"/>
      <c r="O22" s="11"/>
      <c r="Q22" s="12"/>
      <c r="R22" s="26"/>
      <c r="S22" s="10" t="str">
        <f t="shared" si="0"/>
        <v>-</v>
      </c>
    </row>
    <row r="23" spans="1:19" x14ac:dyDescent="0.25">
      <c r="A23" s="9"/>
      <c r="G23" s="12"/>
      <c r="I23" s="13"/>
      <c r="J23" s="10" t="str">
        <f>IF(Tabela11618222426[[#This Row],[Data]]="","",YEAR(Tabela11618222426[[#This Row],[Data]]))</f>
        <v/>
      </c>
      <c r="K23" s="10" t="str">
        <f>IF(Tabela11618222426[[#This Row],[Data]]="","",MONTH(Tabela11618222426[[#This Row],[Data]]))</f>
        <v/>
      </c>
      <c r="M23" s="25"/>
      <c r="O23" s="11"/>
      <c r="Q23" s="12"/>
      <c r="R23" s="26"/>
      <c r="S23" s="10" t="str">
        <f t="shared" si="0"/>
        <v>-</v>
      </c>
    </row>
    <row r="24" spans="1:19" x14ac:dyDescent="0.25">
      <c r="A24" s="9"/>
      <c r="G24" s="12"/>
      <c r="I24" s="13"/>
      <c r="J24" s="10" t="str">
        <f>IF(Tabela11618222426[[#This Row],[Data]]="","",YEAR(Tabela11618222426[[#This Row],[Data]]))</f>
        <v/>
      </c>
      <c r="K24" s="10" t="str">
        <f>IF(Tabela11618222426[[#This Row],[Data]]="","",MONTH(Tabela11618222426[[#This Row],[Data]]))</f>
        <v/>
      </c>
      <c r="L24" s="42"/>
      <c r="M24" s="25"/>
      <c r="O24" s="11"/>
      <c r="Q24" s="12"/>
      <c r="R24" s="26"/>
      <c r="S24" s="10" t="str">
        <f t="shared" si="0"/>
        <v>-</v>
      </c>
    </row>
    <row r="25" spans="1:19" x14ac:dyDescent="0.25">
      <c r="A25" s="9"/>
      <c r="G25" s="12"/>
      <c r="I25" s="13"/>
      <c r="J25" s="10" t="str">
        <f>IF(Tabela11618222426[[#This Row],[Data]]="","",YEAR(Tabela11618222426[[#This Row],[Data]]))</f>
        <v/>
      </c>
      <c r="K25" s="10" t="str">
        <f>IF(Tabela11618222426[[#This Row],[Data]]="","",MONTH(Tabela11618222426[[#This Row],[Data]]))</f>
        <v/>
      </c>
      <c r="L25" s="42"/>
      <c r="M25" s="25"/>
      <c r="O25" s="11"/>
      <c r="Q25" s="12"/>
      <c r="R25" s="26"/>
      <c r="S25" s="10" t="str">
        <f t="shared" si="0"/>
        <v>-</v>
      </c>
    </row>
    <row r="26" spans="1:19" x14ac:dyDescent="0.25">
      <c r="A26" s="14"/>
      <c r="G26" s="12"/>
      <c r="I26" s="13"/>
      <c r="J26" s="10" t="str">
        <f>IF(Tabela11618222426[[#This Row],[Data]]="","",YEAR(Tabela11618222426[[#This Row],[Data]]))</f>
        <v/>
      </c>
      <c r="K26" s="10" t="str">
        <f>IF(Tabela11618222426[[#This Row],[Data]]="","",MONTH(Tabela11618222426[[#This Row],[Data]]))</f>
        <v/>
      </c>
      <c r="L26" s="42"/>
      <c r="M26" s="25"/>
      <c r="O26" s="11"/>
      <c r="Q26" s="12"/>
      <c r="R26" s="26"/>
      <c r="S26" s="10" t="str">
        <f t="shared" si="0"/>
        <v>-</v>
      </c>
    </row>
    <row r="27" spans="1:19" x14ac:dyDescent="0.25">
      <c r="A27" s="14"/>
      <c r="G27" s="12"/>
      <c r="I27" s="13"/>
      <c r="J27" s="10" t="str">
        <f>IF(Tabela11618222426[[#This Row],[Data]]="","",YEAR(Tabela11618222426[[#This Row],[Data]]))</f>
        <v/>
      </c>
      <c r="K27" s="10" t="str">
        <f>IF(Tabela11618222426[[#This Row],[Data]]="","",MONTH(Tabela11618222426[[#This Row],[Data]]))</f>
        <v/>
      </c>
      <c r="M27" s="25"/>
      <c r="O27" s="11"/>
      <c r="Q27" s="12"/>
      <c r="R27" s="26"/>
      <c r="S27" s="10" t="str">
        <f t="shared" si="0"/>
        <v>-</v>
      </c>
    </row>
    <row r="28" spans="1:19" x14ac:dyDescent="0.25">
      <c r="A28" s="14"/>
      <c r="G28" s="12"/>
      <c r="I28" s="13"/>
      <c r="J28" s="10" t="str">
        <f>IF(Tabela11618222426[[#This Row],[Data]]="","",YEAR(Tabela11618222426[[#This Row],[Data]]))</f>
        <v/>
      </c>
      <c r="K28" s="10" t="str">
        <f>IF(Tabela11618222426[[#This Row],[Data]]="","",MONTH(Tabela11618222426[[#This Row],[Data]]))</f>
        <v/>
      </c>
      <c r="M28" s="25"/>
      <c r="O28" s="11"/>
      <c r="Q28" s="12"/>
      <c r="R28" s="26"/>
      <c r="S28" s="10" t="str">
        <f t="shared" si="0"/>
        <v>-</v>
      </c>
    </row>
    <row r="29" spans="1:19" x14ac:dyDescent="0.25">
      <c r="A29" s="14"/>
      <c r="G29" s="12"/>
      <c r="I29" s="13"/>
      <c r="J29" s="10" t="str">
        <f>IF(Tabela11618222426[[#This Row],[Data]]="","",YEAR(Tabela11618222426[[#This Row],[Data]]))</f>
        <v/>
      </c>
      <c r="K29" s="10" t="str">
        <f>IF(Tabela11618222426[[#This Row],[Data]]="","",MONTH(Tabela11618222426[[#This Row],[Data]]))</f>
        <v/>
      </c>
      <c r="M29" s="25"/>
      <c r="O29" s="11"/>
      <c r="Q29" s="12"/>
      <c r="R29" s="26"/>
      <c r="S29" s="10" t="str">
        <f t="shared" si="0"/>
        <v>-</v>
      </c>
    </row>
    <row r="30" spans="1:19" x14ac:dyDescent="0.25">
      <c r="A30" s="14"/>
      <c r="G30" s="12"/>
      <c r="I30" s="13"/>
      <c r="J30" s="10" t="str">
        <f>IF(Tabela11618222426[[#This Row],[Data]]="","",YEAR(Tabela11618222426[[#This Row],[Data]]))</f>
        <v/>
      </c>
      <c r="K30" s="10" t="str">
        <f>IF(Tabela11618222426[[#This Row],[Data]]="","",MONTH(Tabela11618222426[[#This Row],[Data]]))</f>
        <v/>
      </c>
      <c r="M30" s="25"/>
      <c r="O30" s="11"/>
      <c r="Q30" s="12"/>
      <c r="R30" s="26"/>
      <c r="S30" s="10" t="str">
        <f t="shared" si="0"/>
        <v>-</v>
      </c>
    </row>
    <row r="31" spans="1:19" x14ac:dyDescent="0.25">
      <c r="A31" s="14"/>
      <c r="G31" s="12"/>
      <c r="I31" s="13"/>
      <c r="J31" s="10" t="str">
        <f>IF(Tabela11618222426[[#This Row],[Data]]="","",YEAR(Tabela11618222426[[#This Row],[Data]]))</f>
        <v/>
      </c>
      <c r="K31" s="10" t="str">
        <f>IF(Tabela11618222426[[#This Row],[Data]]="","",MONTH(Tabela11618222426[[#This Row],[Data]]))</f>
        <v/>
      </c>
      <c r="M31" s="25"/>
      <c r="O31" s="11"/>
      <c r="Q31" s="12"/>
      <c r="R31" s="26"/>
      <c r="S31" s="10" t="str">
        <f t="shared" ref="S31:S32" si="1">IFERROR(LEFT(Q31,SEARCH("/",Q31)-1)*1,"-")</f>
        <v>-</v>
      </c>
    </row>
    <row r="32" spans="1:19" x14ac:dyDescent="0.25">
      <c r="A32" s="14"/>
      <c r="G32" s="12"/>
      <c r="I32" s="13"/>
      <c r="J32" s="10" t="str">
        <f>IF(Tabela11618222426[[#This Row],[Data]]="","",YEAR(Tabela11618222426[[#This Row],[Data]]))</f>
        <v/>
      </c>
      <c r="K32" s="10" t="str">
        <f>IF(Tabela11618222426[[#This Row],[Data]]="","",MONTH(Tabela11618222426[[#This Row],[Data]]))</f>
        <v/>
      </c>
      <c r="M32" s="25"/>
      <c r="O32" s="11"/>
      <c r="Q32" s="12"/>
      <c r="R32" s="26"/>
      <c r="S32" s="10" t="str">
        <f t="shared" si="1"/>
        <v>-</v>
      </c>
    </row>
    <row r="33" spans="1:19" x14ac:dyDescent="0.25">
      <c r="A33" s="14"/>
      <c r="G33" s="12"/>
      <c r="I33" s="13"/>
      <c r="J33" s="10" t="str">
        <f>IF(Tabela11618222426[[#This Row],[Data]]="","",YEAR(Tabela11618222426[[#This Row],[Data]]))</f>
        <v/>
      </c>
      <c r="K33" s="10" t="str">
        <f>IF(Tabela11618222426[[#This Row],[Data]]="","",MONTH(Tabela11618222426[[#This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8"/>
      <c r="H34" s="16"/>
      <c r="I34" s="19"/>
      <c r="J34" s="10" t="str">
        <f>IF(Tabela11618222426[[#This Row],[Data]]="","",YEAR(Tabela11618222426[[#This Row],[Data]]))</f>
        <v/>
      </c>
      <c r="K34" s="10" t="str">
        <f>IF(Tabela11618222426[[#This Row],[Data]]="","",MONTH(Tabela11618222426[[#This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21</v>
      </c>
      <c r="B35" s="71"/>
      <c r="C35" s="43" t="s">
        <v>22</v>
      </c>
      <c r="D35" s="44"/>
      <c r="E35" s="44"/>
      <c r="F35" s="87" t="s">
        <v>23</v>
      </c>
      <c r="G35" s="88"/>
      <c r="H35" s="88"/>
      <c r="I35" s="89"/>
      <c r="M35" s="61" t="s">
        <v>26</v>
      </c>
      <c r="N35" s="61"/>
      <c r="P35" s="79" t="s">
        <v>23</v>
      </c>
      <c r="Q35" s="79"/>
      <c r="R35" s="79"/>
    </row>
    <row r="36" spans="1:19" ht="15" customHeight="1" x14ac:dyDescent="0.25">
      <c r="A36" s="72">
        <f>SUMIFS(Tabela11618222426[Valor],Tabela11618222426[Recebido],"Sim",Tabela11618222426[Ano],YEAR($H$9),Tabela11618222426[mês],MONTH($H$9))</f>
        <v>0</v>
      </c>
      <c r="B36" s="73"/>
      <c r="C36" s="84">
        <f>SUMIF(Tabela11618222426[Recebido],"Sim",Tabela11618222426[Valor])-A36</f>
        <v>0</v>
      </c>
      <c r="D36" s="11"/>
      <c r="F36" s="90">
        <f>SUMIF(I12:I34,"Sim",E12:E34)</f>
        <v>0</v>
      </c>
      <c r="G36" s="91"/>
      <c r="H36" s="91"/>
      <c r="I36" s="92"/>
      <c r="M36" s="62">
        <f>SUM(Tabela31719232527[Valor])</f>
        <v>0</v>
      </c>
      <c r="N36" s="63"/>
      <c r="O36" s="11"/>
      <c r="P36" s="68">
        <f>SUMIF(Tabela31719232527[Pago],"Sim",Tabela31719232527[Valor])</f>
        <v>0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46" spans="1:19" x14ac:dyDescent="0.25">
      <c r="G46" s="10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dataValidations count="6">
    <dataValidation type="list" allowBlank="1" showInputMessage="1" showErrorMessage="1" sqref="D12:D34" xr:uid="{04A136C3-CCAC-4EBC-A9BD-C6C513621CF7}">
      <formula1>"Comércio,Indústria,Transporte intermunicipais e interestaduais,Fornecimento de refeições,Serviço"</formula1>
    </dataValidation>
    <dataValidation type="list" allowBlank="1" showInputMessage="1" showErrorMessage="1" sqref="B5:C5" xr:uid="{9E6EBE92-A731-4E20-BD96-93FE61841EC3}">
      <formula1>"2019,2020,2021,2022"</formula1>
    </dataValidation>
    <dataValidation type="list" allowBlank="1" showInputMessage="1" showErrorMessage="1" sqref="B4:C4" xr:uid="{9E1FBB96-F7DB-426F-9147-F504B019E592}">
      <formula1>"Janeiro,Fevereiro,Março,Abril,Maio,Junho,Julho,Agosto,Setembro,Outubro,Novembro,Dezembro"</formula1>
    </dataValidation>
    <dataValidation type="list" allowBlank="1" showInputMessage="1" showErrorMessage="1" sqref="F12:F34" xr:uid="{B98A65DF-BA8F-4AF0-ACED-D83B2B4448D2}">
      <formula1>"Dinheiro,Boleto,Cartão de débito,Cartão de crédito,Cheque,Outros"</formula1>
    </dataValidation>
    <dataValidation type="list" allowBlank="1" showInputMessage="1" showErrorMessage="1" sqref="R12:R34 H12:I34" xr:uid="{C6ED7CFE-0278-4DC8-A139-B4E4F0F33E99}">
      <formula1>"Sim,Não,-"</formula1>
    </dataValidation>
    <dataValidation type="list" allowBlank="1" showInputMessage="1" showErrorMessage="1" sqref="P12:P34" xr:uid="{598B3647-4BC4-427B-AF88-141F0BC8A83C}">
      <formula1>"Dinheiro,Cartão de débito,Cartão de crédito,Cheque,Outros"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300" verticalDpi="300" r:id="rId1"/>
  <drawing r:id="rId2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D341-C104-4574-A556-C2C0D92E2AE6}">
  <sheetPr codeName="Planilha8">
    <pageSetUpPr fitToPage="1"/>
  </sheetPr>
  <dimension ref="A1:S46"/>
  <sheetViews>
    <sheetView showGridLines="0" zoomScale="50" zoomScaleNormal="50" workbookViewId="0">
      <pane ySplit="11" topLeftCell="A12" activePane="bottomLeft" state="frozen"/>
      <selection activeCell="A41" sqref="A41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bestFit="1" customWidth="1"/>
    <col min="5" max="5" width="14.85546875" style="11" bestFit="1" customWidth="1"/>
    <col min="6" max="6" width="12.7109375" style="10" bestFit="1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customWidth="1"/>
    <col min="12" max="12" width="6.28515625" style="10" customWidth="1"/>
    <col min="13" max="13" width="11.5703125" style="10" bestFit="1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x14ac:dyDescent="0.25">
      <c r="A4" s="33" t="s">
        <v>16</v>
      </c>
      <c r="B4" s="78" t="s">
        <v>39</v>
      </c>
      <c r="C4" s="78"/>
    </row>
    <row r="5" spans="1:19" ht="15.75" x14ac:dyDescent="0.25">
      <c r="A5" s="33" t="s">
        <v>15</v>
      </c>
      <c r="B5" s="78">
        <v>2019</v>
      </c>
      <c r="C5" s="78"/>
      <c r="G5" s="80"/>
      <c r="H5" s="82"/>
      <c r="I5" s="83"/>
    </row>
    <row r="6" spans="1:19" ht="3.75" customHeight="1" x14ac:dyDescent="0.25">
      <c r="A6" s="33"/>
      <c r="B6" s="3"/>
      <c r="C6" s="3"/>
      <c r="G6" s="81"/>
      <c r="H6" s="83"/>
      <c r="I6" s="83"/>
    </row>
    <row r="7" spans="1:19" ht="15.75" x14ac:dyDescent="0.25">
      <c r="A7" s="33" t="s">
        <v>40</v>
      </c>
      <c r="B7" s="78"/>
      <c r="C7" s="78"/>
    </row>
    <row r="8" spans="1:19" ht="6.75" customHeight="1" x14ac:dyDescent="0.25">
      <c r="A8" s="34"/>
    </row>
    <row r="9" spans="1:19" ht="15" customHeight="1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Dez/19</v>
      </c>
      <c r="I9" s="66"/>
      <c r="M9" s="69" t="s">
        <v>57</v>
      </c>
      <c r="N9" s="69"/>
      <c r="O9" s="69"/>
      <c r="P9" s="69"/>
      <c r="Q9" s="67" t="str">
        <f>LEFT($B$4,3)&amp;"/"&amp;RIGHT($B$5,2)</f>
        <v>Dez/19</v>
      </c>
      <c r="R9" s="67"/>
    </row>
    <row r="10" spans="1:19" ht="15" customHeight="1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9"/>
      <c r="G12" s="12"/>
      <c r="I12" s="13"/>
      <c r="J12" s="10" t="str">
        <f>IF(Tabela1161822242628[[#This Row],[Data]]="","",YEAR(Tabela1161822242628[[#This Row],[Data]]))</f>
        <v/>
      </c>
      <c r="K12" s="10" t="str">
        <f>IF(Tabela1161822242628[[#This Row],[Data]]="","",MONTH(Tabela1161822242628[[#This Row],[Data]]))</f>
        <v/>
      </c>
      <c r="M12" s="20"/>
      <c r="N12" s="21"/>
      <c r="O12" s="22"/>
      <c r="P12" s="21"/>
      <c r="Q12" s="23"/>
      <c r="R12" s="24"/>
    </row>
    <row r="13" spans="1:19" x14ac:dyDescent="0.25">
      <c r="A13" s="9"/>
      <c r="G13" s="12"/>
      <c r="I13" s="13"/>
      <c r="J13" s="10" t="str">
        <f>IF(Tabela1161822242628[[#This Row],[Data]]="","",YEAR(Tabela1161822242628[[#This Row],[Data]]))</f>
        <v/>
      </c>
      <c r="K13" s="10" t="str">
        <f>IF(Tabela1161822242628[[#This Row],[Data]]="","",MONTH(Tabela1161822242628[[#This Row],[Data]]))</f>
        <v/>
      </c>
      <c r="M13" s="25"/>
      <c r="O13" s="11"/>
      <c r="Q13" s="12"/>
      <c r="R13" s="26"/>
    </row>
    <row r="14" spans="1:19" x14ac:dyDescent="0.25">
      <c r="A14" s="9"/>
      <c r="G14" s="12"/>
      <c r="I14" s="13"/>
      <c r="J14" s="10" t="str">
        <f>IF(Tabela1161822242628[[#This Row],[Data]]="","",YEAR(Tabela1161822242628[[#This Row],[Data]]))</f>
        <v/>
      </c>
      <c r="K14" s="10" t="str">
        <f>IF(Tabela1161822242628[[#This Row],[Data]]="","",MONTH(Tabela1161822242628[[#This Row],[Data]]))</f>
        <v/>
      </c>
      <c r="M14" s="25"/>
      <c r="O14" s="11"/>
      <c r="Q14" s="12"/>
      <c r="R14" s="26"/>
    </row>
    <row r="15" spans="1:19" x14ac:dyDescent="0.25">
      <c r="A15" s="9"/>
      <c r="G15" s="12"/>
      <c r="I15" s="13"/>
      <c r="J15" s="10" t="str">
        <f>IF(Tabela1161822242628[[#This Row],[Data]]="","",YEAR(Tabela1161822242628[[#This Row],[Data]]))</f>
        <v/>
      </c>
      <c r="K15" s="10" t="str">
        <f>IF(Tabela1161822242628[[#This Row],[Data]]="","",MONTH(Tabela1161822242628[[#This Row],[Data]]))</f>
        <v/>
      </c>
      <c r="M15" s="25"/>
      <c r="O15" s="11"/>
      <c r="Q15" s="12"/>
      <c r="R15" s="26"/>
    </row>
    <row r="16" spans="1:19" x14ac:dyDescent="0.25">
      <c r="A16" s="9"/>
      <c r="G16" s="12"/>
      <c r="I16" s="13"/>
      <c r="J16" s="10" t="str">
        <f>IF(Tabela1161822242628[[#This Row],[Data]]="","",YEAR(Tabela1161822242628[[#This Row],[Data]]))</f>
        <v/>
      </c>
      <c r="K16" s="10" t="str">
        <f>IF(Tabela1161822242628[[#This Row],[Data]]="","",MONTH(Tabela1161822242628[[#This Row],[Data]]))</f>
        <v/>
      </c>
      <c r="M16" s="25"/>
      <c r="O16" s="11"/>
      <c r="Q16" s="12"/>
      <c r="R16" s="26"/>
    </row>
    <row r="17" spans="1:19" x14ac:dyDescent="0.25">
      <c r="A17" s="9"/>
      <c r="G17" s="12"/>
      <c r="J17" s="10" t="str">
        <f>IF(Tabela1161822242628[[#This Row],[Data]]="","",YEAR(Tabela1161822242628[[#This Row],[Data]]))</f>
        <v/>
      </c>
      <c r="K17" s="10" t="str">
        <f>IF(Tabela1161822242628[[#This Row],[Data]]="","",MONTH(Tabela1161822242628[[#This Row],[Data]]))</f>
        <v/>
      </c>
      <c r="M17" s="25"/>
      <c r="O17" s="11"/>
      <c r="Q17" s="12"/>
      <c r="R17" s="26"/>
    </row>
    <row r="18" spans="1:19" x14ac:dyDescent="0.25">
      <c r="A18" s="9"/>
      <c r="G18" s="12"/>
      <c r="I18" s="13"/>
      <c r="J18" s="10" t="str">
        <f>IF(Tabela1161822242628[[#This Row],[Data]]="","",YEAR(Tabela1161822242628[[#This Row],[Data]]))</f>
        <v/>
      </c>
      <c r="K18" s="10" t="str">
        <f>IF(Tabela1161822242628[[#This Row],[Data]]="","",MONTH(Tabela1161822242628[[#This Row],[Data]]))</f>
        <v/>
      </c>
      <c r="M18" s="25"/>
      <c r="O18" s="11"/>
      <c r="Q18" s="12"/>
      <c r="R18" s="26"/>
    </row>
    <row r="19" spans="1:19" x14ac:dyDescent="0.25">
      <c r="A19" s="9"/>
      <c r="G19" s="12"/>
      <c r="I19" s="13"/>
      <c r="J19" s="10" t="str">
        <f>IF(Tabela1161822242628[[#This Row],[Data]]="","",YEAR(Tabela1161822242628[[#This Row],[Data]]))</f>
        <v/>
      </c>
      <c r="K19" s="10" t="str">
        <f>IF(Tabela1161822242628[[#This Row],[Data]]="","",MONTH(Tabela1161822242628[[#This Row],[Data]]))</f>
        <v/>
      </c>
      <c r="M19" s="25"/>
      <c r="O19" s="11"/>
      <c r="Q19" s="12"/>
      <c r="R19" s="26"/>
    </row>
    <row r="20" spans="1:19" x14ac:dyDescent="0.25">
      <c r="A20" s="9"/>
      <c r="G20" s="12"/>
      <c r="I20" s="13"/>
      <c r="J20" s="10" t="str">
        <f>IF(Tabela1161822242628[[#This Row],[Data]]="","",YEAR(Tabela1161822242628[[#This Row],[Data]]))</f>
        <v/>
      </c>
      <c r="K20" s="10" t="str">
        <f>IF(Tabela1161822242628[[#This Row],[Data]]="","",MONTH(Tabela1161822242628[[#This Row],[Data]]))</f>
        <v/>
      </c>
      <c r="M20" s="25"/>
      <c r="O20" s="11"/>
      <c r="Q20" s="12"/>
      <c r="R20" s="26"/>
    </row>
    <row r="21" spans="1:19" x14ac:dyDescent="0.25">
      <c r="A21" s="9"/>
      <c r="G21" s="12"/>
      <c r="I21" s="13"/>
      <c r="J21" s="10" t="str">
        <f>IF(Tabela1161822242628[[#This Row],[Data]]="","",YEAR(Tabela1161822242628[[#This Row],[Data]]))</f>
        <v/>
      </c>
      <c r="K21" s="10" t="str">
        <f>IF(Tabela1161822242628[[#This Row],[Data]]="","",MONTH(Tabela1161822242628[[#This Row],[Data]]))</f>
        <v/>
      </c>
      <c r="M21" s="25"/>
      <c r="O21" s="11"/>
      <c r="Q21" s="12"/>
      <c r="R21" s="26"/>
      <c r="S21" s="10" t="str">
        <f t="shared" ref="S21:S30" si="0">IFERROR(LEFT(Q21,SEARCH("/",Q21)-1)*1,"-")</f>
        <v>-</v>
      </c>
    </row>
    <row r="22" spans="1:19" x14ac:dyDescent="0.25">
      <c r="A22" s="9"/>
      <c r="G22" s="12"/>
      <c r="I22" s="13"/>
      <c r="J22" s="10" t="str">
        <f>IF(Tabela1161822242628[[#This Row],[Data]]="","",YEAR(Tabela1161822242628[[#This Row],[Data]]))</f>
        <v/>
      </c>
      <c r="K22" s="10" t="str">
        <f>IF(Tabela1161822242628[[#This Row],[Data]]="","",MONTH(Tabela1161822242628[[#This Row],[Data]]))</f>
        <v/>
      </c>
      <c r="M22" s="25"/>
      <c r="O22" s="11"/>
      <c r="Q22" s="12"/>
      <c r="R22" s="26"/>
      <c r="S22" s="10" t="str">
        <f t="shared" si="0"/>
        <v>-</v>
      </c>
    </row>
    <row r="23" spans="1:19" x14ac:dyDescent="0.25">
      <c r="A23" s="9"/>
      <c r="G23" s="12"/>
      <c r="I23" s="13"/>
      <c r="J23" s="10" t="str">
        <f>IF(Tabela1161822242628[[#This Row],[Data]]="","",YEAR(Tabela1161822242628[[#This Row],[Data]]))</f>
        <v/>
      </c>
      <c r="K23" s="10" t="str">
        <f>IF(Tabela1161822242628[[#This Row],[Data]]="","",MONTH(Tabela1161822242628[[#This Row],[Data]]))</f>
        <v/>
      </c>
      <c r="M23" s="25"/>
      <c r="O23" s="11"/>
      <c r="Q23" s="12"/>
      <c r="R23" s="26"/>
      <c r="S23" s="10" t="str">
        <f t="shared" si="0"/>
        <v>-</v>
      </c>
    </row>
    <row r="24" spans="1:19" x14ac:dyDescent="0.25">
      <c r="A24" s="9"/>
      <c r="G24" s="12"/>
      <c r="I24" s="13"/>
      <c r="J24" s="10" t="str">
        <f>IF(Tabela1161822242628[[#This Row],[Data]]="","",YEAR(Tabela1161822242628[[#This Row],[Data]]))</f>
        <v/>
      </c>
      <c r="K24" s="10" t="str">
        <f>IF(Tabela1161822242628[[#This Row],[Data]]="","",MONTH(Tabela1161822242628[[#This Row],[Data]]))</f>
        <v/>
      </c>
      <c r="L24" s="42"/>
      <c r="M24" s="25"/>
      <c r="O24" s="11"/>
      <c r="Q24" s="12"/>
      <c r="R24" s="26"/>
      <c r="S24" s="10" t="str">
        <f t="shared" si="0"/>
        <v>-</v>
      </c>
    </row>
    <row r="25" spans="1:19" x14ac:dyDescent="0.25">
      <c r="A25" s="9"/>
      <c r="G25" s="12"/>
      <c r="I25" s="13"/>
      <c r="J25" s="10" t="str">
        <f>IF(Tabela1161822242628[[#This Row],[Data]]="","",YEAR(Tabela1161822242628[[#This Row],[Data]]))</f>
        <v/>
      </c>
      <c r="K25" s="10" t="str">
        <f>IF(Tabela1161822242628[[#This Row],[Data]]="","",MONTH(Tabela1161822242628[[#This Row],[Data]]))</f>
        <v/>
      </c>
      <c r="L25" s="42"/>
      <c r="M25" s="25"/>
      <c r="O25" s="11"/>
      <c r="Q25" s="12"/>
      <c r="R25" s="26"/>
      <c r="S25" s="10" t="str">
        <f t="shared" si="0"/>
        <v>-</v>
      </c>
    </row>
    <row r="26" spans="1:19" x14ac:dyDescent="0.25">
      <c r="A26" s="9"/>
      <c r="G26" s="12"/>
      <c r="I26" s="13"/>
      <c r="J26" s="10" t="str">
        <f>IF(Tabela1161822242628[[#This Row],[Data]]="","",YEAR(Tabela1161822242628[[#This Row],[Data]]))</f>
        <v/>
      </c>
      <c r="K26" s="10" t="str">
        <f>IF(Tabela1161822242628[[#This Row],[Data]]="","",MONTH(Tabela1161822242628[[#This Row],[Data]]))</f>
        <v/>
      </c>
      <c r="L26" s="42"/>
      <c r="M26" s="25"/>
      <c r="O26" s="11"/>
      <c r="Q26" s="12"/>
      <c r="R26" s="26"/>
      <c r="S26" s="10" t="str">
        <f t="shared" si="0"/>
        <v>-</v>
      </c>
    </row>
    <row r="27" spans="1:19" x14ac:dyDescent="0.25">
      <c r="A27" s="14"/>
      <c r="G27" s="12"/>
      <c r="I27" s="13"/>
      <c r="J27" s="10" t="str">
        <f>IF(Tabela1161822242628[[#This Row],[Data]]="","",YEAR(Tabela1161822242628[[#This Row],[Data]]))</f>
        <v/>
      </c>
      <c r="K27" s="10" t="str">
        <f>IF(Tabela1161822242628[[#This Row],[Data]]="","",MONTH(Tabela1161822242628[[#This Row],[Data]]))</f>
        <v/>
      </c>
      <c r="M27" s="25"/>
      <c r="O27" s="11"/>
      <c r="Q27" s="12"/>
      <c r="R27" s="26"/>
      <c r="S27" s="10" t="str">
        <f t="shared" si="0"/>
        <v>-</v>
      </c>
    </row>
    <row r="28" spans="1:19" x14ac:dyDescent="0.25">
      <c r="A28" s="14"/>
      <c r="G28" s="12"/>
      <c r="I28" s="13"/>
      <c r="J28" s="10" t="str">
        <f>IF(Tabela1161822242628[[#This Row],[Data]]="","",YEAR(Tabela1161822242628[[#This Row],[Data]]))</f>
        <v/>
      </c>
      <c r="K28" s="10" t="str">
        <f>IF(Tabela1161822242628[[#This Row],[Data]]="","",MONTH(Tabela1161822242628[[#This Row],[Data]]))</f>
        <v/>
      </c>
      <c r="M28" s="25"/>
      <c r="O28" s="11"/>
      <c r="Q28" s="12"/>
      <c r="R28" s="26"/>
      <c r="S28" s="10" t="str">
        <f t="shared" si="0"/>
        <v>-</v>
      </c>
    </row>
    <row r="29" spans="1:19" x14ac:dyDescent="0.25">
      <c r="A29" s="14"/>
      <c r="G29" s="12"/>
      <c r="I29" s="13"/>
      <c r="J29" s="10" t="str">
        <f>IF(Tabela1161822242628[[#This Row],[Data]]="","",YEAR(Tabela1161822242628[[#This Row],[Data]]))</f>
        <v/>
      </c>
      <c r="K29" s="10" t="str">
        <f>IF(Tabela1161822242628[[#This Row],[Data]]="","",MONTH(Tabela1161822242628[[#This Row],[Data]]))</f>
        <v/>
      </c>
      <c r="M29" s="25"/>
      <c r="O29" s="11"/>
      <c r="Q29" s="12"/>
      <c r="R29" s="26"/>
      <c r="S29" s="10" t="str">
        <f t="shared" si="0"/>
        <v>-</v>
      </c>
    </row>
    <row r="30" spans="1:19" x14ac:dyDescent="0.25">
      <c r="A30" s="14"/>
      <c r="G30" s="12"/>
      <c r="I30" s="13"/>
      <c r="J30" s="10" t="str">
        <f>IF(Tabela1161822242628[[#This Row],[Data]]="","",YEAR(Tabela1161822242628[[#This Row],[Data]]))</f>
        <v/>
      </c>
      <c r="K30" s="10" t="str">
        <f>IF(Tabela1161822242628[[#This Row],[Data]]="","",MONTH(Tabela1161822242628[[#This Row],[Data]]))</f>
        <v/>
      </c>
      <c r="M30" s="25"/>
      <c r="O30" s="11"/>
      <c r="Q30" s="12"/>
      <c r="R30" s="26"/>
      <c r="S30" s="10" t="str">
        <f t="shared" si="0"/>
        <v>-</v>
      </c>
    </row>
    <row r="31" spans="1:19" x14ac:dyDescent="0.25">
      <c r="A31" s="14"/>
      <c r="G31" s="12"/>
      <c r="I31" s="13"/>
      <c r="J31" s="10" t="str">
        <f>IF(Tabela1161822242628[[#This Row],[Data]]="","",YEAR(Tabela1161822242628[[#This Row],[Data]]))</f>
        <v/>
      </c>
      <c r="K31" s="10" t="str">
        <f>IF(Tabela1161822242628[[#This Row],[Data]]="","",MONTH(Tabela1161822242628[[#This Row],[Data]]))</f>
        <v/>
      </c>
      <c r="M31" s="25"/>
      <c r="O31" s="11"/>
      <c r="Q31" s="12"/>
      <c r="R31" s="26"/>
      <c r="S31" s="10" t="str">
        <f t="shared" ref="S31:S32" si="1">IFERROR(LEFT(Q31,SEARCH("/",Q31)-1)*1,"-")</f>
        <v>-</v>
      </c>
    </row>
    <row r="32" spans="1:19" x14ac:dyDescent="0.25">
      <c r="A32" s="14"/>
      <c r="G32" s="12"/>
      <c r="I32" s="13"/>
      <c r="J32" s="10" t="str">
        <f>IF(Tabela1161822242628[[#This Row],[Data]]="","",YEAR(Tabela1161822242628[[#This Row],[Data]]))</f>
        <v/>
      </c>
      <c r="K32" s="10" t="str">
        <f>IF(Tabela1161822242628[[#This Row],[Data]]="","",MONTH(Tabela1161822242628[[#This Row],[Data]]))</f>
        <v/>
      </c>
      <c r="M32" s="25"/>
      <c r="O32" s="11"/>
      <c r="Q32" s="12"/>
      <c r="R32" s="26"/>
      <c r="S32" s="10" t="str">
        <f t="shared" si="1"/>
        <v>-</v>
      </c>
    </row>
    <row r="33" spans="1:19" x14ac:dyDescent="0.25">
      <c r="A33" s="14"/>
      <c r="G33" s="12"/>
      <c r="I33" s="13"/>
      <c r="J33" s="10" t="str">
        <f>IF(Tabela1161822242628[[#This Row],[Data]]="","",YEAR(Tabela1161822242628[[#This Row],[Data]]))</f>
        <v/>
      </c>
      <c r="K33" s="10" t="str">
        <f>IF(Tabela1161822242628[[#This Row],[Data]]="","",MONTH(Tabela1161822242628[[#This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8"/>
      <c r="H34" s="16"/>
      <c r="I34" s="19"/>
      <c r="J34" s="10" t="str">
        <f>IF(Tabela1161822242628[[#This Row],[Data]]="","",YEAR(Tabela1161822242628[[#This Row],[Data]]))</f>
        <v/>
      </c>
      <c r="K34" s="10" t="str">
        <f>IF(Tabela1161822242628[[#This Row],[Data]]="","",MONTH(Tabela1161822242628[[#This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21</v>
      </c>
      <c r="B35" s="71"/>
      <c r="C35" s="43" t="s">
        <v>22</v>
      </c>
      <c r="D35" s="44"/>
      <c r="E35" s="44"/>
      <c r="F35" s="87" t="s">
        <v>23</v>
      </c>
      <c r="G35" s="88"/>
      <c r="H35" s="88"/>
      <c r="I35" s="89"/>
      <c r="M35" s="61" t="s">
        <v>26</v>
      </c>
      <c r="N35" s="61"/>
      <c r="P35" s="79" t="s">
        <v>23</v>
      </c>
      <c r="Q35" s="79"/>
      <c r="R35" s="79"/>
    </row>
    <row r="36" spans="1:19" ht="15" customHeight="1" x14ac:dyDescent="0.25">
      <c r="A36" s="72">
        <f>SUMIFS(Tabela1161822242628[Valor],Tabela1161822242628[Recebido],"Sim",Tabela1161822242628[Ano],YEAR($H$9),Tabela1161822242628[mês],MONTH($H$9))</f>
        <v>0</v>
      </c>
      <c r="B36" s="73"/>
      <c r="C36" s="84">
        <f>SUMIF(Tabela1161822242628[Recebido],"Sim",Tabela1161822242628[Valor])-A36</f>
        <v>0</v>
      </c>
      <c r="D36" s="11"/>
      <c r="F36" s="90">
        <f>SUMIF(I12:I34,"Sim",E12:E34)</f>
        <v>0</v>
      </c>
      <c r="G36" s="91"/>
      <c r="H36" s="91"/>
      <c r="I36" s="92"/>
      <c r="M36" s="62">
        <f>SUM(Tabela3171923252729[Valor])</f>
        <v>0</v>
      </c>
      <c r="N36" s="63"/>
      <c r="O36" s="11"/>
      <c r="P36" s="68">
        <f>SUMIF(Tabela3171923252729[Pago],"Sim",Tabela3171923252729[Valor])</f>
        <v>0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46" spans="1:19" x14ac:dyDescent="0.25">
      <c r="G46" s="10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dataValidations count="6">
    <dataValidation type="list" allowBlank="1" showInputMessage="1" showErrorMessage="1" sqref="R12:R34 H12:I34" xr:uid="{2625FE70-C38F-4057-9301-A1472E4DBDB8}">
      <formula1>"Sim,Não,-"</formula1>
    </dataValidation>
    <dataValidation type="list" allowBlank="1" showInputMessage="1" showErrorMessage="1" sqref="F12:F34" xr:uid="{22EFA227-7F4E-4377-B725-D83054533ACB}">
      <formula1>"Dinheiro,Boleto,Cartão de débito,Cartão de crédito,Cheque,Outros"</formula1>
    </dataValidation>
    <dataValidation type="list" allowBlank="1" showInputMessage="1" showErrorMessage="1" sqref="B4:C4" xr:uid="{26AA70A7-977D-4554-9128-8961FB66C90E}">
      <formula1>"Janeiro,Fevereiro,Março,Abril,Maio,Junho,Julho,Agosto,Setembro,Outubro,Novembro,Dezembro"</formula1>
    </dataValidation>
    <dataValidation type="list" allowBlank="1" showInputMessage="1" showErrorMessage="1" sqref="B5:C5" xr:uid="{3CD80BC4-D56B-4B2E-8892-992154F25E40}">
      <formula1>"2019,2020,2021,2022"</formula1>
    </dataValidation>
    <dataValidation type="list" allowBlank="1" showInputMessage="1" showErrorMessage="1" sqref="P12:P34" xr:uid="{FFFB3F0F-58B8-4EBE-B4F8-0F6311BA96EA}">
      <formula1>"Dinheiro,Cartão de débito,Cartão de crédito,Cheque,Outros"</formula1>
    </dataValidation>
    <dataValidation type="list" allowBlank="1" showInputMessage="1" showErrorMessage="1" sqref="D12:D34" xr:uid="{018F0E20-80B8-4B64-99E8-AB63DAE12A73}">
      <formula1>"Comércio,Indústria,Transporte intermunicipais e interestaduais,Fornecimento de refeições,Serviço"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300" verticalDpi="300" r:id="rId1"/>
  <drawing r:id="rId2"/>
  <tableParts count="2"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D8C2-F457-41F7-9CE3-572EB0E6AB8C}">
  <dimension ref="A2:S25"/>
  <sheetViews>
    <sheetView showGridLines="0" zoomScale="85" zoomScaleNormal="85" workbookViewId="0">
      <selection activeCell="L28" sqref="L28"/>
    </sheetView>
  </sheetViews>
  <sheetFormatPr defaultRowHeight="15" x14ac:dyDescent="0.25"/>
  <cols>
    <col min="1" max="1" width="2.85546875" customWidth="1"/>
    <col min="2" max="2" width="4.5703125" customWidth="1"/>
    <col min="3" max="3" width="15" bestFit="1" customWidth="1"/>
    <col min="4" max="4" width="15.85546875" bestFit="1" customWidth="1"/>
    <col min="5" max="5" width="4.28515625" customWidth="1"/>
    <col min="6" max="6" width="3.28515625" customWidth="1"/>
    <col min="7" max="7" width="13.7109375" customWidth="1"/>
    <col min="8" max="8" width="27.42578125" customWidth="1"/>
    <col min="9" max="9" width="3.140625" customWidth="1"/>
    <col min="10" max="10" width="12.42578125" customWidth="1"/>
    <col min="12" max="12" width="3.28515625" customWidth="1"/>
  </cols>
  <sheetData>
    <row r="2" spans="1:19" ht="15" customHeight="1" x14ac:dyDescent="0.3">
      <c r="A2" s="99" t="s">
        <v>86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47"/>
      <c r="R2" s="47"/>
      <c r="S2" s="47"/>
    </row>
    <row r="3" spans="1:19" ht="15" customHeight="1" x14ac:dyDescent="0.3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47"/>
      <c r="R3" s="47"/>
      <c r="S3" s="47"/>
    </row>
    <row r="4" spans="1:19" ht="15" customHeight="1" x14ac:dyDescent="0.3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7"/>
      <c r="P4" s="47"/>
      <c r="Q4" s="47"/>
      <c r="R4" s="47"/>
      <c r="S4" s="47"/>
    </row>
    <row r="5" spans="1:19" x14ac:dyDescent="0.25">
      <c r="C5" s="107" t="s">
        <v>56</v>
      </c>
      <c r="D5" s="108"/>
    </row>
    <row r="6" spans="1:19" x14ac:dyDescent="0.25">
      <c r="C6" s="109"/>
      <c r="D6" s="110"/>
      <c r="F6" s="116" t="s">
        <v>89</v>
      </c>
      <c r="G6" s="116"/>
      <c r="H6" s="116"/>
      <c r="I6" s="116"/>
      <c r="J6" s="116"/>
      <c r="K6" s="116"/>
      <c r="L6" s="116"/>
    </row>
    <row r="7" spans="1:19" ht="12.75" customHeight="1" x14ac:dyDescent="0.25">
      <c r="C7" s="105" t="s">
        <v>90</v>
      </c>
      <c r="D7" s="106" t="s">
        <v>54</v>
      </c>
      <c r="F7" s="117"/>
      <c r="G7" s="117"/>
      <c r="H7" s="117"/>
      <c r="I7" s="117"/>
      <c r="J7" s="117"/>
      <c r="K7" s="117"/>
      <c r="L7" s="117"/>
    </row>
    <row r="8" spans="1:19" ht="9" customHeight="1" x14ac:dyDescent="0.25">
      <c r="B8" s="1"/>
      <c r="C8" s="105"/>
      <c r="D8" s="106"/>
      <c r="F8" s="49"/>
      <c r="G8" s="50"/>
      <c r="H8" s="50"/>
      <c r="I8" s="50"/>
      <c r="J8" s="50"/>
      <c r="K8" s="50"/>
      <c r="L8" s="51"/>
    </row>
    <row r="9" spans="1:19" x14ac:dyDescent="0.25">
      <c r="B9" s="2" t="s">
        <v>42</v>
      </c>
      <c r="C9" s="46">
        <f ca="1">SUMIFS(INDIRECT($B9&amp;"!E:E"),
                       INDIRECT($B9&amp;"!D:D"),"Comércio",
                       INDIRECT($B9&amp;"!I:I"),"Sim")
+SUMIFS(INDIRECT($B9&amp;"!E:E"),
                       INDIRECT($B9&amp;"!D:D"),"Indústria",
                       INDIRECT($B9&amp;"!I:I"),"Sim")
+SUMIFS(INDIRECT($B9&amp;"!E:E"),
                       INDIRECT($B9&amp;"!D:D"),"Transporte intermunicipais e interestaduais",
                       INDIRECT($B9&amp;"!I:I"),"Sim")
+SUMIFS(INDIRECT($B9&amp;"!E:E"),
                       INDIRECT($B9&amp;"!D:D"),"Fornecimento de referições",
                       INDIRECT($B9&amp;"!I:I"),"Sim")</f>
        <v>0</v>
      </c>
      <c r="D9" s="46">
        <f t="shared" ref="D9:D20" ca="1" si="0">SUMIFS(INDIRECT($B9&amp;"!E:E"),INDIRECT($B9&amp;"!D:D"),D$7,INDIRECT($B9&amp;"!I:I"),"Sim")</f>
        <v>0</v>
      </c>
      <c r="F9" s="52"/>
      <c r="G9" s="105" t="s">
        <v>90</v>
      </c>
      <c r="H9" s="105"/>
      <c r="I9" s="118">
        <f ca="1">SUM(C9:C20)</f>
        <v>0</v>
      </c>
      <c r="J9" s="113"/>
      <c r="L9" s="53"/>
    </row>
    <row r="10" spans="1:19" ht="15" customHeight="1" x14ac:dyDescent="0.25">
      <c r="B10" s="2" t="s">
        <v>43</v>
      </c>
      <c r="C10" s="46">
        <f t="shared" ref="C10:C20" ca="1" si="1">SUMIFS(INDIRECT($B10&amp;"!E:E"),
                       INDIRECT($B10&amp;"!D:D"),"Comércio",
                       INDIRECT($B10&amp;"!I:I"),"Sim")
+SUMIFS(INDIRECT($B10&amp;"!E:E"),
                       INDIRECT($B10&amp;"!D:D"),"Indústria",
                       INDIRECT($B10&amp;"!I:I"),"Sim")
+SUMIFS(INDIRECT($B10&amp;"!E:E"),
                       INDIRECT($B10&amp;"!D:D"),"Transporte intermunicipais e interestaduais",
                       INDIRECT($B10&amp;"!I:I"),"Sim")
+SUMIFS(INDIRECT($B10&amp;"!E:E"),
                       INDIRECT($B10&amp;"!D:D"),"Fornecimento de referições",
                       INDIRECT($B10&amp;"!I:I"),"Sim")</f>
        <v>0</v>
      </c>
      <c r="D10" s="46">
        <f t="shared" ca="1" si="0"/>
        <v>0</v>
      </c>
      <c r="F10" s="52"/>
      <c r="G10" s="105" t="s">
        <v>91</v>
      </c>
      <c r="H10" s="105"/>
      <c r="I10" s="119"/>
      <c r="J10" s="120"/>
      <c r="L10" s="53"/>
    </row>
    <row r="11" spans="1:19" ht="15" customHeight="1" x14ac:dyDescent="0.25">
      <c r="B11" s="2" t="s">
        <v>44</v>
      </c>
      <c r="C11" s="46">
        <f t="shared" ca="1" si="1"/>
        <v>0</v>
      </c>
      <c r="D11" s="46">
        <f t="shared" ca="1" si="0"/>
        <v>0</v>
      </c>
      <c r="F11" s="52"/>
      <c r="G11" s="105" t="s">
        <v>92</v>
      </c>
      <c r="H11" s="105"/>
      <c r="I11" s="119"/>
      <c r="J11" s="120"/>
      <c r="L11" s="53"/>
    </row>
    <row r="12" spans="1:19" x14ac:dyDescent="0.25">
      <c r="B12" s="2" t="s">
        <v>45</v>
      </c>
      <c r="C12" s="46">
        <f t="shared" ca="1" si="1"/>
        <v>0</v>
      </c>
      <c r="D12" s="46">
        <f t="shared" ca="1" si="0"/>
        <v>0</v>
      </c>
      <c r="F12" s="52"/>
      <c r="G12" s="105" t="s">
        <v>93</v>
      </c>
      <c r="H12" s="105"/>
      <c r="I12" s="121"/>
      <c r="J12" s="115"/>
      <c r="L12" s="53"/>
    </row>
    <row r="13" spans="1:19" ht="15" customHeight="1" x14ac:dyDescent="0.25">
      <c r="B13" s="2" t="s">
        <v>46</v>
      </c>
      <c r="C13" s="46">
        <f t="shared" ca="1" si="1"/>
        <v>0</v>
      </c>
      <c r="D13" s="46">
        <f t="shared" ca="1" si="0"/>
        <v>0</v>
      </c>
      <c r="F13" s="52"/>
      <c r="L13" s="53"/>
    </row>
    <row r="14" spans="1:19" x14ac:dyDescent="0.25">
      <c r="B14" s="2" t="s">
        <v>47</v>
      </c>
      <c r="C14" s="46">
        <f t="shared" ca="1" si="1"/>
        <v>0</v>
      </c>
      <c r="D14" s="46">
        <f t="shared" ca="1" si="0"/>
        <v>0</v>
      </c>
      <c r="F14" s="52"/>
      <c r="L14" s="53"/>
    </row>
    <row r="15" spans="1:19" ht="15" customHeight="1" x14ac:dyDescent="0.25">
      <c r="B15" s="2" t="s">
        <v>48</v>
      </c>
      <c r="C15" s="46">
        <f t="shared" ca="1" si="1"/>
        <v>0</v>
      </c>
      <c r="D15" s="46">
        <f t="shared" ca="1" si="0"/>
        <v>0</v>
      </c>
      <c r="F15" s="52"/>
      <c r="G15" s="111" t="s">
        <v>54</v>
      </c>
      <c r="H15" s="111"/>
      <c r="I15" s="112">
        <f ca="1">SUM(D9:D20)</f>
        <v>0</v>
      </c>
      <c r="J15" s="113"/>
      <c r="L15" s="53"/>
    </row>
    <row r="16" spans="1:19" ht="15" customHeight="1" x14ac:dyDescent="0.25">
      <c r="B16" s="2" t="s">
        <v>49</v>
      </c>
      <c r="C16" s="46">
        <f t="shared" ca="1" si="1"/>
        <v>0</v>
      </c>
      <c r="D16" s="46">
        <f t="shared" ca="1" si="0"/>
        <v>0</v>
      </c>
      <c r="F16" s="52"/>
      <c r="G16" s="111"/>
      <c r="H16" s="111"/>
      <c r="I16" s="114"/>
      <c r="J16" s="115"/>
      <c r="L16" s="53"/>
    </row>
    <row r="17" spans="2:12" x14ac:dyDescent="0.25">
      <c r="B17" s="2" t="s">
        <v>50</v>
      </c>
      <c r="C17" s="46">
        <f t="shared" ca="1" si="1"/>
        <v>0</v>
      </c>
      <c r="D17" s="46">
        <f t="shared" ca="1" si="0"/>
        <v>0</v>
      </c>
      <c r="F17" s="52"/>
      <c r="L17" s="53"/>
    </row>
    <row r="18" spans="2:12" x14ac:dyDescent="0.25">
      <c r="B18" s="2" t="s">
        <v>51</v>
      </c>
      <c r="C18" s="46">
        <f t="shared" ca="1" si="1"/>
        <v>0</v>
      </c>
      <c r="D18" s="46">
        <f t="shared" ca="1" si="0"/>
        <v>0</v>
      </c>
      <c r="F18" s="52"/>
      <c r="L18" s="53"/>
    </row>
    <row r="19" spans="2:12" x14ac:dyDescent="0.25">
      <c r="B19" s="2" t="s">
        <v>52</v>
      </c>
      <c r="C19" s="46">
        <f t="shared" ca="1" si="1"/>
        <v>0</v>
      </c>
      <c r="D19" s="46">
        <f t="shared" ca="1" si="0"/>
        <v>0</v>
      </c>
      <c r="F19" s="52"/>
      <c r="G19" s="100" t="s">
        <v>55</v>
      </c>
      <c r="H19" s="100"/>
      <c r="I19" s="100"/>
      <c r="J19" s="101">
        <f ca="1">SUM(I9,I15)</f>
        <v>0</v>
      </c>
      <c r="K19" s="102"/>
      <c r="L19" s="53"/>
    </row>
    <row r="20" spans="2:12" x14ac:dyDescent="0.25">
      <c r="B20" s="2" t="s">
        <v>53</v>
      </c>
      <c r="C20" s="46">
        <f t="shared" ca="1" si="1"/>
        <v>0</v>
      </c>
      <c r="D20" s="46">
        <f t="shared" ca="1" si="0"/>
        <v>0</v>
      </c>
      <c r="F20" s="52"/>
      <c r="G20" s="100"/>
      <c r="H20" s="100"/>
      <c r="I20" s="100"/>
      <c r="J20" s="103"/>
      <c r="K20" s="104"/>
      <c r="L20" s="53"/>
    </row>
    <row r="21" spans="2:12" x14ac:dyDescent="0.25">
      <c r="F21" s="54"/>
      <c r="G21" s="55"/>
      <c r="H21" s="55"/>
      <c r="I21" s="55"/>
      <c r="J21" s="55"/>
      <c r="K21" s="55"/>
      <c r="L21" s="56"/>
    </row>
    <row r="23" spans="2:12" x14ac:dyDescent="0.25">
      <c r="B23" t="s">
        <v>84</v>
      </c>
    </row>
    <row r="24" spans="2:12" x14ac:dyDescent="0.25">
      <c r="B24" t="s">
        <v>85</v>
      </c>
    </row>
    <row r="25" spans="2:12" x14ac:dyDescent="0.25">
      <c r="B25" t="s">
        <v>87</v>
      </c>
    </row>
  </sheetData>
  <mergeCells count="14">
    <mergeCell ref="A2:P3"/>
    <mergeCell ref="G19:I20"/>
    <mergeCell ref="J19:K20"/>
    <mergeCell ref="C7:C8"/>
    <mergeCell ref="D7:D8"/>
    <mergeCell ref="C5:D6"/>
    <mergeCell ref="G15:H16"/>
    <mergeCell ref="I15:J16"/>
    <mergeCell ref="F6:L7"/>
    <mergeCell ref="I9:J12"/>
    <mergeCell ref="G9:H9"/>
    <mergeCell ref="G10:H10"/>
    <mergeCell ref="G11:H11"/>
    <mergeCell ref="G12:H1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FC28-5FBB-4D75-945E-769FFAC8424E}">
  <sheetPr codeName="Planilha9">
    <tabColor theme="7"/>
    <pageSetUpPr fitToPage="1"/>
  </sheetPr>
  <dimension ref="A1:S46"/>
  <sheetViews>
    <sheetView showGridLines="0" tabSelected="1" zoomScale="50" zoomScaleNormal="50" workbookViewId="0">
      <pane ySplit="11" topLeftCell="A12" activePane="bottomLeft" state="frozen"/>
      <selection activeCell="E31" sqref="E31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customWidth="1"/>
    <col min="5" max="5" width="14.85546875" style="11" bestFit="1" customWidth="1"/>
    <col min="6" max="6" width="15.42578125" style="10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hidden="1" customWidth="1"/>
    <col min="12" max="12" width="6.28515625" style="10" customWidth="1"/>
    <col min="13" max="13" width="11.5703125" style="10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customHeight="1" x14ac:dyDescent="0.25">
      <c r="A4" s="33" t="s">
        <v>16</v>
      </c>
      <c r="B4" s="78" t="s">
        <v>17</v>
      </c>
      <c r="C4" s="78"/>
      <c r="E4" s="122" t="s">
        <v>88</v>
      </c>
      <c r="F4" s="122"/>
      <c r="G4" s="122"/>
      <c r="H4" s="122"/>
      <c r="I4" s="122"/>
      <c r="J4" s="122"/>
      <c r="K4" s="122"/>
      <c r="L4" s="122"/>
      <c r="M4" s="122"/>
      <c r="N4" s="122"/>
    </row>
    <row r="5" spans="1:19" ht="15.75" customHeight="1" x14ac:dyDescent="0.25">
      <c r="A5" s="33" t="s">
        <v>15</v>
      </c>
      <c r="B5" s="78">
        <v>2019</v>
      </c>
      <c r="C5" s="78"/>
      <c r="E5" s="122"/>
      <c r="F5" s="122"/>
      <c r="G5" s="122"/>
      <c r="H5" s="122"/>
      <c r="I5" s="122"/>
      <c r="J5" s="122"/>
      <c r="K5" s="122"/>
      <c r="L5" s="122"/>
      <c r="M5" s="122"/>
      <c r="N5" s="122"/>
    </row>
    <row r="6" spans="1:19" ht="3.75" customHeight="1" x14ac:dyDescent="0.25">
      <c r="A6" s="33"/>
      <c r="B6" s="3"/>
      <c r="C6" s="3"/>
      <c r="G6" s="58"/>
      <c r="H6" s="60"/>
      <c r="I6" s="60"/>
    </row>
    <row r="7" spans="1:19" ht="15.75" x14ac:dyDescent="0.25">
      <c r="A7" s="33" t="s">
        <v>40</v>
      </c>
      <c r="B7" s="78" t="s">
        <v>74</v>
      </c>
      <c r="C7" s="78"/>
    </row>
    <row r="8" spans="1:19" ht="6.75" customHeight="1" x14ac:dyDescent="0.25">
      <c r="A8" s="34"/>
    </row>
    <row r="9" spans="1:19" ht="15" customHeight="1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Jan/19</v>
      </c>
      <c r="I9" s="66"/>
      <c r="M9" s="69" t="s">
        <v>57</v>
      </c>
      <c r="N9" s="69"/>
      <c r="O9" s="69"/>
      <c r="P9" s="69"/>
      <c r="Q9" s="67" t="str">
        <f>LEFT($B$4,3)&amp;"/"&amp;RIGHT($B$5,2)</f>
        <v>Jan/19</v>
      </c>
      <c r="R9" s="67"/>
    </row>
    <row r="10" spans="1:19" ht="15" customHeight="1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4">
        <v>43477</v>
      </c>
      <c r="B12" s="5" t="s">
        <v>58</v>
      </c>
      <c r="C12" s="5" t="s">
        <v>59</v>
      </c>
      <c r="D12" s="5" t="s">
        <v>54</v>
      </c>
      <c r="E12" s="6">
        <v>50</v>
      </c>
      <c r="F12" s="5" t="s">
        <v>12</v>
      </c>
      <c r="G12" s="7"/>
      <c r="H12" s="5" t="s">
        <v>6</v>
      </c>
      <c r="I12" s="8" t="s">
        <v>6</v>
      </c>
      <c r="J12" s="10">
        <f>IF(Tabela116182224262830[[#This Row],[Data]]="","",YEAR(Tabela116182224262830[[#This Row],[Data]]))</f>
        <v>2019</v>
      </c>
      <c r="K12" s="10">
        <f>IF(Tabela116182224262830[[#This Row],[Data]]="","",MONTH(Tabela116182224262830[[#This Row],[Data]]))</f>
        <v>1</v>
      </c>
      <c r="M12" s="20">
        <v>43495</v>
      </c>
      <c r="N12" s="21" t="s">
        <v>71</v>
      </c>
      <c r="O12" s="22">
        <v>58</v>
      </c>
      <c r="P12" s="21" t="s">
        <v>12</v>
      </c>
      <c r="Q12" s="23"/>
      <c r="R12" s="24" t="s">
        <v>6</v>
      </c>
      <c r="S12" s="10" t="str">
        <f t="shared" ref="S12:S32" si="0">IFERROR(LEFT(Q12,SEARCH("/",Q12)-1)*1,"-")</f>
        <v>-</v>
      </c>
    </row>
    <row r="13" spans="1:19" x14ac:dyDescent="0.25">
      <c r="A13" s="9">
        <v>43478</v>
      </c>
      <c r="B13" s="10" t="s">
        <v>61</v>
      </c>
      <c r="C13" s="10" t="s">
        <v>62</v>
      </c>
      <c r="D13" s="10" t="s">
        <v>90</v>
      </c>
      <c r="E13" s="11">
        <v>100</v>
      </c>
      <c r="F13" s="10" t="s">
        <v>60</v>
      </c>
      <c r="G13" s="12"/>
      <c r="H13" s="10" t="s">
        <v>6</v>
      </c>
      <c r="I13" s="13" t="s">
        <v>7</v>
      </c>
      <c r="J13" s="10">
        <f>IF(Tabela116182224262830[[#This Row],[Data]]="","",YEAR(Tabela116182224262830[[#This Row],[Data]]))</f>
        <v>2019</v>
      </c>
      <c r="K13" s="10">
        <f>IF(Tabela116182224262830[[#This Row],[Data]]="","",MONTH(Tabela116182224262830[[#This Row],[Data]]))</f>
        <v>1</v>
      </c>
      <c r="M13" s="20">
        <v>43495</v>
      </c>
      <c r="N13" s="10" t="s">
        <v>72</v>
      </c>
      <c r="O13" s="11">
        <v>100</v>
      </c>
      <c r="P13" s="10" t="s">
        <v>41</v>
      </c>
      <c r="Q13" s="12"/>
      <c r="R13" s="26" t="s">
        <v>7</v>
      </c>
      <c r="S13" s="10" t="str">
        <f t="shared" si="0"/>
        <v>-</v>
      </c>
    </row>
    <row r="14" spans="1:19" x14ac:dyDescent="0.25">
      <c r="A14" s="9">
        <v>43479</v>
      </c>
      <c r="B14" s="10" t="s">
        <v>8</v>
      </c>
      <c r="C14" s="10" t="s">
        <v>63</v>
      </c>
      <c r="D14" s="10" t="s">
        <v>90</v>
      </c>
      <c r="E14" s="11">
        <v>50</v>
      </c>
      <c r="F14" s="10" t="s">
        <v>41</v>
      </c>
      <c r="G14" s="12" t="s">
        <v>5</v>
      </c>
      <c r="H14" s="10" t="s">
        <v>7</v>
      </c>
      <c r="I14" s="13" t="s">
        <v>6</v>
      </c>
      <c r="J14" s="10">
        <f>IF(Tabela116182224262830[[#This Row],[Data]]="","",YEAR(Tabela116182224262830[[#This Row],[Data]]))</f>
        <v>2019</v>
      </c>
      <c r="K14" s="10">
        <f>IF(Tabela116182224262830[[#This Row],[Data]]="","",MONTH(Tabela116182224262830[[#This Row],[Data]]))</f>
        <v>1</v>
      </c>
      <c r="M14" s="25">
        <v>43485</v>
      </c>
      <c r="N14" s="10" t="s">
        <v>80</v>
      </c>
      <c r="O14" s="11">
        <v>52.7</v>
      </c>
      <c r="P14" s="10" t="s">
        <v>41</v>
      </c>
      <c r="Q14" s="12"/>
      <c r="R14" s="26" t="s">
        <v>6</v>
      </c>
      <c r="S14" s="10" t="str">
        <f t="shared" si="0"/>
        <v>-</v>
      </c>
    </row>
    <row r="15" spans="1:19" x14ac:dyDescent="0.25">
      <c r="A15" s="9"/>
      <c r="B15" s="10" t="s">
        <v>8</v>
      </c>
      <c r="C15" s="10" t="s">
        <v>63</v>
      </c>
      <c r="D15" s="10" t="s">
        <v>90</v>
      </c>
      <c r="E15" s="11">
        <v>50</v>
      </c>
      <c r="F15" s="10" t="s">
        <v>41</v>
      </c>
      <c r="G15" s="12" t="s">
        <v>10</v>
      </c>
      <c r="I15" s="13"/>
      <c r="J15" s="10" t="str">
        <f>IF(Tabela116182224262830[[#This Row],[Data]]="","",YEAR(Tabela116182224262830[[#This Row],[Data]]))</f>
        <v/>
      </c>
      <c r="K15" s="10" t="str">
        <f>IF(Tabela116182224262830[[#This Row],[Data]]="","",MONTH(Tabela116182224262830[[#This Row],[Data]]))</f>
        <v/>
      </c>
      <c r="M15" s="25"/>
      <c r="O15" s="11"/>
      <c r="Q15" s="12"/>
      <c r="R15" s="26"/>
      <c r="S15" s="10" t="str">
        <f t="shared" si="0"/>
        <v>-</v>
      </c>
    </row>
    <row r="16" spans="1:19" x14ac:dyDescent="0.25">
      <c r="A16" s="9"/>
      <c r="B16" s="10" t="s">
        <v>8</v>
      </c>
      <c r="C16" s="10" t="s">
        <v>63</v>
      </c>
      <c r="D16" s="10" t="s">
        <v>90</v>
      </c>
      <c r="E16" s="11">
        <v>50</v>
      </c>
      <c r="F16" s="10" t="s">
        <v>41</v>
      </c>
      <c r="G16" s="12" t="s">
        <v>64</v>
      </c>
      <c r="I16" s="13"/>
      <c r="J16" s="10" t="str">
        <f>IF(Tabela116182224262830[[#This Row],[Data]]="","",YEAR(Tabela116182224262830[[#This Row],[Data]]))</f>
        <v/>
      </c>
      <c r="K16" s="10" t="str">
        <f>IF(Tabela116182224262830[[#This Row],[Data]]="","",MONTH(Tabela116182224262830[[#This Row],[Data]]))</f>
        <v/>
      </c>
      <c r="M16" s="25"/>
      <c r="O16" s="11"/>
      <c r="Q16" s="12"/>
      <c r="R16" s="26"/>
      <c r="S16" s="10" t="str">
        <f t="shared" si="0"/>
        <v>-</v>
      </c>
    </row>
    <row r="17" spans="1:19" x14ac:dyDescent="0.25">
      <c r="A17" s="9">
        <v>43485</v>
      </c>
      <c r="B17" s="10" t="s">
        <v>76</v>
      </c>
      <c r="C17" s="10" t="s">
        <v>77</v>
      </c>
      <c r="D17" s="10" t="s">
        <v>54</v>
      </c>
      <c r="E17" s="11">
        <v>150</v>
      </c>
      <c r="F17" s="10" t="s">
        <v>12</v>
      </c>
      <c r="G17" s="12"/>
      <c r="H17" s="10" t="s">
        <v>7</v>
      </c>
      <c r="I17" s="13" t="s">
        <v>6</v>
      </c>
      <c r="J17" s="10">
        <f>IF(Tabela116182224262830[[#This Row],[Data]]="","",YEAR(Tabela116182224262830[[#This Row],[Data]]))</f>
        <v>2019</v>
      </c>
      <c r="K17" s="10">
        <f>IF(Tabela116182224262830[[#This Row],[Data]]="","",MONTH(Tabela116182224262830[[#This Row],[Data]]))</f>
        <v>1</v>
      </c>
      <c r="M17" s="25"/>
      <c r="O17" s="11"/>
      <c r="Q17" s="12"/>
      <c r="R17" s="26"/>
      <c r="S17" s="10" t="str">
        <f t="shared" si="0"/>
        <v>-</v>
      </c>
    </row>
    <row r="18" spans="1:19" x14ac:dyDescent="0.25">
      <c r="A18" s="9"/>
      <c r="G18" s="12"/>
      <c r="I18" s="13"/>
      <c r="J18" s="10" t="str">
        <f>IF(Tabela116182224262830[[#This Row],[Data]]="","",YEAR(Tabela116182224262830[[#This Row],[Data]]))</f>
        <v/>
      </c>
      <c r="K18" s="10" t="str">
        <f>IF(Tabela116182224262830[[#This Row],[Data]]="","",MONTH(Tabela116182224262830[[#This Row],[Data]]))</f>
        <v/>
      </c>
      <c r="M18" s="25"/>
      <c r="O18" s="11"/>
      <c r="Q18" s="12"/>
      <c r="R18" s="26"/>
      <c r="S18" s="10" t="str">
        <f t="shared" si="0"/>
        <v>-</v>
      </c>
    </row>
    <row r="19" spans="1:19" x14ac:dyDescent="0.25">
      <c r="A19" s="9"/>
      <c r="G19" s="12"/>
      <c r="I19" s="13"/>
      <c r="J19" s="10" t="str">
        <f>IF(Tabela116182224262830[[#This Row],[Data]]="","",YEAR(Tabela116182224262830[[#This Row],[Data]]))</f>
        <v/>
      </c>
      <c r="K19" s="10" t="str">
        <f>IF(Tabela116182224262830[[#This Row],[Data]]="","",MONTH(Tabela116182224262830[[#This Row],[Data]]))</f>
        <v/>
      </c>
      <c r="M19" s="25"/>
      <c r="O19" s="11"/>
      <c r="Q19" s="12"/>
      <c r="R19" s="26"/>
      <c r="S19" s="10" t="str">
        <f t="shared" ref="S19:S30" si="1">IFERROR(LEFT(Q19,SEARCH("/",Q19)-1)*1,"-")</f>
        <v>-</v>
      </c>
    </row>
    <row r="20" spans="1:19" x14ac:dyDescent="0.25">
      <c r="A20" s="9"/>
      <c r="G20" s="12"/>
      <c r="I20" s="13"/>
      <c r="J20" s="10" t="str">
        <f>IF(Tabela116182224262830[[#This Row],[Data]]="","",YEAR(Tabela116182224262830[[#This Row],[Data]]))</f>
        <v/>
      </c>
      <c r="K20" s="10" t="str">
        <f>IF(Tabela116182224262830[[#This Row],[Data]]="","",MONTH(Tabela116182224262830[[#This Row],[Data]]))</f>
        <v/>
      </c>
      <c r="M20" s="25"/>
      <c r="O20" s="11"/>
      <c r="Q20" s="12"/>
      <c r="R20" s="26"/>
      <c r="S20" s="10" t="str">
        <f t="shared" si="1"/>
        <v>-</v>
      </c>
    </row>
    <row r="21" spans="1:19" x14ac:dyDescent="0.25">
      <c r="A21" s="9"/>
      <c r="G21" s="12"/>
      <c r="I21" s="13"/>
      <c r="J21" s="10" t="str">
        <f>IF(Tabela116182224262830[[#This Row],[Data]]="","",YEAR(Tabela116182224262830[[#This Row],[Data]]))</f>
        <v/>
      </c>
      <c r="K21" s="10" t="str">
        <f>IF(Tabela116182224262830[[#This Row],[Data]]="","",MONTH(Tabela116182224262830[[#This Row],[Data]]))</f>
        <v/>
      </c>
      <c r="M21" s="25"/>
      <c r="O21" s="11"/>
      <c r="Q21" s="12"/>
      <c r="R21" s="26"/>
      <c r="S21" s="10" t="str">
        <f t="shared" si="1"/>
        <v>-</v>
      </c>
    </row>
    <row r="22" spans="1:19" x14ac:dyDescent="0.25">
      <c r="A22" s="9"/>
      <c r="G22" s="12"/>
      <c r="I22" s="13"/>
      <c r="J22" s="10" t="str">
        <f>IF(Tabela116182224262830[[#This Row],[Data]]="","",YEAR(Tabela116182224262830[[#This Row],[Data]]))</f>
        <v/>
      </c>
      <c r="K22" s="10" t="str">
        <f>IF(Tabela116182224262830[[#This Row],[Data]]="","",MONTH(Tabela116182224262830[[#This Row],[Data]]))</f>
        <v/>
      </c>
      <c r="M22" s="25"/>
      <c r="O22" s="11"/>
      <c r="Q22" s="12"/>
      <c r="R22" s="26"/>
      <c r="S22" s="10" t="str">
        <f t="shared" si="1"/>
        <v>-</v>
      </c>
    </row>
    <row r="23" spans="1:19" x14ac:dyDescent="0.25">
      <c r="A23" s="9"/>
      <c r="G23" s="12"/>
      <c r="I23" s="13"/>
      <c r="J23" s="10" t="str">
        <f>IF(Tabela116182224262830[[#This Row],[Data]]="","",YEAR(Tabela116182224262830[[#This Row],[Data]]))</f>
        <v/>
      </c>
      <c r="K23" s="10" t="str">
        <f>IF(Tabela116182224262830[[#This Row],[Data]]="","",MONTH(Tabela116182224262830[[#This Row],[Data]]))</f>
        <v/>
      </c>
      <c r="M23" s="25"/>
      <c r="O23" s="11"/>
      <c r="Q23" s="12"/>
      <c r="R23" s="26"/>
      <c r="S23" s="10" t="str">
        <f t="shared" si="1"/>
        <v>-</v>
      </c>
    </row>
    <row r="24" spans="1:19" x14ac:dyDescent="0.25">
      <c r="A24" s="9"/>
      <c r="G24" s="12"/>
      <c r="I24" s="13"/>
      <c r="J24" s="10" t="str">
        <f>IF(Tabela116182224262830[[#This Row],[Data]]="","",YEAR(Tabela116182224262830[[#This Row],[Data]]))</f>
        <v/>
      </c>
      <c r="K24" s="10" t="str">
        <f>IF(Tabela116182224262830[[#This Row],[Data]]="","",MONTH(Tabela116182224262830[[#This Row],[Data]]))</f>
        <v/>
      </c>
      <c r="L24" s="42"/>
      <c r="M24" s="25"/>
      <c r="O24" s="11"/>
      <c r="Q24" s="12"/>
      <c r="R24" s="26"/>
      <c r="S24" s="10" t="str">
        <f t="shared" si="1"/>
        <v>-</v>
      </c>
    </row>
    <row r="25" spans="1:19" x14ac:dyDescent="0.25">
      <c r="A25" s="9"/>
      <c r="G25" s="12"/>
      <c r="I25" s="13"/>
      <c r="J25" s="10" t="str">
        <f>IF(Tabela116182224262830[[#This Row],[Data]]="","",YEAR(Tabela116182224262830[[#This Row],[Data]]))</f>
        <v/>
      </c>
      <c r="K25" s="10" t="str">
        <f>IF(Tabela116182224262830[[#This Row],[Data]]="","",MONTH(Tabela116182224262830[[#This Row],[Data]]))</f>
        <v/>
      </c>
      <c r="L25" s="42"/>
      <c r="M25" s="25"/>
      <c r="O25" s="11"/>
      <c r="Q25" s="12"/>
      <c r="R25" s="26"/>
      <c r="S25" s="10" t="str">
        <f t="shared" si="1"/>
        <v>-</v>
      </c>
    </row>
    <row r="26" spans="1:19" x14ac:dyDescent="0.25">
      <c r="A26" s="9"/>
      <c r="G26" s="12"/>
      <c r="I26" s="13"/>
      <c r="J26" s="10" t="str">
        <f>IF(Tabela116182224262830[[#This Row],[Data]]="","",YEAR(Tabela116182224262830[[#This Row],[Data]]))</f>
        <v/>
      </c>
      <c r="K26" s="10" t="str">
        <f>IF(Tabela116182224262830[[#This Row],[Data]]="","",MONTH(Tabela116182224262830[[#This Row],[Data]]))</f>
        <v/>
      </c>
      <c r="L26" s="42"/>
      <c r="M26" s="25"/>
      <c r="O26" s="11"/>
      <c r="Q26" s="12"/>
      <c r="R26" s="26"/>
      <c r="S26" s="10" t="str">
        <f t="shared" si="1"/>
        <v>-</v>
      </c>
    </row>
    <row r="27" spans="1:19" x14ac:dyDescent="0.25">
      <c r="A27" s="9"/>
      <c r="G27" s="12"/>
      <c r="I27" s="13"/>
      <c r="J27" s="10" t="str">
        <f>IF(Tabela116182224262830[[#This Row],[Data]]="","",YEAR(Tabela116182224262830[[#This Row],[Data]]))</f>
        <v/>
      </c>
      <c r="K27" s="10" t="str">
        <f>IF(Tabela116182224262830[[#This Row],[Data]]="","",MONTH(Tabela116182224262830[[#This Row],[Data]]))</f>
        <v/>
      </c>
      <c r="M27" s="25"/>
      <c r="O27" s="11"/>
      <c r="Q27" s="12"/>
      <c r="R27" s="26"/>
      <c r="S27" s="10" t="str">
        <f t="shared" si="1"/>
        <v>-</v>
      </c>
    </row>
    <row r="28" spans="1:19" x14ac:dyDescent="0.25">
      <c r="A28" s="9"/>
      <c r="G28" s="12"/>
      <c r="I28" s="13"/>
      <c r="J28" s="10" t="str">
        <f>IF(Tabela116182224262830[[#This Row],[Data]]="","",YEAR(Tabela116182224262830[[#This Row],[Data]]))</f>
        <v/>
      </c>
      <c r="K28" s="10" t="str">
        <f>IF(Tabela116182224262830[[#This Row],[Data]]="","",MONTH(Tabela116182224262830[[#This Row],[Data]]))</f>
        <v/>
      </c>
      <c r="M28" s="25"/>
      <c r="O28" s="11"/>
      <c r="Q28" s="12"/>
      <c r="R28" s="26"/>
      <c r="S28" s="10" t="str">
        <f t="shared" si="1"/>
        <v>-</v>
      </c>
    </row>
    <row r="29" spans="1:19" x14ac:dyDescent="0.25">
      <c r="A29" s="14"/>
      <c r="G29" s="12"/>
      <c r="I29" s="13"/>
      <c r="J29" s="10" t="str">
        <f>IF(Tabela116182224262830[[#This Row],[Data]]="","",YEAR(Tabela116182224262830[[#This Row],[Data]]))</f>
        <v/>
      </c>
      <c r="K29" s="10" t="str">
        <f>IF(Tabela116182224262830[[#This Row],[Data]]="","",MONTH(Tabela116182224262830[[#This Row],[Data]]))</f>
        <v/>
      </c>
      <c r="M29" s="25"/>
      <c r="O29" s="11"/>
      <c r="Q29" s="12"/>
      <c r="R29" s="26"/>
      <c r="S29" s="10" t="str">
        <f t="shared" si="1"/>
        <v>-</v>
      </c>
    </row>
    <row r="30" spans="1:19" x14ac:dyDescent="0.25">
      <c r="A30" s="14"/>
      <c r="G30" s="12"/>
      <c r="I30" s="13"/>
      <c r="J30" s="10" t="str">
        <f>IF(Tabela116182224262830[[#This Row],[Data]]="","",YEAR(Tabela116182224262830[[#This Row],[Data]]))</f>
        <v/>
      </c>
      <c r="K30" s="10" t="str">
        <f>IF(Tabela116182224262830[[#This Row],[Data]]="","",MONTH(Tabela116182224262830[[#This Row],[Data]]))</f>
        <v/>
      </c>
      <c r="M30" s="25"/>
      <c r="O30" s="11"/>
      <c r="Q30" s="12"/>
      <c r="R30" s="26"/>
      <c r="S30" s="10" t="str">
        <f t="shared" si="1"/>
        <v>-</v>
      </c>
    </row>
    <row r="31" spans="1:19" x14ac:dyDescent="0.25">
      <c r="A31" s="14"/>
      <c r="G31" s="12"/>
      <c r="I31" s="13"/>
      <c r="J31" s="10" t="str">
        <f>IF(Tabela116182224262830[[#This Row],[Data]]="","",YEAR(Tabela116182224262830[[#This Row],[Data]]))</f>
        <v/>
      </c>
      <c r="K31" s="10" t="str">
        <f>IF(Tabela116182224262830[[#This Row],[Data]]="","",MONTH(Tabela116182224262830[[#This Row],[Data]]))</f>
        <v/>
      </c>
      <c r="M31" s="25"/>
      <c r="O31" s="11"/>
      <c r="Q31" s="12"/>
      <c r="R31" s="26"/>
      <c r="S31" s="10" t="str">
        <f t="shared" si="0"/>
        <v>-</v>
      </c>
    </row>
    <row r="32" spans="1:19" x14ac:dyDescent="0.25">
      <c r="A32" s="14"/>
      <c r="G32" s="12"/>
      <c r="I32" s="13"/>
      <c r="J32" s="10" t="str">
        <f>IF(Tabela116182224262830[[#This Row],[Data]]="","",YEAR(Tabela116182224262830[[#This Row],[Data]]))</f>
        <v/>
      </c>
      <c r="K32" s="10" t="str">
        <f>IF(Tabela116182224262830[[#This Row],[Data]]="","",MONTH(Tabela116182224262830[[#This Row],[Data]]))</f>
        <v/>
      </c>
      <c r="M32" s="25"/>
      <c r="O32" s="11"/>
      <c r="Q32" s="12"/>
      <c r="R32" s="26"/>
      <c r="S32" s="10" t="str">
        <f t="shared" si="0"/>
        <v>-</v>
      </c>
    </row>
    <row r="33" spans="1:19" x14ac:dyDescent="0.25">
      <c r="A33" s="14"/>
      <c r="G33" s="12"/>
      <c r="I33" s="13"/>
      <c r="J33" s="10" t="str">
        <f>IF(Tabela116182224262830[[#This Row],[Data]]="","",YEAR(Tabela116182224262830[[#This Row],[Data]]))</f>
        <v/>
      </c>
      <c r="K33" s="10" t="str">
        <f>IF(Tabela116182224262830[[#This Row],[Data]]="","",MONTH(Tabela116182224262830[[#This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8"/>
      <c r="H34" s="16"/>
      <c r="I34" s="19"/>
      <c r="J34" s="10" t="str">
        <f>IF(Tabela116182224262830[[#This Row],[Data]]="","",YEAR(Tabela116182224262830[[#This Row],[Data]]))</f>
        <v/>
      </c>
      <c r="K34" s="10" t="str">
        <f>IF(Tabela116182224262830[[#This Row],[Data]]="","",MONTH(Tabela116182224262830[[#This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83</v>
      </c>
      <c r="B35" s="71"/>
      <c r="C35" s="43" t="s">
        <v>22</v>
      </c>
      <c r="D35" s="44"/>
      <c r="E35" s="44"/>
      <c r="F35" s="87" t="s">
        <v>81</v>
      </c>
      <c r="G35" s="88"/>
      <c r="H35" s="88"/>
      <c r="I35" s="89"/>
      <c r="M35" s="61" t="s">
        <v>26</v>
      </c>
      <c r="N35" s="61"/>
      <c r="P35" s="79" t="s">
        <v>82</v>
      </c>
      <c r="Q35" s="79"/>
      <c r="R35" s="79"/>
    </row>
    <row r="36" spans="1:19" ht="15" customHeight="1" x14ac:dyDescent="0.25">
      <c r="A36" s="72">
        <f>SUMIFS(Tabela116182224262830[Valor],Tabela116182224262830[Recebido],"Sim",Tabela116182224262830[Ano],YEAR($H$9),Tabela116182224262830[mês],MONTH($H$9))</f>
        <v>250</v>
      </c>
      <c r="B36" s="73"/>
      <c r="C36" s="84">
        <f>SUMIF(Tabela116182224262830[Recebido],"Sim",Tabela116182224262830[Valor])-A36</f>
        <v>0</v>
      </c>
      <c r="D36" s="11"/>
      <c r="F36" s="90">
        <f>SUMIF(I12:I34,"Sim",E12:E34)</f>
        <v>250</v>
      </c>
      <c r="G36" s="91"/>
      <c r="H36" s="91"/>
      <c r="I36" s="92"/>
      <c r="M36" s="62">
        <f>SUM(Tabela317192325272931[Valor])</f>
        <v>210.7</v>
      </c>
      <c r="N36" s="63"/>
      <c r="O36" s="11"/>
      <c r="P36" s="68">
        <f>SUMIF(Tabela317192325272931[Pago],"Sim",Tabela317192325272931[Valor])</f>
        <v>110.7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46" spans="1:19" x14ac:dyDescent="0.25">
      <c r="G46" s="10"/>
    </row>
  </sheetData>
  <mergeCells count="18">
    <mergeCell ref="B7:C7"/>
    <mergeCell ref="E4:N5"/>
    <mergeCell ref="A1:R2"/>
    <mergeCell ref="B4:C4"/>
    <mergeCell ref="B5:C5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dataValidations count="6">
    <dataValidation type="list" allowBlank="1" showInputMessage="1" showErrorMessage="1" sqref="D12:D34" xr:uid="{A52D2E21-08F1-42AD-8B91-ACE57811A353}">
      <formula1>"Comércio,Indústria,Transporte intermunicipais e interestaduais,Fornecimento de refeições,Serviço"</formula1>
    </dataValidation>
    <dataValidation type="list" allowBlank="1" showInputMessage="1" showErrorMessage="1" sqref="B5:C5" xr:uid="{FCA9E413-FDC8-4123-B55D-F6DF9696C9FD}">
      <formula1>"2019,2020,2021,2022"</formula1>
    </dataValidation>
    <dataValidation type="list" allowBlank="1" showInputMessage="1" showErrorMessage="1" sqref="B4:C4" xr:uid="{567FB859-D644-4838-A4F9-E7BA10BCE9FF}">
      <formula1>"Janeiro,Fevereiro,Março,Abril,Maio,Junho,Julho,Agosto,Setembro,Outubro,Novembro,Dezembro"</formula1>
    </dataValidation>
    <dataValidation type="list" allowBlank="1" showInputMessage="1" showErrorMessage="1" sqref="F12:F34" xr:uid="{095AC370-C40F-4345-B942-4B4BD9392C36}">
      <formula1>"Dinheiro,Boleto,Cartão de débito,Cartão de crédito,Cheque,Outros"</formula1>
    </dataValidation>
    <dataValidation type="list" allowBlank="1" showInputMessage="1" showErrorMessage="1" sqref="H12:I34 R12:R34" xr:uid="{01B85C6E-F83D-4F6E-9F26-D165227024D8}">
      <formula1>"Sim,Não,-"</formula1>
    </dataValidation>
    <dataValidation type="list" allowBlank="1" showInputMessage="1" showErrorMessage="1" sqref="P12:P34" xr:uid="{F7BC4E3A-CB58-4E43-87DF-8EDE2997E616}">
      <formula1>"Dinheiro,Cartão de débito,Cartão de crédito,Cheque,Outros"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300" verticalDpi="300" r:id="rId1"/>
  <drawing r:id="rId2"/>
  <tableParts count="2"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0CBF-AB0F-472E-BCA7-9E937A605071}">
  <sheetPr codeName="Planilha14">
    <tabColor theme="7"/>
    <pageSetUpPr fitToPage="1"/>
  </sheetPr>
  <dimension ref="A1:S46"/>
  <sheetViews>
    <sheetView showGridLines="0" zoomScale="50" zoomScaleNormal="50" workbookViewId="0">
      <pane ySplit="11" topLeftCell="A12" activePane="bottomLeft" state="frozen"/>
      <selection activeCell="E31" sqref="E31"/>
      <selection pane="bottomLeft" activeCell="A39" sqref="A39"/>
    </sheetView>
  </sheetViews>
  <sheetFormatPr defaultRowHeight="15" x14ac:dyDescent="0.25"/>
  <cols>
    <col min="1" max="1" width="19.7109375" style="10" customWidth="1"/>
    <col min="2" max="2" width="9.5703125" style="10" customWidth="1"/>
    <col min="3" max="3" width="48.85546875" style="10" customWidth="1"/>
    <col min="4" max="4" width="8.85546875" style="10" bestFit="1" customWidth="1"/>
    <col min="5" max="5" width="14.85546875" style="11" bestFit="1" customWidth="1"/>
    <col min="6" max="6" width="12.7109375" style="10" bestFit="1" customWidth="1"/>
    <col min="7" max="7" width="16.85546875" style="32" customWidth="1"/>
    <col min="8" max="8" width="6.42578125" style="10" bestFit="1" customWidth="1"/>
    <col min="9" max="9" width="10.28515625" style="10" bestFit="1" customWidth="1"/>
    <col min="10" max="11" width="11.7109375" style="10" hidden="1" customWidth="1"/>
    <col min="12" max="12" width="6.28515625" style="10" customWidth="1"/>
    <col min="13" max="13" width="11.5703125" style="10" bestFit="1" customWidth="1"/>
    <col min="14" max="14" width="30.42578125" style="10" customWidth="1"/>
    <col min="15" max="15" width="14.28515625" style="10" bestFit="1" customWidth="1"/>
    <col min="16" max="18" width="14.7109375" style="10" customWidth="1"/>
    <col min="19" max="19" width="9.42578125" style="10" hidden="1" customWidth="1"/>
    <col min="20" max="16384" width="9.140625" style="10"/>
  </cols>
  <sheetData>
    <row r="1" spans="1:19" x14ac:dyDescent="0.25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9" ht="6.75" customHeight="1" x14ac:dyDescent="0.25"/>
    <row r="4" spans="1:19" ht="15.75" x14ac:dyDescent="0.25">
      <c r="A4" s="33" t="s">
        <v>16</v>
      </c>
      <c r="B4" s="78" t="s">
        <v>29</v>
      </c>
      <c r="C4" s="78"/>
      <c r="E4" s="122" t="s">
        <v>88</v>
      </c>
      <c r="F4" s="122"/>
      <c r="G4" s="122"/>
      <c r="H4" s="122"/>
      <c r="I4" s="122"/>
      <c r="J4" s="122"/>
      <c r="K4" s="122"/>
      <c r="L4" s="122"/>
      <c r="M4" s="122"/>
      <c r="N4" s="122"/>
    </row>
    <row r="5" spans="1:19" ht="18.75" customHeight="1" x14ac:dyDescent="0.25">
      <c r="A5" s="33" t="s">
        <v>15</v>
      </c>
      <c r="B5" s="78">
        <v>2019</v>
      </c>
      <c r="C5" s="78"/>
      <c r="E5" s="122"/>
      <c r="F5" s="122"/>
      <c r="G5" s="122"/>
      <c r="H5" s="122"/>
      <c r="I5" s="122"/>
      <c r="J5" s="122"/>
      <c r="K5" s="122"/>
      <c r="L5" s="122"/>
      <c r="M5" s="122"/>
      <c r="N5" s="122"/>
    </row>
    <row r="6" spans="1:19" ht="3.75" customHeight="1" x14ac:dyDescent="0.25">
      <c r="A6" s="33"/>
      <c r="B6" s="3"/>
      <c r="C6" s="3"/>
      <c r="G6" s="57"/>
      <c r="H6" s="59"/>
      <c r="I6" s="59"/>
    </row>
    <row r="7" spans="1:19" ht="15.75" x14ac:dyDescent="0.25">
      <c r="A7" s="33" t="s">
        <v>40</v>
      </c>
      <c r="B7" s="78" t="s">
        <v>74</v>
      </c>
      <c r="C7" s="78"/>
    </row>
    <row r="8" spans="1:19" ht="6.75" customHeight="1" x14ac:dyDescent="0.25">
      <c r="A8" s="34"/>
    </row>
    <row r="9" spans="1:19" ht="15" customHeight="1" x14ac:dyDescent="0.25">
      <c r="A9" s="64" t="s">
        <v>24</v>
      </c>
      <c r="B9" s="64"/>
      <c r="C9" s="64"/>
      <c r="D9" s="64"/>
      <c r="E9" s="64"/>
      <c r="F9" s="64"/>
      <c r="G9" s="64"/>
      <c r="H9" s="66" t="str">
        <f>LEFT($B$4,3)&amp;"/"&amp;RIGHT($B$5,2)</f>
        <v>Fev/19</v>
      </c>
      <c r="I9" s="66"/>
      <c r="M9" s="69" t="s">
        <v>57</v>
      </c>
      <c r="N9" s="69"/>
      <c r="O9" s="69"/>
      <c r="P9" s="69"/>
      <c r="Q9" s="67" t="str">
        <f>LEFT($B$4,3)&amp;"/"&amp;RIGHT($B$5,2)</f>
        <v>Fev/19</v>
      </c>
      <c r="R9" s="67"/>
    </row>
    <row r="10" spans="1:19" ht="15" customHeight="1" x14ac:dyDescent="0.25">
      <c r="A10" s="64"/>
      <c r="B10" s="64"/>
      <c r="C10" s="64"/>
      <c r="D10" s="64"/>
      <c r="E10" s="64"/>
      <c r="F10" s="64"/>
      <c r="G10" s="64"/>
      <c r="H10" s="66"/>
      <c r="I10" s="66"/>
      <c r="M10" s="69"/>
      <c r="N10" s="69"/>
      <c r="O10" s="69"/>
      <c r="P10" s="69"/>
      <c r="Q10" s="67"/>
      <c r="R10" s="67"/>
    </row>
    <row r="11" spans="1:19" s="38" customFormat="1" ht="52.5" customHeight="1" x14ac:dyDescent="0.25">
      <c r="A11" s="35" t="s">
        <v>0</v>
      </c>
      <c r="B11" s="35" t="s">
        <v>1</v>
      </c>
      <c r="C11" s="35" t="s">
        <v>2</v>
      </c>
      <c r="D11" s="35" t="s">
        <v>18</v>
      </c>
      <c r="E11" s="36" t="s">
        <v>3</v>
      </c>
      <c r="F11" s="35" t="s">
        <v>20</v>
      </c>
      <c r="G11" s="37" t="s">
        <v>11</v>
      </c>
      <c r="H11" s="35" t="s">
        <v>27</v>
      </c>
      <c r="I11" s="35" t="s">
        <v>9</v>
      </c>
      <c r="J11" s="38" t="s">
        <v>94</v>
      </c>
      <c r="K11" s="39" t="s">
        <v>28</v>
      </c>
      <c r="M11" s="40" t="s">
        <v>0</v>
      </c>
      <c r="N11" s="35" t="s">
        <v>13</v>
      </c>
      <c r="O11" s="40" t="s">
        <v>3</v>
      </c>
      <c r="P11" s="35" t="s">
        <v>25</v>
      </c>
      <c r="Q11" s="37" t="s">
        <v>11</v>
      </c>
      <c r="R11" s="35" t="s">
        <v>4</v>
      </c>
      <c r="S11" s="41" t="s">
        <v>14</v>
      </c>
    </row>
    <row r="12" spans="1:19" x14ac:dyDescent="0.25">
      <c r="A12" s="4">
        <v>43498</v>
      </c>
      <c r="B12" s="5" t="s">
        <v>67</v>
      </c>
      <c r="C12" s="5" t="s">
        <v>59</v>
      </c>
      <c r="D12" s="5" t="s">
        <v>54</v>
      </c>
      <c r="E12" s="6">
        <v>50</v>
      </c>
      <c r="F12" s="5" t="s">
        <v>12</v>
      </c>
      <c r="G12" s="7"/>
      <c r="H12" s="5" t="s">
        <v>6</v>
      </c>
      <c r="I12" s="8" t="s">
        <v>6</v>
      </c>
      <c r="J12" s="10">
        <f>IF(Tabela11618222426283040[[#This Row],[Data]]="","",YEAR(Tabela11618222426283040[[#This Row],[Data]]))</f>
        <v>2019</v>
      </c>
      <c r="K12" s="10">
        <f>IF(Tabela11618222426283040[[#This Row],[Data]]="","",MONTH(Tabela11618222426283040[[#This Row],[Data]]))</f>
        <v>2</v>
      </c>
      <c r="M12" s="20" t="s">
        <v>70</v>
      </c>
      <c r="N12" s="21" t="s">
        <v>71</v>
      </c>
      <c r="O12" s="22">
        <v>45</v>
      </c>
      <c r="P12" s="21" t="s">
        <v>12</v>
      </c>
      <c r="Q12" s="23"/>
      <c r="R12" s="24" t="s">
        <v>6</v>
      </c>
      <c r="S12" s="10" t="str">
        <f t="shared" ref="S12:S32" si="0">IFERROR(LEFT(Q12,SEARCH("/",Q12)-1)*1,"-")</f>
        <v>-</v>
      </c>
    </row>
    <row r="13" spans="1:19" x14ac:dyDescent="0.25">
      <c r="A13" s="9">
        <v>43513</v>
      </c>
      <c r="B13" s="10" t="s">
        <v>68</v>
      </c>
      <c r="C13" s="10" t="s">
        <v>69</v>
      </c>
      <c r="D13" s="10" t="s">
        <v>90</v>
      </c>
      <c r="E13" s="11">
        <v>100</v>
      </c>
      <c r="F13" s="10" t="s">
        <v>60</v>
      </c>
      <c r="G13" s="12"/>
      <c r="H13" s="10" t="s">
        <v>6</v>
      </c>
      <c r="I13" s="13" t="s">
        <v>7</v>
      </c>
      <c r="J13" s="10">
        <f>IF(Tabela11618222426283040[[#This Row],[Data]]="","",YEAR(Tabela11618222426283040[[#This Row],[Data]]))</f>
        <v>2019</v>
      </c>
      <c r="K13" s="10">
        <f>IF(Tabela11618222426283040[[#This Row],[Data]]="","",MONTH(Tabela11618222426283040[[#This Row],[Data]]))</f>
        <v>2</v>
      </c>
      <c r="M13" s="20">
        <v>43495</v>
      </c>
      <c r="N13" s="10" t="s">
        <v>73</v>
      </c>
      <c r="O13" s="11">
        <v>110</v>
      </c>
      <c r="P13" s="10" t="s">
        <v>41</v>
      </c>
      <c r="Q13" s="12"/>
      <c r="R13" s="26" t="s">
        <v>6</v>
      </c>
      <c r="S13" s="10" t="str">
        <f t="shared" si="0"/>
        <v>-</v>
      </c>
    </row>
    <row r="14" spans="1:19" x14ac:dyDescent="0.25">
      <c r="A14" s="9">
        <v>43516</v>
      </c>
      <c r="B14" s="10" t="s">
        <v>78</v>
      </c>
      <c r="C14" s="10" t="s">
        <v>79</v>
      </c>
      <c r="D14" s="10" t="s">
        <v>54</v>
      </c>
      <c r="E14" s="11">
        <v>35</v>
      </c>
      <c r="F14" s="10" t="s">
        <v>60</v>
      </c>
      <c r="G14" s="12"/>
      <c r="I14" s="13"/>
      <c r="J14" s="10">
        <f>IF(Tabela11618222426283040[[#This Row],[Data]]="","",YEAR(Tabela11618222426283040[[#This Row],[Data]]))</f>
        <v>2019</v>
      </c>
      <c r="K14" s="10">
        <f>IF(Tabela11618222426283040[[#This Row],[Data]]="","",MONTH(Tabela11618222426283040[[#This Row],[Data]]))</f>
        <v>2</v>
      </c>
      <c r="M14" s="25"/>
      <c r="O14" s="11"/>
      <c r="Q14" s="12"/>
      <c r="R14" s="26"/>
      <c r="S14" s="10" t="str">
        <f t="shared" si="0"/>
        <v>-</v>
      </c>
    </row>
    <row r="15" spans="1:19" x14ac:dyDescent="0.25">
      <c r="A15" s="9">
        <v>43478</v>
      </c>
      <c r="B15" s="10" t="s">
        <v>8</v>
      </c>
      <c r="C15" s="10" t="s">
        <v>63</v>
      </c>
      <c r="D15" s="10" t="s">
        <v>90</v>
      </c>
      <c r="E15" s="11">
        <v>50</v>
      </c>
      <c r="F15" s="10" t="s">
        <v>41</v>
      </c>
      <c r="G15" s="12" t="s">
        <v>65</v>
      </c>
      <c r="H15" s="10" t="s">
        <v>7</v>
      </c>
      <c r="I15" s="13" t="s">
        <v>6</v>
      </c>
      <c r="J15" s="10">
        <f>IF(Tabela11618222426283040[[#This Row],[Data]]="","",YEAR(Tabela11618222426283040[[#This Row],[Data]]))</f>
        <v>2019</v>
      </c>
      <c r="K15" s="10">
        <f>IF(Tabela11618222426283040[[#This Row],[Data]]="","",MONTH(Tabela11618222426283040[[#This Row],[Data]]))</f>
        <v>1</v>
      </c>
      <c r="M15" s="25"/>
      <c r="O15" s="11"/>
      <c r="Q15" s="12"/>
      <c r="R15" s="26"/>
      <c r="S15" s="10" t="str">
        <f t="shared" si="0"/>
        <v>-</v>
      </c>
    </row>
    <row r="16" spans="1:19" x14ac:dyDescent="0.25">
      <c r="A16" s="14"/>
      <c r="B16" s="10" t="s">
        <v>8</v>
      </c>
      <c r="C16" s="10" t="s">
        <v>63</v>
      </c>
      <c r="D16" s="10" t="s">
        <v>90</v>
      </c>
      <c r="E16" s="11">
        <v>50</v>
      </c>
      <c r="F16" s="10" t="s">
        <v>41</v>
      </c>
      <c r="G16" s="12" t="s">
        <v>66</v>
      </c>
      <c r="I16" s="13"/>
      <c r="J16" s="10" t="str">
        <f>IF(Tabela11618222426283040[[#This Row],[Data]]="","",YEAR(Tabela11618222426283040[[#This Row],[Data]]))</f>
        <v/>
      </c>
      <c r="K16" s="10" t="str">
        <f>IF(Tabela11618222426283040[[#This Row],[Data]]="","",MONTH(Tabela11618222426283040[[#This Row],[Data]]))</f>
        <v/>
      </c>
      <c r="M16" s="25"/>
      <c r="O16" s="11"/>
      <c r="Q16" s="12"/>
      <c r="R16" s="26"/>
      <c r="S16" s="10" t="str">
        <f t="shared" si="0"/>
        <v>-</v>
      </c>
    </row>
    <row r="17" spans="1:19" x14ac:dyDescent="0.25">
      <c r="A17" s="14"/>
      <c r="G17" s="12"/>
      <c r="I17" s="13"/>
      <c r="J17" s="10" t="str">
        <f>IF(Tabela11618222426283040[[#This Row],[Data]]="","",YEAR(Tabela11618222426283040[[#This Row],[Data]]))</f>
        <v/>
      </c>
      <c r="K17" s="10" t="str">
        <f>IF(Tabela11618222426283040[[#This Row],[Data]]="","",MONTH(Tabela11618222426283040[[#This Row],[Data]]))</f>
        <v/>
      </c>
      <c r="M17" s="25"/>
      <c r="O17" s="11"/>
      <c r="Q17" s="12"/>
      <c r="R17" s="26"/>
      <c r="S17" s="10" t="str">
        <f t="shared" si="0"/>
        <v>-</v>
      </c>
    </row>
    <row r="18" spans="1:19" x14ac:dyDescent="0.25">
      <c r="A18" s="14"/>
      <c r="G18" s="12"/>
      <c r="I18" s="13"/>
      <c r="J18" s="10" t="str">
        <f>IF(Tabela11618222426283040[[#This Row],[Data]]="","",YEAR(Tabela11618222426283040[[#This Row],[Data]]))</f>
        <v/>
      </c>
      <c r="K18" s="10" t="str">
        <f>IF(Tabela11618222426283040[[#This Row],[Data]]="","",MONTH(Tabela11618222426283040[[#This Row],[Data]]))</f>
        <v/>
      </c>
      <c r="M18" s="25"/>
      <c r="O18" s="11"/>
      <c r="Q18" s="12"/>
      <c r="R18" s="26"/>
      <c r="S18" s="10" t="str">
        <f t="shared" si="0"/>
        <v>-</v>
      </c>
    </row>
    <row r="19" spans="1:19" x14ac:dyDescent="0.25">
      <c r="A19" s="14"/>
      <c r="G19" s="12"/>
      <c r="I19" s="13"/>
      <c r="J19" s="10" t="str">
        <f>IF(Tabela11618222426283040[[#This Row],[Data]]="","",YEAR(Tabela11618222426283040[[#This Row],[Data]]))</f>
        <v/>
      </c>
      <c r="K19" s="10" t="str">
        <f>IF(Tabela11618222426283040[[#This Row],[Data]]="","",MONTH(Tabela11618222426283040[[#This Row],[Data]]))</f>
        <v/>
      </c>
      <c r="M19" s="25"/>
      <c r="O19" s="11"/>
      <c r="Q19" s="12"/>
      <c r="R19" s="26"/>
      <c r="S19" s="10" t="str">
        <f t="shared" ref="S19:S30" si="1">IFERROR(LEFT(Q19,SEARCH("/",Q19)-1)*1,"-")</f>
        <v>-</v>
      </c>
    </row>
    <row r="20" spans="1:19" x14ac:dyDescent="0.25">
      <c r="A20" s="14"/>
      <c r="G20" s="12"/>
      <c r="I20" s="13"/>
      <c r="J20" s="10" t="str">
        <f>IF(Tabela11618222426283040[[#This Row],[Data]]="","",YEAR(Tabela11618222426283040[[#This Row],[Data]]))</f>
        <v/>
      </c>
      <c r="K20" s="10" t="str">
        <f>IF(Tabela11618222426283040[[#This Row],[Data]]="","",MONTH(Tabela11618222426283040[[#This Row],[Data]]))</f>
        <v/>
      </c>
      <c r="M20" s="25"/>
      <c r="O20" s="11"/>
      <c r="Q20" s="12"/>
      <c r="R20" s="26"/>
      <c r="S20" s="10" t="str">
        <f t="shared" si="1"/>
        <v>-</v>
      </c>
    </row>
    <row r="21" spans="1:19" x14ac:dyDescent="0.25">
      <c r="A21" s="14"/>
      <c r="G21" s="12"/>
      <c r="I21" s="13"/>
      <c r="J21" s="10" t="str">
        <f>IF(Tabela11618222426283040[[#This Row],[Data]]="","",YEAR(Tabela11618222426283040[[#This Row],[Data]]))</f>
        <v/>
      </c>
      <c r="K21" s="10" t="str">
        <f>IF(Tabela11618222426283040[[#This Row],[Data]]="","",MONTH(Tabela11618222426283040[[#This Row],[Data]]))</f>
        <v/>
      </c>
      <c r="M21" s="25"/>
      <c r="O21" s="11"/>
      <c r="Q21" s="12"/>
      <c r="R21" s="26"/>
      <c r="S21" s="10" t="str">
        <f t="shared" si="1"/>
        <v>-</v>
      </c>
    </row>
    <row r="22" spans="1:19" x14ac:dyDescent="0.25">
      <c r="A22" s="14"/>
      <c r="G22" s="12"/>
      <c r="I22" s="13"/>
      <c r="J22" s="10" t="str">
        <f>IF(Tabela11618222426283040[[#This Row],[Data]]="","",YEAR(Tabela11618222426283040[[#This Row],[Data]]))</f>
        <v/>
      </c>
      <c r="K22" s="10" t="str">
        <f>IF(Tabela11618222426283040[[#This Row],[Data]]="","",MONTH(Tabela11618222426283040[[#This Row],[Data]]))</f>
        <v/>
      </c>
      <c r="M22" s="25"/>
      <c r="O22" s="11"/>
      <c r="Q22" s="12"/>
      <c r="R22" s="26"/>
      <c r="S22" s="10" t="str">
        <f t="shared" si="1"/>
        <v>-</v>
      </c>
    </row>
    <row r="23" spans="1:19" x14ac:dyDescent="0.25">
      <c r="A23" s="14"/>
      <c r="G23" s="12"/>
      <c r="I23" s="13"/>
      <c r="J23" s="10" t="str">
        <f>IF(Tabela11618222426283040[[#This Row],[Data]]="","",YEAR(Tabela11618222426283040[[#This Row],[Data]]))</f>
        <v/>
      </c>
      <c r="K23" s="10" t="str">
        <f>IF(Tabela11618222426283040[[#This Row],[Data]]="","",MONTH(Tabela11618222426283040[[#This Row],[Data]]))</f>
        <v/>
      </c>
      <c r="M23" s="25"/>
      <c r="O23" s="11"/>
      <c r="Q23" s="12"/>
      <c r="R23" s="26"/>
      <c r="S23" s="10" t="str">
        <f t="shared" si="1"/>
        <v>-</v>
      </c>
    </row>
    <row r="24" spans="1:19" x14ac:dyDescent="0.25">
      <c r="A24" s="14"/>
      <c r="G24" s="12"/>
      <c r="I24" s="13"/>
      <c r="J24" s="10" t="str">
        <f>IF(Tabela11618222426283040[[#This Row],[Data]]="","",YEAR(Tabela11618222426283040[[#This Row],[Data]]))</f>
        <v/>
      </c>
      <c r="K24" s="10" t="str">
        <f>IF(Tabela11618222426283040[[#This Row],[Data]]="","",MONTH(Tabela11618222426283040[[#This Row],[Data]]))</f>
        <v/>
      </c>
      <c r="L24" s="42"/>
      <c r="M24" s="25"/>
      <c r="O24" s="11"/>
      <c r="Q24" s="12"/>
      <c r="R24" s="26"/>
      <c r="S24" s="10" t="str">
        <f t="shared" si="1"/>
        <v>-</v>
      </c>
    </row>
    <row r="25" spans="1:19" x14ac:dyDescent="0.25">
      <c r="A25" s="14"/>
      <c r="G25" s="12"/>
      <c r="I25" s="13"/>
      <c r="J25" s="10" t="str">
        <f>IF(Tabela11618222426283040[[#This Row],[Data]]="","",YEAR(Tabela11618222426283040[[#This Row],[Data]]))</f>
        <v/>
      </c>
      <c r="K25" s="10" t="str">
        <f>IF(Tabela11618222426283040[[#This Row],[Data]]="","",MONTH(Tabela11618222426283040[[#This Row],[Data]]))</f>
        <v/>
      </c>
      <c r="L25" s="42"/>
      <c r="M25" s="25"/>
      <c r="O25" s="11"/>
      <c r="Q25" s="12"/>
      <c r="R25" s="26"/>
      <c r="S25" s="10" t="str">
        <f t="shared" si="1"/>
        <v>-</v>
      </c>
    </row>
    <row r="26" spans="1:19" x14ac:dyDescent="0.25">
      <c r="A26" s="14"/>
      <c r="G26" s="12"/>
      <c r="I26" s="13"/>
      <c r="J26" s="10" t="str">
        <f>IF(Tabela11618222426283040[[#This Row],[Data]]="","",YEAR(Tabela11618222426283040[[#This Row],[Data]]))</f>
        <v/>
      </c>
      <c r="K26" s="10" t="str">
        <f>IF(Tabela11618222426283040[[#This Row],[Data]]="","",MONTH(Tabela11618222426283040[[#This Row],[Data]]))</f>
        <v/>
      </c>
      <c r="L26" s="42"/>
      <c r="M26" s="25"/>
      <c r="O26" s="11"/>
      <c r="Q26" s="12"/>
      <c r="R26" s="26"/>
      <c r="S26" s="10" t="str">
        <f t="shared" si="1"/>
        <v>-</v>
      </c>
    </row>
    <row r="27" spans="1:19" x14ac:dyDescent="0.25">
      <c r="A27" s="14"/>
      <c r="G27" s="12"/>
      <c r="I27" s="13"/>
      <c r="J27" s="10" t="str">
        <f>IF(Tabela11618222426283040[[#This Row],[Data]]="","",YEAR(Tabela11618222426283040[[#This Row],[Data]]))</f>
        <v/>
      </c>
      <c r="K27" s="10" t="str">
        <f>IF(Tabela11618222426283040[[#This Row],[Data]]="","",MONTH(Tabela11618222426283040[[#This Row],[Data]]))</f>
        <v/>
      </c>
      <c r="M27" s="25"/>
      <c r="O27" s="11"/>
      <c r="Q27" s="12"/>
      <c r="R27" s="26"/>
      <c r="S27" s="10" t="str">
        <f t="shared" si="1"/>
        <v>-</v>
      </c>
    </row>
    <row r="28" spans="1:19" x14ac:dyDescent="0.25">
      <c r="A28" s="14"/>
      <c r="G28" s="12"/>
      <c r="I28" s="13"/>
      <c r="J28" s="10" t="str">
        <f>IF(Tabela11618222426283040[[#This Row],[Data]]="","",YEAR(Tabela11618222426283040[[#This Row],[Data]]))</f>
        <v/>
      </c>
      <c r="K28" s="10" t="str">
        <f>IF(Tabela11618222426283040[[#This Row],[Data]]="","",MONTH(Tabela11618222426283040[[#This Row],[Data]]))</f>
        <v/>
      </c>
      <c r="M28" s="25"/>
      <c r="O28" s="11"/>
      <c r="Q28" s="12"/>
      <c r="R28" s="26"/>
      <c r="S28" s="10" t="str">
        <f t="shared" si="1"/>
        <v>-</v>
      </c>
    </row>
    <row r="29" spans="1:19" x14ac:dyDescent="0.25">
      <c r="A29" s="14"/>
      <c r="G29" s="12"/>
      <c r="I29" s="13"/>
      <c r="J29" s="10" t="str">
        <f>IF(Tabela11618222426283040[[#This Row],[Data]]="","",YEAR(Tabela11618222426283040[[#This Row],[Data]]))</f>
        <v/>
      </c>
      <c r="K29" s="10" t="str">
        <f>IF(Tabela11618222426283040[[#This Row],[Data]]="","",MONTH(Tabela11618222426283040[[#This Row],[Data]]))</f>
        <v/>
      </c>
      <c r="M29" s="25"/>
      <c r="O29" s="11"/>
      <c r="Q29" s="12"/>
      <c r="R29" s="26"/>
      <c r="S29" s="10" t="str">
        <f t="shared" si="1"/>
        <v>-</v>
      </c>
    </row>
    <row r="30" spans="1:19" x14ac:dyDescent="0.25">
      <c r="A30" s="14"/>
      <c r="G30" s="12"/>
      <c r="I30" s="13"/>
      <c r="J30" s="10" t="str">
        <f>IF(Tabela11618222426283040[[#This Row],[Data]]="","",YEAR(Tabela11618222426283040[[#This Row],[Data]]))</f>
        <v/>
      </c>
      <c r="K30" s="10" t="str">
        <f>IF(Tabela11618222426283040[[#This Row],[Data]]="","",MONTH(Tabela11618222426283040[[#This Row],[Data]]))</f>
        <v/>
      </c>
      <c r="M30" s="25"/>
      <c r="O30" s="11"/>
      <c r="Q30" s="12"/>
      <c r="R30" s="26"/>
      <c r="S30" s="10" t="str">
        <f t="shared" si="1"/>
        <v>-</v>
      </c>
    </row>
    <row r="31" spans="1:19" x14ac:dyDescent="0.25">
      <c r="A31" s="14"/>
      <c r="G31" s="12"/>
      <c r="I31" s="13"/>
      <c r="J31" s="10" t="str">
        <f>IF(Tabela11618222426283040[[#This Row],[Data]]="","",YEAR(Tabela11618222426283040[[#This Row],[Data]]))</f>
        <v/>
      </c>
      <c r="K31" s="10" t="str">
        <f>IF(Tabela11618222426283040[[#This Row],[Data]]="","",MONTH(Tabela11618222426283040[[#This Row],[Data]]))</f>
        <v/>
      </c>
      <c r="M31" s="25"/>
      <c r="O31" s="11"/>
      <c r="Q31" s="12"/>
      <c r="R31" s="26"/>
      <c r="S31" s="10" t="str">
        <f t="shared" si="0"/>
        <v>-</v>
      </c>
    </row>
    <row r="32" spans="1:19" x14ac:dyDescent="0.25">
      <c r="A32" s="14"/>
      <c r="G32" s="12"/>
      <c r="I32" s="13"/>
      <c r="J32" s="10" t="str">
        <f>IF(Tabela11618222426283040[[#This Row],[Data]]="","",YEAR(Tabela11618222426283040[[#This Row],[Data]]))</f>
        <v/>
      </c>
      <c r="K32" s="10" t="str">
        <f>IF(Tabela11618222426283040[[#This Row],[Data]]="","",MONTH(Tabela11618222426283040[[#This Row],[Data]]))</f>
        <v/>
      </c>
      <c r="M32" s="25"/>
      <c r="O32" s="11"/>
      <c r="Q32" s="12"/>
      <c r="R32" s="26"/>
      <c r="S32" s="10" t="str">
        <f t="shared" si="0"/>
        <v>-</v>
      </c>
    </row>
    <row r="33" spans="1:19" x14ac:dyDescent="0.25">
      <c r="A33" s="14"/>
      <c r="G33" s="12"/>
      <c r="I33" s="13"/>
      <c r="J33" s="10" t="str">
        <f>IF(Tabela11618222426283040[[#This Row],[Data]]="","",YEAR(Tabela11618222426283040[[#This Row],[Data]]))</f>
        <v/>
      </c>
      <c r="K33" s="10" t="str">
        <f>IF(Tabela11618222426283040[[#This Row],[Data]]="","",MONTH(Tabela11618222426283040[[#This Row],[Data]]))</f>
        <v/>
      </c>
      <c r="M33" s="25"/>
      <c r="O33" s="11"/>
      <c r="Q33" s="12"/>
      <c r="R33" s="26"/>
      <c r="S33" s="10" t="str">
        <f>IFERROR(LEFT(Q33,SEARCH("/",Q33)-1)*1,"-")</f>
        <v>-</v>
      </c>
    </row>
    <row r="34" spans="1:19" x14ac:dyDescent="0.25">
      <c r="A34" s="15"/>
      <c r="B34" s="16"/>
      <c r="C34" s="16"/>
      <c r="D34" s="16"/>
      <c r="E34" s="17"/>
      <c r="F34" s="16"/>
      <c r="G34" s="18"/>
      <c r="H34" s="16"/>
      <c r="I34" s="19"/>
      <c r="J34" s="10" t="str">
        <f>IF(Tabela11618222426283040[[#This Row],[Data]]="","",YEAR(Tabela11618222426283040[[#This Row],[Data]]))</f>
        <v/>
      </c>
      <c r="K34" s="10" t="str">
        <f>IF(Tabela11618222426283040[[#This Row],[Data]]="","",MONTH(Tabela11618222426283040[[#This Row],[Data]]))</f>
        <v/>
      </c>
      <c r="M34" s="27"/>
      <c r="N34" s="28"/>
      <c r="O34" s="29"/>
      <c r="P34" s="28"/>
      <c r="Q34" s="30"/>
      <c r="R34" s="31"/>
      <c r="S34" s="10" t="str">
        <f>IFERROR(LEFT(Q34,SEARCH("/",Q34)-1)*1,"-")</f>
        <v>-</v>
      </c>
    </row>
    <row r="35" spans="1:19" ht="15.75" x14ac:dyDescent="0.25">
      <c r="A35" s="70" t="s">
        <v>83</v>
      </c>
      <c r="B35" s="71"/>
      <c r="C35" s="43" t="s">
        <v>22</v>
      </c>
      <c r="D35" s="44"/>
      <c r="E35" s="44"/>
      <c r="F35" s="87" t="s">
        <v>81</v>
      </c>
      <c r="G35" s="88"/>
      <c r="H35" s="88"/>
      <c r="I35" s="89"/>
      <c r="M35" s="61" t="s">
        <v>26</v>
      </c>
      <c r="N35" s="61"/>
      <c r="P35" s="79" t="s">
        <v>82</v>
      </c>
      <c r="Q35" s="79"/>
      <c r="R35" s="79"/>
    </row>
    <row r="36" spans="1:19" ht="15" customHeight="1" x14ac:dyDescent="0.25">
      <c r="A36" s="72">
        <f>SUMIFS(Tabela11618222426283040[Valor],Tabela11618222426283040[Recebido],"Sim",Tabela11618222426283040[Ano],YEAR($H$9),Tabela11618222426283040[mês],MONTH($H$9))</f>
        <v>50</v>
      </c>
      <c r="B36" s="73"/>
      <c r="C36" s="84">
        <f>SUMIF(Tabela11618222426283040[Recebido],"Sim",Tabela11618222426283040[Valor])-A36</f>
        <v>50</v>
      </c>
      <c r="D36" s="11"/>
      <c r="F36" s="90">
        <f>SUMIF(I12:I34,"Sim",E12:E34)</f>
        <v>100</v>
      </c>
      <c r="G36" s="91"/>
      <c r="H36" s="91"/>
      <c r="I36" s="92"/>
      <c r="M36" s="62">
        <f>SUM(Tabela31719232527293141[Valor])</f>
        <v>155</v>
      </c>
      <c r="N36" s="63"/>
      <c r="O36" s="11"/>
      <c r="P36" s="68">
        <f>SUMIF(Tabela31719232527293141[Pago],"Sim",Tabela31719232527293141[Valor])</f>
        <v>155</v>
      </c>
      <c r="Q36" s="68"/>
      <c r="R36" s="68"/>
      <c r="S36" s="11"/>
    </row>
    <row r="37" spans="1:19" ht="15" customHeight="1" x14ac:dyDescent="0.25">
      <c r="A37" s="74"/>
      <c r="B37" s="75"/>
      <c r="C37" s="85"/>
      <c r="D37" s="11"/>
      <c r="F37" s="93"/>
      <c r="G37" s="94"/>
      <c r="H37" s="94"/>
      <c r="I37" s="95"/>
      <c r="M37" s="63"/>
      <c r="N37" s="63"/>
      <c r="O37" s="11"/>
      <c r="P37" s="68"/>
      <c r="Q37" s="68"/>
      <c r="R37" s="68"/>
      <c r="S37" s="11"/>
    </row>
    <row r="38" spans="1:19" ht="15" customHeight="1" x14ac:dyDescent="0.25">
      <c r="A38" s="76"/>
      <c r="B38" s="77"/>
      <c r="C38" s="86"/>
      <c r="D38" s="11"/>
      <c r="F38" s="96"/>
      <c r="G38" s="97"/>
      <c r="H38" s="97"/>
      <c r="I38" s="98"/>
      <c r="M38" s="63"/>
      <c r="N38" s="63"/>
      <c r="O38" s="11"/>
      <c r="P38" s="68"/>
      <c r="Q38" s="68"/>
      <c r="R38" s="68"/>
      <c r="S38" s="11"/>
    </row>
    <row r="39" spans="1:19" x14ac:dyDescent="0.25">
      <c r="C39" s="45"/>
    </row>
    <row r="40" spans="1:19" x14ac:dyDescent="0.25">
      <c r="G40" s="10"/>
    </row>
    <row r="41" spans="1:19" x14ac:dyDescent="0.25">
      <c r="G41" s="10"/>
    </row>
    <row r="42" spans="1:19" x14ac:dyDescent="0.25">
      <c r="G42" s="10"/>
    </row>
    <row r="43" spans="1:19" x14ac:dyDescent="0.25">
      <c r="G43" s="10"/>
    </row>
    <row r="44" spans="1:19" x14ac:dyDescent="0.25">
      <c r="G44" s="10"/>
    </row>
    <row r="45" spans="1:19" x14ac:dyDescent="0.25">
      <c r="G45" s="10"/>
    </row>
    <row r="46" spans="1:19" x14ac:dyDescent="0.25">
      <c r="G46" s="10"/>
    </row>
  </sheetData>
  <mergeCells count="18">
    <mergeCell ref="B7:C7"/>
    <mergeCell ref="E4:N5"/>
    <mergeCell ref="A1:R2"/>
    <mergeCell ref="B4:C4"/>
    <mergeCell ref="B5:C5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dataValidations count="6">
    <dataValidation type="list" allowBlank="1" showInputMessage="1" showErrorMessage="1" sqref="R12:R34 H12:I13 H15:I34" xr:uid="{849ACFC5-4749-4CB9-A31B-C2B79433E0E1}">
      <formula1>"Sim,Não,-"</formula1>
    </dataValidation>
    <dataValidation type="list" allowBlank="1" showInputMessage="1" showErrorMessage="1" sqref="P12:P15 F12:F13 F15:F34" xr:uid="{B7364A83-6A05-4A89-BB3D-576FB2CDB5C6}">
      <formula1>"Dinheiro,Boleto,Cartão de débito,Cartão de crédito,Cheque,Outros"</formula1>
    </dataValidation>
    <dataValidation type="list" allowBlank="1" showInputMessage="1" showErrorMessage="1" sqref="B4:C4" xr:uid="{58AB1691-BC17-4E54-99B5-5AA1DBA4155C}">
      <formula1>"Janeiro,Fevereiro,Março,Abril,Maio,Junho,Julho,Agosto,Setembro,Outubro,Novembro,Dezembro"</formula1>
    </dataValidation>
    <dataValidation type="list" allowBlank="1" showInputMessage="1" showErrorMessage="1" sqref="B5:C5" xr:uid="{C82E2531-346D-416F-ABF8-8B82E053B79F}">
      <formula1>"2019,2020,2021,2022"</formula1>
    </dataValidation>
    <dataValidation type="list" allowBlank="1" showInputMessage="1" showErrorMessage="1" sqref="P16:P34" xr:uid="{0DF9650E-EFB6-4962-85E0-CD0C91CF6BB8}">
      <formula1>"Dinheiro,Cartão de débito,Cartão de crédito,Cheque,Outros"</formula1>
    </dataValidation>
    <dataValidation type="list" allowBlank="1" showInputMessage="1" showErrorMessage="1" sqref="D12:D34" xr:uid="{75148A77-5C41-472F-B9D4-3996FD02C06A}">
      <formula1>"Comércio,Indústria,Transporte intermunicipais e interestaduais,Fornecimento de refeições,Serviço"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300" verticalDpi="300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Declaração anual</vt:lpstr>
      <vt:lpstr>Jan_exemplo</vt:lpstr>
      <vt:lpstr>Fev_exemplo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 Facil</dc:creator>
  <cp:lastModifiedBy>MEI Facil</cp:lastModifiedBy>
  <cp:lastPrinted>2019-01-30T19:58:55Z</cp:lastPrinted>
  <dcterms:created xsi:type="dcterms:W3CDTF">2019-01-29T19:47:07Z</dcterms:created>
  <dcterms:modified xsi:type="dcterms:W3CDTF">2019-04-04T13:54:11Z</dcterms:modified>
</cp:coreProperties>
</file>