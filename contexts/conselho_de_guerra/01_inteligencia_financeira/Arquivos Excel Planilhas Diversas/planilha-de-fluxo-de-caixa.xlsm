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EstaPastaDeTrabalho" defaultThemeVersion="166925"/>
  <mc:AlternateContent xmlns:mc="http://schemas.openxmlformats.org/markup-compatibility/2006">
    <mc:Choice Requires="x15">
      <x15ac:absPath xmlns:x15ac="http://schemas.microsoft.com/office/spreadsheetml/2010/11/ac" url="C:\Users\Marcus\Desktop\"/>
    </mc:Choice>
  </mc:AlternateContent>
  <xr:revisionPtr revIDLastSave="0" documentId="13_ncr:1_{2023CEAA-641C-43A8-A7F5-95C4C7A165FC}" xr6:coauthVersionLast="45" xr6:coauthVersionMax="45" xr10:uidLastSave="{00000000-0000-0000-0000-000000000000}"/>
  <bookViews>
    <workbookView xWindow="-120" yWindow="-120" windowWidth="20730" windowHeight="11760" activeTab="2" xr2:uid="{999C16AE-3886-45E6-90B1-726CBF890654}"/>
  </bookViews>
  <sheets>
    <sheet name="Comece por aqui" sheetId="5" r:id="rId1"/>
    <sheet name="Fluxo de Caixa" sheetId="1" r:id="rId2"/>
    <sheet name="Resumo" sheetId="3" r:id="rId3"/>
    <sheet name="Auxiliar" sheetId="6" state="hidden" r:id="rId4"/>
    <sheet name="Cadastros" sheetId="2" r:id="rId5"/>
  </sheets>
  <definedNames>
    <definedName name="CentroDeCustos">Cadastros!$D$2:$D$6</definedName>
    <definedName name="Contas">Cadastros!$F$2:$F$4</definedName>
    <definedName name="Entradas">Cadastros!$A$2:$A$5</definedName>
    <definedName name="Favorecidos">Cadastros!$E$2:$E$4</definedName>
    <definedName name="IntervaloData">OFFSET(Resumo!$A$20,,,DATEDIF(Resumo!$A$20,TODAY(),"m")+1)</definedName>
    <definedName name="IntervaloEntradas">OFFSET(Resumo!$B$20,,,DATEDIF(Resumo!$A$20,TODAY(),"m")+1)</definedName>
    <definedName name="IntervaloSaidas">OFFSET(Resumo!$C$20,,,DATEDIF(Resumo!$A$20,TODAY(),"m")+1)</definedName>
    <definedName name="Saídas">Cadastros!$B$2:$B$11</definedName>
    <definedName name="Transferências">Cadastros!$C$2:$C$3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 i="3" l="1"/>
  <c r="G10" i="3"/>
  <c r="B10" i="3"/>
  <c r="A20" i="3" l="1"/>
  <c r="A21" i="3" l="1"/>
  <c r="A22" i="3" l="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C79" i="3" s="1"/>
  <c r="C21" i="3"/>
  <c r="C20" i="3"/>
  <c r="B20" i="3"/>
  <c r="B24" i="3"/>
  <c r="B21" i="3"/>
  <c r="B27" i="3"/>
  <c r="B39" i="3"/>
  <c r="B42" i="3"/>
  <c r="B57" i="3"/>
  <c r="B60" i="3"/>
  <c r="B63" i="3"/>
  <c r="B28" i="3"/>
  <c r="B37" i="3"/>
  <c r="B40" i="3"/>
  <c r="B43" i="3"/>
  <c r="B58" i="3"/>
  <c r="B64" i="3"/>
  <c r="B73" i="3"/>
  <c r="B35" i="3"/>
  <c r="B56" i="3"/>
  <c r="B62" i="3"/>
  <c r="B41" i="3"/>
  <c r="B47" i="3"/>
  <c r="B53" i="3"/>
  <c r="B59" i="3"/>
  <c r="B74" i="3"/>
  <c r="B26" i="3"/>
  <c r="B29" i="3"/>
  <c r="B68" i="3" l="1"/>
  <c r="B61" i="3"/>
  <c r="B72" i="3"/>
  <c r="B36" i="3"/>
  <c r="C68" i="3"/>
  <c r="B79" i="3"/>
  <c r="D79" i="3" s="1"/>
  <c r="B55" i="3"/>
  <c r="B78" i="3"/>
  <c r="B54" i="3"/>
  <c r="C54" i="3"/>
  <c r="B77" i="3"/>
  <c r="B76" i="3"/>
  <c r="B46" i="3"/>
  <c r="B75" i="3"/>
  <c r="B45" i="3"/>
  <c r="B22" i="3"/>
  <c r="C24" i="3"/>
  <c r="D24" i="3" s="1"/>
  <c r="E1" i="6"/>
  <c r="C67" i="3"/>
  <c r="B71" i="3"/>
  <c r="B38" i="3"/>
  <c r="B50" i="3"/>
  <c r="B70" i="3"/>
  <c r="B52" i="3"/>
  <c r="B34" i="3"/>
  <c r="B69" i="3"/>
  <c r="B51" i="3"/>
  <c r="B33" i="3"/>
  <c r="B25" i="3"/>
  <c r="C55" i="3"/>
  <c r="C35" i="3"/>
  <c r="D35" i="3" s="1"/>
  <c r="B65" i="3"/>
  <c r="B32" i="3"/>
  <c r="B44" i="3"/>
  <c r="B67" i="3"/>
  <c r="D67" i="3" s="1"/>
  <c r="B49" i="3"/>
  <c r="B31" i="3"/>
  <c r="B66" i="3"/>
  <c r="B48" i="3"/>
  <c r="B30" i="3"/>
  <c r="B23" i="3"/>
  <c r="C31" i="3"/>
  <c r="C23" i="3"/>
  <c r="C25" i="3"/>
  <c r="C22" i="3"/>
  <c r="C60" i="3"/>
  <c r="C77" i="3"/>
  <c r="D77" i="3" s="1"/>
  <c r="C52" i="3"/>
  <c r="C49" i="3"/>
  <c r="C50" i="3"/>
  <c r="C36" i="3"/>
  <c r="C71" i="3"/>
  <c r="D71" i="3" s="1"/>
  <c r="C44" i="3"/>
  <c r="C26" i="3"/>
  <c r="D26" i="3" s="1"/>
  <c r="C73" i="3"/>
  <c r="D73" i="3" s="1"/>
  <c r="C43" i="3"/>
  <c r="D43" i="3" s="1"/>
  <c r="C72" i="3"/>
  <c r="C30" i="3"/>
  <c r="C53" i="3"/>
  <c r="D53" i="3" s="1"/>
  <c r="C58" i="3"/>
  <c r="D58" i="3" s="1"/>
  <c r="C69" i="3"/>
  <c r="D69" i="3" s="1"/>
  <c r="C46" i="3"/>
  <c r="D46" i="3" s="1"/>
  <c r="C45" i="3"/>
  <c r="D45" i="3" s="1"/>
  <c r="C38" i="3"/>
  <c r="D38" i="3" s="1"/>
  <c r="C61" i="3"/>
  <c r="D61" i="3" s="1"/>
  <c r="C37" i="3"/>
  <c r="D37" i="3" s="1"/>
  <c r="C78" i="3"/>
  <c r="C48" i="3"/>
  <c r="C32" i="3"/>
  <c r="D32" i="3" s="1"/>
  <c r="C47" i="3"/>
  <c r="D47" i="3" s="1"/>
  <c r="C76" i="3"/>
  <c r="C28" i="3"/>
  <c r="D28" i="3" s="1"/>
  <c r="C51" i="3"/>
  <c r="C59" i="3"/>
  <c r="D59" i="3" s="1"/>
  <c r="C29" i="3"/>
  <c r="D29" i="3" s="1"/>
  <c r="C70" i="3"/>
  <c r="D70" i="3" s="1"/>
  <c r="C34" i="3"/>
  <c r="D34" i="3" s="1"/>
  <c r="C75" i="3"/>
  <c r="D75" i="3" s="1"/>
  <c r="C33" i="3"/>
  <c r="C57" i="3"/>
  <c r="D57" i="3" s="1"/>
  <c r="C27" i="3"/>
  <c r="D27" i="3" s="1"/>
  <c r="C66" i="3"/>
  <c r="D66" i="3" s="1"/>
  <c r="C42" i="3"/>
  <c r="D42" i="3" s="1"/>
  <c r="C62" i="3"/>
  <c r="D62" i="3" s="1"/>
  <c r="C65" i="3"/>
  <c r="C41" i="3"/>
  <c r="D41" i="3" s="1"/>
  <c r="C74" i="3"/>
  <c r="D74" i="3" s="1"/>
  <c r="C64" i="3"/>
  <c r="D64" i="3" s="1"/>
  <c r="C40" i="3"/>
  <c r="D40" i="3" s="1"/>
  <c r="C56" i="3"/>
  <c r="D56" i="3" s="1"/>
  <c r="C63" i="3"/>
  <c r="D63" i="3" s="1"/>
  <c r="C39" i="3"/>
  <c r="D39" i="3" s="1"/>
  <c r="D21" i="3"/>
  <c r="D60" i="3"/>
  <c r="D68" i="3"/>
  <c r="D54" i="3"/>
  <c r="D20" i="3"/>
  <c r="D48" i="3" l="1"/>
  <c r="D49" i="3"/>
  <c r="D22" i="3"/>
  <c r="D36" i="3"/>
  <c r="D72" i="3"/>
  <c r="D31" i="3"/>
  <c r="D30" i="3"/>
  <c r="D55" i="3"/>
  <c r="D78" i="3"/>
  <c r="D65" i="3"/>
  <c r="D51" i="3"/>
  <c r="D44" i="3"/>
  <c r="D52" i="3"/>
  <c r="D76" i="3"/>
  <c r="D23" i="3"/>
  <c r="D25" i="3"/>
  <c r="E2" i="6" a="1"/>
  <c r="E2" i="6" s="1"/>
  <c r="E4" i="6" s="1"/>
  <c r="D50" i="3"/>
  <c r="D33" i="3"/>
  <c r="E20" i="3"/>
  <c r="E21" i="3" s="1"/>
  <c r="E22" i="3" l="1"/>
  <c r="E23" i="3" s="1"/>
  <c r="E24" i="3" s="1"/>
  <c r="E25" i="3" s="1"/>
  <c r="E26" i="3" s="1"/>
  <c r="E27" i="3" s="1"/>
  <c r="E28" i="3" s="1"/>
  <c r="E29" i="3" s="1"/>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57" i="3" s="1"/>
  <c r="E58" i="3" s="1"/>
  <c r="E59" i="3" s="1"/>
  <c r="E60" i="3" s="1"/>
  <c r="E61" i="3" s="1"/>
  <c r="E62" i="3" s="1"/>
  <c r="E63" i="3" s="1"/>
  <c r="E64" i="3" s="1"/>
  <c r="E65" i="3" s="1"/>
  <c r="E66" i="3" s="1"/>
  <c r="E67" i="3" s="1"/>
  <c r="E68" i="3" s="1"/>
  <c r="E69" i="3" s="1"/>
  <c r="E70" i="3" s="1"/>
  <c r="E71" i="3" s="1"/>
  <c r="E72" i="3" s="1"/>
  <c r="E73" i="3" s="1"/>
  <c r="E74" i="3" s="1"/>
  <c r="E75" i="3" s="1"/>
  <c r="E76" i="3" s="1"/>
  <c r="E77" i="3" s="1"/>
  <c r="E78" i="3" s="1"/>
  <c r="E79" i="3" s="1"/>
  <c r="K2" i="1" l="1"/>
  <c r="K3" i="1" s="1"/>
  <c r="K4" i="1" s="1"/>
  <c r="K5" i="1" s="1"/>
  <c r="K6" i="1" s="1"/>
  <c r="K7" i="1" s="1"/>
  <c r="K8" i="1" s="1"/>
  <c r="K9" i="1" s="1"/>
  <c r="K10" i="1" s="1"/>
  <c r="K11" i="1" s="1"/>
  <c r="K12" i="1" s="1"/>
  <c r="K13" i="1" s="1"/>
  <c r="K14" i="1" s="1"/>
  <c r="K15" i="1" s="1"/>
  <c r="K16" i="1" s="1"/>
  <c r="K17" i="1" s="1"/>
  <c r="K18" i="1" s="1"/>
  <c r="K19" i="1" s="1"/>
  <c r="K20" i="1" s="1"/>
  <c r="K21" i="1" s="1"/>
  <c r="K22" i="1" s="1"/>
  <c r="K23" i="1" s="1"/>
  <c r="K24" i="1" s="1"/>
  <c r="K25" i="1" s="1"/>
  <c r="K26" i="1" s="1"/>
  <c r="K27" i="1" s="1"/>
  <c r="K28" i="1" s="1"/>
  <c r="K29" i="1" s="1"/>
  <c r="K30" i="1" s="1"/>
  <c r="K31" i="1" s="1"/>
  <c r="K32" i="1" s="1"/>
  <c r="K33" i="1" s="1"/>
  <c r="K34" i="1" s="1"/>
  <c r="K35" i="1" s="1"/>
  <c r="K36" i="1" s="1"/>
  <c r="K37" i="1" s="1"/>
  <c r="K38" i="1" s="1"/>
  <c r="K39" i="1" s="1"/>
  <c r="K40" i="1" s="1"/>
  <c r="K41" i="1" s="1"/>
  <c r="K42" i="1" s="1"/>
  <c r="K43" i="1" s="1"/>
  <c r="K44" i="1" s="1"/>
  <c r="K45" i="1" s="1"/>
  <c r="K46" i="1" s="1"/>
  <c r="K47" i="1" s="1"/>
  <c r="K48" i="1" s="1"/>
  <c r="K49" i="1" s="1"/>
  <c r="K50" i="1" s="1"/>
  <c r="K51" i="1" s="1"/>
  <c r="K52" i="1" s="1"/>
  <c r="K53" i="1" s="1"/>
  <c r="K54" i="1" s="1"/>
  <c r="K55" i="1" s="1"/>
  <c r="K56" i="1" s="1"/>
  <c r="K57" i="1" s="1"/>
  <c r="K58" i="1" s="1"/>
  <c r="K59" i="1" s="1"/>
  <c r="K60" i="1" s="1"/>
  <c r="K61" i="1" s="1"/>
  <c r="K62" i="1" s="1"/>
  <c r="K63" i="1" s="1"/>
  <c r="K64" i="1" s="1"/>
  <c r="K65" i="1" s="1"/>
  <c r="K66" i="1" s="1"/>
  <c r="K67" i="1" s="1"/>
  <c r="K68" i="1" s="1"/>
  <c r="K69" i="1" s="1"/>
  <c r="K70" i="1" s="1"/>
  <c r="K71" i="1" s="1"/>
  <c r="K72" i="1" s="1"/>
  <c r="K73" i="1" s="1"/>
  <c r="K74" i="1" s="1"/>
  <c r="K75" i="1" s="1"/>
  <c r="K76" i="1" s="1"/>
  <c r="K77" i="1" s="1"/>
  <c r="K78" i="1" s="1"/>
  <c r="K79" i="1" s="1"/>
  <c r="K80" i="1" s="1"/>
  <c r="K81" i="1" s="1"/>
  <c r="K82" i="1" s="1"/>
  <c r="K83" i="1" s="1"/>
  <c r="K84" i="1" s="1"/>
  <c r="K85" i="1" s="1"/>
  <c r="K86" i="1" s="1"/>
  <c r="K87" i="1" s="1"/>
  <c r="K88" i="1" s="1"/>
  <c r="K89" i="1" s="1"/>
  <c r="K90" i="1" s="1"/>
  <c r="K91" i="1" s="1"/>
  <c r="K92" i="1" s="1"/>
  <c r="K93" i="1" s="1"/>
  <c r="K94" i="1" s="1"/>
  <c r="K95" i="1" s="1"/>
  <c r="K96" i="1" s="1"/>
  <c r="K97" i="1" s="1"/>
  <c r="K98" i="1" s="1"/>
  <c r="K99" i="1" s="1"/>
  <c r="K100" i="1" s="1"/>
  <c r="K101" i="1" s="1"/>
  <c r="K102" i="1" s="1"/>
  <c r="L2" i="1"/>
  <c r="L3" i="1" s="1"/>
  <c r="L4" i="1" s="1"/>
  <c r="L5" i="1" s="1"/>
  <c r="L6" i="1" s="1"/>
  <c r="L7" i="1" s="1"/>
  <c r="L8" i="1" s="1"/>
  <c r="L9" i="1" s="1"/>
  <c r="L10" i="1" s="1"/>
  <c r="L11" i="1" s="1"/>
  <c r="L12" i="1" s="1"/>
  <c r="L13" i="1" s="1"/>
  <c r="L14" i="1" s="1"/>
  <c r="L15" i="1" s="1"/>
  <c r="L16" i="1" s="1"/>
  <c r="L17" i="1" s="1"/>
  <c r="L18" i="1" s="1"/>
  <c r="L19" i="1" s="1"/>
  <c r="L20" i="1" s="1"/>
  <c r="L21" i="1" s="1"/>
  <c r="L22" i="1" s="1"/>
  <c r="L23" i="1" s="1"/>
  <c r="L24" i="1" s="1"/>
  <c r="L25" i="1" s="1"/>
  <c r="L26" i="1" s="1"/>
  <c r="L27" i="1" s="1"/>
  <c r="L28" i="1" s="1"/>
  <c r="L29" i="1" s="1"/>
  <c r="L30" i="1" s="1"/>
  <c r="L31" i="1" s="1"/>
  <c r="L32" i="1" s="1"/>
  <c r="L33" i="1" s="1"/>
  <c r="L34" i="1" s="1"/>
  <c r="L35" i="1" s="1"/>
  <c r="L36" i="1" s="1"/>
  <c r="L37" i="1" s="1"/>
  <c r="L38" i="1" s="1"/>
  <c r="L39" i="1" s="1"/>
  <c r="L40" i="1" s="1"/>
  <c r="L41" i="1" s="1"/>
  <c r="L42" i="1" s="1"/>
  <c r="L43" i="1" s="1"/>
  <c r="L44" i="1" s="1"/>
  <c r="L45" i="1" s="1"/>
  <c r="L46" i="1" s="1"/>
  <c r="L47" i="1" s="1"/>
  <c r="L48" i="1" s="1"/>
  <c r="L49" i="1" s="1"/>
  <c r="L50" i="1" s="1"/>
  <c r="L51" i="1" s="1"/>
  <c r="L52" i="1" s="1"/>
  <c r="L53" i="1" s="1"/>
  <c r="L54" i="1" s="1"/>
  <c r="L55" i="1" s="1"/>
  <c r="L56" i="1" s="1"/>
  <c r="L57" i="1" s="1"/>
  <c r="L58" i="1" s="1"/>
  <c r="L59" i="1" s="1"/>
  <c r="L60" i="1" s="1"/>
  <c r="L61" i="1" s="1"/>
  <c r="L62" i="1" s="1"/>
  <c r="L63" i="1" s="1"/>
  <c r="L64" i="1" s="1"/>
  <c r="L65" i="1" s="1"/>
  <c r="L66" i="1" s="1"/>
  <c r="L67" i="1" s="1"/>
  <c r="L68" i="1" s="1"/>
  <c r="L69" i="1" s="1"/>
  <c r="L70" i="1" s="1"/>
  <c r="L71" i="1" s="1"/>
  <c r="L72" i="1" s="1"/>
  <c r="L73" i="1" s="1"/>
  <c r="L74" i="1" s="1"/>
  <c r="L75" i="1" s="1"/>
  <c r="L76" i="1" s="1"/>
  <c r="L77" i="1" s="1"/>
  <c r="L78" i="1" s="1"/>
  <c r="L79" i="1" s="1"/>
  <c r="L80" i="1" s="1"/>
  <c r="L81" i="1" s="1"/>
  <c r="L82" i="1" s="1"/>
  <c r="L83" i="1" s="1"/>
  <c r="L84" i="1" s="1"/>
  <c r="L85" i="1" s="1"/>
  <c r="L86" i="1" s="1"/>
  <c r="L87" i="1" s="1"/>
  <c r="L88" i="1" s="1"/>
  <c r="L89" i="1" s="1"/>
  <c r="L90" i="1" s="1"/>
  <c r="L91" i="1" s="1"/>
  <c r="L92" i="1" s="1"/>
  <c r="L93" i="1" s="1"/>
  <c r="L94" i="1" s="1"/>
  <c r="L95" i="1" s="1"/>
  <c r="L96" i="1" s="1"/>
  <c r="L97" i="1" s="1"/>
  <c r="L98" i="1" s="1"/>
  <c r="L99" i="1" s="1"/>
  <c r="L100" i="1" s="1"/>
  <c r="L101" i="1" s="1"/>
  <c r="L102" i="1" s="1"/>
</calcChain>
</file>

<file path=xl/sharedStrings.xml><?xml version="1.0" encoding="utf-8"?>
<sst xmlns="http://schemas.openxmlformats.org/spreadsheetml/2006/main" count="893" uniqueCount="186">
  <si>
    <t>Data</t>
  </si>
  <si>
    <t>Classificação</t>
  </si>
  <si>
    <t>Descrição</t>
  </si>
  <si>
    <t>Favorecido</t>
  </si>
  <si>
    <t>Centro de Custos</t>
  </si>
  <si>
    <t>Status</t>
  </si>
  <si>
    <t>Conta</t>
  </si>
  <si>
    <t>Valor</t>
  </si>
  <si>
    <t>Acumulado</t>
  </si>
  <si>
    <t>Movimentação</t>
  </si>
  <si>
    <t>Outras entradas</t>
  </si>
  <si>
    <t>Receitas financeiras</t>
  </si>
  <si>
    <t>Receita de serviços</t>
  </si>
  <si>
    <t>Receita de vendas</t>
  </si>
  <si>
    <t>Entradas</t>
  </si>
  <si>
    <t>Saídas</t>
  </si>
  <si>
    <t>Transferências</t>
  </si>
  <si>
    <t>Transferências (Entradas)</t>
  </si>
  <si>
    <t>Transferências (Saídas)</t>
  </si>
  <si>
    <t>Despesa com produtos</t>
  </si>
  <si>
    <t>Despesa com serviços</t>
  </si>
  <si>
    <t>Despesa com pessoal</t>
  </si>
  <si>
    <t>Despesas comerciais</t>
  </si>
  <si>
    <t>Despesas administrativas</t>
  </si>
  <si>
    <t>Despesas financeiras</t>
  </si>
  <si>
    <t>Impostos</t>
  </si>
  <si>
    <t>Investimentos</t>
  </si>
  <si>
    <t>Retirada de sócios</t>
  </si>
  <si>
    <t>Outras saídas</t>
  </si>
  <si>
    <t>Documento</t>
  </si>
  <si>
    <t>Favorecidos</t>
  </si>
  <si>
    <t>Administrativo</t>
  </si>
  <si>
    <t>Financeiro</t>
  </si>
  <si>
    <t>Comercial</t>
  </si>
  <si>
    <t>Operacional</t>
  </si>
  <si>
    <t>Marketing</t>
  </si>
  <si>
    <t>Favorecido 1</t>
  </si>
  <si>
    <t>Favorecido 2</t>
  </si>
  <si>
    <t>Favorecido 3</t>
  </si>
  <si>
    <t>Contas</t>
  </si>
  <si>
    <t>Conta 1</t>
  </si>
  <si>
    <t>Conta 2</t>
  </si>
  <si>
    <t>Conta 3</t>
  </si>
  <si>
    <t>Acum. (Previsão)</t>
  </si>
  <si>
    <t>Meses</t>
  </si>
  <si>
    <t>Variação</t>
  </si>
  <si>
    <t>Produto A</t>
  </si>
  <si>
    <t>Produto B</t>
  </si>
  <si>
    <t>Produto C</t>
  </si>
  <si>
    <t>Produto D</t>
  </si>
  <si>
    <t>Produto E</t>
  </si>
  <si>
    <t>NF 3357</t>
  </si>
  <si>
    <t>Pago</t>
  </si>
  <si>
    <t>NF 6547</t>
  </si>
  <si>
    <t>NF 3862</t>
  </si>
  <si>
    <t>NF 3730</t>
  </si>
  <si>
    <t>NF 5566</t>
  </si>
  <si>
    <t>NF 1981</t>
  </si>
  <si>
    <t>NF 7023</t>
  </si>
  <si>
    <t>NF 1712</t>
  </si>
  <si>
    <t>NF 2259</t>
  </si>
  <si>
    <t>NF 7606</t>
  </si>
  <si>
    <t>NF 9361</t>
  </si>
  <si>
    <t>NF 1691</t>
  </si>
  <si>
    <t>NF 2121</t>
  </si>
  <si>
    <t>NF 7851</t>
  </si>
  <si>
    <t>NF 7325</t>
  </si>
  <si>
    <t>NF 1807</t>
  </si>
  <si>
    <t>NF 1988</t>
  </si>
  <si>
    <t>NF 9820</t>
  </si>
  <si>
    <t>NF 6573</t>
  </si>
  <si>
    <t>NF 9990</t>
  </si>
  <si>
    <t>NF 8512</t>
  </si>
  <si>
    <t>NF 8895</t>
  </si>
  <si>
    <t>NF 6829</t>
  </si>
  <si>
    <t>NF 3343</t>
  </si>
  <si>
    <t>NF 5235</t>
  </si>
  <si>
    <t>NF 1329</t>
  </si>
  <si>
    <t>NF 6060</t>
  </si>
  <si>
    <t>NF 5112</t>
  </si>
  <si>
    <t>NF 1411</t>
  </si>
  <si>
    <t>NF 2976</t>
  </si>
  <si>
    <t>NF 7715</t>
  </si>
  <si>
    <t>NF 8547</t>
  </si>
  <si>
    <t>NF 9716</t>
  </si>
  <si>
    <t>NF 8431</t>
  </si>
  <si>
    <t>NF 7810</t>
  </si>
  <si>
    <t>NF 3521</t>
  </si>
  <si>
    <t>NF 2783</t>
  </si>
  <si>
    <t>NF 5312</t>
  </si>
  <si>
    <t>NF 3175</t>
  </si>
  <si>
    <t>NF 7485</t>
  </si>
  <si>
    <t>NF 9522</t>
  </si>
  <si>
    <t>NF 3582</t>
  </si>
  <si>
    <t>NF 6194</t>
  </si>
  <si>
    <t>NF 9449</t>
  </si>
  <si>
    <t>NF 5098</t>
  </si>
  <si>
    <t>NF 7861</t>
  </si>
  <si>
    <t>NF 7034</t>
  </si>
  <si>
    <t>NF 5126</t>
  </si>
  <si>
    <t>NF 9532</t>
  </si>
  <si>
    <t>NF 6970</t>
  </si>
  <si>
    <t>NF 4080</t>
  </si>
  <si>
    <t>NF 3655</t>
  </si>
  <si>
    <t>NF 3983</t>
  </si>
  <si>
    <t>NF 7201</t>
  </si>
  <si>
    <t>NF 4042</t>
  </si>
  <si>
    <t>NF 2749</t>
  </si>
  <si>
    <t>NF 9791</t>
  </si>
  <si>
    <t>NF 5426</t>
  </si>
  <si>
    <t>NF 3102</t>
  </si>
  <si>
    <t>NF 9208</t>
  </si>
  <si>
    <t>NF 5294</t>
  </si>
  <si>
    <t>NF 2334</t>
  </si>
  <si>
    <t>NF 3249</t>
  </si>
  <si>
    <t>NF 9483</t>
  </si>
  <si>
    <t>NF 8969</t>
  </si>
  <si>
    <t>NF 6025</t>
  </si>
  <si>
    <t>NF 6378</t>
  </si>
  <si>
    <t>NF 9517</t>
  </si>
  <si>
    <t>NF 8927</t>
  </si>
  <si>
    <t>NF 9942</t>
  </si>
  <si>
    <t>NF 4665</t>
  </si>
  <si>
    <t>NF 7372</t>
  </si>
  <si>
    <t>NF 8024</t>
  </si>
  <si>
    <t>NF 2980</t>
  </si>
  <si>
    <t>NF 8393</t>
  </si>
  <si>
    <t>NF 7871</t>
  </si>
  <si>
    <t>NF 7714</t>
  </si>
  <si>
    <t>NF 2568</t>
  </si>
  <si>
    <t>NF 9853</t>
  </si>
  <si>
    <t>NF 3277</t>
  </si>
  <si>
    <t>NF 2440</t>
  </si>
  <si>
    <t>NF 5870</t>
  </si>
  <si>
    <t>NF 6882</t>
  </si>
  <si>
    <t>NF 2162</t>
  </si>
  <si>
    <t>NF 4136</t>
  </si>
  <si>
    <t>NF 9992</t>
  </si>
  <si>
    <t>NF 4152</t>
  </si>
  <si>
    <t>NF 5265</t>
  </si>
  <si>
    <t>NF 5853</t>
  </si>
  <si>
    <t>NF 9610</t>
  </si>
  <si>
    <t>NF 5115</t>
  </si>
  <si>
    <t>NF 6843</t>
  </si>
  <si>
    <t>NF 6889</t>
  </si>
  <si>
    <t>NF 1351</t>
  </si>
  <si>
    <t>NF 1017</t>
  </si>
  <si>
    <t>NF 6487</t>
  </si>
  <si>
    <t>NF 4059</t>
  </si>
  <si>
    <t>NF 2792</t>
  </si>
  <si>
    <t>NF 9189</t>
  </si>
  <si>
    <t>NF 7680</t>
  </si>
  <si>
    <t>NF 7003</t>
  </si>
  <si>
    <t>janeiro</t>
  </si>
  <si>
    <t>fevereiro</t>
  </si>
  <si>
    <t>março</t>
  </si>
  <si>
    <t>abril</t>
  </si>
  <si>
    <t>maio</t>
  </si>
  <si>
    <t>junho</t>
  </si>
  <si>
    <t>julho</t>
  </si>
  <si>
    <t>agosto</t>
  </si>
  <si>
    <t>setembro</t>
  </si>
  <si>
    <t>outubro</t>
  </si>
  <si>
    <t>novembro</t>
  </si>
  <si>
    <t>dezembro</t>
  </si>
  <si>
    <t>Saldo Final</t>
  </si>
  <si>
    <t>Mín</t>
  </si>
  <si>
    <t>Máx</t>
  </si>
  <si>
    <t>Título</t>
  </si>
  <si>
    <t>Aba Fluxo de Caixa</t>
  </si>
  <si>
    <t>Aba Resumo</t>
  </si>
  <si>
    <t>Resumo Fluxo de Caixa</t>
  </si>
  <si>
    <t>Resumo Fluxo de Caixa Mensal</t>
  </si>
  <si>
    <t>Antes de começar, lembre de habilitar as macros da planilha assim que ela for aberta. Se você não estiver conseguindo habilitar, vá até a guia Arquivo - Opções - Central de Confiabilidade - Configurações da Central de Confiabilidade - Configurações de Macro - Habilitar todas as macros.</t>
  </si>
  <si>
    <t>Aba Cadastros</t>
  </si>
  <si>
    <t>Nessa aba você pode informar quais são as classificações de cada tipo de movimentação, centro de custos, favorecidos e contas você possui na sua empresa. Para incluir um novo tipo, basta escrever na primeira linha vazia da coluna correspondente.
Sempre lembre de deixar pelo menos uma opção de classificação por tipo. Salve a planilha antes de realizar qualquer modificação nessa aba, porque não será possível voltar atrás depois de nenhuma modificação.</t>
  </si>
  <si>
    <t>Na aba de Resumo você poderá ver como está o fluxo de caixa da sua empresa. Você poderá realizar essa análise tanto através dos números (disponíveis na tabela que contém as entradas, saídas, variação do mês e saldo acumulado) como pelo gráfico que mostra as entradas e saídas para cada mês de análise.
Para a análise do Saldo Final de uma conta específica você precisa apenas informar qual a conta que quer analisar e inserir a data desejada.
Para alterar o mês inicial do gráfico, basta informar na parte de Resumo Fluxo de Caixa Mensal qual é o mês e o ano desejados que o gráfico e a tabela se modificarão de forma automática (o último mês de análise é sempre o mês atual).</t>
  </si>
  <si>
    <t>Comece por aqui</t>
  </si>
  <si>
    <r>
      <t xml:space="preserve">Nessa aba você vai poder realizar todas as movimentações que afetam o seu caixa. Para cada movimentação, você precisa preencher todas as colunas com as informações correspondentes à movimentação.
Para inserir novas informações, basta ir até a primeira linha vazia da tabela e começar preenchendo a data que todas as fórmulas e formatações vão ser copiadas da linha de cima. Depois disso, você precisa informar qual o tipo da movimentação (entrada, saída ou transferência). Selecionando o tipo da movimentação, você vai ter várias opções de classificação para esse tipo (opções presentes na aba de Cadastros). Você pode registrar qual documento corresponde a essa movimentação e adicionar uma descrição também.
O favorecido e o centro de custos dessa movimentação também são opções que foram preenchidas previamente na aba de Cadastros.
Por fim, você precisa informar se a movimentação está "Em aberto" ou se está "Pago", informar a conta de onde essa movimentação foi realizada (as opções também estão na aba de Cadastros) e inserir o valor (sempre positivo).
</t>
    </r>
    <r>
      <rPr>
        <b/>
        <sz val="11"/>
        <color theme="1"/>
        <rFont val="Calibri"/>
        <family val="2"/>
        <scheme val="minor"/>
      </rPr>
      <t>PS:</t>
    </r>
    <r>
      <rPr>
        <sz val="11"/>
        <color theme="1"/>
        <rFont val="Calibri"/>
        <family val="2"/>
        <scheme val="minor"/>
      </rPr>
      <t xml:space="preserve"> Para começar a utilizar a planilha sem os valores aleatórios que inserimos, basta deletar clicar no botão abaixo
</t>
    </r>
    <r>
      <rPr>
        <b/>
        <sz val="11"/>
        <color theme="1"/>
        <rFont val="Calibri"/>
        <family val="2"/>
        <scheme val="minor"/>
      </rPr>
      <t>PS2:</t>
    </r>
    <r>
      <rPr>
        <sz val="11"/>
        <color theme="1"/>
        <rFont val="Calibri"/>
        <family val="2"/>
        <scheme val="minor"/>
      </rPr>
      <t xml:space="preserve"> Para alterar as cores da tabela da aba fluxo de caixa, basta clicar em qualquer célula dentro da tabela, ir na guia Página Inicial e procurar a ferramenta "Formatar como Tabela" ao lado de Formatação Condicional. Feito isso, basta escolher um esquema de cores que lhe agrade e selecionar essa opção.</t>
    </r>
  </si>
  <si>
    <t>Resumo Geral</t>
  </si>
  <si>
    <t>Total Saídas</t>
  </si>
  <si>
    <t>Total Entradas</t>
  </si>
  <si>
    <t>Selecionar Conta</t>
  </si>
  <si>
    <t>Selecionar Data</t>
  </si>
  <si>
    <t>Selecione o Mês</t>
  </si>
  <si>
    <t>Selecione o Ano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</si>
</sst>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R$&quot;\ * #,##0.00_-;\-&quot;R$&quot;\ * #,##0.00_-;_-&quot;R$&quot;\ * &quot;-&quot;??_-;_-@_-"/>
    <numFmt numFmtId="164" formatCode="_-&quot;R$&quot;\ * #,##0_-;\-&quot;R$&quot;\ * #,##0_-;_-&quot;R$&quot;\ * &quot;-&quot;??_-;_-@_-"/>
    <numFmt numFmtId="165" formatCode="&quot;R$&quot;\ #,##0.00"/>
  </numFmts>
  <fonts count="1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sz val="11"/>
      <color theme="0"/>
      <name val="Calibri"/>
      <family val="2"/>
      <scheme val="minor"/>
    </font>
    <font>
      <sz val="8"/>
      <name val="Calibri"/>
      <family val="2"/>
      <scheme val="minor"/>
    </font>
    <font>
      <sz val="12"/>
      <color theme="1"/>
      <name val="Calibri"/>
      <family val="2"/>
      <scheme val="minor"/>
    </font>
    <font>
      <b/>
      <sz val="20"/>
      <color theme="0"/>
      <name val="Calibri"/>
      <family val="2"/>
      <scheme val="minor"/>
    </font>
    <font>
      <b/>
      <sz val="16"/>
      <color theme="1"/>
      <name val="Calibri"/>
      <family val="2"/>
      <scheme val="minor"/>
    </font>
    <font>
      <b/>
      <sz val="18"/>
      <color theme="1"/>
      <name val="Calibri"/>
      <family val="2"/>
      <scheme val="minor"/>
    </font>
    <font>
      <b/>
      <sz val="11"/>
      <name val="Calibri"/>
      <family val="2"/>
      <scheme val="minor"/>
    </font>
  </fonts>
  <fills count="9">
    <fill>
      <patternFill patternType="none"/>
    </fill>
    <fill>
      <patternFill patternType="gray125"/>
    </fill>
    <fill>
      <patternFill patternType="solid">
        <fgColor theme="1" tint="0.14999847407452621"/>
        <bgColor theme="4"/>
      </patternFill>
    </fill>
    <fill>
      <patternFill patternType="solid">
        <fgColor theme="1" tint="0.14999847407452621"/>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rgb="FF00B050"/>
        <bgColor theme="4"/>
      </patternFill>
    </fill>
    <fill>
      <patternFill patternType="solid">
        <fgColor rgb="FFC00000"/>
        <bgColor theme="4"/>
      </patternFill>
    </fill>
    <fill>
      <patternFill patternType="solid">
        <fgColor theme="7"/>
        <bgColor theme="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style="thin">
        <color theme="0"/>
      </bottom>
      <diagonal/>
    </border>
    <border>
      <left/>
      <right style="thin">
        <color indexed="64"/>
      </right>
      <top/>
      <bottom style="thin">
        <color theme="0"/>
      </bottom>
      <diagonal/>
    </border>
    <border>
      <left style="thin">
        <color indexed="64"/>
      </left>
      <right/>
      <top style="thin">
        <color theme="0"/>
      </top>
      <bottom/>
      <diagonal/>
    </border>
    <border>
      <left/>
      <right style="thin">
        <color indexed="64"/>
      </right>
      <top style="thin">
        <color theme="0"/>
      </top>
      <bottom/>
      <diagonal/>
    </border>
  </borders>
  <cellStyleXfs count="2">
    <xf numFmtId="0" fontId="0" fillId="0" borderId="0"/>
    <xf numFmtId="44" fontId="1" fillId="0" borderId="0" applyFont="0" applyFill="0" applyBorder="0" applyAlignment="0" applyProtection="0"/>
  </cellStyleXfs>
  <cellXfs count="59">
    <xf numFmtId="0" fontId="0" fillId="0" borderId="0" xfId="0"/>
    <xf numFmtId="14" fontId="0" fillId="0" borderId="0" xfId="0" applyNumberFormat="1"/>
    <xf numFmtId="0" fontId="3" fillId="0" borderId="0" xfId="0" applyFont="1" applyAlignment="1">
      <alignment horizontal="center"/>
    </xf>
    <xf numFmtId="14" fontId="0" fillId="0" borderId="0" xfId="0" applyNumberFormat="1" applyAlignment="1">
      <alignment horizontal="center"/>
    </xf>
    <xf numFmtId="0" fontId="0" fillId="0" borderId="0" xfId="0" applyAlignment="1">
      <alignment horizontal="center"/>
    </xf>
    <xf numFmtId="44" fontId="0" fillId="0" borderId="0" xfId="1" applyFont="1"/>
    <xf numFmtId="16" fontId="0" fillId="0" borderId="0" xfId="0" applyNumberFormat="1"/>
    <xf numFmtId="44" fontId="0" fillId="0" borderId="0" xfId="1" applyNumberFormat="1" applyFont="1"/>
    <xf numFmtId="44" fontId="0" fillId="0" borderId="0" xfId="1" applyNumberFormat="1" applyFont="1" applyAlignment="1">
      <alignment horizontal="center"/>
    </xf>
    <xf numFmtId="0" fontId="4" fillId="0" borderId="0" xfId="0" applyFont="1"/>
    <xf numFmtId="44" fontId="4" fillId="0" borderId="0" xfId="0" applyNumberFormat="1" applyFont="1"/>
    <xf numFmtId="3" fontId="0" fillId="0" borderId="0" xfId="0" applyNumberFormat="1"/>
    <xf numFmtId="0" fontId="2" fillId="2" borderId="1" xfId="0" applyFont="1" applyFill="1" applyBorder="1" applyAlignment="1">
      <alignment horizontal="center"/>
    </xf>
    <xf numFmtId="0" fontId="2" fillId="2" borderId="2" xfId="0" applyFont="1" applyFill="1" applyBorder="1" applyAlignment="1">
      <alignment horizontal="center"/>
    </xf>
    <xf numFmtId="164" fontId="5" fillId="0" borderId="0" xfId="1" applyNumberFormat="1" applyFont="1" applyBorder="1"/>
    <xf numFmtId="164" fontId="5" fillId="0" borderId="0" xfId="0" applyNumberFormat="1" applyFont="1" applyBorder="1"/>
    <xf numFmtId="0" fontId="5" fillId="0" borderId="0" xfId="0" applyFont="1" applyBorder="1" applyAlignment="1">
      <alignment horizontal="center"/>
    </xf>
    <xf numFmtId="0" fontId="2" fillId="3" borderId="2" xfId="0" applyFont="1" applyFill="1" applyBorder="1" applyAlignment="1">
      <alignment horizontal="center"/>
    </xf>
    <xf numFmtId="15" fontId="0" fillId="0" borderId="0" xfId="0" applyNumberFormat="1"/>
    <xf numFmtId="0" fontId="0" fillId="0" borderId="0" xfId="0" applyNumberFormat="1"/>
    <xf numFmtId="0" fontId="7" fillId="0" borderId="0" xfId="0" applyFont="1"/>
    <xf numFmtId="0" fontId="4" fillId="4" borderId="1" xfId="0" applyFont="1" applyFill="1" applyBorder="1" applyAlignment="1" applyProtection="1">
      <alignment horizontal="center"/>
      <protection locked="0"/>
    </xf>
    <xf numFmtId="14" fontId="4" fillId="4" borderId="1" xfId="0" applyNumberFormat="1" applyFont="1" applyFill="1" applyBorder="1" applyAlignment="1" applyProtection="1">
      <alignment horizontal="center"/>
      <protection locked="0"/>
    </xf>
    <xf numFmtId="0" fontId="4" fillId="4" borderId="1" xfId="0" applyNumberFormat="1" applyFont="1" applyFill="1" applyBorder="1" applyAlignment="1" applyProtection="1">
      <alignment horizontal="center"/>
      <protection locked="0"/>
    </xf>
    <xf numFmtId="0" fontId="0" fillId="0" borderId="0" xfId="0" applyAlignment="1">
      <alignment horizontal="center" wrapText="1"/>
    </xf>
    <xf numFmtId="0" fontId="0" fillId="0" borderId="0" xfId="0" applyFont="1" applyAlignment="1">
      <alignment horizontal="center" wrapText="1"/>
    </xf>
    <xf numFmtId="0" fontId="2" fillId="3" borderId="0" xfId="0" applyFont="1" applyFill="1" applyAlignment="1">
      <alignment horizontal="center" wrapText="1"/>
    </xf>
    <xf numFmtId="0" fontId="0" fillId="0" borderId="0" xfId="0" applyBorder="1"/>
    <xf numFmtId="0" fontId="4" fillId="0" borderId="0" xfId="0" applyFont="1" applyBorder="1"/>
    <xf numFmtId="17" fontId="5" fillId="0" borderId="0" xfId="0" applyNumberFormat="1" applyFont="1" applyFill="1" applyBorder="1" applyAlignment="1">
      <alignment horizontal="center"/>
    </xf>
    <xf numFmtId="17" fontId="5" fillId="0" borderId="0" xfId="0" applyNumberFormat="1" applyFont="1" applyBorder="1" applyAlignment="1">
      <alignment horizontal="center"/>
    </xf>
    <xf numFmtId="165" fontId="10" fillId="0" borderId="10" xfId="1" applyNumberFormat="1" applyFont="1" applyBorder="1" applyAlignment="1">
      <alignment horizontal="center" vertical="center"/>
    </xf>
    <xf numFmtId="165" fontId="10" fillId="0" borderId="14" xfId="1" applyNumberFormat="1" applyFont="1" applyBorder="1" applyAlignment="1">
      <alignment horizontal="center" vertical="center"/>
    </xf>
    <xf numFmtId="165" fontId="10" fillId="0" borderId="11" xfId="1" applyNumberFormat="1" applyFont="1" applyBorder="1" applyAlignment="1">
      <alignment horizontal="center" vertical="center"/>
    </xf>
    <xf numFmtId="165" fontId="10" fillId="0" borderId="12" xfId="1" applyNumberFormat="1" applyFont="1" applyBorder="1" applyAlignment="1">
      <alignment horizontal="center" vertical="center"/>
    </xf>
    <xf numFmtId="165" fontId="10" fillId="0" borderId="3" xfId="1" applyNumberFormat="1" applyFont="1" applyBorder="1" applyAlignment="1">
      <alignment horizontal="center" vertical="center"/>
    </xf>
    <xf numFmtId="165" fontId="10" fillId="0" borderId="13" xfId="1" applyNumberFormat="1" applyFont="1" applyBorder="1" applyAlignment="1">
      <alignment horizontal="center" vertical="center"/>
    </xf>
    <xf numFmtId="0" fontId="2" fillId="2" borderId="15" xfId="0" applyFont="1" applyFill="1" applyBorder="1" applyAlignment="1">
      <alignment horizontal="center"/>
    </xf>
    <xf numFmtId="0" fontId="2" fillId="2" borderId="16" xfId="0" applyFont="1" applyFill="1" applyBorder="1" applyAlignment="1">
      <alignment horizontal="center"/>
    </xf>
    <xf numFmtId="0" fontId="2" fillId="2" borderId="17" xfId="0" applyFont="1" applyFill="1" applyBorder="1" applyAlignment="1">
      <alignment horizontal="center"/>
    </xf>
    <xf numFmtId="0" fontId="2" fillId="2" borderId="18" xfId="0" applyFont="1" applyFill="1" applyBorder="1" applyAlignment="1">
      <alignment horizontal="center"/>
    </xf>
    <xf numFmtId="0" fontId="9" fillId="5" borderId="7" xfId="0" applyFont="1" applyFill="1" applyBorder="1" applyAlignment="1">
      <alignment horizontal="center" vertical="center"/>
    </xf>
    <xf numFmtId="0" fontId="9" fillId="5" borderId="8" xfId="0" applyFont="1" applyFill="1" applyBorder="1" applyAlignment="1">
      <alignment horizontal="center" vertical="center"/>
    </xf>
    <xf numFmtId="0" fontId="9" fillId="5" borderId="9" xfId="0" applyFont="1" applyFill="1" applyBorder="1" applyAlignment="1">
      <alignment horizontal="center" vertical="center"/>
    </xf>
    <xf numFmtId="0" fontId="2" fillId="7" borderId="4" xfId="0" applyFont="1" applyFill="1" applyBorder="1" applyAlignment="1">
      <alignment horizontal="center" vertical="center"/>
    </xf>
    <xf numFmtId="0" fontId="2" fillId="7" borderId="6" xfId="0" applyFont="1" applyFill="1" applyBorder="1" applyAlignment="1">
      <alignment horizontal="center" vertical="center"/>
    </xf>
    <xf numFmtId="0" fontId="2" fillId="7" borderId="5" xfId="0" applyFont="1" applyFill="1" applyBorder="1" applyAlignment="1">
      <alignment horizontal="center" vertical="center"/>
    </xf>
    <xf numFmtId="0" fontId="2" fillId="6" borderId="4" xfId="0" applyFont="1" applyFill="1" applyBorder="1" applyAlignment="1">
      <alignment horizontal="center" vertical="center"/>
    </xf>
    <xf numFmtId="0" fontId="2" fillId="6" borderId="6" xfId="0" applyFont="1" applyFill="1" applyBorder="1" applyAlignment="1">
      <alignment horizontal="center" vertical="center"/>
    </xf>
    <xf numFmtId="0" fontId="2" fillId="6" borderId="5" xfId="0" applyFont="1" applyFill="1" applyBorder="1" applyAlignment="1">
      <alignment horizontal="center" vertical="center"/>
    </xf>
    <xf numFmtId="0" fontId="11" fillId="8" borderId="4" xfId="0" applyFont="1" applyFill="1" applyBorder="1" applyAlignment="1">
      <alignment horizontal="center" vertical="center"/>
    </xf>
    <xf numFmtId="0" fontId="11" fillId="8" borderId="6" xfId="0" applyFont="1" applyFill="1" applyBorder="1" applyAlignment="1">
      <alignment horizontal="center" vertical="center"/>
    </xf>
    <xf numFmtId="0" fontId="11" fillId="8" borderId="5" xfId="0" applyFont="1" applyFill="1" applyBorder="1" applyAlignment="1">
      <alignment horizontal="center" vertical="center"/>
    </xf>
    <xf numFmtId="0" fontId="9" fillId="5" borderId="7" xfId="0" applyFont="1" applyFill="1" applyBorder="1" applyAlignment="1">
      <alignment horizontal="left" vertical="center" indent="72"/>
    </xf>
    <xf numFmtId="0" fontId="9" fillId="5" borderId="8" xfId="0" applyFont="1" applyFill="1" applyBorder="1" applyAlignment="1">
      <alignment horizontal="left" vertical="center" indent="72"/>
    </xf>
    <xf numFmtId="0" fontId="9" fillId="5" borderId="9" xfId="0" applyFont="1" applyFill="1" applyBorder="1" applyAlignment="1">
      <alignment horizontal="left" vertical="center" indent="72"/>
    </xf>
    <xf numFmtId="0" fontId="8" fillId="3" borderId="4" xfId="0" applyFont="1" applyFill="1" applyBorder="1" applyAlignment="1">
      <alignment horizontal="left" vertical="center" indent="65"/>
    </xf>
    <xf numFmtId="0" fontId="8" fillId="3" borderId="6" xfId="0" applyFont="1" applyFill="1" applyBorder="1" applyAlignment="1">
      <alignment horizontal="left" vertical="center" indent="65"/>
    </xf>
    <xf numFmtId="0" fontId="8" fillId="3" borderId="5" xfId="0" applyFont="1" applyFill="1" applyBorder="1" applyAlignment="1">
      <alignment horizontal="left" vertical="center" indent="65"/>
    </xf>
  </cellXfs>
  <cellStyles count="2">
    <cellStyle name="Moeda" xfId="1" builtinId="4"/>
    <cellStyle name="Normal" xfId="0" builtinId="0"/>
  </cellStyles>
  <dxfs count="21">
    <dxf>
      <font>
        <color auto="1"/>
      </font>
      <border>
        <left style="thin">
          <color auto="1"/>
        </left>
        <right style="thin">
          <color auto="1"/>
        </right>
        <top style="thin">
          <color auto="1"/>
        </top>
        <bottom style="thin">
          <color auto="1"/>
        </bottom>
        <vertical/>
        <horizontal/>
      </border>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auto="1"/>
      </font>
      <border>
        <left style="thin">
          <color auto="1"/>
        </left>
        <right style="thin">
          <color auto="1"/>
        </right>
        <top style="thin">
          <color auto="1"/>
        </top>
        <bottom style="thin">
          <color auto="1"/>
        </bottom>
        <vertical/>
        <horizontal/>
      </border>
    </dxf>
    <dxf>
      <numFmt numFmtId="34" formatCode="_-&quot;R$&quot;\ * #,##0.00_-;\-&quot;R$&quot;\ * #,##0.00_-;_-&quot;R$&quot;\ *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R$&quot;\ * #,##0.00_-;\-&quot;R$&quot;\ * #,##0.00_-;_-&quot;R$&quot;\ * &quot;-&quot;??_-;_-@_-"/>
    </dxf>
    <dxf>
      <font>
        <b val="0"/>
        <i val="0"/>
        <strike val="0"/>
        <condense val="0"/>
        <extend val="0"/>
        <outline val="0"/>
        <shadow val="0"/>
        <u val="none"/>
        <vertAlign val="baseline"/>
        <sz val="11"/>
        <color theme="1"/>
        <name val="Calibri"/>
        <family val="2"/>
        <scheme val="minor"/>
      </font>
      <numFmt numFmtId="34" formatCode="_-&quot;R$&quot;\ * #,##0.00_-;\-&quot;R$&quot;\ * #,##0.00_-;_-&quot;R$&quot;\ * &quot;-&quot;??_-;_-@_-"/>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19" formatCode="dd/mm/yyyy"/>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Auxiliar!$E$4</c:f>
          <c:strCache>
            <c:ptCount val="1"/>
            <c:pt idx="0">
              <c:v>Fluxo de Caixa para para o período jan/19 até jun/20</c:v>
            </c:pt>
          </c:strCache>
        </c:strRef>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Resumo!$B$19</c:f>
              <c:strCache>
                <c:ptCount val="1"/>
                <c:pt idx="0">
                  <c:v>Entradas</c:v>
                </c:pt>
              </c:strCache>
            </c:strRef>
          </c:tx>
          <c:spPr>
            <a:solidFill>
              <a:schemeClr val="accent6">
                <a:lumMod val="75000"/>
              </a:schemeClr>
            </a:solidFill>
            <a:ln>
              <a:noFill/>
            </a:ln>
            <a:effectLst/>
          </c:spPr>
          <c:invertIfNegative val="0"/>
          <c:cat>
            <c:numRef>
              <c:f>[0]!IntervaloData</c:f>
              <c:numCache>
                <c:formatCode>mmm\-yy</c:formatCode>
                <c:ptCount val="18"/>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numCache>
            </c:numRef>
          </c:cat>
          <c:val>
            <c:numRef>
              <c:f>[0]!IntervaloEntradas</c:f>
              <c:numCache>
                <c:formatCode>_-"R$"\ * #,##0_-;\-"R$"\ * #,##0_-;_-"R$"\ * "-"??_-;_-@_-</c:formatCode>
                <c:ptCount val="18"/>
                <c:pt idx="0">
                  <c:v>26220</c:v>
                </c:pt>
                <c:pt idx="1">
                  <c:v>8422</c:v>
                </c:pt>
                <c:pt idx="2">
                  <c:v>17979</c:v>
                </c:pt>
                <c:pt idx="3">
                  <c:v>21232</c:v>
                </c:pt>
                <c:pt idx="4">
                  <c:v>2019</c:v>
                </c:pt>
                <c:pt idx="5">
                  <c:v>17243</c:v>
                </c:pt>
                <c:pt idx="6">
                  <c:v>28495</c:v>
                </c:pt>
                <c:pt idx="7">
                  <c:v>18778</c:v>
                </c:pt>
                <c:pt idx="8">
                  <c:v>34128</c:v>
                </c:pt>
                <c:pt idx="9">
                  <c:v>20750</c:v>
                </c:pt>
                <c:pt idx="10">
                  <c:v>21926</c:v>
                </c:pt>
                <c:pt idx="11">
                  <c:v>25581</c:v>
                </c:pt>
                <c:pt idx="12">
                  <c:v>11212</c:v>
                </c:pt>
                <c:pt idx="13">
                  <c:v>28680</c:v>
                </c:pt>
                <c:pt idx="14">
                  <c:v>18200</c:v>
                </c:pt>
                <c:pt idx="15">
                  <c:v>20491</c:v>
                </c:pt>
                <c:pt idx="16">
                  <c:v>16859</c:v>
                </c:pt>
                <c:pt idx="17">
                  <c:v>18115</c:v>
                </c:pt>
              </c:numCache>
            </c:numRef>
          </c:val>
          <c:extLst>
            <c:ext xmlns:c16="http://schemas.microsoft.com/office/drawing/2014/chart" uri="{C3380CC4-5D6E-409C-BE32-E72D297353CC}">
              <c16:uniqueId val="{00000000-9D55-49E5-887D-9EB5B590F850}"/>
            </c:ext>
          </c:extLst>
        </c:ser>
        <c:ser>
          <c:idx val="1"/>
          <c:order val="1"/>
          <c:tx>
            <c:strRef>
              <c:f>Resumo!$C$19</c:f>
              <c:strCache>
                <c:ptCount val="1"/>
                <c:pt idx="0">
                  <c:v>Saídas</c:v>
                </c:pt>
              </c:strCache>
            </c:strRef>
          </c:tx>
          <c:spPr>
            <a:solidFill>
              <a:schemeClr val="accent2">
                <a:lumMod val="75000"/>
              </a:schemeClr>
            </a:solidFill>
            <a:ln>
              <a:noFill/>
            </a:ln>
            <a:effectLst/>
          </c:spPr>
          <c:invertIfNegative val="0"/>
          <c:cat>
            <c:numRef>
              <c:f>[0]!IntervaloData</c:f>
              <c:numCache>
                <c:formatCode>mmm\-yy</c:formatCode>
                <c:ptCount val="18"/>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numCache>
            </c:numRef>
          </c:cat>
          <c:val>
            <c:numRef>
              <c:f>[0]!IntervaloSaidas</c:f>
              <c:numCache>
                <c:formatCode>_-"R$"\ * #,##0_-;\-"R$"\ * #,##0_-;_-"R$"\ * "-"??_-;_-@_-</c:formatCode>
                <c:ptCount val="18"/>
                <c:pt idx="0">
                  <c:v>-3109</c:v>
                </c:pt>
                <c:pt idx="1">
                  <c:v>-9580</c:v>
                </c:pt>
                <c:pt idx="2">
                  <c:v>-8467</c:v>
                </c:pt>
                <c:pt idx="3">
                  <c:v>-17037</c:v>
                </c:pt>
                <c:pt idx="4">
                  <c:v>-5293</c:v>
                </c:pt>
                <c:pt idx="5">
                  <c:v>-9324</c:v>
                </c:pt>
                <c:pt idx="6">
                  <c:v>-269</c:v>
                </c:pt>
                <c:pt idx="7">
                  <c:v>-26457</c:v>
                </c:pt>
                <c:pt idx="8">
                  <c:v>-21099</c:v>
                </c:pt>
                <c:pt idx="9">
                  <c:v>-13108</c:v>
                </c:pt>
                <c:pt idx="10">
                  <c:v>-6941</c:v>
                </c:pt>
                <c:pt idx="11">
                  <c:v>-17104</c:v>
                </c:pt>
                <c:pt idx="12">
                  <c:v>-18329</c:v>
                </c:pt>
                <c:pt idx="13">
                  <c:v>-14682</c:v>
                </c:pt>
                <c:pt idx="14">
                  <c:v>-11900</c:v>
                </c:pt>
                <c:pt idx="15">
                  <c:v>-9464</c:v>
                </c:pt>
                <c:pt idx="16">
                  <c:v>-13945</c:v>
                </c:pt>
                <c:pt idx="17">
                  <c:v>-873</c:v>
                </c:pt>
              </c:numCache>
            </c:numRef>
          </c:val>
          <c:extLst>
            <c:ext xmlns:c16="http://schemas.microsoft.com/office/drawing/2014/chart" uri="{C3380CC4-5D6E-409C-BE32-E72D297353CC}">
              <c16:uniqueId val="{00000001-9D55-49E5-887D-9EB5B590F850}"/>
            </c:ext>
          </c:extLst>
        </c:ser>
        <c:dLbls>
          <c:showLegendKey val="0"/>
          <c:showVal val="0"/>
          <c:showCatName val="0"/>
          <c:showSerName val="0"/>
          <c:showPercent val="0"/>
          <c:showBubbleSize val="0"/>
        </c:dLbls>
        <c:gapWidth val="100"/>
        <c:overlap val="100"/>
        <c:axId val="719520799"/>
        <c:axId val="715284319"/>
      </c:barChart>
      <c:dateAx>
        <c:axId val="719520799"/>
        <c:scaling>
          <c:orientation val="minMax"/>
        </c:scaling>
        <c:delete val="0"/>
        <c:axPos val="b"/>
        <c:numFmt formatCode="mmm\-yy"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15284319"/>
        <c:crosses val="autoZero"/>
        <c:auto val="1"/>
        <c:lblOffset val="100"/>
        <c:baseTimeUnit val="months"/>
      </c:dateAx>
      <c:valAx>
        <c:axId val="715284319"/>
        <c:scaling>
          <c:orientation val="minMax"/>
        </c:scaling>
        <c:delete val="0"/>
        <c:axPos val="l"/>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19520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4760335</xdr:colOff>
      <xdr:row>8</xdr:row>
      <xdr:rowOff>57150</xdr:rowOff>
    </xdr:from>
    <xdr:to>
      <xdr:col>0</xdr:col>
      <xdr:colOff>6431540</xdr:colOff>
      <xdr:row>9</xdr:row>
      <xdr:rowOff>76200</xdr:rowOff>
    </xdr:to>
    <xdr:sp macro="[0]!zerar_tabela" textlink="">
      <xdr:nvSpPr>
        <xdr:cNvPr id="2" name="Retângulo: Cantos Arredondados 1">
          <a:extLst>
            <a:ext uri="{FF2B5EF4-FFF2-40B4-BE49-F238E27FC236}">
              <a16:creationId xmlns:a16="http://schemas.microsoft.com/office/drawing/2014/main" id="{8FDF405F-2DA6-41CE-B0BD-EF9A211A1D04}"/>
            </a:ext>
          </a:extLst>
        </xdr:cNvPr>
        <xdr:cNvSpPr/>
      </xdr:nvSpPr>
      <xdr:spPr>
        <a:xfrm>
          <a:off x="4760335" y="4819650"/>
          <a:ext cx="1671205" cy="209550"/>
        </a:xfrm>
        <a:prstGeom prst="roundRect">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b="1">
              <a:solidFill>
                <a:schemeClr val="bg1"/>
              </a:solidFill>
            </a:rPr>
            <a:t>Zerar tabela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862853</xdr:colOff>
      <xdr:row>17</xdr:row>
      <xdr:rowOff>168088</xdr:rowOff>
    </xdr:from>
    <xdr:to>
      <xdr:col>16</xdr:col>
      <xdr:colOff>627529</xdr:colOff>
      <xdr:row>38</xdr:row>
      <xdr:rowOff>168088</xdr:rowOff>
    </xdr:to>
    <xdr:graphicFrame macro="">
      <xdr:nvGraphicFramePr>
        <xdr:cNvPr id="8" name="Gráfico 7">
          <a:extLst>
            <a:ext uri="{FF2B5EF4-FFF2-40B4-BE49-F238E27FC236}">
              <a16:creationId xmlns:a16="http://schemas.microsoft.com/office/drawing/2014/main" id="{E6C353BE-5827-4004-985A-9463E1A808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0144B0-B33C-4BC9-B9FC-668621E41504}" name="Tabela2" displayName="Tabela2" ref="A1:L102" totalsRowShown="0" headerRowDxfId="20">
  <autoFilter ref="A1:L102" xr:uid="{ABD00A3D-F048-4978-AD3E-21CD8EA5130B}"/>
  <sortState xmlns:xlrd2="http://schemas.microsoft.com/office/spreadsheetml/2017/richdata2" ref="A2:L102">
    <sortCondition ref="A1:A102"/>
  </sortState>
  <tableColumns count="12">
    <tableColumn id="1" xr3:uid="{0F690CFA-F349-4A6E-98FC-5BEFF664D25F}" name="Data" dataDxfId="19"/>
    <tableColumn id="11" xr3:uid="{58ABF5F5-28CA-45D2-80FF-19B5139A3E16}" name="Movimentação" dataDxfId="18"/>
    <tableColumn id="2" xr3:uid="{4B565FE0-0F2D-4451-A1B8-A12303897842}" name="Classificação"/>
    <tableColumn id="12" xr3:uid="{7DC6CDCD-CFFC-40AC-AC83-A3B72C301FF2}" name="Documento" dataDxfId="17"/>
    <tableColumn id="4" xr3:uid="{90360BA4-54D0-431C-9710-B7810B4143E7}" name="Descrição" dataDxfId="16"/>
    <tableColumn id="5" xr3:uid="{DA16888D-C443-414B-9D2A-C4CA74F98482}" name="Favorecido" dataDxfId="15"/>
    <tableColumn id="6" xr3:uid="{7270C001-C63B-4CF0-9386-5091C3FAA4B8}" name="Centro de Custos" dataDxfId="14"/>
    <tableColumn id="7" xr3:uid="{3251BC33-1A6F-45ED-A499-099CF9BA37D4}" name="Status" dataDxfId="13"/>
    <tableColumn id="8" xr3:uid="{434AD60B-4B56-47B3-9719-64941E883747}" name="Conta" dataDxfId="12"/>
    <tableColumn id="9" xr3:uid="{59FAB1AD-54A9-411B-8749-7F70295F9DCD}" name="Valor" dataDxfId="11" dataCellStyle="Moeda"/>
    <tableColumn id="10" xr3:uid="{1171A45D-5D05-466F-8C43-C4A1CC375414}" name="Acumulado" dataDxfId="10" dataCellStyle="Moeda">
      <calculatedColumnFormula>IF(ROW()=2,IF(Tabela2[[#This Row],[Status]]="Em aberto",0,IF(Tabela2[[#This Row],[Movimentação]]="Saídas",-J2,J2)),IF(Tabela2[[#This Row],[Status]]="Em aberto",0,IF(Tabela2[[#This Row],[Movimentação]]="Saídas",-J2,J2))+K1)</calculatedColumnFormula>
    </tableColumn>
    <tableColumn id="13" xr3:uid="{26D6BED9-AB19-423B-BABC-8EB6F0818C77}" name="Acum. (Previsão)" dataDxfId="9" dataCellStyle="Moeda">
      <calculatedColumnFormula>IF(ROW()=2,IF(Tabela2[[#This Row],[Movimentação]]="Saídas",-J2,J2),IF(Tabela2[[#This Row],[Movimentação]]="Saídas",-J2,J2)+L1)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740B9-D003-4607-8EAC-9958CF504EE4}">
  <sheetPr codeName="Planilha4"/>
  <dimension ref="A1:A12"/>
  <sheetViews>
    <sheetView showGridLines="0" workbookViewId="0"/>
  </sheetViews>
  <sheetFormatPr defaultRowHeight="15" x14ac:dyDescent="0.25"/>
  <cols>
    <col min="1" max="1" width="165.7109375" style="24" customWidth="1"/>
  </cols>
  <sheetData>
    <row r="1" spans="1:1" x14ac:dyDescent="0.25">
      <c r="A1" s="26" t="s">
        <v>177</v>
      </c>
    </row>
    <row r="2" spans="1:1" ht="30" x14ac:dyDescent="0.25">
      <c r="A2" s="24" t="s">
        <v>173</v>
      </c>
    </row>
    <row r="4" spans="1:1" x14ac:dyDescent="0.25">
      <c r="A4" s="26" t="s">
        <v>174</v>
      </c>
    </row>
    <row r="5" spans="1:1" ht="75" x14ac:dyDescent="0.25">
      <c r="A5" s="25" t="s">
        <v>175</v>
      </c>
    </row>
    <row r="7" spans="1:1" x14ac:dyDescent="0.25">
      <c r="A7" s="26" t="s">
        <v>169</v>
      </c>
    </row>
    <row r="8" spans="1:1" ht="225" x14ac:dyDescent="0.25">
      <c r="A8" s="24" t="s">
        <v>178</v>
      </c>
    </row>
    <row r="11" spans="1:1" x14ac:dyDescent="0.25">
      <c r="A11" s="26" t="s">
        <v>170</v>
      </c>
    </row>
    <row r="12" spans="1:1" ht="105" x14ac:dyDescent="0.25">
      <c r="A12" s="24" t="s">
        <v>176</v>
      </c>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F6EA57-A5A6-4243-8E36-CC0B4F542A42}">
  <sheetPr codeName="Planilha1"/>
  <dimension ref="A1:P102"/>
  <sheetViews>
    <sheetView showGridLines="0" zoomScaleNormal="100" workbookViewId="0">
      <pane ySplit="1" topLeftCell="A2" activePane="bottomLeft" state="frozen"/>
      <selection pane="bottomLeft" activeCell="A2" sqref="A2"/>
    </sheetView>
  </sheetViews>
  <sheetFormatPr defaultRowHeight="15" x14ac:dyDescent="0.25"/>
  <cols>
    <col min="1" max="1" width="11.28515625" bestFit="1" customWidth="1"/>
    <col min="2" max="2" width="19" bestFit="1" customWidth="1"/>
    <col min="3" max="3" width="23.7109375" bestFit="1" customWidth="1"/>
    <col min="4" max="4" width="15.85546875" bestFit="1" customWidth="1"/>
    <col min="5" max="5" width="14" bestFit="1" customWidth="1"/>
    <col min="6" max="6" width="15.28515625" bestFit="1" customWidth="1"/>
    <col min="7" max="7" width="20.7109375" bestFit="1" customWidth="1"/>
    <col min="8" max="8" width="11.7109375" customWidth="1"/>
    <col min="9" max="9" width="10.7109375" bestFit="1" customWidth="1"/>
    <col min="10" max="10" width="15" bestFit="1" customWidth="1"/>
    <col min="11" max="11" width="15.5703125" bestFit="1" customWidth="1"/>
    <col min="12" max="12" width="20.7109375" bestFit="1" customWidth="1"/>
    <col min="16" max="16" width="11.28515625" bestFit="1" customWidth="1"/>
  </cols>
  <sheetData>
    <row r="1" spans="1:16" x14ac:dyDescent="0.25">
      <c r="A1" s="2" t="s">
        <v>0</v>
      </c>
      <c r="B1" s="2" t="s">
        <v>9</v>
      </c>
      <c r="C1" s="2" t="s">
        <v>1</v>
      </c>
      <c r="D1" s="2" t="s">
        <v>29</v>
      </c>
      <c r="E1" s="2" t="s">
        <v>2</v>
      </c>
      <c r="F1" s="2" t="s">
        <v>3</v>
      </c>
      <c r="G1" s="2" t="s">
        <v>4</v>
      </c>
      <c r="H1" s="2" t="s">
        <v>5</v>
      </c>
      <c r="I1" s="2" t="s">
        <v>6</v>
      </c>
      <c r="J1" s="2" t="s">
        <v>7</v>
      </c>
      <c r="K1" s="2" t="s">
        <v>8</v>
      </c>
      <c r="L1" s="2" t="s">
        <v>43</v>
      </c>
      <c r="P1" s="6"/>
    </row>
    <row r="2" spans="1:16" x14ac:dyDescent="0.25">
      <c r="A2" s="1">
        <v>43466</v>
      </c>
      <c r="B2" s="3" t="s">
        <v>14</v>
      </c>
      <c r="C2" t="s">
        <v>26</v>
      </c>
      <c r="D2" s="4" t="s">
        <v>95</v>
      </c>
      <c r="E2" s="4" t="s">
        <v>46</v>
      </c>
      <c r="F2" s="4" t="s">
        <v>36</v>
      </c>
      <c r="G2" s="4" t="s">
        <v>34</v>
      </c>
      <c r="H2" s="4" t="s">
        <v>52</v>
      </c>
      <c r="I2" s="4" t="s">
        <v>42</v>
      </c>
      <c r="J2" s="5">
        <v>1068</v>
      </c>
      <c r="K2" s="7">
        <f>IF(ROW()=2,IF(Tabela2[[#This Row],[Status]]="Em aberto",0,IF(Tabela2[[#This Row],[Movimentação]]="Saídas",-J2,J2)),IF(Tabela2[[#This Row],[Status]]="Em aberto",0,IF(Tabela2[[#This Row],[Movimentação]]="Saídas",-J2,J2))+K1)</f>
        <v>1068</v>
      </c>
      <c r="L2" s="8">
        <f>IF(ROW()=2,IF(Tabela2[[#This Row],[Movimentação]]="Saídas",-J2,J2),IF(Tabela2[[#This Row],[Movimentação]]="Saídas",-J2,J2)+L1)</f>
        <v>1068</v>
      </c>
      <c r="P2" s="1"/>
    </row>
    <row r="3" spans="1:16" x14ac:dyDescent="0.25">
      <c r="A3" s="1">
        <v>43475</v>
      </c>
      <c r="B3" s="3" t="s">
        <v>14</v>
      </c>
      <c r="C3" t="s">
        <v>11</v>
      </c>
      <c r="D3" s="4" t="s">
        <v>105</v>
      </c>
      <c r="E3" s="4" t="s">
        <v>50</v>
      </c>
      <c r="F3" s="4" t="s">
        <v>38</v>
      </c>
      <c r="G3" s="4" t="s">
        <v>34</v>
      </c>
      <c r="H3" s="4" t="s">
        <v>52</v>
      </c>
      <c r="I3" s="4" t="s">
        <v>41</v>
      </c>
      <c r="J3" s="5">
        <v>8743</v>
      </c>
      <c r="K3" s="7">
        <f>IF(ROW()=2,IF(Tabela2[[#This Row],[Status]]="Em aberto",0,IF(Tabela2[[#This Row],[Movimentação]]="Saídas",-J3,J3)),IF(Tabela2[[#This Row],[Status]]="Em aberto",0,IF(Tabela2[[#This Row],[Movimentação]]="Saídas",-J3,J3))+K2)</f>
        <v>9811</v>
      </c>
      <c r="L3" s="8">
        <f>IF(ROW()=2,IF(Tabela2[[#This Row],[Movimentação]]="Saídas",-J3,J3),IF(Tabela2[[#This Row],[Movimentação]]="Saídas",-J3,J3)+L2)</f>
        <v>9811</v>
      </c>
    </row>
    <row r="4" spans="1:16" x14ac:dyDescent="0.25">
      <c r="A4" s="1">
        <v>43481</v>
      </c>
      <c r="B4" s="3" t="s">
        <v>15</v>
      </c>
      <c r="C4" t="s">
        <v>13</v>
      </c>
      <c r="D4" s="4" t="s">
        <v>121</v>
      </c>
      <c r="E4" s="4" t="s">
        <v>46</v>
      </c>
      <c r="F4" s="4" t="s">
        <v>38</v>
      </c>
      <c r="G4" s="4" t="s">
        <v>33</v>
      </c>
      <c r="H4" s="4" t="s">
        <v>52</v>
      </c>
      <c r="I4" s="4" t="s">
        <v>42</v>
      </c>
      <c r="J4" s="5">
        <v>3109</v>
      </c>
      <c r="K4" s="7">
        <f>IF(ROW()=2,IF(Tabela2[[#This Row],[Status]]="Em aberto",0,IF(Tabela2[[#This Row],[Movimentação]]="Saídas",-J4,J4)),IF(Tabela2[[#This Row],[Status]]="Em aberto",0,IF(Tabela2[[#This Row],[Movimentação]]="Saídas",-J4,J4))+K3)</f>
        <v>6702</v>
      </c>
      <c r="L4" s="8">
        <f>IF(ROW()=2,IF(Tabela2[[#This Row],[Movimentação]]="Saídas",-J4,J4),IF(Tabela2[[#This Row],[Movimentação]]="Saídas",-J4,J4)+L3)</f>
        <v>6702</v>
      </c>
    </row>
    <row r="5" spans="1:16" x14ac:dyDescent="0.25">
      <c r="A5" s="1">
        <v>43482</v>
      </c>
      <c r="B5" s="3" t="s">
        <v>14</v>
      </c>
      <c r="C5" t="s">
        <v>13</v>
      </c>
      <c r="D5" s="4" t="s">
        <v>150</v>
      </c>
      <c r="E5" s="4" t="s">
        <v>49</v>
      </c>
      <c r="F5" s="4" t="s">
        <v>37</v>
      </c>
      <c r="G5" s="4" t="s">
        <v>32</v>
      </c>
      <c r="H5" s="4" t="s">
        <v>52</v>
      </c>
      <c r="I5" s="4" t="s">
        <v>41</v>
      </c>
      <c r="J5" s="5">
        <v>746</v>
      </c>
      <c r="K5" s="7">
        <f>IF(ROW()=2,IF(Tabela2[[#This Row],[Status]]="Em aberto",0,IF(Tabela2[[#This Row],[Movimentação]]="Saídas",-J5,J5)),IF(Tabela2[[#This Row],[Status]]="Em aberto",0,IF(Tabela2[[#This Row],[Movimentação]]="Saídas",-J5,J5))+K4)</f>
        <v>7448</v>
      </c>
      <c r="L5" s="8">
        <f>IF(ROW()=2,IF(Tabela2[[#This Row],[Movimentação]]="Saídas",-J5,J5),IF(Tabela2[[#This Row],[Movimentação]]="Saídas",-J5,J5)+L4)</f>
        <v>7448</v>
      </c>
    </row>
    <row r="6" spans="1:16" x14ac:dyDescent="0.25">
      <c r="A6" s="1">
        <v>43488</v>
      </c>
      <c r="B6" s="3" t="s">
        <v>14</v>
      </c>
      <c r="C6" t="s">
        <v>12</v>
      </c>
      <c r="D6" s="4" t="s">
        <v>96</v>
      </c>
      <c r="E6" s="4" t="s">
        <v>48</v>
      </c>
      <c r="F6" s="4" t="s">
        <v>36</v>
      </c>
      <c r="G6" s="4" t="s">
        <v>34</v>
      </c>
      <c r="H6" s="4" t="s">
        <v>52</v>
      </c>
      <c r="I6" s="4" t="s">
        <v>41</v>
      </c>
      <c r="J6" s="5">
        <v>1686</v>
      </c>
      <c r="K6" s="7">
        <f>IF(ROW()=2,IF(Tabela2[[#This Row],[Status]]="Em aberto",0,IF(Tabela2[[#This Row],[Movimentação]]="Saídas",-J6,J6)),IF(Tabela2[[#This Row],[Status]]="Em aberto",0,IF(Tabela2[[#This Row],[Movimentação]]="Saídas",-J6,J6))+K5)</f>
        <v>9134</v>
      </c>
      <c r="L6" s="8">
        <f>IF(ROW()=2,IF(Tabela2[[#This Row],[Movimentação]]="Saídas",-J6,J6),IF(Tabela2[[#This Row],[Movimentação]]="Saídas",-J6,J6)+L5)</f>
        <v>9134</v>
      </c>
    </row>
    <row r="7" spans="1:16" x14ac:dyDescent="0.25">
      <c r="A7" s="1">
        <v>43491</v>
      </c>
      <c r="B7" s="3" t="s">
        <v>14</v>
      </c>
      <c r="C7" t="s">
        <v>10</v>
      </c>
      <c r="D7" s="4" t="s">
        <v>102</v>
      </c>
      <c r="E7" s="4" t="s">
        <v>47</v>
      </c>
      <c r="F7" s="4" t="s">
        <v>37</v>
      </c>
      <c r="G7" s="4" t="s">
        <v>32</v>
      </c>
      <c r="H7" s="4" t="s">
        <v>52</v>
      </c>
      <c r="I7" s="4" t="s">
        <v>41</v>
      </c>
      <c r="J7" s="5">
        <v>5923</v>
      </c>
      <c r="K7" s="7">
        <f>IF(ROW()=2,IF(Tabela2[[#This Row],[Status]]="Em aberto",0,IF(Tabela2[[#This Row],[Movimentação]]="Saídas",-J7,J7)),IF(Tabela2[[#This Row],[Status]]="Em aberto",0,IF(Tabela2[[#This Row],[Movimentação]]="Saídas",-J7,J7))+K6)</f>
        <v>15057</v>
      </c>
      <c r="L7" s="8">
        <f>IF(ROW()=2,IF(Tabela2[[#This Row],[Movimentação]]="Saídas",-J7,J7),IF(Tabela2[[#This Row],[Movimentação]]="Saídas",-J7,J7)+L6)</f>
        <v>15057</v>
      </c>
    </row>
    <row r="8" spans="1:16" x14ac:dyDescent="0.25">
      <c r="A8" s="1">
        <v>43493</v>
      </c>
      <c r="B8" s="3" t="s">
        <v>14</v>
      </c>
      <c r="C8" t="s">
        <v>12</v>
      </c>
      <c r="D8" s="4" t="s">
        <v>70</v>
      </c>
      <c r="E8" s="4" t="s">
        <v>49</v>
      </c>
      <c r="F8" s="4" t="s">
        <v>37</v>
      </c>
      <c r="G8" s="4" t="s">
        <v>32</v>
      </c>
      <c r="H8" s="4" t="s">
        <v>52</v>
      </c>
      <c r="I8" s="4" t="s">
        <v>40</v>
      </c>
      <c r="J8" s="5">
        <v>8054</v>
      </c>
      <c r="K8" s="7">
        <f>IF(ROW()=2,IF(Tabela2[[#This Row],[Status]]="Em aberto",0,IF(Tabela2[[#This Row],[Movimentação]]="Saídas",-J8,J8)),IF(Tabela2[[#This Row],[Status]]="Em aberto",0,IF(Tabela2[[#This Row],[Movimentação]]="Saídas",-J8,J8))+K7)</f>
        <v>23111</v>
      </c>
      <c r="L8" s="8">
        <f>IF(ROW()=2,IF(Tabela2[[#This Row],[Movimentação]]="Saídas",-J8,J8),IF(Tabela2[[#This Row],[Movimentação]]="Saídas",-J8,J8)+L7)</f>
        <v>23111</v>
      </c>
    </row>
    <row r="9" spans="1:16" x14ac:dyDescent="0.25">
      <c r="A9" s="1">
        <v>43504</v>
      </c>
      <c r="B9" s="3" t="s">
        <v>15</v>
      </c>
      <c r="C9" t="s">
        <v>11</v>
      </c>
      <c r="D9" s="4" t="s">
        <v>119</v>
      </c>
      <c r="E9" s="4" t="s">
        <v>49</v>
      </c>
      <c r="F9" s="4" t="s">
        <v>38</v>
      </c>
      <c r="G9" s="4" t="s">
        <v>34</v>
      </c>
      <c r="H9" s="4" t="s">
        <v>52</v>
      </c>
      <c r="I9" s="4" t="s">
        <v>41</v>
      </c>
      <c r="J9" s="5">
        <v>9580</v>
      </c>
      <c r="K9" s="7">
        <f>IF(ROW()=2,IF(Tabela2[[#This Row],[Status]]="Em aberto",0,IF(Tabela2[[#This Row],[Movimentação]]="Saídas",-J9,J9)),IF(Tabela2[[#This Row],[Status]]="Em aberto",0,IF(Tabela2[[#This Row],[Movimentação]]="Saídas",-J9,J9))+K8)</f>
        <v>13531</v>
      </c>
      <c r="L9" s="8">
        <f>IF(ROW()=2,IF(Tabela2[[#This Row],[Movimentação]]="Saídas",-J9,J9),IF(Tabela2[[#This Row],[Movimentação]]="Saídas",-J9,J9)+L8)</f>
        <v>13531</v>
      </c>
    </row>
    <row r="10" spans="1:16" x14ac:dyDescent="0.25">
      <c r="A10" s="1">
        <v>43506</v>
      </c>
      <c r="B10" s="3" t="s">
        <v>14</v>
      </c>
      <c r="C10" t="s">
        <v>11</v>
      </c>
      <c r="D10" s="4" t="s">
        <v>75</v>
      </c>
      <c r="E10" s="4" t="s">
        <v>49</v>
      </c>
      <c r="F10" s="4" t="s">
        <v>36</v>
      </c>
      <c r="G10" s="4" t="s">
        <v>35</v>
      </c>
      <c r="H10" s="4" t="s">
        <v>52</v>
      </c>
      <c r="I10" s="4" t="s">
        <v>40</v>
      </c>
      <c r="J10" s="5">
        <v>8422</v>
      </c>
      <c r="K10" s="7">
        <f>IF(ROW()=2,IF(Tabela2[[#This Row],[Status]]="Em aberto",0,IF(Tabela2[[#This Row],[Movimentação]]="Saídas",-J10,J10)),IF(Tabela2[[#This Row],[Status]]="Em aberto",0,IF(Tabela2[[#This Row],[Movimentação]]="Saídas",-J10,J10))+K9)</f>
        <v>21953</v>
      </c>
      <c r="L10" s="8">
        <f>IF(ROW()=2,IF(Tabela2[[#This Row],[Movimentação]]="Saídas",-J10,J10),IF(Tabela2[[#This Row],[Movimentação]]="Saídas",-J10,J10)+L9)</f>
        <v>21953</v>
      </c>
    </row>
    <row r="11" spans="1:16" x14ac:dyDescent="0.25">
      <c r="A11" s="1">
        <v>43530</v>
      </c>
      <c r="B11" s="3" t="s">
        <v>14</v>
      </c>
      <c r="C11" t="s">
        <v>10</v>
      </c>
      <c r="D11" s="4" t="s">
        <v>57</v>
      </c>
      <c r="E11" s="4" t="s">
        <v>50</v>
      </c>
      <c r="F11" s="4" t="s">
        <v>37</v>
      </c>
      <c r="G11" s="4" t="s">
        <v>32</v>
      </c>
      <c r="H11" s="4" t="s">
        <v>52</v>
      </c>
      <c r="I11" s="4" t="s">
        <v>42</v>
      </c>
      <c r="J11" s="5">
        <v>9139</v>
      </c>
      <c r="K11" s="7">
        <f>IF(ROW()=2,IF(Tabela2[[#This Row],[Status]]="Em aberto",0,IF(Tabela2[[#This Row],[Movimentação]]="Saídas",-J11,J11)),IF(Tabela2[[#This Row],[Status]]="Em aberto",0,IF(Tabela2[[#This Row],[Movimentação]]="Saídas",-J11,J11))+K10)</f>
        <v>31092</v>
      </c>
      <c r="L11" s="8">
        <f>IF(ROW()=2,IF(Tabela2[[#This Row],[Movimentação]]="Saídas",-J11,J11),IF(Tabela2[[#This Row],[Movimentação]]="Saídas",-J11,J11)+L10)</f>
        <v>31092</v>
      </c>
    </row>
    <row r="12" spans="1:16" x14ac:dyDescent="0.25">
      <c r="A12" s="1">
        <v>43531</v>
      </c>
      <c r="B12" s="3" t="s">
        <v>15</v>
      </c>
      <c r="C12" t="s">
        <v>23</v>
      </c>
      <c r="D12" s="4" t="s">
        <v>92</v>
      </c>
      <c r="E12" s="4" t="s">
        <v>46</v>
      </c>
      <c r="F12" s="4" t="s">
        <v>38</v>
      </c>
      <c r="G12" s="4" t="s">
        <v>31</v>
      </c>
      <c r="H12" s="4" t="s">
        <v>52</v>
      </c>
      <c r="I12" s="4" t="s">
        <v>42</v>
      </c>
      <c r="J12" s="5">
        <v>5822</v>
      </c>
      <c r="K12" s="7">
        <f>IF(ROW()=2,IF(Tabela2[[#This Row],[Status]]="Em aberto",0,IF(Tabela2[[#This Row],[Movimentação]]="Saídas",-J12,J12)),IF(Tabela2[[#This Row],[Status]]="Em aberto",0,IF(Tabela2[[#This Row],[Movimentação]]="Saídas",-J12,J12))+K11)</f>
        <v>25270</v>
      </c>
      <c r="L12" s="8">
        <f>IF(ROW()=2,IF(Tabela2[[#This Row],[Movimentação]]="Saídas",-J12,J12),IF(Tabela2[[#This Row],[Movimentação]]="Saídas",-J12,J12)+L11)</f>
        <v>25270</v>
      </c>
    </row>
    <row r="13" spans="1:16" x14ac:dyDescent="0.25">
      <c r="A13" s="1">
        <v>43538</v>
      </c>
      <c r="B13" s="3" t="s">
        <v>15</v>
      </c>
      <c r="C13" t="s">
        <v>12</v>
      </c>
      <c r="D13" s="4" t="s">
        <v>143</v>
      </c>
      <c r="E13" s="4" t="s">
        <v>46</v>
      </c>
      <c r="F13" s="4" t="s">
        <v>37</v>
      </c>
      <c r="G13" s="4" t="s">
        <v>32</v>
      </c>
      <c r="H13" s="4" t="s">
        <v>52</v>
      </c>
      <c r="I13" s="4" t="s">
        <v>41</v>
      </c>
      <c r="J13" s="5">
        <v>2350</v>
      </c>
      <c r="K13" s="7">
        <f>IF(ROW()=2,IF(Tabela2[[#This Row],[Status]]="Em aberto",0,IF(Tabela2[[#This Row],[Movimentação]]="Saídas",-J13,J13)),IF(Tabela2[[#This Row],[Status]]="Em aberto",0,IF(Tabela2[[#This Row],[Movimentação]]="Saídas",-J13,J13))+K12)</f>
        <v>22920</v>
      </c>
      <c r="L13" s="8">
        <f>IF(ROW()=2,IF(Tabela2[[#This Row],[Movimentação]]="Saídas",-J13,J13),IF(Tabela2[[#This Row],[Movimentação]]="Saídas",-J13,J13)+L12)</f>
        <v>22920</v>
      </c>
    </row>
    <row r="14" spans="1:16" x14ac:dyDescent="0.25">
      <c r="A14" s="1">
        <v>43543</v>
      </c>
      <c r="B14" s="3" t="s">
        <v>14</v>
      </c>
      <c r="C14" t="s">
        <v>11</v>
      </c>
      <c r="D14" s="4" t="s">
        <v>123</v>
      </c>
      <c r="E14" s="4" t="s">
        <v>48</v>
      </c>
      <c r="F14" s="4" t="s">
        <v>36</v>
      </c>
      <c r="G14" s="4" t="s">
        <v>33</v>
      </c>
      <c r="H14" s="4" t="s">
        <v>52</v>
      </c>
      <c r="I14" s="4" t="s">
        <v>42</v>
      </c>
      <c r="J14" s="5">
        <v>8840</v>
      </c>
      <c r="K14" s="7">
        <f>IF(ROW()=2,IF(Tabela2[[#This Row],[Status]]="Em aberto",0,IF(Tabela2[[#This Row],[Movimentação]]="Saídas",-J14,J14)),IF(Tabela2[[#This Row],[Status]]="Em aberto",0,IF(Tabela2[[#This Row],[Movimentação]]="Saídas",-J14,J14))+K13)</f>
        <v>31760</v>
      </c>
      <c r="L14" s="8">
        <f>IF(ROW()=2,IF(Tabela2[[#This Row],[Movimentação]]="Saídas",-J14,J14),IF(Tabela2[[#This Row],[Movimentação]]="Saídas",-J14,J14)+L13)</f>
        <v>31760</v>
      </c>
    </row>
    <row r="15" spans="1:16" x14ac:dyDescent="0.25">
      <c r="A15" s="1">
        <v>43551</v>
      </c>
      <c r="B15" s="3" t="s">
        <v>15</v>
      </c>
      <c r="C15" t="s">
        <v>11</v>
      </c>
      <c r="D15" s="4" t="s">
        <v>85</v>
      </c>
      <c r="E15" s="4" t="s">
        <v>50</v>
      </c>
      <c r="F15" s="4" t="s">
        <v>37</v>
      </c>
      <c r="G15" s="4" t="s">
        <v>31</v>
      </c>
      <c r="H15" s="4" t="s">
        <v>52</v>
      </c>
      <c r="I15" s="4" t="s">
        <v>40</v>
      </c>
      <c r="J15" s="5">
        <v>295</v>
      </c>
      <c r="K15" s="7">
        <f>IF(ROW()=2,IF(Tabela2[[#This Row],[Status]]="Em aberto",0,IF(Tabela2[[#This Row],[Movimentação]]="Saídas",-J15,J15)),IF(Tabela2[[#This Row],[Status]]="Em aberto",0,IF(Tabela2[[#This Row],[Movimentação]]="Saídas",-J15,J15))+K14)</f>
        <v>31465</v>
      </c>
      <c r="L15" s="8">
        <f>IF(ROW()=2,IF(Tabela2[[#This Row],[Movimentação]]="Saídas",-J15,J15),IF(Tabela2[[#This Row],[Movimentação]]="Saídas",-J15,J15)+L14)</f>
        <v>31465</v>
      </c>
    </row>
    <row r="16" spans="1:16" x14ac:dyDescent="0.25">
      <c r="A16" s="1">
        <v>43569</v>
      </c>
      <c r="B16" s="3" t="s">
        <v>14</v>
      </c>
      <c r="C16" t="s">
        <v>11</v>
      </c>
      <c r="D16" s="4" t="s">
        <v>138</v>
      </c>
      <c r="E16" s="4" t="s">
        <v>48</v>
      </c>
      <c r="F16" s="4" t="s">
        <v>36</v>
      </c>
      <c r="G16" s="4" t="s">
        <v>32</v>
      </c>
      <c r="H16" s="4" t="s">
        <v>52</v>
      </c>
      <c r="I16" s="4" t="s">
        <v>41</v>
      </c>
      <c r="J16" s="5">
        <v>6551</v>
      </c>
      <c r="K16" s="7">
        <f>IF(ROW()=2,IF(Tabela2[[#This Row],[Status]]="Em aberto",0,IF(Tabela2[[#This Row],[Movimentação]]="Saídas",-J16,J16)),IF(Tabela2[[#This Row],[Status]]="Em aberto",0,IF(Tabela2[[#This Row],[Movimentação]]="Saídas",-J16,J16))+K15)</f>
        <v>38016</v>
      </c>
      <c r="L16" s="8">
        <f>IF(ROW()=2,IF(Tabela2[[#This Row],[Movimentação]]="Saídas",-J16,J16),IF(Tabela2[[#This Row],[Movimentação]]="Saídas",-J16,J16)+L15)</f>
        <v>38016</v>
      </c>
    </row>
    <row r="17" spans="1:12" x14ac:dyDescent="0.25">
      <c r="A17" s="1">
        <v>43570</v>
      </c>
      <c r="B17" s="3" t="s">
        <v>15</v>
      </c>
      <c r="C17" t="s">
        <v>23</v>
      </c>
      <c r="D17" s="4" t="s">
        <v>93</v>
      </c>
      <c r="E17" s="4" t="s">
        <v>48</v>
      </c>
      <c r="F17" s="4" t="s">
        <v>36</v>
      </c>
      <c r="G17" s="4" t="s">
        <v>32</v>
      </c>
      <c r="H17" s="4" t="s">
        <v>52</v>
      </c>
      <c r="I17" s="4" t="s">
        <v>42</v>
      </c>
      <c r="J17" s="5">
        <v>9046</v>
      </c>
      <c r="K17" s="7">
        <f>IF(ROW()=2,IF(Tabela2[[#This Row],[Status]]="Em aberto",0,IF(Tabela2[[#This Row],[Movimentação]]="Saídas",-J17,J17)),IF(Tabela2[[#This Row],[Status]]="Em aberto",0,IF(Tabela2[[#This Row],[Movimentação]]="Saídas",-J17,J17))+K16)</f>
        <v>28970</v>
      </c>
      <c r="L17" s="8">
        <f>IF(ROW()=2,IF(Tabela2[[#This Row],[Movimentação]]="Saídas",-J17,J17),IF(Tabela2[[#This Row],[Movimentação]]="Saídas",-J17,J17)+L16)</f>
        <v>28970</v>
      </c>
    </row>
    <row r="18" spans="1:12" x14ac:dyDescent="0.25">
      <c r="A18" s="1">
        <v>43572</v>
      </c>
      <c r="B18" s="3" t="s">
        <v>15</v>
      </c>
      <c r="C18" t="s">
        <v>12</v>
      </c>
      <c r="D18" s="4" t="s">
        <v>55</v>
      </c>
      <c r="E18" s="4" t="s">
        <v>48</v>
      </c>
      <c r="F18" s="4" t="s">
        <v>36</v>
      </c>
      <c r="G18" s="4" t="s">
        <v>34</v>
      </c>
      <c r="H18" s="4" t="s">
        <v>52</v>
      </c>
      <c r="I18" s="4" t="s">
        <v>42</v>
      </c>
      <c r="J18" s="5">
        <v>7991</v>
      </c>
      <c r="K18" s="7">
        <f>IF(ROW()=2,IF(Tabela2[[#This Row],[Status]]="Em aberto",0,IF(Tabela2[[#This Row],[Movimentação]]="Saídas",-J18,J18)),IF(Tabela2[[#This Row],[Status]]="Em aberto",0,IF(Tabela2[[#This Row],[Movimentação]]="Saídas",-J18,J18))+K17)</f>
        <v>20979</v>
      </c>
      <c r="L18" s="8">
        <f>IF(ROW()=2,IF(Tabela2[[#This Row],[Movimentação]]="Saídas",-J18,J18),IF(Tabela2[[#This Row],[Movimentação]]="Saídas",-J18,J18)+L17)</f>
        <v>20979</v>
      </c>
    </row>
    <row r="19" spans="1:12" x14ac:dyDescent="0.25">
      <c r="A19" s="1">
        <v>43578</v>
      </c>
      <c r="B19" s="3" t="s">
        <v>14</v>
      </c>
      <c r="C19" t="s">
        <v>13</v>
      </c>
      <c r="D19" s="4" t="s">
        <v>81</v>
      </c>
      <c r="E19" s="4" t="s">
        <v>49</v>
      </c>
      <c r="F19" s="4" t="s">
        <v>38</v>
      </c>
      <c r="G19" s="4" t="s">
        <v>35</v>
      </c>
      <c r="H19" s="4" t="s">
        <v>52</v>
      </c>
      <c r="I19" s="4" t="s">
        <v>41</v>
      </c>
      <c r="J19" s="5">
        <v>5417</v>
      </c>
      <c r="K19" s="7">
        <f>IF(ROW()=2,IF(Tabela2[[#This Row],[Status]]="Em aberto",0,IF(Tabela2[[#This Row],[Movimentação]]="Saídas",-J19,J19)),IF(Tabela2[[#This Row],[Status]]="Em aberto",0,IF(Tabela2[[#This Row],[Movimentação]]="Saídas",-J19,J19))+K18)</f>
        <v>26396</v>
      </c>
      <c r="L19" s="8">
        <f>IF(ROW()=2,IF(Tabela2[[#This Row],[Movimentação]]="Saídas",-J19,J19),IF(Tabela2[[#This Row],[Movimentação]]="Saídas",-J19,J19)+L18)</f>
        <v>26396</v>
      </c>
    </row>
    <row r="20" spans="1:12" x14ac:dyDescent="0.25">
      <c r="A20" s="1">
        <v>43580</v>
      </c>
      <c r="B20" s="3" t="s">
        <v>14</v>
      </c>
      <c r="C20" t="s">
        <v>10</v>
      </c>
      <c r="D20" s="4" t="s">
        <v>112</v>
      </c>
      <c r="E20" s="4" t="s">
        <v>48</v>
      </c>
      <c r="F20" s="4" t="s">
        <v>36</v>
      </c>
      <c r="G20" s="4" t="s">
        <v>33</v>
      </c>
      <c r="H20" s="4" t="s">
        <v>52</v>
      </c>
      <c r="I20" s="4" t="s">
        <v>40</v>
      </c>
      <c r="J20" s="5">
        <v>9264</v>
      </c>
      <c r="K20" s="7">
        <f>IF(ROW()=2,IF(Tabela2[[#This Row],[Status]]="Em aberto",0,IF(Tabela2[[#This Row],[Movimentação]]="Saídas",-J20,J20)),IF(Tabela2[[#This Row],[Status]]="Em aberto",0,IF(Tabela2[[#This Row],[Movimentação]]="Saídas",-J20,J20))+K19)</f>
        <v>35660</v>
      </c>
      <c r="L20" s="8">
        <f>IF(ROW()=2,IF(Tabela2[[#This Row],[Movimentação]]="Saídas",-J20,J20),IF(Tabela2[[#This Row],[Movimentação]]="Saídas",-J20,J20)+L19)</f>
        <v>35660</v>
      </c>
    </row>
    <row r="21" spans="1:12" x14ac:dyDescent="0.25">
      <c r="A21" s="1">
        <v>43586</v>
      </c>
      <c r="B21" s="3" t="s">
        <v>14</v>
      </c>
      <c r="C21" t="s">
        <v>13</v>
      </c>
      <c r="D21" s="4" t="s">
        <v>98</v>
      </c>
      <c r="E21" s="4" t="s">
        <v>47</v>
      </c>
      <c r="F21" s="4" t="s">
        <v>38</v>
      </c>
      <c r="G21" s="4" t="s">
        <v>32</v>
      </c>
      <c r="H21" s="4" t="s">
        <v>52</v>
      </c>
      <c r="I21" s="4" t="s">
        <v>40</v>
      </c>
      <c r="J21" s="5">
        <v>1179</v>
      </c>
      <c r="K21" s="7">
        <f>IF(ROW()=2,IF(Tabela2[[#This Row],[Status]]="Em aberto",0,IF(Tabela2[[#This Row],[Movimentação]]="Saídas",-J21,J21)),IF(Tabela2[[#This Row],[Status]]="Em aberto",0,IF(Tabela2[[#This Row],[Movimentação]]="Saídas",-J21,J21))+K20)</f>
        <v>36839</v>
      </c>
      <c r="L21" s="8">
        <f>IF(ROW()=2,IF(Tabela2[[#This Row],[Movimentação]]="Saídas",-J21,J21),IF(Tabela2[[#This Row],[Movimentação]]="Saídas",-J21,J21)+L20)</f>
        <v>36839</v>
      </c>
    </row>
    <row r="22" spans="1:12" x14ac:dyDescent="0.25">
      <c r="A22" s="1">
        <v>43594</v>
      </c>
      <c r="B22" s="3" t="s">
        <v>15</v>
      </c>
      <c r="C22" t="s">
        <v>19</v>
      </c>
      <c r="D22" s="4" t="s">
        <v>82</v>
      </c>
      <c r="E22" s="4" t="s">
        <v>48</v>
      </c>
      <c r="F22" s="4" t="s">
        <v>37</v>
      </c>
      <c r="G22" s="4" t="s">
        <v>31</v>
      </c>
      <c r="H22" s="4" t="s">
        <v>52</v>
      </c>
      <c r="I22" s="4" t="s">
        <v>41</v>
      </c>
      <c r="J22" s="5">
        <v>5293</v>
      </c>
      <c r="K22" s="7">
        <f>IF(ROW()=2,IF(Tabela2[[#This Row],[Status]]="Em aberto",0,IF(Tabela2[[#This Row],[Movimentação]]="Saídas",-J22,J22)),IF(Tabela2[[#This Row],[Status]]="Em aberto",0,IF(Tabela2[[#This Row],[Movimentação]]="Saídas",-J22,J22))+K21)</f>
        <v>31546</v>
      </c>
      <c r="L22" s="8">
        <f>IF(ROW()=2,IF(Tabela2[[#This Row],[Movimentação]]="Saídas",-J22,J22),IF(Tabela2[[#This Row],[Movimentação]]="Saídas",-J22,J22)+L21)</f>
        <v>31546</v>
      </c>
    </row>
    <row r="23" spans="1:12" x14ac:dyDescent="0.25">
      <c r="A23" s="1">
        <v>43609</v>
      </c>
      <c r="B23" s="3" t="s">
        <v>14</v>
      </c>
      <c r="C23" t="s">
        <v>13</v>
      </c>
      <c r="D23" s="4" t="s">
        <v>86</v>
      </c>
      <c r="E23" s="4" t="s">
        <v>48</v>
      </c>
      <c r="F23" s="4" t="s">
        <v>37</v>
      </c>
      <c r="G23" s="4" t="s">
        <v>34</v>
      </c>
      <c r="H23" s="4" t="s">
        <v>52</v>
      </c>
      <c r="I23" s="4" t="s">
        <v>42</v>
      </c>
      <c r="J23" s="5">
        <v>840</v>
      </c>
      <c r="K23" s="7">
        <f>IF(ROW()=2,IF(Tabela2[[#This Row],[Status]]="Em aberto",0,IF(Tabela2[[#This Row],[Movimentação]]="Saídas",-J23,J23)),IF(Tabela2[[#This Row],[Status]]="Em aberto",0,IF(Tabela2[[#This Row],[Movimentação]]="Saídas",-J23,J23))+K22)</f>
        <v>32386</v>
      </c>
      <c r="L23" s="8">
        <f>IF(ROW()=2,IF(Tabela2[[#This Row],[Movimentação]]="Saídas",-J23,J23),IF(Tabela2[[#This Row],[Movimentação]]="Saídas",-J23,J23)+L22)</f>
        <v>32386</v>
      </c>
    </row>
    <row r="24" spans="1:12" x14ac:dyDescent="0.25">
      <c r="A24" s="1">
        <v>43624</v>
      </c>
      <c r="B24" s="3" t="s">
        <v>15</v>
      </c>
      <c r="C24" t="s">
        <v>13</v>
      </c>
      <c r="D24" s="4" t="s">
        <v>151</v>
      </c>
      <c r="E24" s="4" t="s">
        <v>50</v>
      </c>
      <c r="F24" s="4" t="s">
        <v>36</v>
      </c>
      <c r="G24" s="4" t="s">
        <v>34</v>
      </c>
      <c r="H24" s="4" t="s">
        <v>52</v>
      </c>
      <c r="I24" s="4" t="s">
        <v>41</v>
      </c>
      <c r="J24" s="5">
        <v>9324</v>
      </c>
      <c r="K24" s="7">
        <f>IF(ROW()=2,IF(Tabela2[[#This Row],[Status]]="Em aberto",0,IF(Tabela2[[#This Row],[Movimentação]]="Saídas",-J24,J24)),IF(Tabela2[[#This Row],[Status]]="Em aberto",0,IF(Tabela2[[#This Row],[Movimentação]]="Saídas",-J24,J24))+K23)</f>
        <v>23062</v>
      </c>
      <c r="L24" s="8">
        <f>IF(ROW()=2,IF(Tabela2[[#This Row],[Movimentação]]="Saídas",-J24,J24),IF(Tabela2[[#This Row],[Movimentação]]="Saídas",-J24,J24)+L23)</f>
        <v>23062</v>
      </c>
    </row>
    <row r="25" spans="1:12" x14ac:dyDescent="0.25">
      <c r="A25" s="1">
        <v>43627</v>
      </c>
      <c r="B25" s="3" t="s">
        <v>14</v>
      </c>
      <c r="C25" t="s">
        <v>11</v>
      </c>
      <c r="D25" s="4" t="s">
        <v>99</v>
      </c>
      <c r="E25" s="4" t="s">
        <v>48</v>
      </c>
      <c r="F25" s="4" t="s">
        <v>37</v>
      </c>
      <c r="G25" s="4" t="s">
        <v>34</v>
      </c>
      <c r="H25" s="4" t="s">
        <v>52</v>
      </c>
      <c r="I25" s="4" t="s">
        <v>41</v>
      </c>
      <c r="J25" s="5">
        <v>659</v>
      </c>
      <c r="K25" s="7">
        <f>IF(ROW()=2,IF(Tabela2[[#This Row],[Status]]="Em aberto",0,IF(Tabela2[[#This Row],[Movimentação]]="Saídas",-J25,J25)),IF(Tabela2[[#This Row],[Status]]="Em aberto",0,IF(Tabela2[[#This Row],[Movimentação]]="Saídas",-J25,J25))+K24)</f>
        <v>23721</v>
      </c>
      <c r="L25" s="8">
        <f>IF(ROW()=2,IF(Tabela2[[#This Row],[Movimentação]]="Saídas",-J25,J25),IF(Tabela2[[#This Row],[Movimentação]]="Saídas",-J25,J25)+L24)</f>
        <v>23721</v>
      </c>
    </row>
    <row r="26" spans="1:12" x14ac:dyDescent="0.25">
      <c r="A26" s="1">
        <v>43633</v>
      </c>
      <c r="B26" s="3" t="s">
        <v>14</v>
      </c>
      <c r="C26" t="s">
        <v>13</v>
      </c>
      <c r="D26" s="4" t="s">
        <v>89</v>
      </c>
      <c r="E26" s="4" t="s">
        <v>49</v>
      </c>
      <c r="F26" s="4" t="s">
        <v>36</v>
      </c>
      <c r="G26" s="4" t="s">
        <v>31</v>
      </c>
      <c r="H26" s="4" t="s">
        <v>52</v>
      </c>
      <c r="I26" s="4" t="s">
        <v>42</v>
      </c>
      <c r="J26" s="5">
        <v>7992</v>
      </c>
      <c r="K26" s="7">
        <f>IF(ROW()=2,IF(Tabela2[[#This Row],[Status]]="Em aberto",0,IF(Tabela2[[#This Row],[Movimentação]]="Saídas",-J26,J26)),IF(Tabela2[[#This Row],[Status]]="Em aberto",0,IF(Tabela2[[#This Row],[Movimentação]]="Saídas",-J26,J26))+K25)</f>
        <v>31713</v>
      </c>
      <c r="L26" s="8">
        <f>IF(ROW()=2,IF(Tabela2[[#This Row],[Movimentação]]="Saídas",-J26,J26),IF(Tabela2[[#This Row],[Movimentação]]="Saídas",-J26,J26)+L25)</f>
        <v>31713</v>
      </c>
    </row>
    <row r="27" spans="1:12" x14ac:dyDescent="0.25">
      <c r="A27" s="1">
        <v>43638</v>
      </c>
      <c r="B27" s="3" t="s">
        <v>14</v>
      </c>
      <c r="C27" t="s">
        <v>26</v>
      </c>
      <c r="D27" s="4" t="s">
        <v>147</v>
      </c>
      <c r="E27" s="4" t="s">
        <v>50</v>
      </c>
      <c r="F27" s="4" t="s">
        <v>36</v>
      </c>
      <c r="G27" s="4" t="s">
        <v>34</v>
      </c>
      <c r="H27" s="4" t="s">
        <v>52</v>
      </c>
      <c r="I27" s="4" t="s">
        <v>40</v>
      </c>
      <c r="J27" s="5">
        <v>8592</v>
      </c>
      <c r="K27" s="7">
        <f>IF(ROW()=2,IF(Tabela2[[#This Row],[Status]]="Em aberto",0,IF(Tabela2[[#This Row],[Movimentação]]="Saídas",-J27,J27)),IF(Tabela2[[#This Row],[Status]]="Em aberto",0,IF(Tabela2[[#This Row],[Movimentação]]="Saídas",-J27,J27))+K26)</f>
        <v>40305</v>
      </c>
      <c r="L27" s="8">
        <f>IF(ROW()=2,IF(Tabela2[[#This Row],[Movimentação]]="Saídas",-J27,J27),IF(Tabela2[[#This Row],[Movimentação]]="Saídas",-J27,J27)+L26)</f>
        <v>40305</v>
      </c>
    </row>
    <row r="28" spans="1:12" x14ac:dyDescent="0.25">
      <c r="A28" s="1">
        <v>43647</v>
      </c>
      <c r="B28" s="3" t="s">
        <v>14</v>
      </c>
      <c r="C28" t="s">
        <v>26</v>
      </c>
      <c r="D28" s="4" t="s">
        <v>101</v>
      </c>
      <c r="E28" s="4" t="s">
        <v>48</v>
      </c>
      <c r="F28" s="4" t="s">
        <v>37</v>
      </c>
      <c r="G28" s="4" t="s">
        <v>31</v>
      </c>
      <c r="H28" s="4" t="s">
        <v>52</v>
      </c>
      <c r="I28" s="4" t="s">
        <v>42</v>
      </c>
      <c r="J28" s="5">
        <v>7233</v>
      </c>
      <c r="K28" s="7">
        <f>IF(ROW()=2,IF(Tabela2[[#This Row],[Status]]="Em aberto",0,IF(Tabela2[[#This Row],[Movimentação]]="Saídas",-J28,J28)),IF(Tabela2[[#This Row],[Status]]="Em aberto",0,IF(Tabela2[[#This Row],[Movimentação]]="Saídas",-J28,J28))+K27)</f>
        <v>47538</v>
      </c>
      <c r="L28" s="8">
        <f>IF(ROW()=2,IF(Tabela2[[#This Row],[Movimentação]]="Saídas",-J28,J28),IF(Tabela2[[#This Row],[Movimentação]]="Saídas",-J28,J28)+L27)</f>
        <v>47538</v>
      </c>
    </row>
    <row r="29" spans="1:12" x14ac:dyDescent="0.25">
      <c r="A29" s="1">
        <v>43649</v>
      </c>
      <c r="B29" s="3" t="s">
        <v>14</v>
      </c>
      <c r="C29" t="s">
        <v>12</v>
      </c>
      <c r="D29" s="4" t="s">
        <v>145</v>
      </c>
      <c r="E29" s="4" t="s">
        <v>49</v>
      </c>
      <c r="F29" s="4" t="s">
        <v>37</v>
      </c>
      <c r="G29" s="4" t="s">
        <v>32</v>
      </c>
      <c r="H29" s="4" t="s">
        <v>52</v>
      </c>
      <c r="I29" s="4" t="s">
        <v>40</v>
      </c>
      <c r="J29" s="5">
        <v>5653</v>
      </c>
      <c r="K29" s="7">
        <f>IF(ROW()=2,IF(Tabela2[[#This Row],[Status]]="Em aberto",0,IF(Tabela2[[#This Row],[Movimentação]]="Saídas",-J29,J29)),IF(Tabela2[[#This Row],[Status]]="Em aberto",0,IF(Tabela2[[#This Row],[Movimentação]]="Saídas",-J29,J29))+K28)</f>
        <v>53191</v>
      </c>
      <c r="L29" s="8">
        <f>IF(ROW()=2,IF(Tabela2[[#This Row],[Movimentação]]="Saídas",-J29,J29),IF(Tabela2[[#This Row],[Movimentação]]="Saídas",-J29,J29)+L28)</f>
        <v>53191</v>
      </c>
    </row>
    <row r="30" spans="1:12" x14ac:dyDescent="0.25">
      <c r="A30" s="1">
        <v>43651</v>
      </c>
      <c r="B30" s="3" t="s">
        <v>14</v>
      </c>
      <c r="C30" t="s">
        <v>24</v>
      </c>
      <c r="D30" s="4" t="s">
        <v>130</v>
      </c>
      <c r="E30" s="4" t="s">
        <v>46</v>
      </c>
      <c r="F30" s="4" t="s">
        <v>38</v>
      </c>
      <c r="G30" s="4" t="s">
        <v>32</v>
      </c>
      <c r="H30" s="4" t="s">
        <v>52</v>
      </c>
      <c r="I30" s="4" t="s">
        <v>40</v>
      </c>
      <c r="J30" s="5">
        <v>625</v>
      </c>
      <c r="K30" s="7">
        <f>IF(ROW()=2,IF(Tabela2[[#This Row],[Status]]="Em aberto",0,IF(Tabela2[[#This Row],[Movimentação]]="Saídas",-J30,J30)),IF(Tabela2[[#This Row],[Status]]="Em aberto",0,IF(Tabela2[[#This Row],[Movimentação]]="Saídas",-J30,J30))+K29)</f>
        <v>53816</v>
      </c>
      <c r="L30" s="8">
        <f>IF(ROW()=2,IF(Tabela2[[#This Row],[Movimentação]]="Saídas",-J30,J30),IF(Tabela2[[#This Row],[Movimentação]]="Saídas",-J30,J30)+L29)</f>
        <v>53816</v>
      </c>
    </row>
    <row r="31" spans="1:12" x14ac:dyDescent="0.25">
      <c r="A31" s="1">
        <v>43651</v>
      </c>
      <c r="B31" s="3" t="s">
        <v>14</v>
      </c>
      <c r="C31" t="s">
        <v>11</v>
      </c>
      <c r="D31" s="4" t="s">
        <v>132</v>
      </c>
      <c r="E31" s="4" t="s">
        <v>49</v>
      </c>
      <c r="F31" s="4" t="s">
        <v>37</v>
      </c>
      <c r="G31" s="4" t="s">
        <v>34</v>
      </c>
      <c r="H31" s="4" t="s">
        <v>52</v>
      </c>
      <c r="I31" s="4" t="s">
        <v>42</v>
      </c>
      <c r="J31" s="5">
        <v>5693</v>
      </c>
      <c r="K31" s="7">
        <f>IF(ROW()=2,IF(Tabela2[[#This Row],[Status]]="Em aberto",0,IF(Tabela2[[#This Row],[Movimentação]]="Saídas",-J31,J31)),IF(Tabela2[[#This Row],[Status]]="Em aberto",0,IF(Tabela2[[#This Row],[Movimentação]]="Saídas",-J31,J31))+K30)</f>
        <v>59509</v>
      </c>
      <c r="L31" s="8">
        <f>IF(ROW()=2,IF(Tabela2[[#This Row],[Movimentação]]="Saídas",-J31,J31),IF(Tabela2[[#This Row],[Movimentação]]="Saídas",-J31,J31)+L30)</f>
        <v>59509</v>
      </c>
    </row>
    <row r="32" spans="1:12" x14ac:dyDescent="0.25">
      <c r="A32" s="1">
        <v>43662</v>
      </c>
      <c r="B32" s="3" t="s">
        <v>15</v>
      </c>
      <c r="C32" t="s">
        <v>12</v>
      </c>
      <c r="D32" s="4" t="s">
        <v>131</v>
      </c>
      <c r="E32" s="4" t="s">
        <v>50</v>
      </c>
      <c r="F32" s="4" t="s">
        <v>36</v>
      </c>
      <c r="G32" s="4" t="s">
        <v>34</v>
      </c>
      <c r="H32" s="4" t="s">
        <v>52</v>
      </c>
      <c r="I32" s="4" t="s">
        <v>42</v>
      </c>
      <c r="J32" s="5">
        <v>269</v>
      </c>
      <c r="K32" s="7">
        <f>IF(ROW()=2,IF(Tabela2[[#This Row],[Status]]="Em aberto",0,IF(Tabela2[[#This Row],[Movimentação]]="Saídas",-J32,J32)),IF(Tabela2[[#This Row],[Status]]="Em aberto",0,IF(Tabela2[[#This Row],[Movimentação]]="Saídas",-J32,J32))+K31)</f>
        <v>59240</v>
      </c>
      <c r="L32" s="8">
        <f>IF(ROW()=2,IF(Tabela2[[#This Row],[Movimentação]]="Saídas",-J32,J32),IF(Tabela2[[#This Row],[Movimentação]]="Saídas",-J32,J32)+L31)</f>
        <v>59240</v>
      </c>
    </row>
    <row r="33" spans="1:12" x14ac:dyDescent="0.25">
      <c r="A33" s="1">
        <v>43673</v>
      </c>
      <c r="B33" s="3" t="s">
        <v>14</v>
      </c>
      <c r="C33" t="s">
        <v>12</v>
      </c>
      <c r="D33" s="4" t="s">
        <v>79</v>
      </c>
      <c r="E33" s="4" t="s">
        <v>49</v>
      </c>
      <c r="F33" s="4" t="s">
        <v>36</v>
      </c>
      <c r="G33" s="4" t="s">
        <v>31</v>
      </c>
      <c r="H33" s="4" t="s">
        <v>52</v>
      </c>
      <c r="I33" s="4" t="s">
        <v>42</v>
      </c>
      <c r="J33" s="5">
        <v>9291</v>
      </c>
      <c r="K33" s="7">
        <f>IF(ROW()=2,IF(Tabela2[[#This Row],[Status]]="Em aberto",0,IF(Tabela2[[#This Row],[Movimentação]]="Saídas",-J33,J33)),IF(Tabela2[[#This Row],[Status]]="Em aberto",0,IF(Tabela2[[#This Row],[Movimentação]]="Saídas",-J33,J33))+K32)</f>
        <v>68531</v>
      </c>
      <c r="L33" s="8">
        <f>IF(ROW()=2,IF(Tabela2[[#This Row],[Movimentação]]="Saídas",-J33,J33),IF(Tabela2[[#This Row],[Movimentação]]="Saídas",-J33,J33)+L32)</f>
        <v>68531</v>
      </c>
    </row>
    <row r="34" spans="1:12" x14ac:dyDescent="0.25">
      <c r="A34" s="1">
        <v>43678</v>
      </c>
      <c r="B34" s="3" t="s">
        <v>15</v>
      </c>
      <c r="C34" t="s">
        <v>13</v>
      </c>
      <c r="D34" s="4" t="s">
        <v>87</v>
      </c>
      <c r="E34" s="4" t="s">
        <v>46</v>
      </c>
      <c r="F34" s="4" t="s">
        <v>36</v>
      </c>
      <c r="G34" s="4" t="s">
        <v>33</v>
      </c>
      <c r="H34" s="4" t="s">
        <v>52</v>
      </c>
      <c r="I34" s="4" t="s">
        <v>40</v>
      </c>
      <c r="J34" s="5">
        <v>2221</v>
      </c>
      <c r="K34" s="7">
        <f>IF(ROW()=2,IF(Tabela2[[#This Row],[Status]]="Em aberto",0,IF(Tabela2[[#This Row],[Movimentação]]="Saídas",-J34,J34)),IF(Tabela2[[#This Row],[Status]]="Em aberto",0,IF(Tabela2[[#This Row],[Movimentação]]="Saídas",-J34,J34))+K33)</f>
        <v>66310</v>
      </c>
      <c r="L34" s="8">
        <f>IF(ROW()=2,IF(Tabela2[[#This Row],[Movimentação]]="Saídas",-J34,J34),IF(Tabela2[[#This Row],[Movimentação]]="Saídas",-J34,J34)+L33)</f>
        <v>66310</v>
      </c>
    </row>
    <row r="35" spans="1:12" x14ac:dyDescent="0.25">
      <c r="A35" s="1">
        <v>43679</v>
      </c>
      <c r="B35" s="3" t="s">
        <v>15</v>
      </c>
      <c r="C35" t="s">
        <v>10</v>
      </c>
      <c r="D35" s="4" t="s">
        <v>73</v>
      </c>
      <c r="E35" s="4" t="s">
        <v>49</v>
      </c>
      <c r="F35" s="4" t="s">
        <v>38</v>
      </c>
      <c r="G35" s="4" t="s">
        <v>31</v>
      </c>
      <c r="H35" s="4" t="s">
        <v>52</v>
      </c>
      <c r="I35" s="4" t="s">
        <v>42</v>
      </c>
      <c r="J35" s="5">
        <v>5727</v>
      </c>
      <c r="K35" s="7">
        <f>IF(ROW()=2,IF(Tabela2[[#This Row],[Status]]="Em aberto",0,IF(Tabela2[[#This Row],[Movimentação]]="Saídas",-J35,J35)),IF(Tabela2[[#This Row],[Status]]="Em aberto",0,IF(Tabela2[[#This Row],[Movimentação]]="Saídas",-J35,J35))+K34)</f>
        <v>60583</v>
      </c>
      <c r="L35" s="8">
        <f>IF(ROW()=2,IF(Tabela2[[#This Row],[Movimentação]]="Saídas",-J35,J35),IF(Tabela2[[#This Row],[Movimentação]]="Saídas",-J35,J35)+L34)</f>
        <v>60583</v>
      </c>
    </row>
    <row r="36" spans="1:12" x14ac:dyDescent="0.25">
      <c r="A36" s="1">
        <v>43679</v>
      </c>
      <c r="B36" s="3" t="s">
        <v>15</v>
      </c>
      <c r="C36" t="s">
        <v>19</v>
      </c>
      <c r="D36" s="4" t="s">
        <v>127</v>
      </c>
      <c r="E36" s="4" t="s">
        <v>50</v>
      </c>
      <c r="F36" s="4" t="s">
        <v>36</v>
      </c>
      <c r="G36" s="4" t="s">
        <v>31</v>
      </c>
      <c r="H36" s="4" t="s">
        <v>52</v>
      </c>
      <c r="I36" s="4" t="s">
        <v>40</v>
      </c>
      <c r="J36" s="5">
        <v>2730</v>
      </c>
      <c r="K36" s="7">
        <f>IF(ROW()=2,IF(Tabela2[[#This Row],[Status]]="Em aberto",0,IF(Tabela2[[#This Row],[Movimentação]]="Saídas",-J36,J36)),IF(Tabela2[[#This Row],[Status]]="Em aberto",0,IF(Tabela2[[#This Row],[Movimentação]]="Saídas",-J36,J36))+K35)</f>
        <v>57853</v>
      </c>
      <c r="L36" s="8">
        <f>IF(ROW()=2,IF(Tabela2[[#This Row],[Movimentação]]="Saídas",-J36,J36),IF(Tabela2[[#This Row],[Movimentação]]="Saídas",-J36,J36)+L35)</f>
        <v>57853</v>
      </c>
    </row>
    <row r="37" spans="1:12" x14ac:dyDescent="0.25">
      <c r="A37" s="1">
        <v>43688</v>
      </c>
      <c r="B37" s="3" t="s">
        <v>15</v>
      </c>
      <c r="C37" t="s">
        <v>13</v>
      </c>
      <c r="D37" s="4" t="s">
        <v>149</v>
      </c>
      <c r="E37" s="4" t="s">
        <v>49</v>
      </c>
      <c r="F37" s="4" t="s">
        <v>38</v>
      </c>
      <c r="G37" s="4" t="s">
        <v>35</v>
      </c>
      <c r="H37" s="4" t="s">
        <v>52</v>
      </c>
      <c r="I37" s="4" t="s">
        <v>40</v>
      </c>
      <c r="J37" s="5">
        <v>3034</v>
      </c>
      <c r="K37" s="7">
        <f>IF(ROW()=2,IF(Tabela2[[#This Row],[Status]]="Em aberto",0,IF(Tabela2[[#This Row],[Movimentação]]="Saídas",-J37,J37)),IF(Tabela2[[#This Row],[Status]]="Em aberto",0,IF(Tabela2[[#This Row],[Movimentação]]="Saídas",-J37,J37))+K36)</f>
        <v>54819</v>
      </c>
      <c r="L37" s="8">
        <f>IF(ROW()=2,IF(Tabela2[[#This Row],[Movimentação]]="Saídas",-J37,J37),IF(Tabela2[[#This Row],[Movimentação]]="Saídas",-J37,J37)+L36)</f>
        <v>54819</v>
      </c>
    </row>
    <row r="38" spans="1:12" x14ac:dyDescent="0.25">
      <c r="A38" s="1">
        <v>43695</v>
      </c>
      <c r="B38" s="3" t="s">
        <v>14</v>
      </c>
      <c r="C38" t="s">
        <v>13</v>
      </c>
      <c r="D38" s="4" t="s">
        <v>53</v>
      </c>
      <c r="E38" s="4" t="s">
        <v>49</v>
      </c>
      <c r="F38" s="4" t="s">
        <v>38</v>
      </c>
      <c r="G38" s="4" t="s">
        <v>35</v>
      </c>
      <c r="H38" s="4" t="s">
        <v>52</v>
      </c>
      <c r="I38" s="4" t="s">
        <v>42</v>
      </c>
      <c r="J38" s="5">
        <v>9860</v>
      </c>
      <c r="K38" s="5">
        <f>IF(ROW()=2,IF(Tabela2[[#This Row],[Status]]="Em aberto",0,IF(Tabela2[[#This Row],[Movimentação]]="Saídas",-J38,J38)),IF(Tabela2[[#This Row],[Status]]="Em aberto",0,IF(Tabela2[[#This Row],[Movimentação]]="Saídas",-J38,J38))+K37)</f>
        <v>64679</v>
      </c>
      <c r="L38" s="5">
        <f>IF(ROW()=2,IF(Tabela2[[#This Row],[Movimentação]]="Saídas",-J38,J38),IF(Tabela2[[#This Row],[Movimentação]]="Saídas",-J38,J38)+L37)</f>
        <v>64679</v>
      </c>
    </row>
    <row r="39" spans="1:12" x14ac:dyDescent="0.25">
      <c r="A39" s="1">
        <v>43699</v>
      </c>
      <c r="B39" s="3" t="s">
        <v>14</v>
      </c>
      <c r="C39" t="s">
        <v>12</v>
      </c>
      <c r="D39" s="4" t="s">
        <v>133</v>
      </c>
      <c r="E39" s="4" t="s">
        <v>49</v>
      </c>
      <c r="F39" s="4" t="s">
        <v>38</v>
      </c>
      <c r="G39" s="4" t="s">
        <v>31</v>
      </c>
      <c r="H39" s="4" t="s">
        <v>52</v>
      </c>
      <c r="I39" s="4" t="s">
        <v>41</v>
      </c>
      <c r="J39" s="5">
        <v>8918</v>
      </c>
      <c r="K39" s="7">
        <f>IF(ROW()=2,IF(Tabela2[[#This Row],[Status]]="Em aberto",0,IF(Tabela2[[#This Row],[Movimentação]]="Saídas",-J39,J39)),IF(Tabela2[[#This Row],[Status]]="Em aberto",0,IF(Tabela2[[#This Row],[Movimentação]]="Saídas",-J39,J39))+K38)</f>
        <v>73597</v>
      </c>
      <c r="L39" s="8">
        <f>IF(ROW()=2,IF(Tabela2[[#This Row],[Movimentação]]="Saídas",-J39,J39),IF(Tabela2[[#This Row],[Movimentação]]="Saídas",-J39,J39)+L38)</f>
        <v>73597</v>
      </c>
    </row>
    <row r="40" spans="1:12" x14ac:dyDescent="0.25">
      <c r="A40" s="1">
        <v>43707</v>
      </c>
      <c r="B40" s="3" t="s">
        <v>15</v>
      </c>
      <c r="C40" t="s">
        <v>12</v>
      </c>
      <c r="D40" s="4" t="s">
        <v>109</v>
      </c>
      <c r="E40" s="4" t="s">
        <v>46</v>
      </c>
      <c r="F40" s="4" t="s">
        <v>36</v>
      </c>
      <c r="G40" s="4" t="s">
        <v>32</v>
      </c>
      <c r="H40" s="4" t="s">
        <v>52</v>
      </c>
      <c r="I40" s="4" t="s">
        <v>41</v>
      </c>
      <c r="J40" s="5">
        <v>6671</v>
      </c>
      <c r="K40" s="7">
        <f>IF(ROW()=2,IF(Tabela2[[#This Row],[Status]]="Em aberto",0,IF(Tabela2[[#This Row],[Movimentação]]="Saídas",-J40,J40)),IF(Tabela2[[#This Row],[Status]]="Em aberto",0,IF(Tabela2[[#This Row],[Movimentação]]="Saídas",-J40,J40))+K39)</f>
        <v>66926</v>
      </c>
      <c r="L40" s="8">
        <f>IF(ROW()=2,IF(Tabela2[[#This Row],[Movimentação]]="Saídas",-J40,J40),IF(Tabela2[[#This Row],[Movimentação]]="Saídas",-J40,J40)+L39)</f>
        <v>66926</v>
      </c>
    </row>
    <row r="41" spans="1:12" x14ac:dyDescent="0.25">
      <c r="A41" s="1">
        <v>43707</v>
      </c>
      <c r="B41" s="3" t="s">
        <v>15</v>
      </c>
      <c r="C41" t="s">
        <v>11</v>
      </c>
      <c r="D41" s="4" t="s">
        <v>140</v>
      </c>
      <c r="E41" s="4" t="s">
        <v>49</v>
      </c>
      <c r="F41" s="4" t="s">
        <v>36</v>
      </c>
      <c r="G41" s="4" t="s">
        <v>33</v>
      </c>
      <c r="H41" s="4" t="s">
        <v>52</v>
      </c>
      <c r="I41" s="4" t="s">
        <v>41</v>
      </c>
      <c r="J41" s="5">
        <v>6074</v>
      </c>
      <c r="K41" s="7">
        <f>IF(ROW()=2,IF(Tabela2[[#This Row],[Status]]="Em aberto",0,IF(Tabela2[[#This Row],[Movimentação]]="Saídas",-J41,J41)),IF(Tabela2[[#This Row],[Status]]="Em aberto",0,IF(Tabela2[[#This Row],[Movimentação]]="Saídas",-J41,J41))+K40)</f>
        <v>60852</v>
      </c>
      <c r="L41" s="8">
        <f>IF(ROW()=2,IF(Tabela2[[#This Row],[Movimentação]]="Saídas",-J41,J41),IF(Tabela2[[#This Row],[Movimentação]]="Saídas",-J41,J41)+L40)</f>
        <v>60852</v>
      </c>
    </row>
    <row r="42" spans="1:12" x14ac:dyDescent="0.25">
      <c r="A42" s="1">
        <v>43710</v>
      </c>
      <c r="B42" s="3" t="s">
        <v>14</v>
      </c>
      <c r="C42" t="s">
        <v>12</v>
      </c>
      <c r="D42" s="4" t="s">
        <v>106</v>
      </c>
      <c r="E42" s="4" t="s">
        <v>47</v>
      </c>
      <c r="F42" s="4" t="s">
        <v>37</v>
      </c>
      <c r="G42" s="4" t="s">
        <v>32</v>
      </c>
      <c r="H42" s="4" t="s">
        <v>52</v>
      </c>
      <c r="I42" s="4" t="s">
        <v>41</v>
      </c>
      <c r="J42" s="5">
        <v>3311</v>
      </c>
      <c r="K42" s="7">
        <f>IF(ROW()=2,IF(Tabela2[[#This Row],[Status]]="Em aberto",0,IF(Tabela2[[#This Row],[Movimentação]]="Saídas",-J42,J42)),IF(Tabela2[[#This Row],[Status]]="Em aberto",0,IF(Tabela2[[#This Row],[Movimentação]]="Saídas",-J42,J42))+K41)</f>
        <v>64163</v>
      </c>
      <c r="L42" s="8">
        <f>IF(ROW()=2,IF(Tabela2[[#This Row],[Movimentação]]="Saídas",-J42,J42),IF(Tabela2[[#This Row],[Movimentação]]="Saídas",-J42,J42)+L41)</f>
        <v>64163</v>
      </c>
    </row>
    <row r="43" spans="1:12" x14ac:dyDescent="0.25">
      <c r="A43" s="1">
        <v>43713</v>
      </c>
      <c r="B43" s="3" t="s">
        <v>15</v>
      </c>
      <c r="C43" t="s">
        <v>10</v>
      </c>
      <c r="D43" s="4" t="s">
        <v>103</v>
      </c>
      <c r="E43" s="4" t="s">
        <v>47</v>
      </c>
      <c r="F43" s="4" t="s">
        <v>36</v>
      </c>
      <c r="G43" s="4" t="s">
        <v>34</v>
      </c>
      <c r="H43" s="4" t="s">
        <v>52</v>
      </c>
      <c r="I43" s="4" t="s">
        <v>40</v>
      </c>
      <c r="J43" s="5">
        <v>4516</v>
      </c>
      <c r="K43" s="7">
        <f>IF(ROW()=2,IF(Tabela2[[#This Row],[Status]]="Em aberto",0,IF(Tabela2[[#This Row],[Movimentação]]="Saídas",-J43,J43)),IF(Tabela2[[#This Row],[Status]]="Em aberto",0,IF(Tabela2[[#This Row],[Movimentação]]="Saídas",-J43,J43))+K42)</f>
        <v>59647</v>
      </c>
      <c r="L43" s="8">
        <f>IF(ROW()=2,IF(Tabela2[[#This Row],[Movimentação]]="Saídas",-J43,J43),IF(Tabela2[[#This Row],[Movimentação]]="Saídas",-J43,J43)+L42)</f>
        <v>59647</v>
      </c>
    </row>
    <row r="44" spans="1:12" x14ac:dyDescent="0.25">
      <c r="A44" s="1">
        <v>43714</v>
      </c>
      <c r="B44" s="3" t="s">
        <v>14</v>
      </c>
      <c r="C44" t="s">
        <v>10</v>
      </c>
      <c r="D44" s="4" t="s">
        <v>118</v>
      </c>
      <c r="E44" s="4" t="s">
        <v>47</v>
      </c>
      <c r="F44" s="4" t="s">
        <v>38</v>
      </c>
      <c r="G44" s="4" t="s">
        <v>31</v>
      </c>
      <c r="H44" s="4" t="s">
        <v>52</v>
      </c>
      <c r="I44" s="4" t="s">
        <v>41</v>
      </c>
      <c r="J44" s="5">
        <v>3402</v>
      </c>
      <c r="K44" s="7">
        <f>IF(ROW()=2,IF(Tabela2[[#This Row],[Status]]="Em aberto",0,IF(Tabela2[[#This Row],[Movimentação]]="Saídas",-J44,J44)),IF(Tabela2[[#This Row],[Status]]="Em aberto",0,IF(Tabela2[[#This Row],[Movimentação]]="Saídas",-J44,J44))+K43)</f>
        <v>63049</v>
      </c>
      <c r="L44" s="8">
        <f>IF(ROW()=2,IF(Tabela2[[#This Row],[Movimentação]]="Saídas",-J44,J44),IF(Tabela2[[#This Row],[Movimentação]]="Saídas",-J44,J44)+L43)</f>
        <v>63049</v>
      </c>
    </row>
    <row r="45" spans="1:12" x14ac:dyDescent="0.25">
      <c r="A45" s="1">
        <v>43715</v>
      </c>
      <c r="B45" s="3" t="s">
        <v>14</v>
      </c>
      <c r="C45" t="s">
        <v>10</v>
      </c>
      <c r="D45" s="4" t="s">
        <v>128</v>
      </c>
      <c r="E45" s="4" t="s">
        <v>50</v>
      </c>
      <c r="F45" s="4" t="s">
        <v>38</v>
      </c>
      <c r="G45" s="4" t="s">
        <v>31</v>
      </c>
      <c r="H45" s="4" t="s">
        <v>52</v>
      </c>
      <c r="I45" s="4" t="s">
        <v>40</v>
      </c>
      <c r="J45" s="5">
        <v>3292</v>
      </c>
      <c r="K45" s="7">
        <f>IF(ROW()=2,IF(Tabela2[[#This Row],[Status]]="Em aberto",0,IF(Tabela2[[#This Row],[Movimentação]]="Saídas",-J45,J45)),IF(Tabela2[[#This Row],[Status]]="Em aberto",0,IF(Tabela2[[#This Row],[Movimentação]]="Saídas",-J45,J45))+K44)</f>
        <v>66341</v>
      </c>
      <c r="L45" s="8">
        <f>IF(ROW()=2,IF(Tabela2[[#This Row],[Movimentação]]="Saídas",-J45,J45),IF(Tabela2[[#This Row],[Movimentação]]="Saídas",-J45,J45)+L44)</f>
        <v>66341</v>
      </c>
    </row>
    <row r="46" spans="1:12" x14ac:dyDescent="0.25">
      <c r="A46" s="1">
        <v>43717</v>
      </c>
      <c r="B46" s="3" t="s">
        <v>14</v>
      </c>
      <c r="C46" t="s">
        <v>11</v>
      </c>
      <c r="D46" s="4" t="s">
        <v>61</v>
      </c>
      <c r="E46" s="4" t="s">
        <v>47</v>
      </c>
      <c r="F46" s="4" t="s">
        <v>37</v>
      </c>
      <c r="G46" s="4" t="s">
        <v>32</v>
      </c>
      <c r="H46" s="4" t="s">
        <v>52</v>
      </c>
      <c r="I46" s="4" t="s">
        <v>40</v>
      </c>
      <c r="J46" s="5">
        <v>7867</v>
      </c>
      <c r="K46" s="7">
        <f>IF(ROW()=2,IF(Tabela2[[#This Row],[Status]]="Em aberto",0,IF(Tabela2[[#This Row],[Movimentação]]="Saídas",-J46,J46)),IF(Tabela2[[#This Row],[Status]]="Em aberto",0,IF(Tabela2[[#This Row],[Movimentação]]="Saídas",-J46,J46))+K45)</f>
        <v>74208</v>
      </c>
      <c r="L46" s="8">
        <f>IF(ROW()=2,IF(Tabela2[[#This Row],[Movimentação]]="Saídas",-J46,J46),IF(Tabela2[[#This Row],[Movimentação]]="Saídas",-J46,J46)+L45)</f>
        <v>74208</v>
      </c>
    </row>
    <row r="47" spans="1:12" x14ac:dyDescent="0.25">
      <c r="A47" s="1">
        <v>43719</v>
      </c>
      <c r="B47" s="3" t="s">
        <v>15</v>
      </c>
      <c r="C47" t="s">
        <v>12</v>
      </c>
      <c r="D47" s="4" t="s">
        <v>148</v>
      </c>
      <c r="E47" s="4" t="s">
        <v>50</v>
      </c>
      <c r="F47" s="4" t="s">
        <v>38</v>
      </c>
      <c r="G47" s="4" t="s">
        <v>34</v>
      </c>
      <c r="H47" s="4" t="s">
        <v>52</v>
      </c>
      <c r="I47" s="4" t="s">
        <v>41</v>
      </c>
      <c r="J47" s="5">
        <v>3035</v>
      </c>
      <c r="K47" s="7">
        <f>IF(ROW()=2,IF(Tabela2[[#This Row],[Status]]="Em aberto",0,IF(Tabela2[[#This Row],[Movimentação]]="Saídas",-J47,J47)),IF(Tabela2[[#This Row],[Status]]="Em aberto",0,IF(Tabela2[[#This Row],[Movimentação]]="Saídas",-J47,J47))+K46)</f>
        <v>71173</v>
      </c>
      <c r="L47" s="8">
        <f>IF(ROW()=2,IF(Tabela2[[#This Row],[Movimentação]]="Saídas",-J47,J47),IF(Tabela2[[#This Row],[Movimentação]]="Saídas",-J47,J47)+L46)</f>
        <v>71173</v>
      </c>
    </row>
    <row r="48" spans="1:12" x14ac:dyDescent="0.25">
      <c r="A48" s="1">
        <v>43729</v>
      </c>
      <c r="B48" s="3" t="s">
        <v>15</v>
      </c>
      <c r="C48" t="s">
        <v>12</v>
      </c>
      <c r="D48" s="4" t="s">
        <v>56</v>
      </c>
      <c r="E48" s="4" t="s">
        <v>49</v>
      </c>
      <c r="F48" s="4" t="s">
        <v>36</v>
      </c>
      <c r="G48" s="4" t="s">
        <v>34</v>
      </c>
      <c r="H48" s="4" t="s">
        <v>52</v>
      </c>
      <c r="I48" s="4" t="s">
        <v>42</v>
      </c>
      <c r="J48" s="5">
        <v>8208</v>
      </c>
      <c r="K48" s="7">
        <f>IF(ROW()=2,IF(Tabela2[[#This Row],[Status]]="Em aberto",0,IF(Tabela2[[#This Row],[Movimentação]]="Saídas",-J48,J48)),IF(Tabela2[[#This Row],[Status]]="Em aberto",0,IF(Tabela2[[#This Row],[Movimentação]]="Saídas",-J48,J48))+K47)</f>
        <v>62965</v>
      </c>
      <c r="L48" s="8">
        <f>IF(ROW()=2,IF(Tabela2[[#This Row],[Movimentação]]="Saídas",-J48,J48),IF(Tabela2[[#This Row],[Movimentação]]="Saídas",-J48,J48)+L47)</f>
        <v>62965</v>
      </c>
    </row>
    <row r="49" spans="1:12" x14ac:dyDescent="0.25">
      <c r="A49" s="1">
        <v>43732</v>
      </c>
      <c r="B49" s="3" t="s">
        <v>15</v>
      </c>
      <c r="C49" t="s">
        <v>13</v>
      </c>
      <c r="D49" s="4" t="s">
        <v>66</v>
      </c>
      <c r="E49" s="4" t="s">
        <v>50</v>
      </c>
      <c r="F49" s="4" t="s">
        <v>36</v>
      </c>
      <c r="G49" s="4" t="s">
        <v>32</v>
      </c>
      <c r="H49" s="4" t="s">
        <v>52</v>
      </c>
      <c r="I49" s="4" t="s">
        <v>41</v>
      </c>
      <c r="J49" s="5">
        <v>5340</v>
      </c>
      <c r="K49" s="7">
        <f>IF(ROW()=2,IF(Tabela2[[#This Row],[Status]]="Em aberto",0,IF(Tabela2[[#This Row],[Movimentação]]="Saídas",-J49,J49)),IF(Tabela2[[#This Row],[Status]]="Em aberto",0,IF(Tabela2[[#This Row],[Movimentação]]="Saídas",-J49,J49))+K48)</f>
        <v>57625</v>
      </c>
      <c r="L49" s="8">
        <f>IF(ROW()=2,IF(Tabela2[[#This Row],[Movimentação]]="Saídas",-J49,J49),IF(Tabela2[[#This Row],[Movimentação]]="Saídas",-J49,J49)+L48)</f>
        <v>57625</v>
      </c>
    </row>
    <row r="50" spans="1:12" x14ac:dyDescent="0.25">
      <c r="A50" s="1">
        <v>43734</v>
      </c>
      <c r="B50" s="3" t="s">
        <v>14</v>
      </c>
      <c r="C50" t="s">
        <v>11</v>
      </c>
      <c r="D50" s="4" t="s">
        <v>137</v>
      </c>
      <c r="E50" s="4" t="s">
        <v>50</v>
      </c>
      <c r="F50" s="4" t="s">
        <v>38</v>
      </c>
      <c r="G50" s="4" t="s">
        <v>34</v>
      </c>
      <c r="H50" s="4" t="s">
        <v>52</v>
      </c>
      <c r="I50" s="4" t="s">
        <v>41</v>
      </c>
      <c r="J50" s="5">
        <v>1173</v>
      </c>
      <c r="K50" s="7">
        <f>IF(ROW()=2,IF(Tabela2[[#This Row],[Status]]="Em aberto",0,IF(Tabela2[[#This Row],[Movimentação]]="Saídas",-J50,J50)),IF(Tabela2[[#This Row],[Status]]="Em aberto",0,IF(Tabela2[[#This Row],[Movimentação]]="Saídas",-J50,J50))+K49)</f>
        <v>58798</v>
      </c>
      <c r="L50" s="8">
        <f>IF(ROW()=2,IF(Tabela2[[#This Row],[Movimentação]]="Saídas",-J50,J50),IF(Tabela2[[#This Row],[Movimentação]]="Saídas",-J50,J50)+L49)</f>
        <v>58798</v>
      </c>
    </row>
    <row r="51" spans="1:12" x14ac:dyDescent="0.25">
      <c r="A51" s="1">
        <v>43735</v>
      </c>
      <c r="B51" s="3" t="s">
        <v>14</v>
      </c>
      <c r="C51" t="s">
        <v>11</v>
      </c>
      <c r="D51" s="4" t="s">
        <v>58</v>
      </c>
      <c r="E51" s="4" t="s">
        <v>50</v>
      </c>
      <c r="F51" s="4" t="s">
        <v>38</v>
      </c>
      <c r="G51" s="4" t="s">
        <v>32</v>
      </c>
      <c r="H51" s="4" t="s">
        <v>52</v>
      </c>
      <c r="I51" s="4" t="s">
        <v>42</v>
      </c>
      <c r="J51" s="5">
        <v>7517</v>
      </c>
      <c r="K51" s="7">
        <f>IF(ROW()=2,IF(Tabela2[[#This Row],[Status]]="Em aberto",0,IF(Tabela2[[#This Row],[Movimentação]]="Saídas",-J51,J51)),IF(Tabela2[[#This Row],[Status]]="Em aberto",0,IF(Tabela2[[#This Row],[Movimentação]]="Saídas",-J51,J51))+K50)</f>
        <v>66315</v>
      </c>
      <c r="L51" s="8">
        <f>IF(ROW()=2,IF(Tabela2[[#This Row],[Movimentação]]="Saídas",-J51,J51),IF(Tabela2[[#This Row],[Movimentação]]="Saídas",-J51,J51)+L50)</f>
        <v>66315</v>
      </c>
    </row>
    <row r="52" spans="1:12" x14ac:dyDescent="0.25">
      <c r="A52" s="1">
        <v>43735</v>
      </c>
      <c r="B52" s="3" t="s">
        <v>14</v>
      </c>
      <c r="C52" t="s">
        <v>10</v>
      </c>
      <c r="D52" s="4" t="s">
        <v>80</v>
      </c>
      <c r="E52" s="4" t="s">
        <v>50</v>
      </c>
      <c r="F52" s="4" t="s">
        <v>37</v>
      </c>
      <c r="G52" s="4" t="s">
        <v>33</v>
      </c>
      <c r="H52" s="4" t="s">
        <v>52</v>
      </c>
      <c r="I52" s="4" t="s">
        <v>40</v>
      </c>
      <c r="J52" s="5">
        <v>7566</v>
      </c>
      <c r="K52" s="7">
        <f>IF(ROW()=2,IF(Tabela2[[#This Row],[Status]]="Em aberto",0,IF(Tabela2[[#This Row],[Movimentação]]="Saídas",-J52,J52)),IF(Tabela2[[#This Row],[Status]]="Em aberto",0,IF(Tabela2[[#This Row],[Movimentação]]="Saídas",-J52,J52))+K51)</f>
        <v>73881</v>
      </c>
      <c r="L52" s="8">
        <f>IF(ROW()=2,IF(Tabela2[[#This Row],[Movimentação]]="Saídas",-J52,J52),IF(Tabela2[[#This Row],[Movimentação]]="Saídas",-J52,J52)+L51)</f>
        <v>73881</v>
      </c>
    </row>
    <row r="53" spans="1:12" x14ac:dyDescent="0.25">
      <c r="A53" s="1">
        <v>43739</v>
      </c>
      <c r="B53" s="3" t="s">
        <v>15</v>
      </c>
      <c r="C53" t="s">
        <v>12</v>
      </c>
      <c r="D53" s="4" t="s">
        <v>125</v>
      </c>
      <c r="E53" s="4" t="s">
        <v>49</v>
      </c>
      <c r="F53" s="4" t="s">
        <v>37</v>
      </c>
      <c r="G53" s="4" t="s">
        <v>34</v>
      </c>
      <c r="H53" s="4" t="s">
        <v>52</v>
      </c>
      <c r="I53" s="4" t="s">
        <v>40</v>
      </c>
      <c r="J53" s="5">
        <v>6391</v>
      </c>
      <c r="K53" s="7">
        <f>IF(ROW()=2,IF(Tabela2[[#This Row],[Status]]="Em aberto",0,IF(Tabela2[[#This Row],[Movimentação]]="Saídas",-J53,J53)),IF(Tabela2[[#This Row],[Status]]="Em aberto",0,IF(Tabela2[[#This Row],[Movimentação]]="Saídas",-J53,J53))+K52)</f>
        <v>67490</v>
      </c>
      <c r="L53" s="8">
        <f>IF(ROW()=2,IF(Tabela2[[#This Row],[Movimentação]]="Saídas",-J53,J53),IF(Tabela2[[#This Row],[Movimentação]]="Saídas",-J53,J53)+L52)</f>
        <v>67490</v>
      </c>
    </row>
    <row r="54" spans="1:12" x14ac:dyDescent="0.25">
      <c r="A54" s="1">
        <v>43743</v>
      </c>
      <c r="B54" s="3" t="s">
        <v>14</v>
      </c>
      <c r="C54" t="s">
        <v>12</v>
      </c>
      <c r="D54" s="4" t="s">
        <v>65</v>
      </c>
      <c r="E54" s="4" t="s">
        <v>50</v>
      </c>
      <c r="F54" s="4" t="s">
        <v>37</v>
      </c>
      <c r="G54" s="4" t="s">
        <v>35</v>
      </c>
      <c r="H54" s="4" t="s">
        <v>52</v>
      </c>
      <c r="I54" s="4" t="s">
        <v>41</v>
      </c>
      <c r="J54" s="5">
        <v>8058</v>
      </c>
      <c r="K54" s="7">
        <f>IF(ROW()=2,IF(Tabela2[[#This Row],[Status]]="Em aberto",0,IF(Tabela2[[#This Row],[Movimentação]]="Saídas",-J54,J54)),IF(Tabela2[[#This Row],[Status]]="Em aberto",0,IF(Tabela2[[#This Row],[Movimentação]]="Saídas",-J54,J54))+K53)</f>
        <v>75548</v>
      </c>
      <c r="L54" s="8">
        <f>IF(ROW()=2,IF(Tabela2[[#This Row],[Movimentação]]="Saídas",-J54,J54),IF(Tabela2[[#This Row],[Movimentação]]="Saídas",-J54,J54)+L53)</f>
        <v>75548</v>
      </c>
    </row>
    <row r="55" spans="1:12" x14ac:dyDescent="0.25">
      <c r="A55" s="1">
        <v>43746</v>
      </c>
      <c r="B55" s="3" t="s">
        <v>15</v>
      </c>
      <c r="C55" t="s">
        <v>13</v>
      </c>
      <c r="D55" s="4" t="s">
        <v>51</v>
      </c>
      <c r="E55" s="4" t="s">
        <v>48</v>
      </c>
      <c r="F55" s="4" t="s">
        <v>36</v>
      </c>
      <c r="G55" s="4" t="s">
        <v>31</v>
      </c>
      <c r="H55" s="4" t="s">
        <v>52</v>
      </c>
      <c r="I55" s="4" t="s">
        <v>41</v>
      </c>
      <c r="J55" s="5">
        <v>6717</v>
      </c>
      <c r="K55" s="5">
        <f>IF(ROW()=2,IF(Tabela2[[#This Row],[Status]]="Em aberto",0,IF(Tabela2[[#This Row],[Movimentação]]="Saídas",-J55,J55)),IF(Tabela2[[#This Row],[Status]]="Em aberto",0,IF(Tabela2[[#This Row],[Movimentação]]="Saídas",-J55,J55))+K54)</f>
        <v>68831</v>
      </c>
      <c r="L55" s="5">
        <f>IF(ROW()=2,IF(Tabela2[[#This Row],[Movimentação]]="Saídas",-J55,J55),IF(Tabela2[[#This Row],[Movimentação]]="Saídas",-J55,J55)+L54)</f>
        <v>68831</v>
      </c>
    </row>
    <row r="56" spans="1:12" x14ac:dyDescent="0.25">
      <c r="A56" s="1">
        <v>43753</v>
      </c>
      <c r="B56" s="3" t="s">
        <v>14</v>
      </c>
      <c r="C56" t="s">
        <v>12</v>
      </c>
      <c r="D56" s="4" t="s">
        <v>74</v>
      </c>
      <c r="E56" s="4" t="s">
        <v>48</v>
      </c>
      <c r="F56" s="4" t="s">
        <v>38</v>
      </c>
      <c r="G56" s="4" t="s">
        <v>31</v>
      </c>
      <c r="H56" s="4" t="s">
        <v>52</v>
      </c>
      <c r="I56" s="4" t="s">
        <v>42</v>
      </c>
      <c r="J56" s="5">
        <v>922</v>
      </c>
      <c r="K56" s="7">
        <f>IF(ROW()=2,IF(Tabela2[[#This Row],[Status]]="Em aberto",0,IF(Tabela2[[#This Row],[Movimentação]]="Saídas",-J56,J56)),IF(Tabela2[[#This Row],[Status]]="Em aberto",0,IF(Tabela2[[#This Row],[Movimentação]]="Saídas",-J56,J56))+K55)</f>
        <v>69753</v>
      </c>
      <c r="L56" s="8">
        <f>IF(ROW()=2,IF(Tabela2[[#This Row],[Movimentação]]="Saídas",-J56,J56),IF(Tabela2[[#This Row],[Movimentação]]="Saídas",-J56,J56)+L55)</f>
        <v>69753</v>
      </c>
    </row>
    <row r="57" spans="1:12" x14ac:dyDescent="0.25">
      <c r="A57" s="1">
        <v>43753</v>
      </c>
      <c r="B57" s="3" t="s">
        <v>14</v>
      </c>
      <c r="C57" t="s">
        <v>11</v>
      </c>
      <c r="D57" s="4" t="s">
        <v>142</v>
      </c>
      <c r="E57" s="4" t="s">
        <v>48</v>
      </c>
      <c r="F57" s="4" t="s">
        <v>36</v>
      </c>
      <c r="G57" s="4" t="s">
        <v>34</v>
      </c>
      <c r="H57" s="4" t="s">
        <v>52</v>
      </c>
      <c r="I57" s="4" t="s">
        <v>40</v>
      </c>
      <c r="J57" s="5">
        <v>7373</v>
      </c>
      <c r="K57" s="7">
        <f>IF(ROW()=2,IF(Tabela2[[#This Row],[Status]]="Em aberto",0,IF(Tabela2[[#This Row],[Movimentação]]="Saídas",-J57,J57)),IF(Tabela2[[#This Row],[Status]]="Em aberto",0,IF(Tabela2[[#This Row],[Movimentação]]="Saídas",-J57,J57))+K56)</f>
        <v>77126</v>
      </c>
      <c r="L57" s="8">
        <f>IF(ROW()=2,IF(Tabela2[[#This Row],[Movimentação]]="Saídas",-J57,J57),IF(Tabela2[[#This Row],[Movimentação]]="Saídas",-J57,J57)+L56)</f>
        <v>77126</v>
      </c>
    </row>
    <row r="58" spans="1:12" x14ac:dyDescent="0.25">
      <c r="A58" s="1">
        <v>43768</v>
      </c>
      <c r="B58" s="3" t="s">
        <v>14</v>
      </c>
      <c r="C58" t="s">
        <v>19</v>
      </c>
      <c r="D58" s="4" t="s">
        <v>84</v>
      </c>
      <c r="E58" s="4" t="s">
        <v>49</v>
      </c>
      <c r="F58" s="4" t="s">
        <v>37</v>
      </c>
      <c r="G58" s="4" t="s">
        <v>35</v>
      </c>
      <c r="H58" s="4" t="s">
        <v>52</v>
      </c>
      <c r="I58" s="4" t="s">
        <v>40</v>
      </c>
      <c r="J58" s="5">
        <v>4397</v>
      </c>
      <c r="K58" s="7">
        <f>IF(ROW()=2,IF(Tabela2[[#This Row],[Status]]="Em aberto",0,IF(Tabela2[[#This Row],[Movimentação]]="Saídas",-J58,J58)),IF(Tabela2[[#This Row],[Status]]="Em aberto",0,IF(Tabela2[[#This Row],[Movimentação]]="Saídas",-J58,J58))+K57)</f>
        <v>81523</v>
      </c>
      <c r="L58" s="8">
        <f>IF(ROW()=2,IF(Tabela2[[#This Row],[Movimentação]]="Saídas",-J58,J58),IF(Tabela2[[#This Row],[Movimentação]]="Saídas",-J58,J58)+L57)</f>
        <v>81523</v>
      </c>
    </row>
    <row r="59" spans="1:12" x14ac:dyDescent="0.25">
      <c r="A59" s="1">
        <v>43770</v>
      </c>
      <c r="B59" s="3" t="s">
        <v>14</v>
      </c>
      <c r="C59" t="s">
        <v>11</v>
      </c>
      <c r="D59" s="4" t="s">
        <v>104</v>
      </c>
      <c r="E59" s="4" t="s">
        <v>49</v>
      </c>
      <c r="F59" s="4" t="s">
        <v>37</v>
      </c>
      <c r="G59" s="4" t="s">
        <v>34</v>
      </c>
      <c r="H59" s="4" t="s">
        <v>52</v>
      </c>
      <c r="I59" s="4" t="s">
        <v>42</v>
      </c>
      <c r="J59" s="5">
        <v>9094</v>
      </c>
      <c r="K59" s="7">
        <f>IF(ROW()=2,IF(Tabela2[[#This Row],[Status]]="Em aberto",0,IF(Tabela2[[#This Row],[Movimentação]]="Saídas",-J59,J59)),IF(Tabela2[[#This Row],[Status]]="Em aberto",0,IF(Tabela2[[#This Row],[Movimentação]]="Saídas",-J59,J59))+K58)</f>
        <v>90617</v>
      </c>
      <c r="L59" s="8">
        <f>IF(ROW()=2,IF(Tabela2[[#This Row],[Movimentação]]="Saídas",-J59,J59),IF(Tabela2[[#This Row],[Movimentação]]="Saídas",-J59,J59)+L58)</f>
        <v>90617</v>
      </c>
    </row>
    <row r="60" spans="1:12" x14ac:dyDescent="0.25">
      <c r="A60" s="1">
        <v>43783</v>
      </c>
      <c r="B60" s="3" t="s">
        <v>14</v>
      </c>
      <c r="C60" t="s">
        <v>11</v>
      </c>
      <c r="D60" s="4" t="s">
        <v>122</v>
      </c>
      <c r="E60" s="4" t="s">
        <v>46</v>
      </c>
      <c r="F60" s="4" t="s">
        <v>36</v>
      </c>
      <c r="G60" s="4" t="s">
        <v>33</v>
      </c>
      <c r="H60" s="4" t="s">
        <v>52</v>
      </c>
      <c r="I60" s="4" t="s">
        <v>40</v>
      </c>
      <c r="J60" s="5">
        <v>4918</v>
      </c>
      <c r="K60" s="7">
        <f>IF(ROW()=2,IF(Tabela2[[#This Row],[Status]]="Em aberto",0,IF(Tabela2[[#This Row],[Movimentação]]="Saídas",-J60,J60)),IF(Tabela2[[#This Row],[Status]]="Em aberto",0,IF(Tabela2[[#This Row],[Movimentação]]="Saídas",-J60,J60))+K59)</f>
        <v>95535</v>
      </c>
      <c r="L60" s="8">
        <f>IF(ROW()=2,IF(Tabela2[[#This Row],[Movimentação]]="Saídas",-J60,J60),IF(Tabela2[[#This Row],[Movimentação]]="Saídas",-J60,J60)+L59)</f>
        <v>95535</v>
      </c>
    </row>
    <row r="61" spans="1:12" x14ac:dyDescent="0.25">
      <c r="A61" s="1">
        <v>43793</v>
      </c>
      <c r="B61" s="3" t="s">
        <v>14</v>
      </c>
      <c r="C61" t="s">
        <v>19</v>
      </c>
      <c r="D61" s="4" t="s">
        <v>107</v>
      </c>
      <c r="E61" s="4" t="s">
        <v>47</v>
      </c>
      <c r="F61" s="4" t="s">
        <v>36</v>
      </c>
      <c r="G61" s="4" t="s">
        <v>32</v>
      </c>
      <c r="H61" s="4" t="s">
        <v>52</v>
      </c>
      <c r="I61" s="4" t="s">
        <v>41</v>
      </c>
      <c r="J61" s="5">
        <v>7914</v>
      </c>
      <c r="K61" s="7">
        <f>IF(ROW()=2,IF(Tabela2[[#This Row],[Status]]="Em aberto",0,IF(Tabela2[[#This Row],[Movimentação]]="Saídas",-J61,J61)),IF(Tabela2[[#This Row],[Status]]="Em aberto",0,IF(Tabela2[[#This Row],[Movimentação]]="Saídas",-J61,J61))+K60)</f>
        <v>103449</v>
      </c>
      <c r="L61" s="8">
        <f>IF(ROW()=2,IF(Tabela2[[#This Row],[Movimentação]]="Saídas",-J61,J61),IF(Tabela2[[#This Row],[Movimentação]]="Saídas",-J61,J61)+L60)</f>
        <v>103449</v>
      </c>
    </row>
    <row r="62" spans="1:12" x14ac:dyDescent="0.25">
      <c r="A62" s="1">
        <v>43798</v>
      </c>
      <c r="B62" s="3" t="s">
        <v>15</v>
      </c>
      <c r="C62" t="s">
        <v>12</v>
      </c>
      <c r="D62" s="4" t="s">
        <v>115</v>
      </c>
      <c r="E62" s="4" t="s">
        <v>50</v>
      </c>
      <c r="F62" s="4" t="s">
        <v>36</v>
      </c>
      <c r="G62" s="4" t="s">
        <v>33</v>
      </c>
      <c r="H62" s="4" t="s">
        <v>52</v>
      </c>
      <c r="I62" s="4" t="s">
        <v>42</v>
      </c>
      <c r="J62" s="5">
        <v>6941</v>
      </c>
      <c r="K62" s="7">
        <f>IF(ROW()=2,IF(Tabela2[[#This Row],[Status]]="Em aberto",0,IF(Tabela2[[#This Row],[Movimentação]]="Saídas",-J62,J62)),IF(Tabela2[[#This Row],[Status]]="Em aberto",0,IF(Tabela2[[#This Row],[Movimentação]]="Saídas",-J62,J62))+K61)</f>
        <v>96508</v>
      </c>
      <c r="L62" s="8">
        <f>IF(ROW()=2,IF(Tabela2[[#This Row],[Movimentação]]="Saídas",-J62,J62),IF(Tabela2[[#This Row],[Movimentação]]="Saídas",-J62,J62)+L61)</f>
        <v>96508</v>
      </c>
    </row>
    <row r="63" spans="1:12" x14ac:dyDescent="0.25">
      <c r="A63" s="1">
        <v>43803</v>
      </c>
      <c r="B63" s="3" t="s">
        <v>14</v>
      </c>
      <c r="C63" t="s">
        <v>13</v>
      </c>
      <c r="D63" s="4" t="s">
        <v>113</v>
      </c>
      <c r="E63" s="4" t="s">
        <v>48</v>
      </c>
      <c r="F63" s="4" t="s">
        <v>38</v>
      </c>
      <c r="G63" s="4" t="s">
        <v>34</v>
      </c>
      <c r="H63" s="4" t="s">
        <v>52</v>
      </c>
      <c r="I63" s="4" t="s">
        <v>42</v>
      </c>
      <c r="J63" s="5">
        <v>9827</v>
      </c>
      <c r="K63" s="7">
        <f>IF(ROW()=2,IF(Tabela2[[#This Row],[Status]]="Em aberto",0,IF(Tabela2[[#This Row],[Movimentação]]="Saídas",-J63,J63)),IF(Tabela2[[#This Row],[Status]]="Em aberto",0,IF(Tabela2[[#This Row],[Movimentação]]="Saídas",-J63,J63))+K62)</f>
        <v>106335</v>
      </c>
      <c r="L63" s="8">
        <f>IF(ROW()=2,IF(Tabela2[[#This Row],[Movimentação]]="Saídas",-J63,J63),IF(Tabela2[[#This Row],[Movimentação]]="Saídas",-J63,J63)+L62)</f>
        <v>106335</v>
      </c>
    </row>
    <row r="64" spans="1:12" x14ac:dyDescent="0.25">
      <c r="A64" s="1">
        <v>43806</v>
      </c>
      <c r="B64" s="3" t="s">
        <v>15</v>
      </c>
      <c r="C64" t="s">
        <v>26</v>
      </c>
      <c r="D64" s="4" t="s">
        <v>134</v>
      </c>
      <c r="E64" s="4" t="s">
        <v>48</v>
      </c>
      <c r="F64" s="4" t="s">
        <v>36</v>
      </c>
      <c r="G64" s="4" t="s">
        <v>35</v>
      </c>
      <c r="H64" s="4" t="s">
        <v>52</v>
      </c>
      <c r="I64" s="4" t="s">
        <v>42</v>
      </c>
      <c r="J64" s="5">
        <v>3374</v>
      </c>
      <c r="K64" s="7">
        <f>IF(ROW()=2,IF(Tabela2[[#This Row],[Status]]="Em aberto",0,IF(Tabela2[[#This Row],[Movimentação]]="Saídas",-J64,J64)),IF(Tabela2[[#This Row],[Status]]="Em aberto",0,IF(Tabela2[[#This Row],[Movimentação]]="Saídas",-J64,J64))+K63)</f>
        <v>102961</v>
      </c>
      <c r="L64" s="8">
        <f>IF(ROW()=2,IF(Tabela2[[#This Row],[Movimentação]]="Saídas",-J64,J64),IF(Tabela2[[#This Row],[Movimentação]]="Saídas",-J64,J64)+L63)</f>
        <v>102961</v>
      </c>
    </row>
    <row r="65" spans="1:12" x14ac:dyDescent="0.25">
      <c r="A65" s="1">
        <v>43808</v>
      </c>
      <c r="B65" s="3" t="s">
        <v>15</v>
      </c>
      <c r="C65" t="s">
        <v>10</v>
      </c>
      <c r="D65" s="4" t="s">
        <v>152</v>
      </c>
      <c r="E65" s="4" t="s">
        <v>47</v>
      </c>
      <c r="F65" s="4" t="s">
        <v>36</v>
      </c>
      <c r="G65" s="4" t="s">
        <v>32</v>
      </c>
      <c r="H65" s="4" t="s">
        <v>52</v>
      </c>
      <c r="I65" s="4" t="s">
        <v>40</v>
      </c>
      <c r="J65" s="5">
        <v>290</v>
      </c>
      <c r="K65" s="7">
        <f>IF(ROW()=2,IF(Tabela2[[#This Row],[Status]]="Em aberto",0,IF(Tabela2[[#This Row],[Movimentação]]="Saídas",-J65,J65)),IF(Tabela2[[#This Row],[Status]]="Em aberto",0,IF(Tabela2[[#This Row],[Movimentação]]="Saídas",-J65,J65))+K64)</f>
        <v>102671</v>
      </c>
      <c r="L65" s="8">
        <f>IF(ROW()=2,IF(Tabela2[[#This Row],[Movimentação]]="Saídas",-J65,J65),IF(Tabela2[[#This Row],[Movimentação]]="Saídas",-J65,J65)+L64)</f>
        <v>102671</v>
      </c>
    </row>
    <row r="66" spans="1:12" x14ac:dyDescent="0.25">
      <c r="A66" s="1">
        <v>43810</v>
      </c>
      <c r="B66" s="3" t="s">
        <v>15</v>
      </c>
      <c r="C66" t="s">
        <v>13</v>
      </c>
      <c r="D66" s="4" t="s">
        <v>129</v>
      </c>
      <c r="E66" s="4" t="s">
        <v>47</v>
      </c>
      <c r="F66" s="4" t="s">
        <v>38</v>
      </c>
      <c r="G66" s="4" t="s">
        <v>32</v>
      </c>
      <c r="H66" s="4" t="s">
        <v>52</v>
      </c>
      <c r="I66" s="4" t="s">
        <v>41</v>
      </c>
      <c r="J66" s="5">
        <v>9186</v>
      </c>
      <c r="K66" s="7">
        <f>IF(ROW()=2,IF(Tabela2[[#This Row],[Status]]="Em aberto",0,IF(Tabela2[[#This Row],[Movimentação]]="Saídas",-J66,J66)),IF(Tabela2[[#This Row],[Status]]="Em aberto",0,IF(Tabela2[[#This Row],[Movimentação]]="Saídas",-J66,J66))+K65)</f>
        <v>93485</v>
      </c>
      <c r="L66" s="8">
        <f>IF(ROW()=2,IF(Tabela2[[#This Row],[Movimentação]]="Saídas",-J66,J66),IF(Tabela2[[#This Row],[Movimentação]]="Saídas",-J66,J66)+L65)</f>
        <v>93485</v>
      </c>
    </row>
    <row r="67" spans="1:12" x14ac:dyDescent="0.25">
      <c r="A67" s="1">
        <v>43816</v>
      </c>
      <c r="B67" s="3" t="s">
        <v>15</v>
      </c>
      <c r="C67" t="s">
        <v>24</v>
      </c>
      <c r="D67" s="4" t="s">
        <v>78</v>
      </c>
      <c r="E67" s="4" t="s">
        <v>48</v>
      </c>
      <c r="F67" s="4" t="s">
        <v>38</v>
      </c>
      <c r="G67" s="4" t="s">
        <v>32</v>
      </c>
      <c r="H67" s="4" t="s">
        <v>52</v>
      </c>
      <c r="I67" s="4" t="s">
        <v>42</v>
      </c>
      <c r="J67" s="5">
        <v>4254</v>
      </c>
      <c r="K67" s="7">
        <f>IF(ROW()=2,IF(Tabela2[[#This Row],[Status]]="Em aberto",0,IF(Tabela2[[#This Row],[Movimentação]]="Saídas",-J67,J67)),IF(Tabela2[[#This Row],[Status]]="Em aberto",0,IF(Tabela2[[#This Row],[Movimentação]]="Saídas",-J67,J67))+K66)</f>
        <v>89231</v>
      </c>
      <c r="L67" s="8">
        <f>IF(ROW()=2,IF(Tabela2[[#This Row],[Movimentação]]="Saídas",-J67,J67),IF(Tabela2[[#This Row],[Movimentação]]="Saídas",-J67,J67)+L66)</f>
        <v>89231</v>
      </c>
    </row>
    <row r="68" spans="1:12" x14ac:dyDescent="0.25">
      <c r="A68" s="1">
        <v>43824</v>
      </c>
      <c r="B68" s="3" t="s">
        <v>14</v>
      </c>
      <c r="C68" t="s">
        <v>13</v>
      </c>
      <c r="D68" s="4" t="s">
        <v>141</v>
      </c>
      <c r="E68" s="4" t="s">
        <v>48</v>
      </c>
      <c r="F68" s="4" t="s">
        <v>38</v>
      </c>
      <c r="G68" s="4" t="s">
        <v>32</v>
      </c>
      <c r="H68" s="4" t="s">
        <v>52</v>
      </c>
      <c r="I68" s="4" t="s">
        <v>42</v>
      </c>
      <c r="J68" s="5">
        <v>8889</v>
      </c>
      <c r="K68" s="7">
        <f>IF(ROW()=2,IF(Tabela2[[#This Row],[Status]]="Em aberto",0,IF(Tabela2[[#This Row],[Movimentação]]="Saídas",-J68,J68)),IF(Tabela2[[#This Row],[Status]]="Em aberto",0,IF(Tabela2[[#This Row],[Movimentação]]="Saídas",-J68,J68))+K67)</f>
        <v>98120</v>
      </c>
      <c r="L68" s="8">
        <f>IF(ROW()=2,IF(Tabela2[[#This Row],[Movimentação]]="Saídas",-J68,J68),IF(Tabela2[[#This Row],[Movimentação]]="Saídas",-J68,J68)+L67)</f>
        <v>98120</v>
      </c>
    </row>
    <row r="69" spans="1:12" x14ac:dyDescent="0.25">
      <c r="A69" s="1">
        <v>43829</v>
      </c>
      <c r="B69" s="3" t="s">
        <v>14</v>
      </c>
      <c r="C69" t="s">
        <v>21</v>
      </c>
      <c r="D69" s="4" t="s">
        <v>114</v>
      </c>
      <c r="E69" s="4" t="s">
        <v>48</v>
      </c>
      <c r="F69" s="4" t="s">
        <v>37</v>
      </c>
      <c r="G69" s="4" t="s">
        <v>34</v>
      </c>
      <c r="H69" s="4" t="s">
        <v>52</v>
      </c>
      <c r="I69" s="4" t="s">
        <v>42</v>
      </c>
      <c r="J69" s="5">
        <v>6865</v>
      </c>
      <c r="K69" s="7">
        <f>IF(ROW()=2,IF(Tabela2[[#This Row],[Status]]="Em aberto",0,IF(Tabela2[[#This Row],[Movimentação]]="Saídas",-J69,J69)),IF(Tabela2[[#This Row],[Status]]="Em aberto",0,IF(Tabela2[[#This Row],[Movimentação]]="Saídas",-J69,J69))+K68)</f>
        <v>104985</v>
      </c>
      <c r="L69" s="8">
        <f>IF(ROW()=2,IF(Tabela2[[#This Row],[Movimentação]]="Saídas",-J69,J69),IF(Tabela2[[#This Row],[Movimentação]]="Saídas",-J69,J69)+L68)</f>
        <v>104985</v>
      </c>
    </row>
    <row r="70" spans="1:12" x14ac:dyDescent="0.25">
      <c r="A70" s="1">
        <v>43832</v>
      </c>
      <c r="B70" s="3" t="s">
        <v>14</v>
      </c>
      <c r="C70" t="s">
        <v>12</v>
      </c>
      <c r="D70" s="4" t="s">
        <v>110</v>
      </c>
      <c r="E70" s="4" t="s">
        <v>47</v>
      </c>
      <c r="F70" s="4" t="s">
        <v>38</v>
      </c>
      <c r="G70" s="4" t="s">
        <v>32</v>
      </c>
      <c r="H70" s="4" t="s">
        <v>52</v>
      </c>
      <c r="I70" s="4" t="s">
        <v>42</v>
      </c>
      <c r="J70" s="5">
        <v>6572</v>
      </c>
      <c r="K70" s="7">
        <f>IF(ROW()=2,IF(Tabela2[[#This Row],[Status]]="Em aberto",0,IF(Tabela2[[#This Row],[Movimentação]]="Saídas",-J70,J70)),IF(Tabela2[[#This Row],[Status]]="Em aberto",0,IF(Tabela2[[#This Row],[Movimentação]]="Saídas",-J70,J70))+K69)</f>
        <v>111557</v>
      </c>
      <c r="L70" s="8">
        <f>IF(ROW()=2,IF(Tabela2[[#This Row],[Movimentação]]="Saídas",-J70,J70),IF(Tabela2[[#This Row],[Movimentação]]="Saídas",-J70,J70)+L69)</f>
        <v>111557</v>
      </c>
    </row>
    <row r="71" spans="1:12" x14ac:dyDescent="0.25">
      <c r="A71" s="1">
        <v>43835</v>
      </c>
      <c r="B71" s="3" t="s">
        <v>14</v>
      </c>
      <c r="C71" t="s">
        <v>10</v>
      </c>
      <c r="D71" s="4" t="s">
        <v>146</v>
      </c>
      <c r="E71" s="4" t="s">
        <v>46</v>
      </c>
      <c r="F71" s="4" t="s">
        <v>37</v>
      </c>
      <c r="G71" s="4" t="s">
        <v>35</v>
      </c>
      <c r="H71" s="4" t="s">
        <v>52</v>
      </c>
      <c r="I71" s="4" t="s">
        <v>40</v>
      </c>
      <c r="J71" s="5">
        <v>4640</v>
      </c>
      <c r="K71" s="7">
        <f>IF(ROW()=2,IF(Tabela2[[#This Row],[Status]]="Em aberto",0,IF(Tabela2[[#This Row],[Movimentação]]="Saídas",-J71,J71)),IF(Tabela2[[#This Row],[Status]]="Em aberto",0,IF(Tabela2[[#This Row],[Movimentação]]="Saídas",-J71,J71))+K70)</f>
        <v>116197</v>
      </c>
      <c r="L71" s="8">
        <f>IF(ROW()=2,IF(Tabela2[[#This Row],[Movimentação]]="Saídas",-J71,J71),IF(Tabela2[[#This Row],[Movimentação]]="Saídas",-J71,J71)+L70)</f>
        <v>116197</v>
      </c>
    </row>
    <row r="72" spans="1:12" x14ac:dyDescent="0.25">
      <c r="A72" s="1">
        <v>43836</v>
      </c>
      <c r="B72" s="3" t="s">
        <v>15</v>
      </c>
      <c r="C72" t="s">
        <v>27</v>
      </c>
      <c r="D72" s="4" t="s">
        <v>91</v>
      </c>
      <c r="E72" s="4" t="s">
        <v>47</v>
      </c>
      <c r="F72" s="4" t="s">
        <v>38</v>
      </c>
      <c r="G72" s="4" t="s">
        <v>31</v>
      </c>
      <c r="H72" s="4" t="s">
        <v>52</v>
      </c>
      <c r="I72" s="4" t="s">
        <v>40</v>
      </c>
      <c r="J72" s="5">
        <v>2673</v>
      </c>
      <c r="K72" s="7">
        <f>IF(ROW()=2,IF(Tabela2[[#This Row],[Status]]="Em aberto",0,IF(Tabela2[[#This Row],[Movimentação]]="Saídas",-J72,J72)),IF(Tabela2[[#This Row],[Status]]="Em aberto",0,IF(Tabela2[[#This Row],[Movimentação]]="Saídas",-J72,J72))+K71)</f>
        <v>113524</v>
      </c>
      <c r="L72" s="8">
        <f>IF(ROW()=2,IF(Tabela2[[#This Row],[Movimentação]]="Saídas",-J72,J72),IF(Tabela2[[#This Row],[Movimentação]]="Saídas",-J72,J72)+L71)</f>
        <v>113524</v>
      </c>
    </row>
    <row r="73" spans="1:12" x14ac:dyDescent="0.25">
      <c r="A73" s="1">
        <v>43849</v>
      </c>
      <c r="B73" s="3" t="s">
        <v>15</v>
      </c>
      <c r="C73" t="s">
        <v>25</v>
      </c>
      <c r="D73" s="4" t="s">
        <v>117</v>
      </c>
      <c r="E73" s="4" t="s">
        <v>47</v>
      </c>
      <c r="F73" s="4" t="s">
        <v>36</v>
      </c>
      <c r="G73" s="4" t="s">
        <v>31</v>
      </c>
      <c r="H73" s="4" t="s">
        <v>52</v>
      </c>
      <c r="I73" s="4" t="s">
        <v>41</v>
      </c>
      <c r="J73" s="5">
        <v>5716</v>
      </c>
      <c r="K73" s="7">
        <f>IF(ROW()=2,IF(Tabela2[[#This Row],[Status]]="Em aberto",0,IF(Tabela2[[#This Row],[Movimentação]]="Saídas",-J73,J73)),IF(Tabela2[[#This Row],[Status]]="Em aberto",0,IF(Tabela2[[#This Row],[Movimentação]]="Saídas",-J73,J73))+K72)</f>
        <v>107808</v>
      </c>
      <c r="L73" s="8">
        <f>IF(ROW()=2,IF(Tabela2[[#This Row],[Movimentação]]="Saídas",-J73,J73),IF(Tabela2[[#This Row],[Movimentação]]="Saídas",-J73,J73)+L72)</f>
        <v>107808</v>
      </c>
    </row>
    <row r="74" spans="1:12" x14ac:dyDescent="0.25">
      <c r="A74" s="1">
        <v>43853</v>
      </c>
      <c r="B74" s="3" t="s">
        <v>15</v>
      </c>
      <c r="C74" t="s">
        <v>12</v>
      </c>
      <c r="D74" s="4" t="s">
        <v>108</v>
      </c>
      <c r="E74" s="4" t="s">
        <v>49</v>
      </c>
      <c r="F74" s="4" t="s">
        <v>38</v>
      </c>
      <c r="G74" s="4" t="s">
        <v>31</v>
      </c>
      <c r="H74" s="4" t="s">
        <v>52</v>
      </c>
      <c r="I74" s="4" t="s">
        <v>41</v>
      </c>
      <c r="J74" s="5">
        <v>9940</v>
      </c>
      <c r="K74" s="7">
        <f>IF(ROW()=2,IF(Tabela2[[#This Row],[Status]]="Em aberto",0,IF(Tabela2[[#This Row],[Movimentação]]="Saídas",-J74,J74)),IF(Tabela2[[#This Row],[Status]]="Em aberto",0,IF(Tabela2[[#This Row],[Movimentação]]="Saídas",-J74,J74))+K73)</f>
        <v>97868</v>
      </c>
      <c r="L74" s="8">
        <f>IF(ROW()=2,IF(Tabela2[[#This Row],[Movimentação]]="Saídas",-J74,J74),IF(Tabela2[[#This Row],[Movimentação]]="Saídas",-J74,J74)+L73)</f>
        <v>97868</v>
      </c>
    </row>
    <row r="75" spans="1:12" x14ac:dyDescent="0.25">
      <c r="A75" s="1">
        <v>43868</v>
      </c>
      <c r="B75" s="3" t="s">
        <v>14</v>
      </c>
      <c r="C75" t="s">
        <v>12</v>
      </c>
      <c r="D75" s="4" t="s">
        <v>59</v>
      </c>
      <c r="E75" s="4" t="s">
        <v>49</v>
      </c>
      <c r="F75" s="4" t="s">
        <v>36</v>
      </c>
      <c r="G75" s="4" t="s">
        <v>33</v>
      </c>
      <c r="H75" s="4" t="s">
        <v>52</v>
      </c>
      <c r="I75" s="4" t="s">
        <v>42</v>
      </c>
      <c r="J75" s="5">
        <v>7344</v>
      </c>
      <c r="K75" s="7">
        <f>IF(ROW()=2,IF(Tabela2[[#This Row],[Status]]="Em aberto",0,IF(Tabela2[[#This Row],[Movimentação]]="Saídas",-J75,J75)),IF(Tabela2[[#This Row],[Status]]="Em aberto",0,IF(Tabela2[[#This Row],[Movimentação]]="Saídas",-J75,J75))+K74)</f>
        <v>105212</v>
      </c>
      <c r="L75" s="8">
        <f>IF(ROW()=2,IF(Tabela2[[#This Row],[Movimentação]]="Saídas",-J75,J75),IF(Tabela2[[#This Row],[Movimentação]]="Saídas",-J75,J75)+L74)</f>
        <v>105212</v>
      </c>
    </row>
    <row r="76" spans="1:12" x14ac:dyDescent="0.25">
      <c r="A76" s="1">
        <v>43874</v>
      </c>
      <c r="B76" s="3" t="s">
        <v>15</v>
      </c>
      <c r="C76" t="s">
        <v>24</v>
      </c>
      <c r="D76" s="4" t="s">
        <v>77</v>
      </c>
      <c r="E76" s="4" t="s">
        <v>47</v>
      </c>
      <c r="F76" s="4" t="s">
        <v>36</v>
      </c>
      <c r="G76" s="4" t="s">
        <v>31</v>
      </c>
      <c r="H76" s="4" t="s">
        <v>52</v>
      </c>
      <c r="I76" s="4" t="s">
        <v>42</v>
      </c>
      <c r="J76" s="5">
        <v>5101</v>
      </c>
      <c r="K76" s="7">
        <f>IF(ROW()=2,IF(Tabela2[[#This Row],[Status]]="Em aberto",0,IF(Tabela2[[#This Row],[Movimentação]]="Saídas",-J76,J76)),IF(Tabela2[[#This Row],[Status]]="Em aberto",0,IF(Tabela2[[#This Row],[Movimentação]]="Saídas",-J76,J76))+K75)</f>
        <v>100111</v>
      </c>
      <c r="L76" s="8">
        <f>IF(ROW()=2,IF(Tabela2[[#This Row],[Movimentação]]="Saídas",-J76,J76),IF(Tabela2[[#This Row],[Movimentação]]="Saídas",-J76,J76)+L75)</f>
        <v>100111</v>
      </c>
    </row>
    <row r="77" spans="1:12" x14ac:dyDescent="0.25">
      <c r="A77" s="1">
        <v>43875</v>
      </c>
      <c r="B77" s="3" t="s">
        <v>15</v>
      </c>
      <c r="C77" t="s">
        <v>25</v>
      </c>
      <c r="D77" s="4" t="s">
        <v>100</v>
      </c>
      <c r="E77" s="4" t="s">
        <v>48</v>
      </c>
      <c r="F77" s="4" t="s">
        <v>36</v>
      </c>
      <c r="G77" s="4" t="s">
        <v>32</v>
      </c>
      <c r="H77" s="4" t="s">
        <v>52</v>
      </c>
      <c r="I77" s="4" t="s">
        <v>40</v>
      </c>
      <c r="J77" s="5">
        <v>9581</v>
      </c>
      <c r="K77" s="7">
        <f>IF(ROW()=2,IF(Tabela2[[#This Row],[Status]]="Em aberto",0,IF(Tabela2[[#This Row],[Movimentação]]="Saídas",-J77,J77)),IF(Tabela2[[#This Row],[Status]]="Em aberto",0,IF(Tabela2[[#This Row],[Movimentação]]="Saídas",-J77,J77))+K76)</f>
        <v>90530</v>
      </c>
      <c r="L77" s="8">
        <f>IF(ROW()=2,IF(Tabela2[[#This Row],[Movimentação]]="Saídas",-J77,J77),IF(Tabela2[[#This Row],[Movimentação]]="Saídas",-J77,J77)+L76)</f>
        <v>90530</v>
      </c>
    </row>
    <row r="78" spans="1:12" x14ac:dyDescent="0.25">
      <c r="A78" s="1">
        <v>43876</v>
      </c>
      <c r="B78" s="3" t="s">
        <v>14</v>
      </c>
      <c r="C78" t="s">
        <v>13</v>
      </c>
      <c r="D78" s="4" t="s">
        <v>54</v>
      </c>
      <c r="E78" s="4" t="s">
        <v>47</v>
      </c>
      <c r="F78" s="4" t="s">
        <v>37</v>
      </c>
      <c r="G78" s="4" t="s">
        <v>34</v>
      </c>
      <c r="H78" s="4" t="s">
        <v>52</v>
      </c>
      <c r="I78" s="4" t="s">
        <v>42</v>
      </c>
      <c r="J78" s="5">
        <v>7878</v>
      </c>
      <c r="K78" s="7">
        <f>IF(ROW()=2,IF(Tabela2[[#This Row],[Status]]="Em aberto",0,IF(Tabela2[[#This Row],[Movimentação]]="Saídas",-J78,J78)),IF(Tabela2[[#This Row],[Status]]="Em aberto",0,IF(Tabela2[[#This Row],[Movimentação]]="Saídas",-J78,J78))+K77)</f>
        <v>98408</v>
      </c>
      <c r="L78" s="8">
        <f>IF(ROW()=2,IF(Tabela2[[#This Row],[Movimentação]]="Saídas",-J78,J78),IF(Tabela2[[#This Row],[Movimentação]]="Saídas",-J78,J78)+L77)</f>
        <v>98408</v>
      </c>
    </row>
    <row r="79" spans="1:12" x14ac:dyDescent="0.25">
      <c r="A79" s="1">
        <v>43889</v>
      </c>
      <c r="B79" s="3" t="s">
        <v>14</v>
      </c>
      <c r="C79" t="s">
        <v>25</v>
      </c>
      <c r="D79" s="4" t="s">
        <v>126</v>
      </c>
      <c r="E79" s="4" t="s">
        <v>47</v>
      </c>
      <c r="F79" s="4" t="s">
        <v>37</v>
      </c>
      <c r="G79" s="4" t="s">
        <v>35</v>
      </c>
      <c r="H79" s="4" t="s">
        <v>52</v>
      </c>
      <c r="I79" s="4" t="s">
        <v>40</v>
      </c>
      <c r="J79" s="5">
        <v>6749</v>
      </c>
      <c r="K79" s="7">
        <f>IF(ROW()=2,IF(Tabela2[[#This Row],[Status]]="Em aberto",0,IF(Tabela2[[#This Row],[Movimentação]]="Saídas",-J79,J79)),IF(Tabela2[[#This Row],[Status]]="Em aberto",0,IF(Tabela2[[#This Row],[Movimentação]]="Saídas",-J79,J79))+K78)</f>
        <v>105157</v>
      </c>
      <c r="L79" s="8">
        <f>IF(ROW()=2,IF(Tabela2[[#This Row],[Movimentação]]="Saídas",-J79,J79),IF(Tabela2[[#This Row],[Movimentação]]="Saídas",-J79,J79)+L78)</f>
        <v>105157</v>
      </c>
    </row>
    <row r="80" spans="1:12" x14ac:dyDescent="0.25">
      <c r="A80" s="1">
        <v>43890</v>
      </c>
      <c r="B80" s="3" t="s">
        <v>14</v>
      </c>
      <c r="C80" t="s">
        <v>13</v>
      </c>
      <c r="D80" s="4" t="s">
        <v>88</v>
      </c>
      <c r="E80" s="4" t="s">
        <v>49</v>
      </c>
      <c r="F80" s="4" t="s">
        <v>36</v>
      </c>
      <c r="G80" s="4" t="s">
        <v>31</v>
      </c>
      <c r="H80" s="4" t="s">
        <v>52</v>
      </c>
      <c r="I80" s="4" t="s">
        <v>40</v>
      </c>
      <c r="J80" s="5">
        <v>6709</v>
      </c>
      <c r="K80" s="7">
        <f>IF(ROW()=2,IF(Tabela2[[#This Row],[Status]]="Em aberto",0,IF(Tabela2[[#This Row],[Movimentação]]="Saídas",-J80,J80)),IF(Tabela2[[#This Row],[Status]]="Em aberto",0,IF(Tabela2[[#This Row],[Movimentação]]="Saídas",-J80,J80))+K79)</f>
        <v>111866</v>
      </c>
      <c r="L80" s="8">
        <f>IF(ROW()=2,IF(Tabela2[[#This Row],[Movimentação]]="Saídas",-J80,J80),IF(Tabela2[[#This Row],[Movimentação]]="Saídas",-J80,J80)+L79)</f>
        <v>111866</v>
      </c>
    </row>
    <row r="81" spans="1:12" x14ac:dyDescent="0.25">
      <c r="A81" s="1">
        <v>43897</v>
      </c>
      <c r="B81" s="3" t="s">
        <v>14</v>
      </c>
      <c r="C81" t="s">
        <v>13</v>
      </c>
      <c r="D81" s="4" t="s">
        <v>64</v>
      </c>
      <c r="E81" s="4" t="s">
        <v>50</v>
      </c>
      <c r="F81" s="4" t="s">
        <v>38</v>
      </c>
      <c r="G81" s="4" t="s">
        <v>33</v>
      </c>
      <c r="H81" s="4" t="s">
        <v>52</v>
      </c>
      <c r="I81" s="4" t="s">
        <v>41</v>
      </c>
      <c r="J81" s="5">
        <v>5625</v>
      </c>
      <c r="K81" s="7">
        <f>IF(ROW()=2,IF(Tabela2[[#This Row],[Status]]="Em aberto",0,IF(Tabela2[[#This Row],[Movimentação]]="Saídas",-J81,J81)),IF(Tabela2[[#This Row],[Status]]="Em aberto",0,IF(Tabela2[[#This Row],[Movimentação]]="Saídas",-J81,J81))+K80)</f>
        <v>117491</v>
      </c>
      <c r="L81" s="8">
        <f>IF(ROW()=2,IF(Tabela2[[#This Row],[Movimentação]]="Saídas",-J81,J81),IF(Tabela2[[#This Row],[Movimentação]]="Saídas",-J81,J81)+L80)</f>
        <v>117491</v>
      </c>
    </row>
    <row r="82" spans="1:12" x14ac:dyDescent="0.25">
      <c r="A82" s="1">
        <v>43900</v>
      </c>
      <c r="B82" s="3" t="s">
        <v>14</v>
      </c>
      <c r="C82" t="s">
        <v>11</v>
      </c>
      <c r="D82" s="4" t="s">
        <v>60</v>
      </c>
      <c r="E82" s="4" t="s">
        <v>47</v>
      </c>
      <c r="F82" s="4" t="s">
        <v>37</v>
      </c>
      <c r="G82" s="4" t="s">
        <v>34</v>
      </c>
      <c r="H82" s="4" t="s">
        <v>52</v>
      </c>
      <c r="I82" s="4" t="s">
        <v>40</v>
      </c>
      <c r="J82" s="5">
        <v>4916</v>
      </c>
      <c r="K82" s="7">
        <f>IF(ROW()=2,IF(Tabela2[[#This Row],[Status]]="Em aberto",0,IF(Tabela2[[#This Row],[Movimentação]]="Saídas",-J82,J82)),IF(Tabela2[[#This Row],[Status]]="Em aberto",0,IF(Tabela2[[#This Row],[Movimentação]]="Saídas",-J82,J82))+K81)</f>
        <v>122407</v>
      </c>
      <c r="L82" s="8">
        <f>IF(ROW()=2,IF(Tabela2[[#This Row],[Movimentação]]="Saídas",-J82,J82),IF(Tabela2[[#This Row],[Movimentação]]="Saídas",-J82,J82)+L81)</f>
        <v>122407</v>
      </c>
    </row>
    <row r="83" spans="1:12" x14ac:dyDescent="0.25">
      <c r="A83" s="1">
        <v>43908</v>
      </c>
      <c r="B83" s="3" t="s">
        <v>15</v>
      </c>
      <c r="C83" t="s">
        <v>10</v>
      </c>
      <c r="D83" s="4" t="s">
        <v>97</v>
      </c>
      <c r="E83" s="4" t="s">
        <v>50</v>
      </c>
      <c r="F83" s="4" t="s">
        <v>37</v>
      </c>
      <c r="G83" s="4" t="s">
        <v>35</v>
      </c>
      <c r="H83" s="4" t="s">
        <v>52</v>
      </c>
      <c r="I83" s="4" t="s">
        <v>40</v>
      </c>
      <c r="J83" s="5">
        <v>5300</v>
      </c>
      <c r="K83" s="7">
        <f>IF(ROW()=2,IF(Tabela2[[#This Row],[Status]]="Em aberto",0,IF(Tabela2[[#This Row],[Movimentação]]="Saídas",-J83,J83)),IF(Tabela2[[#This Row],[Status]]="Em aberto",0,IF(Tabela2[[#This Row],[Movimentação]]="Saídas",-J83,J83))+K82)</f>
        <v>117107</v>
      </c>
      <c r="L83" s="8">
        <f>IF(ROW()=2,IF(Tabela2[[#This Row],[Movimentação]]="Saídas",-J83,J83),IF(Tabela2[[#This Row],[Movimentação]]="Saídas",-J83,J83)+L82)</f>
        <v>117107</v>
      </c>
    </row>
    <row r="84" spans="1:12" x14ac:dyDescent="0.25">
      <c r="A84" s="1">
        <v>43917</v>
      </c>
      <c r="B84" s="3" t="s">
        <v>14</v>
      </c>
      <c r="C84" t="s">
        <v>13</v>
      </c>
      <c r="D84" s="4" t="s">
        <v>135</v>
      </c>
      <c r="E84" s="4" t="s">
        <v>47</v>
      </c>
      <c r="F84" s="4" t="s">
        <v>37</v>
      </c>
      <c r="G84" s="4" t="s">
        <v>31</v>
      </c>
      <c r="H84" s="4" t="s">
        <v>52</v>
      </c>
      <c r="I84" s="4" t="s">
        <v>41</v>
      </c>
      <c r="J84" s="5">
        <v>7659</v>
      </c>
      <c r="K84" s="7">
        <f>IF(ROW()=2,IF(Tabela2[[#This Row],[Status]]="Em aberto",0,IF(Tabela2[[#This Row],[Movimentação]]="Saídas",-J84,J84)),IF(Tabela2[[#This Row],[Status]]="Em aberto",0,IF(Tabela2[[#This Row],[Movimentação]]="Saídas",-J84,J84))+K83)</f>
        <v>124766</v>
      </c>
      <c r="L84" s="8">
        <f>IF(ROW()=2,IF(Tabela2[[#This Row],[Movimentação]]="Saídas",-J84,J84),IF(Tabela2[[#This Row],[Movimentação]]="Saídas",-J84,J84)+L83)</f>
        <v>124766</v>
      </c>
    </row>
    <row r="85" spans="1:12" x14ac:dyDescent="0.25">
      <c r="A85" s="1">
        <v>43919</v>
      </c>
      <c r="B85" s="3" t="s">
        <v>15</v>
      </c>
      <c r="C85" t="s">
        <v>21</v>
      </c>
      <c r="D85" s="4" t="s">
        <v>63</v>
      </c>
      <c r="E85" s="4" t="s">
        <v>47</v>
      </c>
      <c r="F85" s="4" t="s">
        <v>38</v>
      </c>
      <c r="G85" s="4" t="s">
        <v>32</v>
      </c>
      <c r="H85" s="4" t="s">
        <v>52</v>
      </c>
      <c r="I85" s="4" t="s">
        <v>42</v>
      </c>
      <c r="J85" s="5">
        <v>6600</v>
      </c>
      <c r="K85" s="7">
        <f>IF(ROW()=2,IF(Tabela2[[#This Row],[Status]]="Em aberto",0,IF(Tabela2[[#This Row],[Movimentação]]="Saídas",-J85,J85)),IF(Tabela2[[#This Row],[Status]]="Em aberto",0,IF(Tabela2[[#This Row],[Movimentação]]="Saídas",-J85,J85))+K84)</f>
        <v>118166</v>
      </c>
      <c r="L85" s="8">
        <f>IF(ROW()=2,IF(Tabela2[[#This Row],[Movimentação]]="Saídas",-J85,J85),IF(Tabela2[[#This Row],[Movimentação]]="Saídas",-J85,J85)+L84)</f>
        <v>118166</v>
      </c>
    </row>
    <row r="86" spans="1:12" x14ac:dyDescent="0.25">
      <c r="A86" s="1">
        <v>43928</v>
      </c>
      <c r="B86" s="3" t="s">
        <v>15</v>
      </c>
      <c r="C86" t="s">
        <v>10</v>
      </c>
      <c r="D86" s="4" t="s">
        <v>67</v>
      </c>
      <c r="E86" s="4" t="s">
        <v>49</v>
      </c>
      <c r="F86" s="4" t="s">
        <v>38</v>
      </c>
      <c r="G86" s="4" t="s">
        <v>32</v>
      </c>
      <c r="H86" s="4" t="s">
        <v>52</v>
      </c>
      <c r="I86" s="4" t="s">
        <v>40</v>
      </c>
      <c r="J86" s="5">
        <v>9464</v>
      </c>
      <c r="K86" s="7">
        <f>IF(ROW()=2,IF(Tabela2[[#This Row],[Status]]="Em aberto",0,IF(Tabela2[[#This Row],[Movimentação]]="Saídas",-J86,J86)),IF(Tabela2[[#This Row],[Status]]="Em aberto",0,IF(Tabela2[[#This Row],[Movimentação]]="Saídas",-J86,J86))+K85)</f>
        <v>108702</v>
      </c>
      <c r="L86" s="8">
        <f>IF(ROW()=2,IF(Tabela2[[#This Row],[Movimentação]]="Saídas",-J86,J86),IF(Tabela2[[#This Row],[Movimentação]]="Saídas",-J86,J86)+L85)</f>
        <v>108702</v>
      </c>
    </row>
    <row r="87" spans="1:12" x14ac:dyDescent="0.25">
      <c r="A87" s="1">
        <v>43934</v>
      </c>
      <c r="B87" s="3" t="s">
        <v>14</v>
      </c>
      <c r="C87" t="s">
        <v>12</v>
      </c>
      <c r="D87" s="4" t="s">
        <v>139</v>
      </c>
      <c r="E87" s="4" t="s">
        <v>48</v>
      </c>
      <c r="F87" s="4" t="s">
        <v>36</v>
      </c>
      <c r="G87" s="4" t="s">
        <v>34</v>
      </c>
      <c r="H87" s="4" t="s">
        <v>52</v>
      </c>
      <c r="I87" s="4" t="s">
        <v>41</v>
      </c>
      <c r="J87" s="5">
        <v>9614</v>
      </c>
      <c r="K87" s="7">
        <f>IF(ROW()=2,IF(Tabela2[[#This Row],[Status]]="Em aberto",0,IF(Tabela2[[#This Row],[Movimentação]]="Saídas",-J87,J87)),IF(Tabela2[[#This Row],[Status]]="Em aberto",0,IF(Tabela2[[#This Row],[Movimentação]]="Saídas",-J87,J87))+K86)</f>
        <v>118316</v>
      </c>
      <c r="L87" s="8">
        <f>IF(ROW()=2,IF(Tabela2[[#This Row],[Movimentação]]="Saídas",-J87,J87),IF(Tabela2[[#This Row],[Movimentação]]="Saídas",-J87,J87)+L86)</f>
        <v>118316</v>
      </c>
    </row>
    <row r="88" spans="1:12" x14ac:dyDescent="0.25">
      <c r="A88" s="1">
        <v>43935</v>
      </c>
      <c r="B88" s="3" t="s">
        <v>14</v>
      </c>
      <c r="C88" t="s">
        <v>13</v>
      </c>
      <c r="D88" s="4" t="s">
        <v>90</v>
      </c>
      <c r="E88" s="4" t="s">
        <v>47</v>
      </c>
      <c r="F88" s="4" t="s">
        <v>38</v>
      </c>
      <c r="G88" s="4" t="s">
        <v>33</v>
      </c>
      <c r="H88" s="4" t="s">
        <v>52</v>
      </c>
      <c r="I88" s="4" t="s">
        <v>41</v>
      </c>
      <c r="J88" s="5">
        <v>6572</v>
      </c>
      <c r="K88" s="7">
        <f>IF(ROW()=2,IF(Tabela2[[#This Row],[Status]]="Em aberto",0,IF(Tabela2[[#This Row],[Movimentação]]="Saídas",-J88,J88)),IF(Tabela2[[#This Row],[Status]]="Em aberto",0,IF(Tabela2[[#This Row],[Movimentação]]="Saídas",-J88,J88))+K87)</f>
        <v>124888</v>
      </c>
      <c r="L88" s="8">
        <f>IF(ROW()=2,IF(Tabela2[[#This Row],[Movimentação]]="Saídas",-J88,J88),IF(Tabela2[[#This Row],[Movimentação]]="Saídas",-J88,J88)+L87)</f>
        <v>124888</v>
      </c>
    </row>
    <row r="89" spans="1:12" x14ac:dyDescent="0.25">
      <c r="A89" s="1">
        <v>43946</v>
      </c>
      <c r="B89" s="3" t="s">
        <v>14</v>
      </c>
      <c r="C89" t="s">
        <v>27</v>
      </c>
      <c r="D89" s="4" t="s">
        <v>94</v>
      </c>
      <c r="E89" s="4" t="s">
        <v>48</v>
      </c>
      <c r="F89" s="4" t="s">
        <v>38</v>
      </c>
      <c r="G89" s="4" t="s">
        <v>34</v>
      </c>
      <c r="H89" s="4" t="s">
        <v>52</v>
      </c>
      <c r="I89" s="4" t="s">
        <v>42</v>
      </c>
      <c r="J89" s="5">
        <v>4305</v>
      </c>
      <c r="K89" s="7">
        <f>IF(ROW()=2,IF(Tabela2[[#This Row],[Status]]="Em aberto",0,IF(Tabela2[[#This Row],[Movimentação]]="Saídas",-J89,J89)),IF(Tabela2[[#This Row],[Status]]="Em aberto",0,IF(Tabela2[[#This Row],[Movimentação]]="Saídas",-J89,J89))+K88)</f>
        <v>129193</v>
      </c>
      <c r="L89" s="8">
        <f>IF(ROW()=2,IF(Tabela2[[#This Row],[Movimentação]]="Saídas",-J89,J89),IF(Tabela2[[#This Row],[Movimentação]]="Saídas",-J89,J89)+L88)</f>
        <v>129193</v>
      </c>
    </row>
    <row r="90" spans="1:12" x14ac:dyDescent="0.25">
      <c r="A90" s="1">
        <v>43955</v>
      </c>
      <c r="B90" s="3" t="s">
        <v>14</v>
      </c>
      <c r="C90" t="s">
        <v>13</v>
      </c>
      <c r="D90" s="4" t="s">
        <v>72</v>
      </c>
      <c r="E90" s="4" t="s">
        <v>47</v>
      </c>
      <c r="F90" s="4" t="s">
        <v>37</v>
      </c>
      <c r="G90" s="4" t="s">
        <v>33</v>
      </c>
      <c r="H90" s="4" t="s">
        <v>52</v>
      </c>
      <c r="I90" s="4" t="s">
        <v>42</v>
      </c>
      <c r="J90" s="5">
        <v>2296</v>
      </c>
      <c r="K90" s="7">
        <f>IF(ROW()=2,IF(Tabela2[[#This Row],[Status]]="Em aberto",0,IF(Tabela2[[#This Row],[Movimentação]]="Saídas",-J90,J90)),IF(Tabela2[[#This Row],[Status]]="Em aberto",0,IF(Tabela2[[#This Row],[Movimentação]]="Saídas",-J90,J90))+K89)</f>
        <v>131489</v>
      </c>
      <c r="L90" s="8">
        <f>IF(ROW()=2,IF(Tabela2[[#This Row],[Movimentação]]="Saídas",-J90,J90),IF(Tabela2[[#This Row],[Movimentação]]="Saídas",-J90,J90)+L89)</f>
        <v>131489</v>
      </c>
    </row>
    <row r="91" spans="1:12" x14ac:dyDescent="0.25">
      <c r="A91" s="1">
        <v>43955</v>
      </c>
      <c r="B91" s="3" t="s">
        <v>15</v>
      </c>
      <c r="C91" t="s">
        <v>11</v>
      </c>
      <c r="D91" s="4" t="s">
        <v>136</v>
      </c>
      <c r="E91" s="4" t="s">
        <v>49</v>
      </c>
      <c r="F91" s="4" t="s">
        <v>38</v>
      </c>
      <c r="G91" s="4" t="s">
        <v>32</v>
      </c>
      <c r="H91" s="4" t="s">
        <v>52</v>
      </c>
      <c r="I91" s="4" t="s">
        <v>42</v>
      </c>
      <c r="J91" s="5">
        <v>4173</v>
      </c>
      <c r="K91" s="7">
        <f>IF(ROW()=2,IF(Tabela2[[#This Row],[Status]]="Em aberto",0,IF(Tabela2[[#This Row],[Movimentação]]="Saídas",-J91,J91)),IF(Tabela2[[#This Row],[Status]]="Em aberto",0,IF(Tabela2[[#This Row],[Movimentação]]="Saídas",-J91,J91))+K90)</f>
        <v>127316</v>
      </c>
      <c r="L91" s="8">
        <f>IF(ROW()=2,IF(Tabela2[[#This Row],[Movimentação]]="Saídas",-J91,J91),IF(Tabela2[[#This Row],[Movimentação]]="Saídas",-J91,J91)+L90)</f>
        <v>127316</v>
      </c>
    </row>
    <row r="92" spans="1:12" x14ac:dyDescent="0.25">
      <c r="A92" s="1">
        <v>43960</v>
      </c>
      <c r="B92" s="3" t="s">
        <v>15</v>
      </c>
      <c r="C92" t="s">
        <v>12</v>
      </c>
      <c r="D92" s="4" t="s">
        <v>71</v>
      </c>
      <c r="E92" s="4" t="s">
        <v>46</v>
      </c>
      <c r="F92" s="4" t="s">
        <v>37</v>
      </c>
      <c r="G92" s="4" t="s">
        <v>33</v>
      </c>
      <c r="H92" s="4" t="s">
        <v>52</v>
      </c>
      <c r="I92" s="4" t="s">
        <v>40</v>
      </c>
      <c r="J92" s="5">
        <v>9772</v>
      </c>
      <c r="K92" s="7">
        <f>IF(ROW()=2,IF(Tabela2[[#This Row],[Status]]="Em aberto",0,IF(Tabela2[[#This Row],[Movimentação]]="Saídas",-J92,J92)),IF(Tabela2[[#This Row],[Status]]="Em aberto",0,IF(Tabela2[[#This Row],[Movimentação]]="Saídas",-J92,J92))+K91)</f>
        <v>117544</v>
      </c>
      <c r="L92" s="8">
        <f>IF(ROW()=2,IF(Tabela2[[#This Row],[Movimentação]]="Saídas",-J92,J92),IF(Tabela2[[#This Row],[Movimentação]]="Saídas",-J92,J92)+L91)</f>
        <v>117544</v>
      </c>
    </row>
    <row r="93" spans="1:12" x14ac:dyDescent="0.25">
      <c r="A93" s="1">
        <v>43961</v>
      </c>
      <c r="B93" s="3" t="s">
        <v>14</v>
      </c>
      <c r="C93" t="s">
        <v>13</v>
      </c>
      <c r="D93" s="4" t="s">
        <v>83</v>
      </c>
      <c r="E93" s="4" t="s">
        <v>47</v>
      </c>
      <c r="F93" s="4" t="s">
        <v>37</v>
      </c>
      <c r="G93" s="4" t="s">
        <v>33</v>
      </c>
      <c r="H93" s="4" t="s">
        <v>52</v>
      </c>
      <c r="I93" s="4" t="s">
        <v>41</v>
      </c>
      <c r="J93" s="5">
        <v>6978</v>
      </c>
      <c r="K93" s="7">
        <f>IF(ROW()=2,IF(Tabela2[[#This Row],[Status]]="Em aberto",0,IF(Tabela2[[#This Row],[Movimentação]]="Saídas",-J93,J93)),IF(Tabela2[[#This Row],[Status]]="Em aberto",0,IF(Tabela2[[#This Row],[Movimentação]]="Saídas",-J93,J93))+K92)</f>
        <v>124522</v>
      </c>
      <c r="L93" s="8">
        <f>IF(ROW()=2,IF(Tabela2[[#This Row],[Movimentação]]="Saídas",-J93,J93),IF(Tabela2[[#This Row],[Movimentação]]="Saídas",-J93,J93)+L92)</f>
        <v>124522</v>
      </c>
    </row>
    <row r="94" spans="1:12" x14ac:dyDescent="0.25">
      <c r="A94" s="1">
        <v>43965</v>
      </c>
      <c r="B94" s="3" t="s">
        <v>14</v>
      </c>
      <c r="C94" t="s">
        <v>10</v>
      </c>
      <c r="D94" s="4" t="s">
        <v>68</v>
      </c>
      <c r="E94" s="4" t="s">
        <v>48</v>
      </c>
      <c r="F94" s="4" t="s">
        <v>37</v>
      </c>
      <c r="G94" s="4" t="s">
        <v>31</v>
      </c>
      <c r="H94" s="4" t="s">
        <v>52</v>
      </c>
      <c r="I94" s="4" t="s">
        <v>42</v>
      </c>
      <c r="J94" s="5">
        <v>3428</v>
      </c>
      <c r="K94" s="7">
        <f>IF(ROW()=2,IF(Tabela2[[#This Row],[Status]]="Em aberto",0,IF(Tabela2[[#This Row],[Movimentação]]="Saídas",-J94,J94)),IF(Tabela2[[#This Row],[Status]]="Em aberto",0,IF(Tabela2[[#This Row],[Movimentação]]="Saídas",-J94,J94))+K93)</f>
        <v>127950</v>
      </c>
      <c r="L94" s="8">
        <f>IF(ROW()=2,IF(Tabela2[[#This Row],[Movimentação]]="Saídas",-J94,J94),IF(Tabela2[[#This Row],[Movimentação]]="Saídas",-J94,J94)+L93)</f>
        <v>127950</v>
      </c>
    </row>
    <row r="95" spans="1:12" x14ac:dyDescent="0.25">
      <c r="A95" s="1">
        <v>43979</v>
      </c>
      <c r="B95" s="3" t="s">
        <v>14</v>
      </c>
      <c r="C95" t="s">
        <v>10</v>
      </c>
      <c r="D95" s="4" t="s">
        <v>111</v>
      </c>
      <c r="E95" s="4" t="s">
        <v>49</v>
      </c>
      <c r="F95" s="4" t="s">
        <v>37</v>
      </c>
      <c r="G95" s="4" t="s">
        <v>33</v>
      </c>
      <c r="H95" s="4" t="s">
        <v>52</v>
      </c>
      <c r="I95" s="4" t="s">
        <v>41</v>
      </c>
      <c r="J95" s="5">
        <v>455</v>
      </c>
      <c r="K95" s="7">
        <f>IF(ROW()=2,IF(Tabela2[[#This Row],[Status]]="Em aberto",0,IF(Tabela2[[#This Row],[Movimentação]]="Saídas",-J95,J95)),IF(Tabela2[[#This Row],[Status]]="Em aberto",0,IF(Tabela2[[#This Row],[Movimentação]]="Saídas",-J95,J95))+K94)</f>
        <v>128405</v>
      </c>
      <c r="L95" s="8">
        <f>IF(ROW()=2,IF(Tabela2[[#This Row],[Movimentação]]="Saídas",-J95,J95),IF(Tabela2[[#This Row],[Movimentação]]="Saídas",-J95,J95)+L94)</f>
        <v>128405</v>
      </c>
    </row>
    <row r="96" spans="1:12" x14ac:dyDescent="0.25">
      <c r="A96" s="1">
        <v>43979</v>
      </c>
      <c r="B96" s="3" t="s">
        <v>14</v>
      </c>
      <c r="C96" t="s">
        <v>13</v>
      </c>
      <c r="D96" s="4" t="s">
        <v>116</v>
      </c>
      <c r="E96" s="4" t="s">
        <v>48</v>
      </c>
      <c r="F96" s="4" t="s">
        <v>37</v>
      </c>
      <c r="G96" s="4" t="s">
        <v>34</v>
      </c>
      <c r="H96" s="4" t="s">
        <v>52</v>
      </c>
      <c r="I96" s="4" t="s">
        <v>42</v>
      </c>
      <c r="J96" s="5">
        <v>3702</v>
      </c>
      <c r="K96" s="7">
        <f>IF(ROW()=2,IF(Tabela2[[#This Row],[Status]]="Em aberto",0,IF(Tabela2[[#This Row],[Movimentação]]="Saídas",-J96,J96)),IF(Tabela2[[#This Row],[Status]]="Em aberto",0,IF(Tabela2[[#This Row],[Movimentação]]="Saídas",-J96,J96))+K95)</f>
        <v>132107</v>
      </c>
      <c r="L96" s="8">
        <f>IF(ROW()=2,IF(Tabela2[[#This Row],[Movimentação]]="Saídas",-J96,J96),IF(Tabela2[[#This Row],[Movimentação]]="Saídas",-J96,J96)+L95)</f>
        <v>132107</v>
      </c>
    </row>
    <row r="97" spans="1:12" x14ac:dyDescent="0.25">
      <c r="A97" s="1">
        <v>43987</v>
      </c>
      <c r="B97" s="3" t="s">
        <v>14</v>
      </c>
      <c r="C97" t="s">
        <v>11</v>
      </c>
      <c r="D97" s="4" t="s">
        <v>69</v>
      </c>
      <c r="E97" s="4" t="s">
        <v>46</v>
      </c>
      <c r="F97" s="4" t="s">
        <v>38</v>
      </c>
      <c r="G97" s="4" t="s">
        <v>31</v>
      </c>
      <c r="H97" s="4" t="s">
        <v>52</v>
      </c>
      <c r="I97" s="4" t="s">
        <v>40</v>
      </c>
      <c r="J97" s="5">
        <v>913</v>
      </c>
      <c r="K97" s="7">
        <f>IF(ROW()=2,IF(Tabela2[[#This Row],[Status]]="Em aberto",0,IF(Tabela2[[#This Row],[Movimentação]]="Saídas",-J97,J97)),IF(Tabela2[[#This Row],[Status]]="Em aberto",0,IF(Tabela2[[#This Row],[Movimentação]]="Saídas",-J97,J97))+K96)</f>
        <v>133020</v>
      </c>
      <c r="L97" s="8">
        <f>IF(ROW()=2,IF(Tabela2[[#This Row],[Movimentação]]="Saídas",-J97,J97),IF(Tabela2[[#This Row],[Movimentação]]="Saídas",-J97,J97)+L96)</f>
        <v>133020</v>
      </c>
    </row>
    <row r="98" spans="1:12" x14ac:dyDescent="0.25">
      <c r="A98" s="1">
        <v>43988</v>
      </c>
      <c r="B98" s="3" t="s">
        <v>14</v>
      </c>
      <c r="C98" t="s">
        <v>23</v>
      </c>
      <c r="D98" s="4" t="s">
        <v>120</v>
      </c>
      <c r="E98" s="4" t="s">
        <v>49</v>
      </c>
      <c r="F98" s="4" t="s">
        <v>36</v>
      </c>
      <c r="G98" s="4" t="s">
        <v>31</v>
      </c>
      <c r="H98" s="4" t="s">
        <v>52</v>
      </c>
      <c r="I98" s="4" t="s">
        <v>40</v>
      </c>
      <c r="J98" s="5">
        <v>3263</v>
      </c>
      <c r="K98" s="7">
        <f>IF(ROW()=2,IF(Tabela2[[#This Row],[Status]]="Em aberto",0,IF(Tabela2[[#This Row],[Movimentação]]="Saídas",-J98,J98)),IF(Tabela2[[#This Row],[Status]]="Em aberto",0,IF(Tabela2[[#This Row],[Movimentação]]="Saídas",-J98,J98))+K97)</f>
        <v>136283</v>
      </c>
      <c r="L98" s="8">
        <f>IF(ROW()=2,IF(Tabela2[[#This Row],[Movimentação]]="Saídas",-J98,J98),IF(Tabela2[[#This Row],[Movimentação]]="Saídas",-J98,J98)+L97)</f>
        <v>136283</v>
      </c>
    </row>
    <row r="99" spans="1:12" x14ac:dyDescent="0.25">
      <c r="A99" s="1">
        <v>43990</v>
      </c>
      <c r="B99" s="3" t="s">
        <v>14</v>
      </c>
      <c r="C99" t="s">
        <v>23</v>
      </c>
      <c r="D99" s="4" t="s">
        <v>124</v>
      </c>
      <c r="E99" s="4" t="s">
        <v>47</v>
      </c>
      <c r="F99" s="4" t="s">
        <v>38</v>
      </c>
      <c r="G99" s="4" t="s">
        <v>34</v>
      </c>
      <c r="H99" s="4" t="s">
        <v>52</v>
      </c>
      <c r="I99" s="4" t="s">
        <v>40</v>
      </c>
      <c r="J99" s="5">
        <v>4753</v>
      </c>
      <c r="K99" s="7">
        <f>IF(ROW()=2,IF(Tabela2[[#This Row],[Status]]="Em aberto",0,IF(Tabela2[[#This Row],[Movimentação]]="Saídas",-J99,J99)),IF(Tabela2[[#This Row],[Status]]="Em aberto",0,IF(Tabela2[[#This Row],[Movimentação]]="Saídas",-J99,J99))+K98)</f>
        <v>141036</v>
      </c>
      <c r="L99" s="8">
        <f>IF(ROW()=2,IF(Tabela2[[#This Row],[Movimentação]]="Saídas",-J99,J99),IF(Tabela2[[#This Row],[Movimentação]]="Saídas",-J99,J99)+L98)</f>
        <v>141036</v>
      </c>
    </row>
    <row r="100" spans="1:12" x14ac:dyDescent="0.25">
      <c r="A100" s="1">
        <v>43996</v>
      </c>
      <c r="B100" s="3" t="s">
        <v>14</v>
      </c>
      <c r="C100" t="s">
        <v>13</v>
      </c>
      <c r="D100" s="4" t="s">
        <v>76</v>
      </c>
      <c r="E100" s="4" t="s">
        <v>46</v>
      </c>
      <c r="F100" s="4" t="s">
        <v>38</v>
      </c>
      <c r="G100" s="4" t="s">
        <v>31</v>
      </c>
      <c r="H100" s="4" t="s">
        <v>52</v>
      </c>
      <c r="I100" s="4" t="s">
        <v>41</v>
      </c>
      <c r="J100" s="5">
        <v>7186</v>
      </c>
      <c r="K100" s="7">
        <f>IF(ROW()=2,IF(Tabela2[[#This Row],[Status]]="Em aberto",0,IF(Tabela2[[#This Row],[Movimentação]]="Saídas",-J100,J100)),IF(Tabela2[[#This Row],[Status]]="Em aberto",0,IF(Tabela2[[#This Row],[Movimentação]]="Saídas",-J100,J100))+K99)</f>
        <v>148222</v>
      </c>
      <c r="L100" s="8">
        <f>IF(ROW()=2,IF(Tabela2[[#This Row],[Movimentação]]="Saídas",-J100,J100),IF(Tabela2[[#This Row],[Movimentação]]="Saídas",-J100,J100)+L99)</f>
        <v>148222</v>
      </c>
    </row>
    <row r="101" spans="1:12" x14ac:dyDescent="0.25">
      <c r="A101" s="1">
        <v>43996</v>
      </c>
      <c r="B101" s="3" t="s">
        <v>15</v>
      </c>
      <c r="C101" t="s">
        <v>12</v>
      </c>
      <c r="D101" s="4" t="s">
        <v>144</v>
      </c>
      <c r="E101" s="4" t="s">
        <v>49</v>
      </c>
      <c r="F101" s="4" t="s">
        <v>38</v>
      </c>
      <c r="G101" s="4" t="s">
        <v>33</v>
      </c>
      <c r="H101" s="4" t="s">
        <v>52</v>
      </c>
      <c r="I101" s="4" t="s">
        <v>40</v>
      </c>
      <c r="J101" s="5">
        <v>873</v>
      </c>
      <c r="K101" s="7">
        <f>IF(ROW()=2,IF(Tabela2[[#This Row],[Status]]="Em aberto",0,IF(Tabela2[[#This Row],[Movimentação]]="Saídas",-J101,J101)),IF(Tabela2[[#This Row],[Status]]="Em aberto",0,IF(Tabela2[[#This Row],[Movimentação]]="Saídas",-J101,J101))+K100)</f>
        <v>147349</v>
      </c>
      <c r="L101" s="8">
        <f>IF(ROW()=2,IF(Tabela2[[#This Row],[Movimentação]]="Saídas",-J101,J101),IF(Tabela2[[#This Row],[Movimentação]]="Saídas",-J101,J101)+L100)</f>
        <v>147349</v>
      </c>
    </row>
    <row r="102" spans="1:12" x14ac:dyDescent="0.25">
      <c r="A102" s="1">
        <v>44000</v>
      </c>
      <c r="B102" s="3" t="s">
        <v>14</v>
      </c>
      <c r="C102" t="s">
        <v>12</v>
      </c>
      <c r="D102" s="4" t="s">
        <v>62</v>
      </c>
      <c r="E102" s="4" t="s">
        <v>50</v>
      </c>
      <c r="F102" s="4" t="s">
        <v>36</v>
      </c>
      <c r="G102" s="4" t="s">
        <v>34</v>
      </c>
      <c r="H102" s="4" t="s">
        <v>52</v>
      </c>
      <c r="I102" s="4" t="s">
        <v>42</v>
      </c>
      <c r="J102" s="5">
        <v>2000</v>
      </c>
      <c r="K102" s="7">
        <f>IF(ROW()=2,IF(Tabela2[[#This Row],[Status]]="Em aberto",0,IF(Tabela2[[#This Row],[Movimentação]]="Saídas",-J102,J102)),IF(Tabela2[[#This Row],[Status]]="Em aberto",0,IF(Tabela2[[#This Row],[Movimentação]]="Saídas",-J102,J102))+K101)</f>
        <v>149349</v>
      </c>
      <c r="L102" s="8">
        <f>IF(ROW()=2,IF(Tabela2[[#This Row],[Movimentação]]="Saídas",-J102,J102),IF(Tabela2[[#This Row],[Movimentação]]="Saídas",-J102,J102)+L101)</f>
        <v>149349</v>
      </c>
    </row>
  </sheetData>
  <dataValidations count="7">
    <dataValidation type="list" allowBlank="1" showInputMessage="1" showErrorMessage="1" sqref="B2:B102" xr:uid="{8174542A-47FB-4329-8A75-D9F18B2255C6}">
      <formula1>"Entradas,Saídas,Transferências"</formula1>
    </dataValidation>
    <dataValidation type="list" allowBlank="1" showInputMessage="1" showErrorMessage="1" sqref="F2:F102" xr:uid="{60F29D5C-13C5-481E-908F-F7594BC7A50F}">
      <formula1>Favorecidos</formula1>
    </dataValidation>
    <dataValidation type="list" allowBlank="1" showInputMessage="1" showErrorMessage="1" sqref="G2:G102" xr:uid="{DA00100C-6E10-4A02-9EDB-47B6C45DF8D1}">
      <formula1>CentroDeCustos</formula1>
    </dataValidation>
    <dataValidation type="list" allowBlank="1" showInputMessage="1" showErrorMessage="1" sqref="H2:H102" xr:uid="{110A87E8-4C58-41CC-AA3E-2B84FE0A8437}">
      <formula1>"Pago, Em aberto"</formula1>
    </dataValidation>
    <dataValidation type="list" allowBlank="1" showInputMessage="1" showErrorMessage="1" sqref="I2:I102" xr:uid="{E0E44196-44FE-4763-9974-073C9CE2ABB0}">
      <formula1>Contas</formula1>
    </dataValidation>
    <dataValidation type="list" allowBlank="1" showInputMessage="1" showErrorMessage="1" sqref="C2:C102" xr:uid="{7A3D3479-7BE0-4424-AA87-AF14EDED1143}">
      <formula1>INDIRECT($B2)</formula1>
    </dataValidation>
    <dataValidation type="custom" allowBlank="1" showInputMessage="1" showErrorMessage="1" errorTitle="Erro!" error="Somente valores positivos devem ser cadastrados nessa coluna (saídas serão descontadas do Saldo Acumulado)" sqref="J2:J102" xr:uid="{BE2C8564-E76A-4025-A0F4-2696E53C6580}">
      <formula1>J2&gt;0</formula1>
    </dataValidation>
  </dataValidations>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D1276-7D1B-4D1B-B6EE-DF5F2ABFDB21}">
  <sheetPr codeName="Planilha3"/>
  <dimension ref="A1:R715"/>
  <sheetViews>
    <sheetView showGridLines="0" tabSelected="1" zoomScale="85" zoomScaleNormal="85" workbookViewId="0">
      <selection sqref="A1:Q1"/>
    </sheetView>
  </sheetViews>
  <sheetFormatPr defaultRowHeight="15" x14ac:dyDescent="0.25"/>
  <cols>
    <col min="1" max="1" width="17" customWidth="1"/>
    <col min="2" max="3" width="15.28515625" customWidth="1"/>
    <col min="4" max="5" width="14.28515625" bestFit="1" customWidth="1"/>
    <col min="6" max="6" width="9.140625" style="9" customWidth="1"/>
    <col min="7" max="7" width="14.28515625" customWidth="1"/>
    <col min="8" max="9" width="14.28515625" bestFit="1" customWidth="1"/>
    <col min="10" max="10" width="9.140625" customWidth="1"/>
    <col min="11" max="11" width="14.28515625" bestFit="1" customWidth="1"/>
    <col min="12" max="12" width="14.28515625" customWidth="1"/>
    <col min="13" max="14" width="14.28515625" bestFit="1" customWidth="1"/>
    <col min="17" max="18" width="10.7109375" bestFit="1" customWidth="1"/>
    <col min="20" max="20" width="10" bestFit="1" customWidth="1"/>
  </cols>
  <sheetData>
    <row r="1" spans="1:17" ht="39.75" customHeight="1" x14ac:dyDescent="0.25">
      <c r="A1" s="56" t="s">
        <v>171</v>
      </c>
      <c r="B1" s="57"/>
      <c r="C1" s="57"/>
      <c r="D1" s="57"/>
      <c r="E1" s="57"/>
      <c r="F1" s="57"/>
      <c r="G1" s="57"/>
      <c r="H1" s="57"/>
      <c r="I1" s="57"/>
      <c r="J1" s="57"/>
      <c r="K1" s="57"/>
      <c r="L1" s="57"/>
      <c r="M1" s="57"/>
      <c r="N1" s="57"/>
      <c r="O1" s="57"/>
      <c r="P1" s="57"/>
      <c r="Q1" s="58"/>
    </row>
    <row r="2" spans="1:17" ht="9" customHeight="1" x14ac:dyDescent="0.25">
      <c r="A2" s="27"/>
      <c r="B2" s="27"/>
      <c r="C2" s="27"/>
      <c r="D2" s="27"/>
      <c r="E2" s="27"/>
      <c r="F2" s="28"/>
      <c r="G2" s="27"/>
      <c r="H2" s="27"/>
      <c r="I2" s="27"/>
      <c r="J2" s="27"/>
      <c r="K2" s="27"/>
      <c r="L2" s="27"/>
      <c r="M2" s="27"/>
      <c r="N2" s="27"/>
      <c r="O2" s="27"/>
      <c r="P2" s="27"/>
      <c r="Q2" s="27"/>
    </row>
    <row r="3" spans="1:17" s="20" customFormat="1" ht="21" x14ac:dyDescent="0.25">
      <c r="A3" s="53" t="s">
        <v>179</v>
      </c>
      <c r="B3" s="54"/>
      <c r="C3" s="54"/>
      <c r="D3" s="54"/>
      <c r="E3" s="54"/>
      <c r="F3" s="54"/>
      <c r="G3" s="54"/>
      <c r="H3" s="54"/>
      <c r="I3" s="54"/>
      <c r="J3" s="54"/>
      <c r="K3" s="54"/>
      <c r="L3" s="54"/>
      <c r="M3" s="54"/>
      <c r="N3" s="54"/>
      <c r="O3" s="54"/>
      <c r="P3" s="54"/>
      <c r="Q3" s="55"/>
    </row>
    <row r="5" spans="1:17" x14ac:dyDescent="0.25">
      <c r="G5" s="37" t="s">
        <v>182</v>
      </c>
      <c r="H5" s="38"/>
      <c r="I5" s="21" t="s">
        <v>40</v>
      </c>
    </row>
    <row r="6" spans="1:17" x14ac:dyDescent="0.25">
      <c r="G6" s="39" t="s">
        <v>183</v>
      </c>
      <c r="H6" s="40"/>
      <c r="I6" s="22">
        <v>43971</v>
      </c>
    </row>
    <row r="9" spans="1:17" ht="15" customHeight="1" x14ac:dyDescent="0.25">
      <c r="B9" s="47" t="s">
        <v>181</v>
      </c>
      <c r="C9" s="48"/>
      <c r="D9" s="49"/>
      <c r="G9" s="44" t="s">
        <v>180</v>
      </c>
      <c r="H9" s="45"/>
      <c r="I9" s="46"/>
      <c r="L9" s="50" t="s">
        <v>165</v>
      </c>
      <c r="M9" s="51"/>
      <c r="N9" s="52"/>
    </row>
    <row r="10" spans="1:17" ht="23.25" customHeight="1" x14ac:dyDescent="0.25">
      <c r="B10" s="31">
        <f>SUMIFS('Fluxo de Caixa'!J:J,'Fluxo de Caixa'!I:I,Resumo!I5,'Fluxo de Caixa'!A:A,"&lt;="&amp;Resumo!I6,'Fluxo de Caixa'!B:B,"Entradas",'Fluxo de Caixa'!H:H,"Pago")</f>
        <v>100216</v>
      </c>
      <c r="C10" s="32"/>
      <c r="D10" s="33"/>
      <c r="G10" s="31">
        <f>SUMIFS('Fluxo de Caixa'!J:J,'Fluxo de Caixa'!I:I,Resumo!I5,'Fluxo de Caixa'!A:A,"&lt;="&amp;Resumo!I6,'Fluxo de Caixa'!B:B,"Saídas",'Fluxo de Caixa'!H:H,"Pago")</f>
        <v>56267</v>
      </c>
      <c r="H10" s="32"/>
      <c r="I10" s="33"/>
      <c r="L10" s="31">
        <f>B10-G10</f>
        <v>43949</v>
      </c>
      <c r="M10" s="32"/>
      <c r="N10" s="33"/>
    </row>
    <row r="11" spans="1:17" ht="23.25" customHeight="1" x14ac:dyDescent="0.25">
      <c r="B11" s="34"/>
      <c r="C11" s="35"/>
      <c r="D11" s="36"/>
      <c r="F11"/>
      <c r="G11" s="34"/>
      <c r="H11" s="35"/>
      <c r="I11" s="36"/>
      <c r="L11" s="34"/>
      <c r="M11" s="35"/>
      <c r="N11" s="36"/>
    </row>
    <row r="12" spans="1:17" x14ac:dyDescent="0.25">
      <c r="A12" s="27"/>
      <c r="B12" s="27"/>
      <c r="C12" s="27"/>
      <c r="D12" s="27"/>
      <c r="E12" s="27"/>
      <c r="F12" s="28"/>
      <c r="G12" s="27"/>
      <c r="H12" s="27"/>
      <c r="I12" s="27"/>
      <c r="J12" s="27"/>
      <c r="K12" s="27"/>
      <c r="L12" s="27"/>
      <c r="M12" s="27"/>
      <c r="N12" s="27"/>
      <c r="O12" s="27"/>
      <c r="P12" s="27"/>
      <c r="Q12" s="27"/>
    </row>
    <row r="13" spans="1:17" ht="21" x14ac:dyDescent="0.25">
      <c r="A13" s="41" t="s">
        <v>172</v>
      </c>
      <c r="B13" s="42"/>
      <c r="C13" s="42"/>
      <c r="D13" s="42"/>
      <c r="E13" s="42"/>
      <c r="F13" s="42"/>
      <c r="G13" s="42"/>
      <c r="H13" s="42"/>
      <c r="I13" s="42"/>
      <c r="J13" s="42"/>
      <c r="K13" s="42"/>
      <c r="L13" s="42"/>
      <c r="M13" s="42"/>
      <c r="N13" s="42"/>
      <c r="O13" s="42"/>
      <c r="P13" s="42"/>
      <c r="Q13" s="43"/>
    </row>
    <row r="15" spans="1:17" x14ac:dyDescent="0.25">
      <c r="A15" s="12" t="s">
        <v>184</v>
      </c>
      <c r="B15" s="21" t="s">
        <v>153</v>
      </c>
      <c r="I15" s="19"/>
    </row>
    <row r="16" spans="1:17" x14ac:dyDescent="0.25">
      <c r="A16" s="12" t="s">
        <v>185</v>
      </c>
      <c r="B16" s="23">
        <v>2019</v>
      </c>
    </row>
    <row r="19" spans="1:6" x14ac:dyDescent="0.25">
      <c r="A19" s="13" t="s">
        <v>44</v>
      </c>
      <c r="B19" s="13" t="s">
        <v>14</v>
      </c>
      <c r="C19" s="13" t="s">
        <v>15</v>
      </c>
      <c r="D19" s="13" t="s">
        <v>45</v>
      </c>
      <c r="E19" s="13" t="s">
        <v>8</v>
      </c>
    </row>
    <row r="20" spans="1:6" x14ac:dyDescent="0.25">
      <c r="A20" s="29">
        <f>DATE($B$16,VLOOKUP(B15,Auxiliar!$A$1:$B$12,2,0),1)</f>
        <v>43466</v>
      </c>
      <c r="B20" s="14">
        <f>SUMIFS('Fluxo de Caixa'!J:J,'Fluxo de Caixa'!B:B,"Entradas",'Fluxo de Caixa'!H:H,"Pago",'Fluxo de Caixa'!A:A,"&gt;="&amp;Resumo!A20,'Fluxo de Caixa'!A:A,"&lt;="&amp;EOMONTH(Resumo!A20,0))</f>
        <v>26220</v>
      </c>
      <c r="C20" s="14">
        <f>-SUMIFS('Fluxo de Caixa'!J:J,'Fluxo de Caixa'!B:B,"Saídas",'Fluxo de Caixa'!H:H,"Pago",'Fluxo de Caixa'!A:A,"&gt;="&amp;Resumo!A20,'Fluxo de Caixa'!A:A,"&lt;="&amp;EOMONTH(Resumo!A20,0))</f>
        <v>-3109</v>
      </c>
      <c r="D20" s="15">
        <f>+B20+C20</f>
        <v>23111</v>
      </c>
      <c r="E20" s="15">
        <f>+D20</f>
        <v>23111</v>
      </c>
      <c r="F20" s="10"/>
    </row>
    <row r="21" spans="1:6" x14ac:dyDescent="0.25">
      <c r="A21" s="30">
        <f>DATE(YEAR(A20),MONTH(A20)+1,1)</f>
        <v>43497</v>
      </c>
      <c r="B21" s="14">
        <f>SUMIFS('Fluxo de Caixa'!J:J,'Fluxo de Caixa'!B:B,"Entradas",'Fluxo de Caixa'!H:H,"Pago",'Fluxo de Caixa'!A:A,"&gt;="&amp;Resumo!A21,'Fluxo de Caixa'!A:A,"&lt;="&amp;EOMONTH(Resumo!A21,0))</f>
        <v>8422</v>
      </c>
      <c r="C21" s="14">
        <f>-SUMIFS('Fluxo de Caixa'!J:J,'Fluxo de Caixa'!B:B,"Saídas",'Fluxo de Caixa'!H:H,"Pago",'Fluxo de Caixa'!A:A,"&gt;="&amp;Resumo!A21,'Fluxo de Caixa'!A:A,"&lt;="&amp;EOMONTH(Resumo!A21,0))</f>
        <v>-9580</v>
      </c>
      <c r="D21" s="15">
        <f t="shared" ref="D21:D79" si="0">+B21+C21</f>
        <v>-1158</v>
      </c>
      <c r="E21" s="15">
        <f>+E20+D21</f>
        <v>21953</v>
      </c>
      <c r="F21" s="10"/>
    </row>
    <row r="22" spans="1:6" x14ac:dyDescent="0.25">
      <c r="A22" s="30">
        <f t="shared" ref="A22:A79" si="1">DATE(YEAR(A21),MONTH(A21)+1,1)</f>
        <v>43525</v>
      </c>
      <c r="B22" s="14">
        <f>SUMIFS('Fluxo de Caixa'!J:J,'Fluxo de Caixa'!B:B,"Entradas",'Fluxo de Caixa'!H:H,"Pago",'Fluxo de Caixa'!A:A,"&gt;="&amp;Resumo!A22,'Fluxo de Caixa'!A:A,"&lt;="&amp;EOMONTH(Resumo!A22,0))</f>
        <v>17979</v>
      </c>
      <c r="C22" s="14">
        <f>-SUMIFS('Fluxo de Caixa'!J:J,'Fluxo de Caixa'!B:B,"Saídas",'Fluxo de Caixa'!H:H,"Pago",'Fluxo de Caixa'!A:A,"&gt;="&amp;Resumo!A22,'Fluxo de Caixa'!A:A,"&lt;="&amp;EOMONTH(Resumo!A22,0))</f>
        <v>-8467</v>
      </c>
      <c r="D22" s="15">
        <f t="shared" si="0"/>
        <v>9512</v>
      </c>
      <c r="E22" s="15">
        <f t="shared" ref="E22:E79" si="2">+E21+D22</f>
        <v>31465</v>
      </c>
      <c r="F22" s="10"/>
    </row>
    <row r="23" spans="1:6" x14ac:dyDescent="0.25">
      <c r="A23" s="30">
        <f t="shared" si="1"/>
        <v>43556</v>
      </c>
      <c r="B23" s="14">
        <f>SUMIFS('Fluxo de Caixa'!J:J,'Fluxo de Caixa'!B:B,"Entradas",'Fluxo de Caixa'!H:H,"Pago",'Fluxo de Caixa'!A:A,"&gt;="&amp;Resumo!A23,'Fluxo de Caixa'!A:A,"&lt;="&amp;EOMONTH(Resumo!A23,0))</f>
        <v>21232</v>
      </c>
      <c r="C23" s="14">
        <f>-SUMIFS('Fluxo de Caixa'!J:J,'Fluxo de Caixa'!B:B,"Saídas",'Fluxo de Caixa'!H:H,"Pago",'Fluxo de Caixa'!A:A,"&gt;="&amp;Resumo!A23,'Fluxo de Caixa'!A:A,"&lt;="&amp;EOMONTH(Resumo!A23,0))</f>
        <v>-17037</v>
      </c>
      <c r="D23" s="15">
        <f t="shared" si="0"/>
        <v>4195</v>
      </c>
      <c r="E23" s="15">
        <f t="shared" si="2"/>
        <v>35660</v>
      </c>
      <c r="F23" s="10"/>
    </row>
    <row r="24" spans="1:6" x14ac:dyDescent="0.25">
      <c r="A24" s="30">
        <f t="shared" si="1"/>
        <v>43586</v>
      </c>
      <c r="B24" s="14">
        <f>SUMIFS('Fluxo de Caixa'!J:J,'Fluxo de Caixa'!B:B,"Entradas",'Fluxo de Caixa'!H:H,"Pago",'Fluxo de Caixa'!A:A,"&gt;="&amp;Resumo!A24,'Fluxo de Caixa'!A:A,"&lt;="&amp;EOMONTH(Resumo!A24,0))</f>
        <v>2019</v>
      </c>
      <c r="C24" s="14">
        <f>-SUMIFS('Fluxo de Caixa'!J:J,'Fluxo de Caixa'!B:B,"Saídas",'Fluxo de Caixa'!H:H,"Pago",'Fluxo de Caixa'!A:A,"&gt;="&amp;Resumo!A24,'Fluxo de Caixa'!A:A,"&lt;="&amp;EOMONTH(Resumo!A24,0))</f>
        <v>-5293</v>
      </c>
      <c r="D24" s="15">
        <f t="shared" si="0"/>
        <v>-3274</v>
      </c>
      <c r="E24" s="15">
        <f t="shared" si="2"/>
        <v>32386</v>
      </c>
      <c r="F24" s="10"/>
    </row>
    <row r="25" spans="1:6" x14ac:dyDescent="0.25">
      <c r="A25" s="30">
        <f t="shared" si="1"/>
        <v>43617</v>
      </c>
      <c r="B25" s="14">
        <f>SUMIFS('Fluxo de Caixa'!J:J,'Fluxo de Caixa'!B:B,"Entradas",'Fluxo de Caixa'!H:H,"Pago",'Fluxo de Caixa'!A:A,"&gt;="&amp;Resumo!A25,'Fluxo de Caixa'!A:A,"&lt;="&amp;EOMONTH(Resumo!A25,0))</f>
        <v>17243</v>
      </c>
      <c r="C25" s="14">
        <f>-SUMIFS('Fluxo de Caixa'!J:J,'Fluxo de Caixa'!B:B,"Saídas",'Fluxo de Caixa'!H:H,"Pago",'Fluxo de Caixa'!A:A,"&gt;="&amp;Resumo!A25,'Fluxo de Caixa'!A:A,"&lt;="&amp;EOMONTH(Resumo!A25,0))</f>
        <v>-9324</v>
      </c>
      <c r="D25" s="15">
        <f t="shared" si="0"/>
        <v>7919</v>
      </c>
      <c r="E25" s="15">
        <f t="shared" si="2"/>
        <v>40305</v>
      </c>
      <c r="F25" s="10"/>
    </row>
    <row r="26" spans="1:6" x14ac:dyDescent="0.25">
      <c r="A26" s="30">
        <f t="shared" si="1"/>
        <v>43647</v>
      </c>
      <c r="B26" s="14">
        <f>SUMIFS('Fluxo de Caixa'!J:J,'Fluxo de Caixa'!B:B,"Entradas",'Fluxo de Caixa'!H:H,"Pago",'Fluxo de Caixa'!A:A,"&gt;="&amp;Resumo!A26,'Fluxo de Caixa'!A:A,"&lt;="&amp;EOMONTH(Resumo!A26,0))</f>
        <v>28495</v>
      </c>
      <c r="C26" s="14">
        <f>-SUMIFS('Fluxo de Caixa'!J:J,'Fluxo de Caixa'!B:B,"Saídas",'Fluxo de Caixa'!H:H,"Pago",'Fluxo de Caixa'!A:A,"&gt;="&amp;Resumo!A26,'Fluxo de Caixa'!A:A,"&lt;="&amp;EOMONTH(Resumo!A26,0))</f>
        <v>-269</v>
      </c>
      <c r="D26" s="15">
        <f t="shared" si="0"/>
        <v>28226</v>
      </c>
      <c r="E26" s="15">
        <f t="shared" si="2"/>
        <v>68531</v>
      </c>
    </row>
    <row r="27" spans="1:6" x14ac:dyDescent="0.25">
      <c r="A27" s="30">
        <f t="shared" si="1"/>
        <v>43678</v>
      </c>
      <c r="B27" s="14">
        <f>SUMIFS('Fluxo de Caixa'!J:J,'Fluxo de Caixa'!B:B,"Entradas",'Fluxo de Caixa'!H:H,"Pago",'Fluxo de Caixa'!A:A,"&gt;="&amp;Resumo!A27,'Fluxo de Caixa'!A:A,"&lt;="&amp;EOMONTH(Resumo!A27,0))</f>
        <v>18778</v>
      </c>
      <c r="C27" s="14">
        <f>-SUMIFS('Fluxo de Caixa'!J:J,'Fluxo de Caixa'!B:B,"Saídas",'Fluxo de Caixa'!H:H,"Pago",'Fluxo de Caixa'!A:A,"&gt;="&amp;Resumo!A27,'Fluxo de Caixa'!A:A,"&lt;="&amp;EOMONTH(Resumo!A27,0))</f>
        <v>-26457</v>
      </c>
      <c r="D27" s="15">
        <f t="shared" si="0"/>
        <v>-7679</v>
      </c>
      <c r="E27" s="15">
        <f t="shared" si="2"/>
        <v>60852</v>
      </c>
    </row>
    <row r="28" spans="1:6" x14ac:dyDescent="0.25">
      <c r="A28" s="30">
        <f t="shared" si="1"/>
        <v>43709</v>
      </c>
      <c r="B28" s="14">
        <f>SUMIFS('Fluxo de Caixa'!J:J,'Fluxo de Caixa'!B:B,"Entradas",'Fluxo de Caixa'!H:H,"Pago",'Fluxo de Caixa'!A:A,"&gt;="&amp;Resumo!A28,'Fluxo de Caixa'!A:A,"&lt;="&amp;EOMONTH(Resumo!A28,0))</f>
        <v>34128</v>
      </c>
      <c r="C28" s="14">
        <f>-SUMIFS('Fluxo de Caixa'!J:J,'Fluxo de Caixa'!B:B,"Saídas",'Fluxo de Caixa'!H:H,"Pago",'Fluxo de Caixa'!A:A,"&gt;="&amp;Resumo!A28,'Fluxo de Caixa'!A:A,"&lt;="&amp;EOMONTH(Resumo!A28,0))</f>
        <v>-21099</v>
      </c>
      <c r="D28" s="15">
        <f t="shared" si="0"/>
        <v>13029</v>
      </c>
      <c r="E28" s="15">
        <f t="shared" si="2"/>
        <v>73881</v>
      </c>
    </row>
    <row r="29" spans="1:6" x14ac:dyDescent="0.25">
      <c r="A29" s="30">
        <f t="shared" si="1"/>
        <v>43739</v>
      </c>
      <c r="B29" s="14">
        <f>SUMIFS('Fluxo de Caixa'!J:J,'Fluxo de Caixa'!B:B,"Entradas",'Fluxo de Caixa'!H:H,"Pago",'Fluxo de Caixa'!A:A,"&gt;="&amp;Resumo!A29,'Fluxo de Caixa'!A:A,"&lt;="&amp;EOMONTH(Resumo!A29,0))</f>
        <v>20750</v>
      </c>
      <c r="C29" s="14">
        <f>-SUMIFS('Fluxo de Caixa'!J:J,'Fluxo de Caixa'!B:B,"Saídas",'Fluxo de Caixa'!H:H,"Pago",'Fluxo de Caixa'!A:A,"&gt;="&amp;Resumo!A29,'Fluxo de Caixa'!A:A,"&lt;="&amp;EOMONTH(Resumo!A29,0))</f>
        <v>-13108</v>
      </c>
      <c r="D29" s="15">
        <f t="shared" si="0"/>
        <v>7642</v>
      </c>
      <c r="E29" s="15">
        <f t="shared" si="2"/>
        <v>81523</v>
      </c>
    </row>
    <row r="30" spans="1:6" x14ac:dyDescent="0.25">
      <c r="A30" s="30">
        <f t="shared" si="1"/>
        <v>43770</v>
      </c>
      <c r="B30" s="14">
        <f>SUMIFS('Fluxo de Caixa'!J:J,'Fluxo de Caixa'!B:B,"Entradas",'Fluxo de Caixa'!H:H,"Pago",'Fluxo de Caixa'!A:A,"&gt;="&amp;Resumo!A30,'Fluxo de Caixa'!A:A,"&lt;="&amp;EOMONTH(Resumo!A30,0))</f>
        <v>21926</v>
      </c>
      <c r="C30" s="14">
        <f>-SUMIFS('Fluxo de Caixa'!J:J,'Fluxo de Caixa'!B:B,"Saídas",'Fluxo de Caixa'!H:H,"Pago",'Fluxo de Caixa'!A:A,"&gt;="&amp;Resumo!A30,'Fluxo de Caixa'!A:A,"&lt;="&amp;EOMONTH(Resumo!A30,0))</f>
        <v>-6941</v>
      </c>
      <c r="D30" s="15">
        <f t="shared" si="0"/>
        <v>14985</v>
      </c>
      <c r="E30" s="15">
        <f t="shared" si="2"/>
        <v>96508</v>
      </c>
    </row>
    <row r="31" spans="1:6" x14ac:dyDescent="0.25">
      <c r="A31" s="30">
        <f t="shared" si="1"/>
        <v>43800</v>
      </c>
      <c r="B31" s="14">
        <f>SUMIFS('Fluxo de Caixa'!J:J,'Fluxo de Caixa'!B:B,"Entradas",'Fluxo de Caixa'!H:H,"Pago",'Fluxo de Caixa'!A:A,"&gt;="&amp;Resumo!A31,'Fluxo de Caixa'!A:A,"&lt;="&amp;EOMONTH(Resumo!A31,0))</f>
        <v>25581</v>
      </c>
      <c r="C31" s="14">
        <f>-SUMIFS('Fluxo de Caixa'!J:J,'Fluxo de Caixa'!B:B,"Saídas",'Fluxo de Caixa'!H:H,"Pago",'Fluxo de Caixa'!A:A,"&gt;="&amp;Resumo!A31,'Fluxo de Caixa'!A:A,"&lt;="&amp;EOMONTH(Resumo!A31,0))</f>
        <v>-17104</v>
      </c>
      <c r="D31" s="15">
        <f t="shared" si="0"/>
        <v>8477</v>
      </c>
      <c r="E31" s="15">
        <f t="shared" si="2"/>
        <v>104985</v>
      </c>
    </row>
    <row r="32" spans="1:6" x14ac:dyDescent="0.25">
      <c r="A32" s="30">
        <f t="shared" si="1"/>
        <v>43831</v>
      </c>
      <c r="B32" s="14">
        <f>SUMIFS('Fluxo de Caixa'!J:J,'Fluxo de Caixa'!B:B,"Entradas",'Fluxo de Caixa'!H:H,"Pago",'Fluxo de Caixa'!A:A,"&gt;="&amp;Resumo!A32,'Fluxo de Caixa'!A:A,"&lt;="&amp;EOMONTH(Resumo!A32,0))</f>
        <v>11212</v>
      </c>
      <c r="C32" s="14">
        <f>-SUMIFS('Fluxo de Caixa'!J:J,'Fluxo de Caixa'!B:B,"Saídas",'Fluxo de Caixa'!H:H,"Pago",'Fluxo de Caixa'!A:A,"&gt;="&amp;Resumo!A32,'Fluxo de Caixa'!A:A,"&lt;="&amp;EOMONTH(Resumo!A32,0))</f>
        <v>-18329</v>
      </c>
      <c r="D32" s="15">
        <f t="shared" si="0"/>
        <v>-7117</v>
      </c>
      <c r="E32" s="15">
        <f t="shared" si="2"/>
        <v>97868</v>
      </c>
    </row>
    <row r="33" spans="1:18" x14ac:dyDescent="0.25">
      <c r="A33" s="30">
        <f t="shared" si="1"/>
        <v>43862</v>
      </c>
      <c r="B33" s="14">
        <f>SUMIFS('Fluxo de Caixa'!J:J,'Fluxo de Caixa'!B:B,"Entradas",'Fluxo de Caixa'!H:H,"Pago",'Fluxo de Caixa'!A:A,"&gt;="&amp;Resumo!A33,'Fluxo de Caixa'!A:A,"&lt;="&amp;EOMONTH(Resumo!A33,0))</f>
        <v>28680</v>
      </c>
      <c r="C33" s="14">
        <f>-SUMIFS('Fluxo de Caixa'!J:J,'Fluxo de Caixa'!B:B,"Saídas",'Fluxo de Caixa'!H:H,"Pago",'Fluxo de Caixa'!A:A,"&gt;="&amp;Resumo!A33,'Fluxo de Caixa'!A:A,"&lt;="&amp;EOMONTH(Resumo!A33,0))</f>
        <v>-14682</v>
      </c>
      <c r="D33" s="15">
        <f t="shared" si="0"/>
        <v>13998</v>
      </c>
      <c r="E33" s="15">
        <f t="shared" si="2"/>
        <v>111866</v>
      </c>
    </row>
    <row r="34" spans="1:18" x14ac:dyDescent="0.25">
      <c r="A34" s="30">
        <f t="shared" si="1"/>
        <v>43891</v>
      </c>
      <c r="B34" s="14">
        <f>SUMIFS('Fluxo de Caixa'!J:J,'Fluxo de Caixa'!B:B,"Entradas",'Fluxo de Caixa'!H:H,"Pago",'Fluxo de Caixa'!A:A,"&gt;="&amp;Resumo!A34,'Fluxo de Caixa'!A:A,"&lt;="&amp;EOMONTH(Resumo!A34,0))</f>
        <v>18200</v>
      </c>
      <c r="C34" s="14">
        <f>-SUMIFS('Fluxo de Caixa'!J:J,'Fluxo de Caixa'!B:B,"Saídas",'Fluxo de Caixa'!H:H,"Pago",'Fluxo de Caixa'!A:A,"&gt;="&amp;Resumo!A34,'Fluxo de Caixa'!A:A,"&lt;="&amp;EOMONTH(Resumo!A34,0))</f>
        <v>-11900</v>
      </c>
      <c r="D34" s="15">
        <f t="shared" si="0"/>
        <v>6300</v>
      </c>
      <c r="E34" s="15">
        <f t="shared" si="2"/>
        <v>118166</v>
      </c>
    </row>
    <row r="35" spans="1:18" x14ac:dyDescent="0.25">
      <c r="A35" s="30">
        <f t="shared" si="1"/>
        <v>43922</v>
      </c>
      <c r="B35" s="14">
        <f>SUMIFS('Fluxo de Caixa'!J:J,'Fluxo de Caixa'!B:B,"Entradas",'Fluxo de Caixa'!H:H,"Pago",'Fluxo de Caixa'!A:A,"&gt;="&amp;Resumo!A35,'Fluxo de Caixa'!A:A,"&lt;="&amp;EOMONTH(Resumo!A35,0))</f>
        <v>20491</v>
      </c>
      <c r="C35" s="14">
        <f>-SUMIFS('Fluxo de Caixa'!J:J,'Fluxo de Caixa'!B:B,"Saídas",'Fluxo de Caixa'!H:H,"Pago",'Fluxo de Caixa'!A:A,"&gt;="&amp;Resumo!A35,'Fluxo de Caixa'!A:A,"&lt;="&amp;EOMONTH(Resumo!A35,0))</f>
        <v>-9464</v>
      </c>
      <c r="D35" s="15">
        <f t="shared" si="0"/>
        <v>11027</v>
      </c>
      <c r="E35" s="15">
        <f t="shared" si="2"/>
        <v>129193</v>
      </c>
    </row>
    <row r="36" spans="1:18" x14ac:dyDescent="0.25">
      <c r="A36" s="30">
        <f t="shared" si="1"/>
        <v>43952</v>
      </c>
      <c r="B36" s="14">
        <f>SUMIFS('Fluxo de Caixa'!J:J,'Fluxo de Caixa'!B:B,"Entradas",'Fluxo de Caixa'!H:H,"Pago",'Fluxo de Caixa'!A:A,"&gt;="&amp;Resumo!A36,'Fluxo de Caixa'!A:A,"&lt;="&amp;EOMONTH(Resumo!A36,0))</f>
        <v>16859</v>
      </c>
      <c r="C36" s="14">
        <f>-SUMIFS('Fluxo de Caixa'!J:J,'Fluxo de Caixa'!B:B,"Saídas",'Fluxo de Caixa'!H:H,"Pago",'Fluxo de Caixa'!A:A,"&gt;="&amp;Resumo!A36,'Fluxo de Caixa'!A:A,"&lt;="&amp;EOMONTH(Resumo!A36,0))</f>
        <v>-13945</v>
      </c>
      <c r="D36" s="15">
        <f t="shared" si="0"/>
        <v>2914</v>
      </c>
      <c r="E36" s="15">
        <f t="shared" si="2"/>
        <v>132107</v>
      </c>
    </row>
    <row r="37" spans="1:18" x14ac:dyDescent="0.25">
      <c r="A37" s="30">
        <f t="shared" si="1"/>
        <v>43983</v>
      </c>
      <c r="B37" s="14">
        <f>SUMIFS('Fluxo de Caixa'!J:J,'Fluxo de Caixa'!B:B,"Entradas",'Fluxo de Caixa'!H:H,"Pago",'Fluxo de Caixa'!A:A,"&gt;="&amp;Resumo!A37,'Fluxo de Caixa'!A:A,"&lt;="&amp;EOMONTH(Resumo!A37,0))</f>
        <v>18115</v>
      </c>
      <c r="C37" s="14">
        <f>-SUMIFS('Fluxo de Caixa'!J:J,'Fluxo de Caixa'!B:B,"Saídas",'Fluxo de Caixa'!H:H,"Pago",'Fluxo de Caixa'!A:A,"&gt;="&amp;Resumo!A37,'Fluxo de Caixa'!A:A,"&lt;="&amp;EOMONTH(Resumo!A37,0))</f>
        <v>-873</v>
      </c>
      <c r="D37" s="15">
        <f t="shared" si="0"/>
        <v>17242</v>
      </c>
      <c r="E37" s="15">
        <f t="shared" si="2"/>
        <v>149349</v>
      </c>
    </row>
    <row r="38" spans="1:18" x14ac:dyDescent="0.25">
      <c r="A38" s="30">
        <f t="shared" si="1"/>
        <v>44013</v>
      </c>
      <c r="B38" s="14">
        <f>SUMIFS('Fluxo de Caixa'!J:J,'Fluxo de Caixa'!B:B,"Entradas",'Fluxo de Caixa'!H:H,"Pago",'Fluxo de Caixa'!A:A,"&gt;="&amp;Resumo!A38,'Fluxo de Caixa'!A:A,"&lt;="&amp;EOMONTH(Resumo!A38,0))</f>
        <v>0</v>
      </c>
      <c r="C38" s="14">
        <f>-SUMIFS('Fluxo de Caixa'!J:J,'Fluxo de Caixa'!B:B,"Saídas",'Fluxo de Caixa'!H:H,"Pago",'Fluxo de Caixa'!A:A,"&gt;="&amp;Resumo!A38,'Fluxo de Caixa'!A:A,"&lt;="&amp;EOMONTH(Resumo!A38,0))</f>
        <v>0</v>
      </c>
      <c r="D38" s="15">
        <f t="shared" si="0"/>
        <v>0</v>
      </c>
      <c r="E38" s="15">
        <f t="shared" si="2"/>
        <v>149349</v>
      </c>
    </row>
    <row r="39" spans="1:18" x14ac:dyDescent="0.25">
      <c r="A39" s="30">
        <f t="shared" si="1"/>
        <v>44044</v>
      </c>
      <c r="B39" s="14">
        <f>SUMIFS('Fluxo de Caixa'!J:J,'Fluxo de Caixa'!B:B,"Entradas",'Fluxo de Caixa'!H:H,"Pago",'Fluxo de Caixa'!A:A,"&gt;="&amp;Resumo!A39,'Fluxo de Caixa'!A:A,"&lt;="&amp;EOMONTH(Resumo!A39,0))</f>
        <v>0</v>
      </c>
      <c r="C39" s="14">
        <f>-SUMIFS('Fluxo de Caixa'!J:J,'Fluxo de Caixa'!B:B,"Saídas",'Fluxo de Caixa'!H:H,"Pago",'Fluxo de Caixa'!A:A,"&gt;="&amp;Resumo!A39,'Fluxo de Caixa'!A:A,"&lt;="&amp;EOMONTH(Resumo!A39,0))</f>
        <v>0</v>
      </c>
      <c r="D39" s="15">
        <f t="shared" si="0"/>
        <v>0</v>
      </c>
      <c r="E39" s="15">
        <f t="shared" si="2"/>
        <v>149349</v>
      </c>
    </row>
    <row r="40" spans="1:18" x14ac:dyDescent="0.25">
      <c r="A40" s="30">
        <f t="shared" si="1"/>
        <v>44075</v>
      </c>
      <c r="B40" s="14">
        <f>SUMIFS('Fluxo de Caixa'!J:J,'Fluxo de Caixa'!B:B,"Entradas",'Fluxo de Caixa'!H:H,"Pago",'Fluxo de Caixa'!A:A,"&gt;="&amp;Resumo!A40,'Fluxo de Caixa'!A:A,"&lt;="&amp;EOMONTH(Resumo!A40,0))</f>
        <v>0</v>
      </c>
      <c r="C40" s="14">
        <f>-SUMIFS('Fluxo de Caixa'!J:J,'Fluxo de Caixa'!B:B,"Saídas",'Fluxo de Caixa'!H:H,"Pago",'Fluxo de Caixa'!A:A,"&gt;="&amp;Resumo!A40,'Fluxo de Caixa'!A:A,"&lt;="&amp;EOMONTH(Resumo!A40,0))</f>
        <v>0</v>
      </c>
      <c r="D40" s="15">
        <f t="shared" si="0"/>
        <v>0</v>
      </c>
      <c r="E40" s="15">
        <f t="shared" si="2"/>
        <v>149349</v>
      </c>
    </row>
    <row r="41" spans="1:18" x14ac:dyDescent="0.25">
      <c r="A41" s="30">
        <f t="shared" si="1"/>
        <v>44105</v>
      </c>
      <c r="B41" s="14">
        <f>SUMIFS('Fluxo de Caixa'!J:J,'Fluxo de Caixa'!B:B,"Entradas",'Fluxo de Caixa'!H:H,"Pago",'Fluxo de Caixa'!A:A,"&gt;="&amp;Resumo!A41,'Fluxo de Caixa'!A:A,"&lt;="&amp;EOMONTH(Resumo!A41,0))</f>
        <v>0</v>
      </c>
      <c r="C41" s="14">
        <f>-SUMIFS('Fluxo de Caixa'!J:J,'Fluxo de Caixa'!B:B,"Saídas",'Fluxo de Caixa'!H:H,"Pago",'Fluxo de Caixa'!A:A,"&gt;="&amp;Resumo!A41,'Fluxo de Caixa'!A:A,"&lt;="&amp;EOMONTH(Resumo!A41,0))</f>
        <v>0</v>
      </c>
      <c r="D41" s="15">
        <f t="shared" si="0"/>
        <v>0</v>
      </c>
      <c r="E41" s="15">
        <f t="shared" si="2"/>
        <v>149349</v>
      </c>
    </row>
    <row r="42" spans="1:18" x14ac:dyDescent="0.25">
      <c r="A42" s="30">
        <f t="shared" si="1"/>
        <v>44136</v>
      </c>
      <c r="B42" s="14">
        <f>SUMIFS('Fluxo de Caixa'!J:J,'Fluxo de Caixa'!B:B,"Entradas",'Fluxo de Caixa'!H:H,"Pago",'Fluxo de Caixa'!A:A,"&gt;="&amp;Resumo!A42,'Fluxo de Caixa'!A:A,"&lt;="&amp;EOMONTH(Resumo!A42,0))</f>
        <v>0</v>
      </c>
      <c r="C42" s="14">
        <f>-SUMIFS('Fluxo de Caixa'!J:J,'Fluxo de Caixa'!B:B,"Saídas",'Fluxo de Caixa'!H:H,"Pago",'Fluxo de Caixa'!A:A,"&gt;="&amp;Resumo!A42,'Fluxo de Caixa'!A:A,"&lt;="&amp;EOMONTH(Resumo!A42,0))</f>
        <v>0</v>
      </c>
      <c r="D42" s="15">
        <f t="shared" si="0"/>
        <v>0</v>
      </c>
      <c r="E42" s="15">
        <f t="shared" si="2"/>
        <v>149349</v>
      </c>
    </row>
    <row r="43" spans="1:18" x14ac:dyDescent="0.25">
      <c r="A43" s="30">
        <f t="shared" si="1"/>
        <v>44166</v>
      </c>
      <c r="B43" s="14">
        <f>SUMIFS('Fluxo de Caixa'!J:J,'Fluxo de Caixa'!B:B,"Entradas",'Fluxo de Caixa'!H:H,"Pago",'Fluxo de Caixa'!A:A,"&gt;="&amp;Resumo!A43,'Fluxo de Caixa'!A:A,"&lt;="&amp;EOMONTH(Resumo!A43,0))</f>
        <v>0</v>
      </c>
      <c r="C43" s="14">
        <f>-SUMIFS('Fluxo de Caixa'!J:J,'Fluxo de Caixa'!B:B,"Saídas",'Fluxo de Caixa'!H:H,"Pago",'Fluxo de Caixa'!A:A,"&gt;="&amp;Resumo!A43,'Fluxo de Caixa'!A:A,"&lt;="&amp;EOMONTH(Resumo!A43,0))</f>
        <v>0</v>
      </c>
      <c r="D43" s="15">
        <f t="shared" si="0"/>
        <v>0</v>
      </c>
      <c r="E43" s="15">
        <f t="shared" si="2"/>
        <v>149349</v>
      </c>
    </row>
    <row r="44" spans="1:18" x14ac:dyDescent="0.25">
      <c r="A44" s="30">
        <f t="shared" si="1"/>
        <v>44197</v>
      </c>
      <c r="B44" s="14">
        <f>SUMIFS('Fluxo de Caixa'!J:J,'Fluxo de Caixa'!B:B,"Entradas",'Fluxo de Caixa'!H:H,"Pago",'Fluxo de Caixa'!A:A,"&gt;="&amp;Resumo!A44,'Fluxo de Caixa'!A:A,"&lt;="&amp;EOMONTH(Resumo!A44,0))</f>
        <v>0</v>
      </c>
      <c r="C44" s="14">
        <f>-SUMIFS('Fluxo de Caixa'!J:J,'Fluxo de Caixa'!B:B,"Saídas",'Fluxo de Caixa'!H:H,"Pago",'Fluxo de Caixa'!A:A,"&gt;="&amp;Resumo!A44,'Fluxo de Caixa'!A:A,"&lt;="&amp;EOMONTH(Resumo!A44,0))</f>
        <v>0</v>
      </c>
      <c r="D44" s="15">
        <f t="shared" si="0"/>
        <v>0</v>
      </c>
      <c r="E44" s="15">
        <f t="shared" si="2"/>
        <v>149349</v>
      </c>
    </row>
    <row r="45" spans="1:18" x14ac:dyDescent="0.25">
      <c r="A45" s="30">
        <f t="shared" si="1"/>
        <v>44228</v>
      </c>
      <c r="B45" s="14">
        <f>SUMIFS('Fluxo de Caixa'!J:J,'Fluxo de Caixa'!B:B,"Entradas",'Fluxo de Caixa'!H:H,"Pago",'Fluxo de Caixa'!A:A,"&gt;="&amp;Resumo!A45,'Fluxo de Caixa'!A:A,"&lt;="&amp;EOMONTH(Resumo!A45,0))</f>
        <v>0</v>
      </c>
      <c r="C45" s="14">
        <f>-SUMIFS('Fluxo de Caixa'!J:J,'Fluxo de Caixa'!B:B,"Saídas",'Fluxo de Caixa'!H:H,"Pago",'Fluxo de Caixa'!A:A,"&gt;="&amp;Resumo!A45,'Fluxo de Caixa'!A:A,"&lt;="&amp;EOMONTH(Resumo!A45,0))</f>
        <v>0</v>
      </c>
      <c r="D45" s="15">
        <f t="shared" si="0"/>
        <v>0</v>
      </c>
      <c r="E45" s="15">
        <f t="shared" si="2"/>
        <v>149349</v>
      </c>
      <c r="I45" s="18"/>
    </row>
    <row r="46" spans="1:18" x14ac:dyDescent="0.25">
      <c r="A46" s="30">
        <f t="shared" si="1"/>
        <v>44256</v>
      </c>
      <c r="B46" s="14">
        <f>SUMIFS('Fluxo de Caixa'!J:J,'Fluxo de Caixa'!B:B,"Entradas",'Fluxo de Caixa'!H:H,"Pago",'Fluxo de Caixa'!A:A,"&gt;="&amp;Resumo!A46,'Fluxo de Caixa'!A:A,"&lt;="&amp;EOMONTH(Resumo!A46,0))</f>
        <v>0</v>
      </c>
      <c r="C46" s="14">
        <f>-SUMIFS('Fluxo de Caixa'!J:J,'Fluxo de Caixa'!B:B,"Saídas",'Fluxo de Caixa'!H:H,"Pago",'Fluxo de Caixa'!A:A,"&gt;="&amp;Resumo!A46,'Fluxo de Caixa'!A:A,"&lt;="&amp;EOMONTH(Resumo!A46,0))</f>
        <v>0</v>
      </c>
      <c r="D46" s="15">
        <f t="shared" si="0"/>
        <v>0</v>
      </c>
      <c r="E46" s="15">
        <f t="shared" si="2"/>
        <v>149349</v>
      </c>
      <c r="I46" s="18"/>
    </row>
    <row r="47" spans="1:18" x14ac:dyDescent="0.25">
      <c r="A47" s="30">
        <f t="shared" si="1"/>
        <v>44287</v>
      </c>
      <c r="B47" s="14">
        <f>SUMIFS('Fluxo de Caixa'!J:J,'Fluxo de Caixa'!B:B,"Entradas",'Fluxo de Caixa'!H:H,"Pago",'Fluxo de Caixa'!A:A,"&gt;="&amp;Resumo!A47,'Fluxo de Caixa'!A:A,"&lt;="&amp;EOMONTH(Resumo!A47,0))</f>
        <v>0</v>
      </c>
      <c r="C47" s="14">
        <f>-SUMIFS('Fluxo de Caixa'!J:J,'Fluxo de Caixa'!B:B,"Saídas",'Fluxo de Caixa'!H:H,"Pago",'Fluxo de Caixa'!A:A,"&gt;="&amp;Resumo!A47,'Fluxo de Caixa'!A:A,"&lt;="&amp;EOMONTH(Resumo!A47,0))</f>
        <v>0</v>
      </c>
      <c r="D47" s="15">
        <f t="shared" si="0"/>
        <v>0</v>
      </c>
      <c r="E47" s="15">
        <f t="shared" si="2"/>
        <v>149349</v>
      </c>
      <c r="I47" s="18"/>
    </row>
    <row r="48" spans="1:18" x14ac:dyDescent="0.25">
      <c r="A48" s="30">
        <f t="shared" si="1"/>
        <v>44317</v>
      </c>
      <c r="B48" s="14">
        <f>SUMIFS('Fluxo de Caixa'!J:J,'Fluxo de Caixa'!B:B,"Entradas",'Fluxo de Caixa'!H:H,"Pago",'Fluxo de Caixa'!A:A,"&gt;="&amp;Resumo!A48,'Fluxo de Caixa'!A:A,"&lt;="&amp;EOMONTH(Resumo!A48,0))</f>
        <v>0</v>
      </c>
      <c r="C48" s="14">
        <f>-SUMIFS('Fluxo de Caixa'!J:J,'Fluxo de Caixa'!B:B,"Saídas",'Fluxo de Caixa'!H:H,"Pago",'Fluxo de Caixa'!A:A,"&gt;="&amp;Resumo!A48,'Fluxo de Caixa'!A:A,"&lt;="&amp;EOMONTH(Resumo!A48,0))</f>
        <v>0</v>
      </c>
      <c r="D48" s="15">
        <f t="shared" si="0"/>
        <v>0</v>
      </c>
      <c r="E48" s="15">
        <f t="shared" si="2"/>
        <v>149349</v>
      </c>
      <c r="I48" s="18"/>
      <c r="Q48" s="1"/>
      <c r="R48" s="11"/>
    </row>
    <row r="49" spans="1:18" x14ac:dyDescent="0.25">
      <c r="A49" s="30">
        <f t="shared" si="1"/>
        <v>44348</v>
      </c>
      <c r="B49" s="14">
        <f>SUMIFS('Fluxo de Caixa'!J:J,'Fluxo de Caixa'!B:B,"Entradas",'Fluxo de Caixa'!H:H,"Pago",'Fluxo de Caixa'!A:A,"&gt;="&amp;Resumo!A49,'Fluxo de Caixa'!A:A,"&lt;="&amp;EOMONTH(Resumo!A49,0))</f>
        <v>0</v>
      </c>
      <c r="C49" s="14">
        <f>-SUMIFS('Fluxo de Caixa'!J:J,'Fluxo de Caixa'!B:B,"Saídas",'Fluxo de Caixa'!H:H,"Pago",'Fluxo de Caixa'!A:A,"&gt;="&amp;Resumo!A49,'Fluxo de Caixa'!A:A,"&lt;="&amp;EOMONTH(Resumo!A49,0))</f>
        <v>0</v>
      </c>
      <c r="D49" s="15">
        <f t="shared" si="0"/>
        <v>0</v>
      </c>
      <c r="E49" s="15">
        <f t="shared" si="2"/>
        <v>149349</v>
      </c>
      <c r="I49" s="18"/>
      <c r="Q49" s="1"/>
      <c r="R49" s="11"/>
    </row>
    <row r="50" spans="1:18" x14ac:dyDescent="0.25">
      <c r="A50" s="30">
        <f t="shared" si="1"/>
        <v>44378</v>
      </c>
      <c r="B50" s="14">
        <f>SUMIFS('Fluxo de Caixa'!J:J,'Fluxo de Caixa'!B:B,"Entradas",'Fluxo de Caixa'!H:H,"Pago",'Fluxo de Caixa'!A:A,"&gt;="&amp;Resumo!A50,'Fluxo de Caixa'!A:A,"&lt;="&amp;EOMONTH(Resumo!A50,0))</f>
        <v>0</v>
      </c>
      <c r="C50" s="14">
        <f>-SUMIFS('Fluxo de Caixa'!J:J,'Fluxo de Caixa'!B:B,"Saídas",'Fluxo de Caixa'!H:H,"Pago",'Fluxo de Caixa'!A:A,"&gt;="&amp;Resumo!A50,'Fluxo de Caixa'!A:A,"&lt;="&amp;EOMONTH(Resumo!A50,0))</f>
        <v>0</v>
      </c>
      <c r="D50" s="15">
        <f t="shared" si="0"/>
        <v>0</v>
      </c>
      <c r="E50" s="15">
        <f t="shared" si="2"/>
        <v>149349</v>
      </c>
      <c r="I50" s="18"/>
      <c r="M50" s="1"/>
      <c r="Q50" s="1"/>
      <c r="R50" s="11"/>
    </row>
    <row r="51" spans="1:18" x14ac:dyDescent="0.25">
      <c r="A51" s="30">
        <f t="shared" si="1"/>
        <v>44409</v>
      </c>
      <c r="B51" s="14">
        <f>SUMIFS('Fluxo de Caixa'!J:J,'Fluxo de Caixa'!B:B,"Entradas",'Fluxo de Caixa'!H:H,"Pago",'Fluxo de Caixa'!A:A,"&gt;="&amp;Resumo!A51,'Fluxo de Caixa'!A:A,"&lt;="&amp;EOMONTH(Resumo!A51,0))</f>
        <v>0</v>
      </c>
      <c r="C51" s="14">
        <f>-SUMIFS('Fluxo de Caixa'!J:J,'Fluxo de Caixa'!B:B,"Saídas",'Fluxo de Caixa'!H:H,"Pago",'Fluxo de Caixa'!A:A,"&gt;="&amp;Resumo!A51,'Fluxo de Caixa'!A:A,"&lt;="&amp;EOMONTH(Resumo!A51,0))</f>
        <v>0</v>
      </c>
      <c r="D51" s="15">
        <f t="shared" si="0"/>
        <v>0</v>
      </c>
      <c r="E51" s="15">
        <f t="shared" si="2"/>
        <v>149349</v>
      </c>
      <c r="I51" s="18"/>
      <c r="Q51" s="1"/>
      <c r="R51" s="11"/>
    </row>
    <row r="52" spans="1:18" x14ac:dyDescent="0.25">
      <c r="A52" s="30">
        <f t="shared" si="1"/>
        <v>44440</v>
      </c>
      <c r="B52" s="14">
        <f>SUMIFS('Fluxo de Caixa'!J:J,'Fluxo de Caixa'!B:B,"Entradas",'Fluxo de Caixa'!H:H,"Pago",'Fluxo de Caixa'!A:A,"&gt;="&amp;Resumo!A52,'Fluxo de Caixa'!A:A,"&lt;="&amp;EOMONTH(Resumo!A52,0))</f>
        <v>0</v>
      </c>
      <c r="C52" s="14">
        <f>-SUMIFS('Fluxo de Caixa'!J:J,'Fluxo de Caixa'!B:B,"Saídas",'Fluxo de Caixa'!H:H,"Pago",'Fluxo de Caixa'!A:A,"&gt;="&amp;Resumo!A52,'Fluxo de Caixa'!A:A,"&lt;="&amp;EOMONTH(Resumo!A52,0))</f>
        <v>0</v>
      </c>
      <c r="D52" s="15">
        <f t="shared" si="0"/>
        <v>0</v>
      </c>
      <c r="E52" s="15">
        <f t="shared" si="2"/>
        <v>149349</v>
      </c>
      <c r="I52" s="18"/>
      <c r="Q52" s="1"/>
      <c r="R52" s="11"/>
    </row>
    <row r="53" spans="1:18" x14ac:dyDescent="0.25">
      <c r="A53" s="30">
        <f t="shared" si="1"/>
        <v>44470</v>
      </c>
      <c r="B53" s="14">
        <f>SUMIFS('Fluxo de Caixa'!J:J,'Fluxo de Caixa'!B:B,"Entradas",'Fluxo de Caixa'!H:H,"Pago",'Fluxo de Caixa'!A:A,"&gt;="&amp;Resumo!A53,'Fluxo de Caixa'!A:A,"&lt;="&amp;EOMONTH(Resumo!A53,0))</f>
        <v>0</v>
      </c>
      <c r="C53" s="14">
        <f>-SUMIFS('Fluxo de Caixa'!J:J,'Fluxo de Caixa'!B:B,"Saídas",'Fluxo de Caixa'!H:H,"Pago",'Fluxo de Caixa'!A:A,"&gt;="&amp;Resumo!A53,'Fluxo de Caixa'!A:A,"&lt;="&amp;EOMONTH(Resumo!A53,0))</f>
        <v>0</v>
      </c>
      <c r="D53" s="15">
        <f t="shared" si="0"/>
        <v>0</v>
      </c>
      <c r="E53" s="15">
        <f t="shared" si="2"/>
        <v>149349</v>
      </c>
      <c r="I53" s="18"/>
      <c r="Q53" s="1"/>
      <c r="R53" s="11"/>
    </row>
    <row r="54" spans="1:18" x14ac:dyDescent="0.25">
      <c r="A54" s="30">
        <f t="shared" si="1"/>
        <v>44501</v>
      </c>
      <c r="B54" s="14">
        <f>SUMIFS('Fluxo de Caixa'!J:J,'Fluxo de Caixa'!B:B,"Entradas",'Fluxo de Caixa'!H:H,"Pago",'Fluxo de Caixa'!A:A,"&gt;="&amp;Resumo!A54,'Fluxo de Caixa'!A:A,"&lt;="&amp;EOMONTH(Resumo!A54,0))</f>
        <v>0</v>
      </c>
      <c r="C54" s="14">
        <f>-SUMIFS('Fluxo de Caixa'!J:J,'Fluxo de Caixa'!B:B,"Saídas",'Fluxo de Caixa'!H:H,"Pago",'Fluxo de Caixa'!A:A,"&gt;="&amp;Resumo!A54,'Fluxo de Caixa'!A:A,"&lt;="&amp;EOMONTH(Resumo!A54,0))</f>
        <v>0</v>
      </c>
      <c r="D54" s="15">
        <f t="shared" si="0"/>
        <v>0</v>
      </c>
      <c r="E54" s="15">
        <f t="shared" si="2"/>
        <v>149349</v>
      </c>
      <c r="I54" s="18"/>
      <c r="Q54" s="1"/>
      <c r="R54" s="11"/>
    </row>
    <row r="55" spans="1:18" x14ac:dyDescent="0.25">
      <c r="A55" s="30">
        <f t="shared" si="1"/>
        <v>44531</v>
      </c>
      <c r="B55" s="14">
        <f>SUMIFS('Fluxo de Caixa'!J:J,'Fluxo de Caixa'!B:B,"Entradas",'Fluxo de Caixa'!H:H,"Pago",'Fluxo de Caixa'!A:A,"&gt;="&amp;Resumo!A55,'Fluxo de Caixa'!A:A,"&lt;="&amp;EOMONTH(Resumo!A55,0))</f>
        <v>0</v>
      </c>
      <c r="C55" s="14">
        <f>-SUMIFS('Fluxo de Caixa'!J:J,'Fluxo de Caixa'!B:B,"Saídas",'Fluxo de Caixa'!H:H,"Pago",'Fluxo de Caixa'!A:A,"&gt;="&amp;Resumo!A55,'Fluxo de Caixa'!A:A,"&lt;="&amp;EOMONTH(Resumo!A55,0))</f>
        <v>0</v>
      </c>
      <c r="D55" s="15">
        <f t="shared" si="0"/>
        <v>0</v>
      </c>
      <c r="E55" s="15">
        <f t="shared" si="2"/>
        <v>149349</v>
      </c>
      <c r="I55" s="18"/>
      <c r="Q55" s="1"/>
      <c r="R55" s="11"/>
    </row>
    <row r="56" spans="1:18" x14ac:dyDescent="0.25">
      <c r="A56" s="30">
        <f t="shared" si="1"/>
        <v>44562</v>
      </c>
      <c r="B56" s="14">
        <f>SUMIFS('Fluxo de Caixa'!J:J,'Fluxo de Caixa'!B:B,"Entradas",'Fluxo de Caixa'!H:H,"Pago",'Fluxo de Caixa'!A:A,"&gt;="&amp;Resumo!A56,'Fluxo de Caixa'!A:A,"&lt;="&amp;EOMONTH(Resumo!A56,0))</f>
        <v>0</v>
      </c>
      <c r="C56" s="14">
        <f>-SUMIFS('Fluxo de Caixa'!J:J,'Fluxo de Caixa'!B:B,"Saídas",'Fluxo de Caixa'!H:H,"Pago",'Fluxo de Caixa'!A:A,"&gt;="&amp;Resumo!A56,'Fluxo de Caixa'!A:A,"&lt;="&amp;EOMONTH(Resumo!A56,0))</f>
        <v>0</v>
      </c>
      <c r="D56" s="15">
        <f t="shared" si="0"/>
        <v>0</v>
      </c>
      <c r="E56" s="15">
        <f t="shared" si="2"/>
        <v>149349</v>
      </c>
      <c r="I56" s="18"/>
      <c r="Q56" s="1"/>
      <c r="R56" s="11"/>
    </row>
    <row r="57" spans="1:18" x14ac:dyDescent="0.25">
      <c r="A57" s="30">
        <f t="shared" si="1"/>
        <v>44593</v>
      </c>
      <c r="B57" s="14">
        <f>SUMIFS('Fluxo de Caixa'!J:J,'Fluxo de Caixa'!B:B,"Entradas",'Fluxo de Caixa'!H:H,"Pago",'Fluxo de Caixa'!A:A,"&gt;="&amp;Resumo!A57,'Fluxo de Caixa'!A:A,"&lt;="&amp;EOMONTH(Resumo!A57,0))</f>
        <v>0</v>
      </c>
      <c r="C57" s="14">
        <f>-SUMIFS('Fluxo de Caixa'!J:J,'Fluxo de Caixa'!B:B,"Saídas",'Fluxo de Caixa'!H:H,"Pago",'Fluxo de Caixa'!A:A,"&gt;="&amp;Resumo!A57,'Fluxo de Caixa'!A:A,"&lt;="&amp;EOMONTH(Resumo!A57,0))</f>
        <v>0</v>
      </c>
      <c r="D57" s="15">
        <f t="shared" si="0"/>
        <v>0</v>
      </c>
      <c r="E57" s="15">
        <f t="shared" si="2"/>
        <v>149349</v>
      </c>
      <c r="I57" s="18"/>
      <c r="Q57" s="1"/>
      <c r="R57" s="11"/>
    </row>
    <row r="58" spans="1:18" x14ac:dyDescent="0.25">
      <c r="A58" s="30">
        <f t="shared" si="1"/>
        <v>44621</v>
      </c>
      <c r="B58" s="14">
        <f>SUMIFS('Fluxo de Caixa'!J:J,'Fluxo de Caixa'!B:B,"Entradas",'Fluxo de Caixa'!H:H,"Pago",'Fluxo de Caixa'!A:A,"&gt;="&amp;Resumo!A58,'Fluxo de Caixa'!A:A,"&lt;="&amp;EOMONTH(Resumo!A58,0))</f>
        <v>0</v>
      </c>
      <c r="C58" s="14">
        <f>-SUMIFS('Fluxo de Caixa'!J:J,'Fluxo de Caixa'!B:B,"Saídas",'Fluxo de Caixa'!H:H,"Pago",'Fluxo de Caixa'!A:A,"&gt;="&amp;Resumo!A58,'Fluxo de Caixa'!A:A,"&lt;="&amp;EOMONTH(Resumo!A58,0))</f>
        <v>0</v>
      </c>
      <c r="D58" s="15">
        <f t="shared" si="0"/>
        <v>0</v>
      </c>
      <c r="E58" s="15">
        <f t="shared" si="2"/>
        <v>149349</v>
      </c>
      <c r="I58" s="18"/>
      <c r="Q58" s="1"/>
      <c r="R58" s="11"/>
    </row>
    <row r="59" spans="1:18" x14ac:dyDescent="0.25">
      <c r="A59" s="30">
        <f t="shared" si="1"/>
        <v>44652</v>
      </c>
      <c r="B59" s="14">
        <f>SUMIFS('Fluxo de Caixa'!J:J,'Fluxo de Caixa'!B:B,"Entradas",'Fluxo de Caixa'!H:H,"Pago",'Fluxo de Caixa'!A:A,"&gt;="&amp;Resumo!A59,'Fluxo de Caixa'!A:A,"&lt;="&amp;EOMONTH(Resumo!A59,0))</f>
        <v>0</v>
      </c>
      <c r="C59" s="14">
        <f>-SUMIFS('Fluxo de Caixa'!J:J,'Fluxo de Caixa'!B:B,"Saídas",'Fluxo de Caixa'!H:H,"Pago",'Fluxo de Caixa'!A:A,"&gt;="&amp;Resumo!A59,'Fluxo de Caixa'!A:A,"&lt;="&amp;EOMONTH(Resumo!A59,0))</f>
        <v>0</v>
      </c>
      <c r="D59" s="15">
        <f t="shared" si="0"/>
        <v>0</v>
      </c>
      <c r="E59" s="15">
        <f t="shared" si="2"/>
        <v>149349</v>
      </c>
      <c r="I59" s="18"/>
      <c r="Q59" s="1"/>
      <c r="R59" s="11"/>
    </row>
    <row r="60" spans="1:18" x14ac:dyDescent="0.25">
      <c r="A60" s="30">
        <f t="shared" si="1"/>
        <v>44682</v>
      </c>
      <c r="B60" s="14">
        <f>SUMIFS('Fluxo de Caixa'!J:J,'Fluxo de Caixa'!B:B,"Entradas",'Fluxo de Caixa'!H:H,"Pago",'Fluxo de Caixa'!A:A,"&gt;="&amp;Resumo!A60,'Fluxo de Caixa'!A:A,"&lt;="&amp;EOMONTH(Resumo!A60,0))</f>
        <v>0</v>
      </c>
      <c r="C60" s="14">
        <f>-SUMIFS('Fluxo de Caixa'!J:J,'Fluxo de Caixa'!B:B,"Saídas",'Fluxo de Caixa'!H:H,"Pago",'Fluxo de Caixa'!A:A,"&gt;="&amp;Resumo!A60,'Fluxo de Caixa'!A:A,"&lt;="&amp;EOMONTH(Resumo!A60,0))</f>
        <v>0</v>
      </c>
      <c r="D60" s="15">
        <f t="shared" si="0"/>
        <v>0</v>
      </c>
      <c r="E60" s="15">
        <f t="shared" si="2"/>
        <v>149349</v>
      </c>
      <c r="I60" s="18"/>
      <c r="Q60" s="1"/>
      <c r="R60" s="11"/>
    </row>
    <row r="61" spans="1:18" x14ac:dyDescent="0.25">
      <c r="A61" s="30">
        <f t="shared" si="1"/>
        <v>44713</v>
      </c>
      <c r="B61" s="14">
        <f>SUMIFS('Fluxo de Caixa'!J:J,'Fluxo de Caixa'!B:B,"Entradas",'Fluxo de Caixa'!H:H,"Pago",'Fluxo de Caixa'!A:A,"&gt;="&amp;Resumo!A61,'Fluxo de Caixa'!A:A,"&lt;="&amp;EOMONTH(Resumo!A61,0))</f>
        <v>0</v>
      </c>
      <c r="C61" s="14">
        <f>-SUMIFS('Fluxo de Caixa'!J:J,'Fluxo de Caixa'!B:B,"Saídas",'Fluxo de Caixa'!H:H,"Pago",'Fluxo de Caixa'!A:A,"&gt;="&amp;Resumo!A61,'Fluxo de Caixa'!A:A,"&lt;="&amp;EOMONTH(Resumo!A61,0))</f>
        <v>0</v>
      </c>
      <c r="D61" s="15">
        <f t="shared" si="0"/>
        <v>0</v>
      </c>
      <c r="E61" s="15">
        <f t="shared" si="2"/>
        <v>149349</v>
      </c>
      <c r="I61" s="18"/>
      <c r="Q61" s="1"/>
      <c r="R61" s="11"/>
    </row>
    <row r="62" spans="1:18" x14ac:dyDescent="0.25">
      <c r="A62" s="30">
        <f t="shared" si="1"/>
        <v>44743</v>
      </c>
      <c r="B62" s="14">
        <f>SUMIFS('Fluxo de Caixa'!J:J,'Fluxo de Caixa'!B:B,"Entradas",'Fluxo de Caixa'!H:H,"Pago",'Fluxo de Caixa'!A:A,"&gt;="&amp;Resumo!A62,'Fluxo de Caixa'!A:A,"&lt;="&amp;EOMONTH(Resumo!A62,0))</f>
        <v>0</v>
      </c>
      <c r="C62" s="14">
        <f>-SUMIFS('Fluxo de Caixa'!J:J,'Fluxo de Caixa'!B:B,"Saídas",'Fluxo de Caixa'!H:H,"Pago",'Fluxo de Caixa'!A:A,"&gt;="&amp;Resumo!A62,'Fluxo de Caixa'!A:A,"&lt;="&amp;EOMONTH(Resumo!A62,0))</f>
        <v>0</v>
      </c>
      <c r="D62" s="15">
        <f t="shared" si="0"/>
        <v>0</v>
      </c>
      <c r="E62" s="15">
        <f t="shared" si="2"/>
        <v>149349</v>
      </c>
      <c r="I62" s="18"/>
      <c r="Q62" s="1"/>
      <c r="R62" s="11"/>
    </row>
    <row r="63" spans="1:18" x14ac:dyDescent="0.25">
      <c r="A63" s="30">
        <f t="shared" si="1"/>
        <v>44774</v>
      </c>
      <c r="B63" s="14">
        <f>SUMIFS('Fluxo de Caixa'!J:J,'Fluxo de Caixa'!B:B,"Entradas",'Fluxo de Caixa'!H:H,"Pago",'Fluxo de Caixa'!A:A,"&gt;="&amp;Resumo!A63,'Fluxo de Caixa'!A:A,"&lt;="&amp;EOMONTH(Resumo!A63,0))</f>
        <v>0</v>
      </c>
      <c r="C63" s="14">
        <f>-SUMIFS('Fluxo de Caixa'!J:J,'Fluxo de Caixa'!B:B,"Saídas",'Fluxo de Caixa'!H:H,"Pago",'Fluxo de Caixa'!A:A,"&gt;="&amp;Resumo!A63,'Fluxo de Caixa'!A:A,"&lt;="&amp;EOMONTH(Resumo!A63,0))</f>
        <v>0</v>
      </c>
      <c r="D63" s="15">
        <f t="shared" si="0"/>
        <v>0</v>
      </c>
      <c r="E63" s="15">
        <f t="shared" si="2"/>
        <v>149349</v>
      </c>
      <c r="Q63" s="1"/>
      <c r="R63" s="11"/>
    </row>
    <row r="64" spans="1:18" x14ac:dyDescent="0.25">
      <c r="A64" s="30">
        <f t="shared" si="1"/>
        <v>44805</v>
      </c>
      <c r="B64" s="14">
        <f>SUMIFS('Fluxo de Caixa'!J:J,'Fluxo de Caixa'!B:B,"Entradas",'Fluxo de Caixa'!H:H,"Pago",'Fluxo de Caixa'!A:A,"&gt;="&amp;Resumo!A64,'Fluxo de Caixa'!A:A,"&lt;="&amp;EOMONTH(Resumo!A64,0))</f>
        <v>0</v>
      </c>
      <c r="C64" s="14">
        <f>-SUMIFS('Fluxo de Caixa'!J:J,'Fluxo de Caixa'!B:B,"Saídas",'Fluxo de Caixa'!H:H,"Pago",'Fluxo de Caixa'!A:A,"&gt;="&amp;Resumo!A64,'Fluxo de Caixa'!A:A,"&lt;="&amp;EOMONTH(Resumo!A64,0))</f>
        <v>0</v>
      </c>
      <c r="D64" s="15">
        <f t="shared" si="0"/>
        <v>0</v>
      </c>
      <c r="E64" s="15">
        <f t="shared" si="2"/>
        <v>149349</v>
      </c>
      <c r="Q64" s="1"/>
      <c r="R64" s="11"/>
    </row>
    <row r="65" spans="1:18" x14ac:dyDescent="0.25">
      <c r="A65" s="30">
        <f t="shared" si="1"/>
        <v>44835</v>
      </c>
      <c r="B65" s="14">
        <f>SUMIFS('Fluxo de Caixa'!J:J,'Fluxo de Caixa'!B:B,"Entradas",'Fluxo de Caixa'!H:H,"Pago",'Fluxo de Caixa'!A:A,"&gt;="&amp;Resumo!A65,'Fluxo de Caixa'!A:A,"&lt;="&amp;EOMONTH(Resumo!A65,0))</f>
        <v>0</v>
      </c>
      <c r="C65" s="14">
        <f>-SUMIFS('Fluxo de Caixa'!J:J,'Fluxo de Caixa'!B:B,"Saídas",'Fluxo de Caixa'!H:H,"Pago",'Fluxo de Caixa'!A:A,"&gt;="&amp;Resumo!A65,'Fluxo de Caixa'!A:A,"&lt;="&amp;EOMONTH(Resumo!A65,0))</f>
        <v>0</v>
      </c>
      <c r="D65" s="15">
        <f t="shared" si="0"/>
        <v>0</v>
      </c>
      <c r="E65" s="15">
        <f t="shared" si="2"/>
        <v>149349</v>
      </c>
      <c r="Q65" s="1"/>
      <c r="R65" s="11"/>
    </row>
    <row r="66" spans="1:18" x14ac:dyDescent="0.25">
      <c r="A66" s="30">
        <f t="shared" si="1"/>
        <v>44866</v>
      </c>
      <c r="B66" s="14">
        <f>SUMIFS('Fluxo de Caixa'!J:J,'Fluxo de Caixa'!B:B,"Entradas",'Fluxo de Caixa'!H:H,"Pago",'Fluxo de Caixa'!A:A,"&gt;="&amp;Resumo!A66,'Fluxo de Caixa'!A:A,"&lt;="&amp;EOMONTH(Resumo!A66,0))</f>
        <v>0</v>
      </c>
      <c r="C66" s="14">
        <f>-SUMIFS('Fluxo de Caixa'!J:J,'Fluxo de Caixa'!B:B,"Saídas",'Fluxo de Caixa'!H:H,"Pago",'Fluxo de Caixa'!A:A,"&gt;="&amp;Resumo!A66,'Fluxo de Caixa'!A:A,"&lt;="&amp;EOMONTH(Resumo!A66,0))</f>
        <v>0</v>
      </c>
      <c r="D66" s="15">
        <f t="shared" si="0"/>
        <v>0</v>
      </c>
      <c r="E66" s="15">
        <f t="shared" si="2"/>
        <v>149349</v>
      </c>
      <c r="Q66" s="1"/>
      <c r="R66" s="11"/>
    </row>
    <row r="67" spans="1:18" x14ac:dyDescent="0.25">
      <c r="A67" s="30">
        <f t="shared" si="1"/>
        <v>44896</v>
      </c>
      <c r="B67" s="14">
        <f>SUMIFS('Fluxo de Caixa'!J:J,'Fluxo de Caixa'!B:B,"Entradas",'Fluxo de Caixa'!H:H,"Pago",'Fluxo de Caixa'!A:A,"&gt;="&amp;Resumo!A67,'Fluxo de Caixa'!A:A,"&lt;="&amp;EOMONTH(Resumo!A67,0))</f>
        <v>0</v>
      </c>
      <c r="C67" s="14">
        <f>-SUMIFS('Fluxo de Caixa'!J:J,'Fluxo de Caixa'!B:B,"Saídas",'Fluxo de Caixa'!H:H,"Pago",'Fluxo de Caixa'!A:A,"&gt;="&amp;Resumo!A67,'Fluxo de Caixa'!A:A,"&lt;="&amp;EOMONTH(Resumo!A67,0))</f>
        <v>0</v>
      </c>
      <c r="D67" s="15">
        <f t="shared" si="0"/>
        <v>0</v>
      </c>
      <c r="E67" s="15">
        <f t="shared" si="2"/>
        <v>149349</v>
      </c>
      <c r="Q67" s="1"/>
      <c r="R67" s="11"/>
    </row>
    <row r="68" spans="1:18" x14ac:dyDescent="0.25">
      <c r="A68" s="30">
        <f t="shared" si="1"/>
        <v>44927</v>
      </c>
      <c r="B68" s="14">
        <f>SUMIFS('Fluxo de Caixa'!J:J,'Fluxo de Caixa'!B:B,"Entradas",'Fluxo de Caixa'!H:H,"Pago",'Fluxo de Caixa'!A:A,"&gt;="&amp;Resumo!A68,'Fluxo de Caixa'!A:A,"&lt;="&amp;EOMONTH(Resumo!A68,0))</f>
        <v>0</v>
      </c>
      <c r="C68" s="14">
        <f>-SUMIFS('Fluxo de Caixa'!J:J,'Fluxo de Caixa'!B:B,"Saídas",'Fluxo de Caixa'!H:H,"Pago",'Fluxo de Caixa'!A:A,"&gt;="&amp;Resumo!A68,'Fluxo de Caixa'!A:A,"&lt;="&amp;EOMONTH(Resumo!A68,0))</f>
        <v>0</v>
      </c>
      <c r="D68" s="15">
        <f t="shared" si="0"/>
        <v>0</v>
      </c>
      <c r="E68" s="15">
        <f t="shared" si="2"/>
        <v>149349</v>
      </c>
      <c r="Q68" s="1"/>
      <c r="R68" s="11"/>
    </row>
    <row r="69" spans="1:18" x14ac:dyDescent="0.25">
      <c r="A69" s="30">
        <f t="shared" si="1"/>
        <v>44958</v>
      </c>
      <c r="B69" s="14">
        <f>SUMIFS('Fluxo de Caixa'!J:J,'Fluxo de Caixa'!B:B,"Entradas",'Fluxo de Caixa'!H:H,"Pago",'Fluxo de Caixa'!A:A,"&gt;="&amp;Resumo!A69,'Fluxo de Caixa'!A:A,"&lt;="&amp;EOMONTH(Resumo!A69,0))</f>
        <v>0</v>
      </c>
      <c r="C69" s="14">
        <f>-SUMIFS('Fluxo de Caixa'!J:J,'Fluxo de Caixa'!B:B,"Saídas",'Fluxo de Caixa'!H:H,"Pago",'Fluxo de Caixa'!A:A,"&gt;="&amp;Resumo!A69,'Fluxo de Caixa'!A:A,"&lt;="&amp;EOMONTH(Resumo!A69,0))</f>
        <v>0</v>
      </c>
      <c r="D69" s="15">
        <f t="shared" si="0"/>
        <v>0</v>
      </c>
      <c r="E69" s="15">
        <f t="shared" si="2"/>
        <v>149349</v>
      </c>
      <c r="Q69" s="1"/>
      <c r="R69" s="11"/>
    </row>
    <row r="70" spans="1:18" x14ac:dyDescent="0.25">
      <c r="A70" s="30">
        <f t="shared" si="1"/>
        <v>44986</v>
      </c>
      <c r="B70" s="14">
        <f>SUMIFS('Fluxo de Caixa'!J:J,'Fluxo de Caixa'!B:B,"Entradas",'Fluxo de Caixa'!H:H,"Pago",'Fluxo de Caixa'!A:A,"&gt;="&amp;Resumo!A70,'Fluxo de Caixa'!A:A,"&lt;="&amp;EOMONTH(Resumo!A70,0))</f>
        <v>0</v>
      </c>
      <c r="C70" s="14">
        <f>-SUMIFS('Fluxo de Caixa'!J:J,'Fluxo de Caixa'!B:B,"Saídas",'Fluxo de Caixa'!H:H,"Pago",'Fluxo de Caixa'!A:A,"&gt;="&amp;Resumo!A70,'Fluxo de Caixa'!A:A,"&lt;="&amp;EOMONTH(Resumo!A70,0))</f>
        <v>0</v>
      </c>
      <c r="D70" s="15">
        <f t="shared" si="0"/>
        <v>0</v>
      </c>
      <c r="E70" s="15">
        <f t="shared" si="2"/>
        <v>149349</v>
      </c>
      <c r="Q70" s="1"/>
      <c r="R70" s="11"/>
    </row>
    <row r="71" spans="1:18" x14ac:dyDescent="0.25">
      <c r="A71" s="30">
        <f t="shared" si="1"/>
        <v>45017</v>
      </c>
      <c r="B71" s="14">
        <f>SUMIFS('Fluxo de Caixa'!J:J,'Fluxo de Caixa'!B:B,"Entradas",'Fluxo de Caixa'!H:H,"Pago",'Fluxo de Caixa'!A:A,"&gt;="&amp;Resumo!A71,'Fluxo de Caixa'!A:A,"&lt;="&amp;EOMONTH(Resumo!A71,0))</f>
        <v>0</v>
      </c>
      <c r="C71" s="14">
        <f>-SUMIFS('Fluxo de Caixa'!J:J,'Fluxo de Caixa'!B:B,"Saídas",'Fluxo de Caixa'!H:H,"Pago",'Fluxo de Caixa'!A:A,"&gt;="&amp;Resumo!A71,'Fluxo de Caixa'!A:A,"&lt;="&amp;EOMONTH(Resumo!A71,0))</f>
        <v>0</v>
      </c>
      <c r="D71" s="15">
        <f t="shared" si="0"/>
        <v>0</v>
      </c>
      <c r="E71" s="15">
        <f t="shared" si="2"/>
        <v>149349</v>
      </c>
      <c r="Q71" s="1"/>
      <c r="R71" s="11"/>
    </row>
    <row r="72" spans="1:18" x14ac:dyDescent="0.25">
      <c r="A72" s="30">
        <f t="shared" si="1"/>
        <v>45047</v>
      </c>
      <c r="B72" s="14">
        <f>SUMIFS('Fluxo de Caixa'!J:J,'Fluxo de Caixa'!B:B,"Entradas",'Fluxo de Caixa'!H:H,"Pago",'Fluxo de Caixa'!A:A,"&gt;="&amp;Resumo!A72,'Fluxo de Caixa'!A:A,"&lt;="&amp;EOMONTH(Resumo!A72,0))</f>
        <v>0</v>
      </c>
      <c r="C72" s="14">
        <f>-SUMIFS('Fluxo de Caixa'!J:J,'Fluxo de Caixa'!B:B,"Saídas",'Fluxo de Caixa'!H:H,"Pago",'Fluxo de Caixa'!A:A,"&gt;="&amp;Resumo!A72,'Fluxo de Caixa'!A:A,"&lt;="&amp;EOMONTH(Resumo!A72,0))</f>
        <v>0</v>
      </c>
      <c r="D72" s="15">
        <f t="shared" si="0"/>
        <v>0</v>
      </c>
      <c r="E72" s="15">
        <f t="shared" si="2"/>
        <v>149349</v>
      </c>
      <c r="Q72" s="1"/>
      <c r="R72" s="11"/>
    </row>
    <row r="73" spans="1:18" x14ac:dyDescent="0.25">
      <c r="A73" s="30">
        <f t="shared" si="1"/>
        <v>45078</v>
      </c>
      <c r="B73" s="14">
        <f>SUMIFS('Fluxo de Caixa'!J:J,'Fluxo de Caixa'!B:B,"Entradas",'Fluxo de Caixa'!H:H,"Pago",'Fluxo de Caixa'!A:A,"&gt;="&amp;Resumo!A73,'Fluxo de Caixa'!A:A,"&lt;="&amp;EOMONTH(Resumo!A73,0))</f>
        <v>0</v>
      </c>
      <c r="C73" s="14">
        <f>-SUMIFS('Fluxo de Caixa'!J:J,'Fluxo de Caixa'!B:B,"Saídas",'Fluxo de Caixa'!H:H,"Pago",'Fluxo de Caixa'!A:A,"&gt;="&amp;Resumo!A73,'Fluxo de Caixa'!A:A,"&lt;="&amp;EOMONTH(Resumo!A73,0))</f>
        <v>0</v>
      </c>
      <c r="D73" s="15">
        <f t="shared" si="0"/>
        <v>0</v>
      </c>
      <c r="E73" s="15">
        <f t="shared" si="2"/>
        <v>149349</v>
      </c>
      <c r="Q73" s="1"/>
      <c r="R73" s="11"/>
    </row>
    <row r="74" spans="1:18" x14ac:dyDescent="0.25">
      <c r="A74" s="30">
        <f t="shared" si="1"/>
        <v>45108</v>
      </c>
      <c r="B74" s="14">
        <f>SUMIFS('Fluxo de Caixa'!J:J,'Fluxo de Caixa'!B:B,"Entradas",'Fluxo de Caixa'!H:H,"Pago",'Fluxo de Caixa'!A:A,"&gt;="&amp;Resumo!A74,'Fluxo de Caixa'!A:A,"&lt;="&amp;EOMONTH(Resumo!A74,0))</f>
        <v>0</v>
      </c>
      <c r="C74" s="14">
        <f>-SUMIFS('Fluxo de Caixa'!J:J,'Fluxo de Caixa'!B:B,"Saídas",'Fluxo de Caixa'!H:H,"Pago",'Fluxo de Caixa'!A:A,"&gt;="&amp;Resumo!A74,'Fluxo de Caixa'!A:A,"&lt;="&amp;EOMONTH(Resumo!A74,0))</f>
        <v>0</v>
      </c>
      <c r="D74" s="15">
        <f t="shared" si="0"/>
        <v>0</v>
      </c>
      <c r="E74" s="15">
        <f t="shared" si="2"/>
        <v>149349</v>
      </c>
      <c r="Q74" s="1"/>
      <c r="R74" s="11"/>
    </row>
    <row r="75" spans="1:18" x14ac:dyDescent="0.25">
      <c r="A75" s="30">
        <f t="shared" si="1"/>
        <v>45139</v>
      </c>
      <c r="B75" s="14">
        <f>SUMIFS('Fluxo de Caixa'!J:J,'Fluxo de Caixa'!B:B,"Entradas",'Fluxo de Caixa'!H:H,"Pago",'Fluxo de Caixa'!A:A,"&gt;="&amp;Resumo!A75,'Fluxo de Caixa'!A:A,"&lt;="&amp;EOMONTH(Resumo!A75,0))</f>
        <v>0</v>
      </c>
      <c r="C75" s="14">
        <f>-SUMIFS('Fluxo de Caixa'!J:J,'Fluxo de Caixa'!B:B,"Saídas",'Fluxo de Caixa'!H:H,"Pago",'Fluxo de Caixa'!A:A,"&gt;="&amp;Resumo!A75,'Fluxo de Caixa'!A:A,"&lt;="&amp;EOMONTH(Resumo!A75,0))</f>
        <v>0</v>
      </c>
      <c r="D75" s="15">
        <f t="shared" si="0"/>
        <v>0</v>
      </c>
      <c r="E75" s="15">
        <f t="shared" si="2"/>
        <v>149349</v>
      </c>
      <c r="Q75" s="1"/>
      <c r="R75" s="11"/>
    </row>
    <row r="76" spans="1:18" x14ac:dyDescent="0.25">
      <c r="A76" s="30">
        <f t="shared" si="1"/>
        <v>45170</v>
      </c>
      <c r="B76" s="14">
        <f>SUMIFS('Fluxo de Caixa'!J:J,'Fluxo de Caixa'!B:B,"Entradas",'Fluxo de Caixa'!H:H,"Pago",'Fluxo de Caixa'!A:A,"&gt;="&amp;Resumo!A76,'Fluxo de Caixa'!A:A,"&lt;="&amp;EOMONTH(Resumo!A76,0))</f>
        <v>0</v>
      </c>
      <c r="C76" s="14">
        <f>-SUMIFS('Fluxo de Caixa'!J:J,'Fluxo de Caixa'!B:B,"Saídas",'Fluxo de Caixa'!H:H,"Pago",'Fluxo de Caixa'!A:A,"&gt;="&amp;Resumo!A76,'Fluxo de Caixa'!A:A,"&lt;="&amp;EOMONTH(Resumo!A76,0))</f>
        <v>0</v>
      </c>
      <c r="D76" s="15">
        <f t="shared" si="0"/>
        <v>0</v>
      </c>
      <c r="E76" s="15">
        <f t="shared" si="2"/>
        <v>149349</v>
      </c>
      <c r="Q76" s="1"/>
      <c r="R76" s="11"/>
    </row>
    <row r="77" spans="1:18" x14ac:dyDescent="0.25">
      <c r="A77" s="30">
        <f t="shared" si="1"/>
        <v>45200</v>
      </c>
      <c r="B77" s="14">
        <f>SUMIFS('Fluxo de Caixa'!J:J,'Fluxo de Caixa'!B:B,"Entradas",'Fluxo de Caixa'!H:H,"Pago",'Fluxo de Caixa'!A:A,"&gt;="&amp;Resumo!A77,'Fluxo de Caixa'!A:A,"&lt;="&amp;EOMONTH(Resumo!A77,0))</f>
        <v>0</v>
      </c>
      <c r="C77" s="14">
        <f>-SUMIFS('Fluxo de Caixa'!J:J,'Fluxo de Caixa'!B:B,"Saídas",'Fluxo de Caixa'!H:H,"Pago",'Fluxo de Caixa'!A:A,"&gt;="&amp;Resumo!A77,'Fluxo de Caixa'!A:A,"&lt;="&amp;EOMONTH(Resumo!A77,0))</f>
        <v>0</v>
      </c>
      <c r="D77" s="15">
        <f t="shared" si="0"/>
        <v>0</v>
      </c>
      <c r="E77" s="15">
        <f t="shared" si="2"/>
        <v>149349</v>
      </c>
      <c r="Q77" s="1"/>
      <c r="R77" s="11"/>
    </row>
    <row r="78" spans="1:18" x14ac:dyDescent="0.25">
      <c r="A78" s="30">
        <f t="shared" si="1"/>
        <v>45231</v>
      </c>
      <c r="B78" s="14">
        <f>SUMIFS('Fluxo de Caixa'!J:J,'Fluxo de Caixa'!B:B,"Entradas",'Fluxo de Caixa'!H:H,"Pago",'Fluxo de Caixa'!A:A,"&gt;="&amp;Resumo!A78,'Fluxo de Caixa'!A:A,"&lt;="&amp;EOMONTH(Resumo!A78,0))</f>
        <v>0</v>
      </c>
      <c r="C78" s="14">
        <f>-SUMIFS('Fluxo de Caixa'!J:J,'Fluxo de Caixa'!B:B,"Saídas",'Fluxo de Caixa'!H:H,"Pago",'Fluxo de Caixa'!A:A,"&gt;="&amp;Resumo!A78,'Fluxo de Caixa'!A:A,"&lt;="&amp;EOMONTH(Resumo!A78,0))</f>
        <v>0</v>
      </c>
      <c r="D78" s="15">
        <f t="shared" si="0"/>
        <v>0</v>
      </c>
      <c r="E78" s="15">
        <f t="shared" si="2"/>
        <v>149349</v>
      </c>
      <c r="Q78" s="1"/>
      <c r="R78" s="11"/>
    </row>
    <row r="79" spans="1:18" x14ac:dyDescent="0.25">
      <c r="A79" s="30">
        <f t="shared" si="1"/>
        <v>45261</v>
      </c>
      <c r="B79" s="14">
        <f>SUMIFS('Fluxo de Caixa'!J:J,'Fluxo de Caixa'!B:B,"Entradas",'Fluxo de Caixa'!H:H,"Pago",'Fluxo de Caixa'!A:A,"&gt;="&amp;Resumo!A79,'Fluxo de Caixa'!A:A,"&lt;="&amp;EOMONTH(Resumo!A79,0))</f>
        <v>0</v>
      </c>
      <c r="C79" s="14">
        <f>-SUMIFS('Fluxo de Caixa'!J:J,'Fluxo de Caixa'!B:B,"Saídas",'Fluxo de Caixa'!H:H,"Pago",'Fluxo de Caixa'!A:A,"&gt;="&amp;Resumo!A79,'Fluxo de Caixa'!A:A,"&lt;="&amp;EOMONTH(Resumo!A79,0))</f>
        <v>0</v>
      </c>
      <c r="D79" s="15">
        <f t="shared" si="0"/>
        <v>0</v>
      </c>
      <c r="E79" s="15">
        <f t="shared" si="2"/>
        <v>149349</v>
      </c>
      <c r="Q79" s="1"/>
      <c r="R79" s="11"/>
    </row>
    <row r="80" spans="1:18" x14ac:dyDescent="0.25">
      <c r="Q80" s="1"/>
      <c r="R80" s="11"/>
    </row>
    <row r="81" spans="17:18" x14ac:dyDescent="0.25">
      <c r="Q81" s="1"/>
      <c r="R81" s="11"/>
    </row>
    <row r="82" spans="17:18" x14ac:dyDescent="0.25">
      <c r="Q82" s="1"/>
      <c r="R82" s="11"/>
    </row>
    <row r="83" spans="17:18" x14ac:dyDescent="0.25">
      <c r="Q83" s="1"/>
      <c r="R83" s="11"/>
    </row>
    <row r="84" spans="17:18" x14ac:dyDescent="0.25">
      <c r="Q84" s="1"/>
      <c r="R84" s="11"/>
    </row>
    <row r="85" spans="17:18" x14ac:dyDescent="0.25">
      <c r="Q85" s="1"/>
      <c r="R85" s="11"/>
    </row>
    <row r="86" spans="17:18" x14ac:dyDescent="0.25">
      <c r="Q86" s="1"/>
      <c r="R86" s="11"/>
    </row>
    <row r="87" spans="17:18" x14ac:dyDescent="0.25">
      <c r="Q87" s="1"/>
      <c r="R87" s="11"/>
    </row>
    <row r="88" spans="17:18" x14ac:dyDescent="0.25">
      <c r="Q88" s="1"/>
      <c r="R88" s="11"/>
    </row>
    <row r="89" spans="17:18" x14ac:dyDescent="0.25">
      <c r="Q89" s="1"/>
      <c r="R89" s="11"/>
    </row>
    <row r="90" spans="17:18" x14ac:dyDescent="0.25">
      <c r="Q90" s="1"/>
      <c r="R90" s="11"/>
    </row>
    <row r="91" spans="17:18" x14ac:dyDescent="0.25">
      <c r="Q91" s="1"/>
      <c r="R91" s="11"/>
    </row>
    <row r="92" spans="17:18" x14ac:dyDescent="0.25">
      <c r="Q92" s="1"/>
      <c r="R92" s="11"/>
    </row>
    <row r="93" spans="17:18" x14ac:dyDescent="0.25">
      <c r="Q93" s="1"/>
      <c r="R93" s="11"/>
    </row>
    <row r="94" spans="17:18" x14ac:dyDescent="0.25">
      <c r="Q94" s="1"/>
      <c r="R94" s="11"/>
    </row>
    <row r="95" spans="17:18" x14ac:dyDescent="0.25">
      <c r="Q95" s="1"/>
      <c r="R95" s="11"/>
    </row>
    <row r="96" spans="17:18" x14ac:dyDescent="0.25">
      <c r="Q96" s="1"/>
      <c r="R96" s="11"/>
    </row>
    <row r="97" spans="17:18" x14ac:dyDescent="0.25">
      <c r="Q97" s="1"/>
      <c r="R97" s="11"/>
    </row>
    <row r="98" spans="17:18" x14ac:dyDescent="0.25">
      <c r="Q98" s="1"/>
      <c r="R98" s="11"/>
    </row>
    <row r="99" spans="17:18" x14ac:dyDescent="0.25">
      <c r="Q99" s="1"/>
      <c r="R99" s="11"/>
    </row>
    <row r="100" spans="17:18" x14ac:dyDescent="0.25">
      <c r="Q100" s="1"/>
      <c r="R100" s="11"/>
    </row>
    <row r="101" spans="17:18" x14ac:dyDescent="0.25">
      <c r="Q101" s="1"/>
      <c r="R101" s="11"/>
    </row>
    <row r="102" spans="17:18" x14ac:dyDescent="0.25">
      <c r="Q102" s="1"/>
      <c r="R102" s="11"/>
    </row>
    <row r="103" spans="17:18" x14ac:dyDescent="0.25">
      <c r="Q103" s="1"/>
      <c r="R103" s="11"/>
    </row>
    <row r="104" spans="17:18" x14ac:dyDescent="0.25">
      <c r="Q104" s="1"/>
      <c r="R104" s="11"/>
    </row>
    <row r="105" spans="17:18" x14ac:dyDescent="0.25">
      <c r="Q105" s="1"/>
      <c r="R105" s="11"/>
    </row>
    <row r="106" spans="17:18" x14ac:dyDescent="0.25">
      <c r="Q106" s="1"/>
      <c r="R106" s="11"/>
    </row>
    <row r="107" spans="17:18" x14ac:dyDescent="0.25">
      <c r="Q107" s="1"/>
      <c r="R107" s="11"/>
    </row>
    <row r="108" spans="17:18" x14ac:dyDescent="0.25">
      <c r="Q108" s="1"/>
      <c r="R108" s="11"/>
    </row>
    <row r="109" spans="17:18" x14ac:dyDescent="0.25">
      <c r="Q109" s="1"/>
      <c r="R109" s="11"/>
    </row>
    <row r="110" spans="17:18" x14ac:dyDescent="0.25">
      <c r="Q110" s="1"/>
      <c r="R110" s="11"/>
    </row>
    <row r="111" spans="17:18" x14ac:dyDescent="0.25">
      <c r="Q111" s="1"/>
      <c r="R111" s="11"/>
    </row>
    <row r="112" spans="17:18" x14ac:dyDescent="0.25">
      <c r="Q112" s="1"/>
      <c r="R112" s="11"/>
    </row>
    <row r="113" spans="17:18" x14ac:dyDescent="0.25">
      <c r="Q113" s="1"/>
      <c r="R113" s="11"/>
    </row>
    <row r="114" spans="17:18" x14ac:dyDescent="0.25">
      <c r="Q114" s="1"/>
      <c r="R114" s="11"/>
    </row>
    <row r="115" spans="17:18" x14ac:dyDescent="0.25">
      <c r="Q115" s="1"/>
      <c r="R115" s="11"/>
    </row>
    <row r="116" spans="17:18" x14ac:dyDescent="0.25">
      <c r="Q116" s="1"/>
      <c r="R116" s="11"/>
    </row>
    <row r="117" spans="17:18" x14ac:dyDescent="0.25">
      <c r="Q117" s="1"/>
      <c r="R117" s="11"/>
    </row>
    <row r="118" spans="17:18" x14ac:dyDescent="0.25">
      <c r="Q118" s="1"/>
      <c r="R118" s="11"/>
    </row>
    <row r="119" spans="17:18" x14ac:dyDescent="0.25">
      <c r="Q119" s="1"/>
      <c r="R119" s="11"/>
    </row>
    <row r="120" spans="17:18" x14ac:dyDescent="0.25">
      <c r="Q120" s="1"/>
      <c r="R120" s="11"/>
    </row>
    <row r="121" spans="17:18" x14ac:dyDescent="0.25">
      <c r="Q121" s="1"/>
      <c r="R121" s="11"/>
    </row>
    <row r="122" spans="17:18" x14ac:dyDescent="0.25">
      <c r="Q122" s="1"/>
      <c r="R122" s="11"/>
    </row>
    <row r="123" spans="17:18" x14ac:dyDescent="0.25">
      <c r="Q123" s="1"/>
      <c r="R123" s="11"/>
    </row>
    <row r="124" spans="17:18" x14ac:dyDescent="0.25">
      <c r="Q124" s="1"/>
      <c r="R124" s="11"/>
    </row>
    <row r="125" spans="17:18" x14ac:dyDescent="0.25">
      <c r="Q125" s="1"/>
      <c r="R125" s="11"/>
    </row>
    <row r="126" spans="17:18" x14ac:dyDescent="0.25">
      <c r="Q126" s="1"/>
      <c r="R126" s="11"/>
    </row>
    <row r="127" spans="17:18" x14ac:dyDescent="0.25">
      <c r="Q127" s="1"/>
      <c r="R127" s="11"/>
    </row>
    <row r="128" spans="17:18" x14ac:dyDescent="0.25">
      <c r="Q128" s="1"/>
      <c r="R128" s="11"/>
    </row>
    <row r="129" spans="17:18" x14ac:dyDescent="0.25">
      <c r="Q129" s="1"/>
      <c r="R129" s="11"/>
    </row>
    <row r="130" spans="17:18" x14ac:dyDescent="0.25">
      <c r="Q130" s="1"/>
      <c r="R130" s="11"/>
    </row>
    <row r="131" spans="17:18" x14ac:dyDescent="0.25">
      <c r="Q131" s="1"/>
      <c r="R131" s="11"/>
    </row>
    <row r="132" spans="17:18" x14ac:dyDescent="0.25">
      <c r="Q132" s="1"/>
      <c r="R132" s="11"/>
    </row>
    <row r="133" spans="17:18" x14ac:dyDescent="0.25">
      <c r="Q133" s="1"/>
      <c r="R133" s="11"/>
    </row>
    <row r="134" spans="17:18" x14ac:dyDescent="0.25">
      <c r="Q134" s="1"/>
      <c r="R134" s="11"/>
    </row>
    <row r="135" spans="17:18" x14ac:dyDescent="0.25">
      <c r="Q135" s="1"/>
      <c r="R135" s="11"/>
    </row>
    <row r="136" spans="17:18" x14ac:dyDescent="0.25">
      <c r="Q136" s="1"/>
      <c r="R136" s="11"/>
    </row>
    <row r="137" spans="17:18" x14ac:dyDescent="0.25">
      <c r="Q137" s="1"/>
      <c r="R137" s="11"/>
    </row>
    <row r="138" spans="17:18" x14ac:dyDescent="0.25">
      <c r="Q138" s="1"/>
      <c r="R138" s="11"/>
    </row>
    <row r="139" spans="17:18" x14ac:dyDescent="0.25">
      <c r="Q139" s="1"/>
      <c r="R139" s="11"/>
    </row>
    <row r="140" spans="17:18" x14ac:dyDescent="0.25">
      <c r="Q140" s="1"/>
      <c r="R140" s="11"/>
    </row>
    <row r="141" spans="17:18" x14ac:dyDescent="0.25">
      <c r="Q141" s="1"/>
      <c r="R141" s="11"/>
    </row>
    <row r="142" spans="17:18" x14ac:dyDescent="0.25">
      <c r="Q142" s="1"/>
      <c r="R142" s="11"/>
    </row>
    <row r="143" spans="17:18" x14ac:dyDescent="0.25">
      <c r="Q143" s="1"/>
      <c r="R143" s="11"/>
    </row>
    <row r="144" spans="17:18" x14ac:dyDescent="0.25">
      <c r="Q144" s="1"/>
      <c r="R144" s="11"/>
    </row>
    <row r="145" spans="17:18" x14ac:dyDescent="0.25">
      <c r="Q145" s="1"/>
      <c r="R145" s="11"/>
    </row>
    <row r="146" spans="17:18" x14ac:dyDescent="0.25">
      <c r="Q146" s="1"/>
      <c r="R146" s="11"/>
    </row>
    <row r="147" spans="17:18" x14ac:dyDescent="0.25">
      <c r="Q147" s="1"/>
      <c r="R147" s="11"/>
    </row>
    <row r="148" spans="17:18" x14ac:dyDescent="0.25">
      <c r="Q148" s="1"/>
      <c r="R148" s="11"/>
    </row>
    <row r="149" spans="17:18" x14ac:dyDescent="0.25">
      <c r="Q149" s="1"/>
      <c r="R149" s="11"/>
    </row>
    <row r="150" spans="17:18" x14ac:dyDescent="0.25">
      <c r="Q150" s="1"/>
      <c r="R150" s="11"/>
    </row>
    <row r="151" spans="17:18" x14ac:dyDescent="0.25">
      <c r="Q151" s="1"/>
      <c r="R151" s="11"/>
    </row>
    <row r="152" spans="17:18" x14ac:dyDescent="0.25">
      <c r="Q152" s="1"/>
      <c r="R152" s="11"/>
    </row>
    <row r="153" spans="17:18" x14ac:dyDescent="0.25">
      <c r="Q153" s="1"/>
      <c r="R153" s="11"/>
    </row>
    <row r="154" spans="17:18" x14ac:dyDescent="0.25">
      <c r="Q154" s="1"/>
      <c r="R154" s="11"/>
    </row>
    <row r="155" spans="17:18" x14ac:dyDescent="0.25">
      <c r="Q155" s="1"/>
      <c r="R155" s="11"/>
    </row>
    <row r="156" spans="17:18" x14ac:dyDescent="0.25">
      <c r="Q156" s="1"/>
      <c r="R156" s="11"/>
    </row>
    <row r="157" spans="17:18" x14ac:dyDescent="0.25">
      <c r="Q157" s="1"/>
      <c r="R157" s="11"/>
    </row>
    <row r="158" spans="17:18" x14ac:dyDescent="0.25">
      <c r="Q158" s="1"/>
      <c r="R158" s="11"/>
    </row>
    <row r="159" spans="17:18" x14ac:dyDescent="0.25">
      <c r="Q159" s="1"/>
      <c r="R159" s="11"/>
    </row>
    <row r="160" spans="17:18" x14ac:dyDescent="0.25">
      <c r="Q160" s="1"/>
      <c r="R160" s="11"/>
    </row>
    <row r="161" spans="17:18" x14ac:dyDescent="0.25">
      <c r="Q161" s="1"/>
      <c r="R161" s="11"/>
    </row>
    <row r="162" spans="17:18" x14ac:dyDescent="0.25">
      <c r="Q162" s="1"/>
      <c r="R162" s="11"/>
    </row>
    <row r="163" spans="17:18" x14ac:dyDescent="0.25">
      <c r="Q163" s="1"/>
      <c r="R163" s="11"/>
    </row>
    <row r="164" spans="17:18" x14ac:dyDescent="0.25">
      <c r="Q164" s="1"/>
      <c r="R164" s="11"/>
    </row>
    <row r="165" spans="17:18" x14ac:dyDescent="0.25">
      <c r="Q165" s="1"/>
      <c r="R165" s="11"/>
    </row>
    <row r="166" spans="17:18" x14ac:dyDescent="0.25">
      <c r="Q166" s="1"/>
      <c r="R166" s="11"/>
    </row>
    <row r="167" spans="17:18" x14ac:dyDescent="0.25">
      <c r="Q167" s="1"/>
      <c r="R167" s="11"/>
    </row>
    <row r="168" spans="17:18" x14ac:dyDescent="0.25">
      <c r="Q168" s="1"/>
      <c r="R168" s="11"/>
    </row>
    <row r="169" spans="17:18" x14ac:dyDescent="0.25">
      <c r="Q169" s="1"/>
      <c r="R169" s="11"/>
    </row>
    <row r="170" spans="17:18" x14ac:dyDescent="0.25">
      <c r="Q170" s="1"/>
      <c r="R170" s="11"/>
    </row>
    <row r="171" spans="17:18" x14ac:dyDescent="0.25">
      <c r="Q171" s="1"/>
      <c r="R171" s="11"/>
    </row>
    <row r="172" spans="17:18" x14ac:dyDescent="0.25">
      <c r="Q172" s="1"/>
      <c r="R172" s="11"/>
    </row>
    <row r="173" spans="17:18" x14ac:dyDescent="0.25">
      <c r="Q173" s="1"/>
      <c r="R173" s="11"/>
    </row>
    <row r="174" spans="17:18" x14ac:dyDescent="0.25">
      <c r="Q174" s="1"/>
      <c r="R174" s="11"/>
    </row>
    <row r="175" spans="17:18" x14ac:dyDescent="0.25">
      <c r="Q175" s="1"/>
      <c r="R175" s="11"/>
    </row>
    <row r="176" spans="17:18" x14ac:dyDescent="0.25">
      <c r="Q176" s="1"/>
      <c r="R176" s="11"/>
    </row>
    <row r="177" spans="17:18" x14ac:dyDescent="0.25">
      <c r="Q177" s="1"/>
      <c r="R177" s="11"/>
    </row>
    <row r="178" spans="17:18" x14ac:dyDescent="0.25">
      <c r="Q178" s="1"/>
      <c r="R178" s="11"/>
    </row>
    <row r="179" spans="17:18" x14ac:dyDescent="0.25">
      <c r="Q179" s="1"/>
      <c r="R179" s="11"/>
    </row>
    <row r="180" spans="17:18" x14ac:dyDescent="0.25">
      <c r="Q180" s="1"/>
      <c r="R180" s="11"/>
    </row>
    <row r="181" spans="17:18" x14ac:dyDescent="0.25">
      <c r="Q181" s="1"/>
      <c r="R181" s="11"/>
    </row>
    <row r="182" spans="17:18" x14ac:dyDescent="0.25">
      <c r="Q182" s="1"/>
      <c r="R182" s="11"/>
    </row>
    <row r="183" spans="17:18" x14ac:dyDescent="0.25">
      <c r="Q183" s="1"/>
      <c r="R183" s="11"/>
    </row>
    <row r="184" spans="17:18" x14ac:dyDescent="0.25">
      <c r="Q184" s="1"/>
      <c r="R184" s="11"/>
    </row>
    <row r="185" spans="17:18" x14ac:dyDescent="0.25">
      <c r="Q185" s="1"/>
      <c r="R185" s="11"/>
    </row>
    <row r="186" spans="17:18" x14ac:dyDescent="0.25">
      <c r="Q186" s="1"/>
      <c r="R186" s="11"/>
    </row>
    <row r="187" spans="17:18" x14ac:dyDescent="0.25">
      <c r="Q187" s="1"/>
      <c r="R187" s="11"/>
    </row>
    <row r="188" spans="17:18" x14ac:dyDescent="0.25">
      <c r="Q188" s="1"/>
      <c r="R188" s="11"/>
    </row>
    <row r="189" spans="17:18" x14ac:dyDescent="0.25">
      <c r="Q189" s="1"/>
      <c r="R189" s="11"/>
    </row>
    <row r="190" spans="17:18" x14ac:dyDescent="0.25">
      <c r="Q190" s="1"/>
      <c r="R190" s="11"/>
    </row>
    <row r="191" spans="17:18" x14ac:dyDescent="0.25">
      <c r="Q191" s="1"/>
      <c r="R191" s="11"/>
    </row>
    <row r="192" spans="17:18" x14ac:dyDescent="0.25">
      <c r="Q192" s="1"/>
      <c r="R192" s="11"/>
    </row>
    <row r="193" spans="17:18" x14ac:dyDescent="0.25">
      <c r="Q193" s="1"/>
      <c r="R193" s="11"/>
    </row>
    <row r="194" spans="17:18" x14ac:dyDescent="0.25">
      <c r="Q194" s="1"/>
      <c r="R194" s="11"/>
    </row>
    <row r="195" spans="17:18" x14ac:dyDescent="0.25">
      <c r="Q195" s="1"/>
      <c r="R195" s="11"/>
    </row>
    <row r="196" spans="17:18" x14ac:dyDescent="0.25">
      <c r="Q196" s="1"/>
      <c r="R196" s="11"/>
    </row>
    <row r="197" spans="17:18" x14ac:dyDescent="0.25">
      <c r="Q197" s="1"/>
      <c r="R197" s="11"/>
    </row>
    <row r="198" spans="17:18" x14ac:dyDescent="0.25">
      <c r="Q198" s="1"/>
      <c r="R198" s="11"/>
    </row>
    <row r="199" spans="17:18" x14ac:dyDescent="0.25">
      <c r="Q199" s="1"/>
      <c r="R199" s="11"/>
    </row>
    <row r="200" spans="17:18" x14ac:dyDescent="0.25">
      <c r="Q200" s="1"/>
      <c r="R200" s="11"/>
    </row>
    <row r="201" spans="17:18" x14ac:dyDescent="0.25">
      <c r="Q201" s="1"/>
      <c r="R201" s="11"/>
    </row>
    <row r="202" spans="17:18" x14ac:dyDescent="0.25">
      <c r="Q202" s="1"/>
      <c r="R202" s="11"/>
    </row>
    <row r="203" spans="17:18" x14ac:dyDescent="0.25">
      <c r="Q203" s="1"/>
      <c r="R203" s="11"/>
    </row>
    <row r="204" spans="17:18" x14ac:dyDescent="0.25">
      <c r="Q204" s="1"/>
      <c r="R204" s="11"/>
    </row>
    <row r="205" spans="17:18" x14ac:dyDescent="0.25">
      <c r="Q205" s="1"/>
      <c r="R205" s="11"/>
    </row>
    <row r="206" spans="17:18" x14ac:dyDescent="0.25">
      <c r="Q206" s="1"/>
      <c r="R206" s="11"/>
    </row>
    <row r="207" spans="17:18" x14ac:dyDescent="0.25">
      <c r="Q207" s="1"/>
      <c r="R207" s="11"/>
    </row>
    <row r="208" spans="17:18" x14ac:dyDescent="0.25">
      <c r="Q208" s="1"/>
      <c r="R208" s="11"/>
    </row>
    <row r="209" spans="17:18" x14ac:dyDescent="0.25">
      <c r="Q209" s="1"/>
      <c r="R209" s="11"/>
    </row>
    <row r="210" spans="17:18" x14ac:dyDescent="0.25">
      <c r="Q210" s="1"/>
      <c r="R210" s="11"/>
    </row>
    <row r="211" spans="17:18" x14ac:dyDescent="0.25">
      <c r="Q211" s="1"/>
      <c r="R211" s="11"/>
    </row>
    <row r="212" spans="17:18" x14ac:dyDescent="0.25">
      <c r="Q212" s="1"/>
      <c r="R212" s="11"/>
    </row>
    <row r="213" spans="17:18" x14ac:dyDescent="0.25">
      <c r="Q213" s="1"/>
      <c r="R213" s="11"/>
    </row>
    <row r="214" spans="17:18" x14ac:dyDescent="0.25">
      <c r="Q214" s="1"/>
      <c r="R214" s="11"/>
    </row>
    <row r="215" spans="17:18" x14ac:dyDescent="0.25">
      <c r="Q215" s="1"/>
      <c r="R215" s="11"/>
    </row>
    <row r="216" spans="17:18" x14ac:dyDescent="0.25">
      <c r="Q216" s="1"/>
      <c r="R216" s="11"/>
    </row>
    <row r="217" spans="17:18" x14ac:dyDescent="0.25">
      <c r="Q217" s="1"/>
      <c r="R217" s="11"/>
    </row>
    <row r="218" spans="17:18" x14ac:dyDescent="0.25">
      <c r="Q218" s="1"/>
      <c r="R218" s="11"/>
    </row>
    <row r="219" spans="17:18" x14ac:dyDescent="0.25">
      <c r="Q219" s="1"/>
      <c r="R219" s="11"/>
    </row>
    <row r="220" spans="17:18" x14ac:dyDescent="0.25">
      <c r="Q220" s="1"/>
      <c r="R220" s="11"/>
    </row>
    <row r="221" spans="17:18" x14ac:dyDescent="0.25">
      <c r="Q221" s="1"/>
      <c r="R221" s="11"/>
    </row>
    <row r="222" spans="17:18" x14ac:dyDescent="0.25">
      <c r="Q222" s="1"/>
      <c r="R222" s="11"/>
    </row>
    <row r="223" spans="17:18" x14ac:dyDescent="0.25">
      <c r="Q223" s="1"/>
      <c r="R223" s="11"/>
    </row>
    <row r="224" spans="17:18" x14ac:dyDescent="0.25">
      <c r="Q224" s="1"/>
      <c r="R224" s="11"/>
    </row>
    <row r="225" spans="17:18" x14ac:dyDescent="0.25">
      <c r="Q225" s="1"/>
      <c r="R225" s="11"/>
    </row>
    <row r="226" spans="17:18" x14ac:dyDescent="0.25">
      <c r="Q226" s="1"/>
      <c r="R226" s="11"/>
    </row>
    <row r="227" spans="17:18" x14ac:dyDescent="0.25">
      <c r="Q227" s="1"/>
      <c r="R227" s="11"/>
    </row>
    <row r="228" spans="17:18" x14ac:dyDescent="0.25">
      <c r="Q228" s="1"/>
      <c r="R228" s="11"/>
    </row>
    <row r="229" spans="17:18" x14ac:dyDescent="0.25">
      <c r="Q229" s="1"/>
      <c r="R229" s="11"/>
    </row>
    <row r="230" spans="17:18" x14ac:dyDescent="0.25">
      <c r="Q230" s="1"/>
      <c r="R230" s="11"/>
    </row>
    <row r="231" spans="17:18" x14ac:dyDescent="0.25">
      <c r="Q231" s="1"/>
      <c r="R231" s="11"/>
    </row>
    <row r="232" spans="17:18" x14ac:dyDescent="0.25">
      <c r="Q232" s="1"/>
      <c r="R232" s="11"/>
    </row>
    <row r="233" spans="17:18" x14ac:dyDescent="0.25">
      <c r="Q233" s="1"/>
      <c r="R233" s="11"/>
    </row>
    <row r="234" spans="17:18" x14ac:dyDescent="0.25">
      <c r="Q234" s="1"/>
      <c r="R234" s="11"/>
    </row>
    <row r="235" spans="17:18" x14ac:dyDescent="0.25">
      <c r="Q235" s="1"/>
      <c r="R235" s="11"/>
    </row>
    <row r="236" spans="17:18" x14ac:dyDescent="0.25">
      <c r="Q236" s="1"/>
      <c r="R236" s="11"/>
    </row>
    <row r="237" spans="17:18" x14ac:dyDescent="0.25">
      <c r="Q237" s="1"/>
      <c r="R237" s="11"/>
    </row>
    <row r="238" spans="17:18" x14ac:dyDescent="0.25">
      <c r="Q238" s="1"/>
      <c r="R238" s="11"/>
    </row>
    <row r="239" spans="17:18" x14ac:dyDescent="0.25">
      <c r="Q239" s="1"/>
      <c r="R239" s="11"/>
    </row>
    <row r="240" spans="17:18" x14ac:dyDescent="0.25">
      <c r="Q240" s="1"/>
      <c r="R240" s="11"/>
    </row>
    <row r="241" spans="17:18" x14ac:dyDescent="0.25">
      <c r="Q241" s="1"/>
      <c r="R241" s="11"/>
    </row>
    <row r="242" spans="17:18" x14ac:dyDescent="0.25">
      <c r="Q242" s="1"/>
      <c r="R242" s="11"/>
    </row>
    <row r="243" spans="17:18" x14ac:dyDescent="0.25">
      <c r="Q243" s="1"/>
      <c r="R243" s="11"/>
    </row>
    <row r="244" spans="17:18" x14ac:dyDescent="0.25">
      <c r="Q244" s="1"/>
      <c r="R244" s="11"/>
    </row>
    <row r="245" spans="17:18" x14ac:dyDescent="0.25">
      <c r="Q245" s="1"/>
      <c r="R245" s="11"/>
    </row>
    <row r="246" spans="17:18" x14ac:dyDescent="0.25">
      <c r="Q246" s="1"/>
      <c r="R246" s="11"/>
    </row>
    <row r="247" spans="17:18" x14ac:dyDescent="0.25">
      <c r="Q247" s="1"/>
      <c r="R247" s="11"/>
    </row>
    <row r="248" spans="17:18" x14ac:dyDescent="0.25">
      <c r="Q248" s="1"/>
      <c r="R248" s="11"/>
    </row>
    <row r="249" spans="17:18" x14ac:dyDescent="0.25">
      <c r="Q249" s="1"/>
      <c r="R249" s="11"/>
    </row>
    <row r="250" spans="17:18" x14ac:dyDescent="0.25">
      <c r="Q250" s="1"/>
      <c r="R250" s="11"/>
    </row>
    <row r="251" spans="17:18" x14ac:dyDescent="0.25">
      <c r="Q251" s="1"/>
      <c r="R251" s="11"/>
    </row>
    <row r="252" spans="17:18" x14ac:dyDescent="0.25">
      <c r="Q252" s="1"/>
      <c r="R252" s="11"/>
    </row>
    <row r="253" spans="17:18" x14ac:dyDescent="0.25">
      <c r="Q253" s="1"/>
      <c r="R253" s="11"/>
    </row>
    <row r="254" spans="17:18" x14ac:dyDescent="0.25">
      <c r="Q254" s="1"/>
      <c r="R254" s="11"/>
    </row>
    <row r="255" spans="17:18" x14ac:dyDescent="0.25">
      <c r="Q255" s="1"/>
      <c r="R255" s="11"/>
    </row>
    <row r="256" spans="17:18" x14ac:dyDescent="0.25">
      <c r="Q256" s="1"/>
      <c r="R256" s="11"/>
    </row>
    <row r="257" spans="17:18" x14ac:dyDescent="0.25">
      <c r="Q257" s="1"/>
      <c r="R257" s="11"/>
    </row>
    <row r="258" spans="17:18" x14ac:dyDescent="0.25">
      <c r="Q258" s="1"/>
      <c r="R258" s="11"/>
    </row>
    <row r="259" spans="17:18" x14ac:dyDescent="0.25">
      <c r="Q259" s="1"/>
      <c r="R259" s="11"/>
    </row>
    <row r="260" spans="17:18" x14ac:dyDescent="0.25">
      <c r="Q260" s="1"/>
      <c r="R260" s="11"/>
    </row>
    <row r="261" spans="17:18" x14ac:dyDescent="0.25">
      <c r="Q261" s="1"/>
      <c r="R261" s="11"/>
    </row>
    <row r="262" spans="17:18" x14ac:dyDescent="0.25">
      <c r="Q262" s="1"/>
      <c r="R262" s="11"/>
    </row>
    <row r="263" spans="17:18" x14ac:dyDescent="0.25">
      <c r="Q263" s="1"/>
      <c r="R263" s="11"/>
    </row>
    <row r="264" spans="17:18" x14ac:dyDescent="0.25">
      <c r="Q264" s="1"/>
      <c r="R264" s="11"/>
    </row>
    <row r="265" spans="17:18" x14ac:dyDescent="0.25">
      <c r="Q265" s="1"/>
      <c r="R265" s="11"/>
    </row>
    <row r="266" spans="17:18" x14ac:dyDescent="0.25">
      <c r="Q266" s="1"/>
      <c r="R266" s="11"/>
    </row>
    <row r="267" spans="17:18" x14ac:dyDescent="0.25">
      <c r="Q267" s="1"/>
      <c r="R267" s="11"/>
    </row>
    <row r="268" spans="17:18" x14ac:dyDescent="0.25">
      <c r="Q268" s="1"/>
      <c r="R268" s="11"/>
    </row>
    <row r="269" spans="17:18" x14ac:dyDescent="0.25">
      <c r="Q269" s="1"/>
      <c r="R269" s="11"/>
    </row>
    <row r="270" spans="17:18" x14ac:dyDescent="0.25">
      <c r="Q270" s="1"/>
      <c r="R270" s="11"/>
    </row>
    <row r="271" spans="17:18" x14ac:dyDescent="0.25">
      <c r="Q271" s="1"/>
      <c r="R271" s="11"/>
    </row>
    <row r="272" spans="17:18" x14ac:dyDescent="0.25">
      <c r="Q272" s="1"/>
      <c r="R272" s="11"/>
    </row>
    <row r="273" spans="17:18" x14ac:dyDescent="0.25">
      <c r="Q273" s="1"/>
      <c r="R273" s="11"/>
    </row>
    <row r="274" spans="17:18" x14ac:dyDescent="0.25">
      <c r="Q274" s="1"/>
      <c r="R274" s="11"/>
    </row>
    <row r="275" spans="17:18" x14ac:dyDescent="0.25">
      <c r="Q275" s="1"/>
      <c r="R275" s="11"/>
    </row>
    <row r="276" spans="17:18" x14ac:dyDescent="0.25">
      <c r="Q276" s="1"/>
      <c r="R276" s="11"/>
    </row>
    <row r="277" spans="17:18" x14ac:dyDescent="0.25">
      <c r="Q277" s="1"/>
      <c r="R277" s="11"/>
    </row>
    <row r="278" spans="17:18" x14ac:dyDescent="0.25">
      <c r="Q278" s="1"/>
      <c r="R278" s="11"/>
    </row>
    <row r="279" spans="17:18" x14ac:dyDescent="0.25">
      <c r="Q279" s="1"/>
      <c r="R279" s="11"/>
    </row>
    <row r="280" spans="17:18" x14ac:dyDescent="0.25">
      <c r="Q280" s="1"/>
      <c r="R280" s="11"/>
    </row>
    <row r="281" spans="17:18" x14ac:dyDescent="0.25">
      <c r="Q281" s="1"/>
      <c r="R281" s="11"/>
    </row>
    <row r="282" spans="17:18" x14ac:dyDescent="0.25">
      <c r="Q282" s="1"/>
      <c r="R282" s="11"/>
    </row>
    <row r="283" spans="17:18" x14ac:dyDescent="0.25">
      <c r="Q283" s="1"/>
      <c r="R283" s="11"/>
    </row>
    <row r="284" spans="17:18" x14ac:dyDescent="0.25">
      <c r="Q284" s="1"/>
      <c r="R284" s="11"/>
    </row>
    <row r="285" spans="17:18" x14ac:dyDescent="0.25">
      <c r="Q285" s="1"/>
      <c r="R285" s="11"/>
    </row>
    <row r="286" spans="17:18" x14ac:dyDescent="0.25">
      <c r="Q286" s="1"/>
      <c r="R286" s="11"/>
    </row>
    <row r="287" spans="17:18" x14ac:dyDescent="0.25">
      <c r="Q287" s="1"/>
      <c r="R287" s="11"/>
    </row>
    <row r="288" spans="17:18" x14ac:dyDescent="0.25">
      <c r="Q288" s="1"/>
      <c r="R288" s="11"/>
    </row>
    <row r="289" spans="17:18" x14ac:dyDescent="0.25">
      <c r="Q289" s="1"/>
      <c r="R289" s="11"/>
    </row>
    <row r="290" spans="17:18" x14ac:dyDescent="0.25">
      <c r="Q290" s="1"/>
      <c r="R290" s="11"/>
    </row>
    <row r="291" spans="17:18" x14ac:dyDescent="0.25">
      <c r="Q291" s="1"/>
      <c r="R291" s="11"/>
    </row>
    <row r="292" spans="17:18" x14ac:dyDescent="0.25">
      <c r="Q292" s="1"/>
      <c r="R292" s="11"/>
    </row>
    <row r="293" spans="17:18" x14ac:dyDescent="0.25">
      <c r="Q293" s="1"/>
      <c r="R293" s="11"/>
    </row>
    <row r="294" spans="17:18" x14ac:dyDescent="0.25">
      <c r="Q294" s="1"/>
      <c r="R294" s="11"/>
    </row>
    <row r="295" spans="17:18" x14ac:dyDescent="0.25">
      <c r="Q295" s="1"/>
      <c r="R295" s="11"/>
    </row>
    <row r="296" spans="17:18" x14ac:dyDescent="0.25">
      <c r="Q296" s="1"/>
      <c r="R296" s="11"/>
    </row>
    <row r="297" spans="17:18" x14ac:dyDescent="0.25">
      <c r="Q297" s="1"/>
      <c r="R297" s="11"/>
    </row>
    <row r="298" spans="17:18" x14ac:dyDescent="0.25">
      <c r="Q298" s="1"/>
      <c r="R298" s="11"/>
    </row>
    <row r="299" spans="17:18" x14ac:dyDescent="0.25">
      <c r="Q299" s="1"/>
      <c r="R299" s="11"/>
    </row>
    <row r="300" spans="17:18" x14ac:dyDescent="0.25">
      <c r="Q300" s="1"/>
      <c r="R300" s="11"/>
    </row>
    <row r="301" spans="17:18" x14ac:dyDescent="0.25">
      <c r="Q301" s="1"/>
      <c r="R301" s="11"/>
    </row>
    <row r="302" spans="17:18" x14ac:dyDescent="0.25">
      <c r="Q302" s="1"/>
      <c r="R302" s="11"/>
    </row>
    <row r="303" spans="17:18" x14ac:dyDescent="0.25">
      <c r="Q303" s="1"/>
      <c r="R303" s="11"/>
    </row>
    <row r="304" spans="17:18" x14ac:dyDescent="0.25">
      <c r="Q304" s="1"/>
      <c r="R304" s="11"/>
    </row>
    <row r="305" spans="17:18" x14ac:dyDescent="0.25">
      <c r="Q305" s="1"/>
      <c r="R305" s="11"/>
    </row>
    <row r="306" spans="17:18" x14ac:dyDescent="0.25">
      <c r="Q306" s="1"/>
      <c r="R306" s="11"/>
    </row>
    <row r="307" spans="17:18" x14ac:dyDescent="0.25">
      <c r="Q307" s="1"/>
      <c r="R307" s="11"/>
    </row>
    <row r="308" spans="17:18" x14ac:dyDescent="0.25">
      <c r="Q308" s="1"/>
      <c r="R308" s="11"/>
    </row>
    <row r="309" spans="17:18" x14ac:dyDescent="0.25">
      <c r="Q309" s="1"/>
      <c r="R309" s="11"/>
    </row>
    <row r="310" spans="17:18" x14ac:dyDescent="0.25">
      <c r="Q310" s="1"/>
      <c r="R310" s="11"/>
    </row>
    <row r="311" spans="17:18" x14ac:dyDescent="0.25">
      <c r="Q311" s="1"/>
      <c r="R311" s="11"/>
    </row>
    <row r="312" spans="17:18" x14ac:dyDescent="0.25">
      <c r="Q312" s="1"/>
      <c r="R312" s="11"/>
    </row>
    <row r="313" spans="17:18" x14ac:dyDescent="0.25">
      <c r="Q313" s="1"/>
      <c r="R313" s="11"/>
    </row>
    <row r="314" spans="17:18" x14ac:dyDescent="0.25">
      <c r="Q314" s="1"/>
      <c r="R314" s="11"/>
    </row>
    <row r="315" spans="17:18" x14ac:dyDescent="0.25">
      <c r="Q315" s="1"/>
      <c r="R315" s="11"/>
    </row>
    <row r="316" spans="17:18" x14ac:dyDescent="0.25">
      <c r="Q316" s="1"/>
      <c r="R316" s="11"/>
    </row>
    <row r="317" spans="17:18" x14ac:dyDescent="0.25">
      <c r="Q317" s="1"/>
      <c r="R317" s="11"/>
    </row>
    <row r="318" spans="17:18" x14ac:dyDescent="0.25">
      <c r="Q318" s="1"/>
      <c r="R318" s="11"/>
    </row>
    <row r="319" spans="17:18" x14ac:dyDescent="0.25">
      <c r="Q319" s="1"/>
      <c r="R319" s="11"/>
    </row>
    <row r="320" spans="17:18" x14ac:dyDescent="0.25">
      <c r="Q320" s="1"/>
      <c r="R320" s="11"/>
    </row>
    <row r="321" spans="17:18" x14ac:dyDescent="0.25">
      <c r="Q321" s="1"/>
      <c r="R321" s="11"/>
    </row>
    <row r="322" spans="17:18" x14ac:dyDescent="0.25">
      <c r="Q322" s="1"/>
      <c r="R322" s="11"/>
    </row>
    <row r="323" spans="17:18" x14ac:dyDescent="0.25">
      <c r="Q323" s="1"/>
      <c r="R323" s="11"/>
    </row>
    <row r="324" spans="17:18" x14ac:dyDescent="0.25">
      <c r="Q324" s="1"/>
      <c r="R324" s="11"/>
    </row>
    <row r="325" spans="17:18" x14ac:dyDescent="0.25">
      <c r="Q325" s="1"/>
      <c r="R325" s="11"/>
    </row>
    <row r="326" spans="17:18" x14ac:dyDescent="0.25">
      <c r="Q326" s="1"/>
      <c r="R326" s="11"/>
    </row>
    <row r="327" spans="17:18" x14ac:dyDescent="0.25">
      <c r="Q327" s="1"/>
      <c r="R327" s="11"/>
    </row>
    <row r="328" spans="17:18" x14ac:dyDescent="0.25">
      <c r="Q328" s="1"/>
      <c r="R328" s="11"/>
    </row>
    <row r="329" spans="17:18" x14ac:dyDescent="0.25">
      <c r="Q329" s="1"/>
      <c r="R329" s="11"/>
    </row>
    <row r="330" spans="17:18" x14ac:dyDescent="0.25">
      <c r="Q330" s="1"/>
      <c r="R330" s="11"/>
    </row>
    <row r="331" spans="17:18" x14ac:dyDescent="0.25">
      <c r="Q331" s="1"/>
      <c r="R331" s="11"/>
    </row>
    <row r="332" spans="17:18" x14ac:dyDescent="0.25">
      <c r="Q332" s="1"/>
      <c r="R332" s="11"/>
    </row>
    <row r="333" spans="17:18" x14ac:dyDescent="0.25">
      <c r="Q333" s="1"/>
      <c r="R333" s="11"/>
    </row>
    <row r="334" spans="17:18" x14ac:dyDescent="0.25">
      <c r="Q334" s="1"/>
      <c r="R334" s="11"/>
    </row>
    <row r="335" spans="17:18" x14ac:dyDescent="0.25">
      <c r="Q335" s="1"/>
      <c r="R335" s="11"/>
    </row>
    <row r="336" spans="17:18" x14ac:dyDescent="0.25">
      <c r="Q336" s="1"/>
      <c r="R336" s="11"/>
    </row>
    <row r="337" spans="17:18" x14ac:dyDescent="0.25">
      <c r="Q337" s="1"/>
      <c r="R337" s="11"/>
    </row>
    <row r="338" spans="17:18" x14ac:dyDescent="0.25">
      <c r="Q338" s="1"/>
      <c r="R338" s="11"/>
    </row>
    <row r="339" spans="17:18" x14ac:dyDescent="0.25">
      <c r="Q339" s="1"/>
      <c r="R339" s="11"/>
    </row>
    <row r="340" spans="17:18" x14ac:dyDescent="0.25">
      <c r="Q340" s="1"/>
      <c r="R340" s="11"/>
    </row>
    <row r="341" spans="17:18" x14ac:dyDescent="0.25">
      <c r="Q341" s="1"/>
      <c r="R341" s="11"/>
    </row>
    <row r="342" spans="17:18" x14ac:dyDescent="0.25">
      <c r="Q342" s="1"/>
      <c r="R342" s="11"/>
    </row>
    <row r="343" spans="17:18" x14ac:dyDescent="0.25">
      <c r="Q343" s="1"/>
      <c r="R343" s="11"/>
    </row>
    <row r="344" spans="17:18" x14ac:dyDescent="0.25">
      <c r="Q344" s="1"/>
      <c r="R344" s="11"/>
    </row>
    <row r="345" spans="17:18" x14ac:dyDescent="0.25">
      <c r="Q345" s="1"/>
      <c r="R345" s="11"/>
    </row>
    <row r="346" spans="17:18" x14ac:dyDescent="0.25">
      <c r="Q346" s="1"/>
      <c r="R346" s="11"/>
    </row>
    <row r="347" spans="17:18" x14ac:dyDescent="0.25">
      <c r="Q347" s="1"/>
      <c r="R347" s="11"/>
    </row>
    <row r="348" spans="17:18" x14ac:dyDescent="0.25">
      <c r="Q348" s="1"/>
      <c r="R348" s="11"/>
    </row>
    <row r="349" spans="17:18" x14ac:dyDescent="0.25">
      <c r="Q349" s="1"/>
      <c r="R349" s="11"/>
    </row>
    <row r="350" spans="17:18" x14ac:dyDescent="0.25">
      <c r="Q350" s="1"/>
      <c r="R350" s="11"/>
    </row>
    <row r="351" spans="17:18" x14ac:dyDescent="0.25">
      <c r="Q351" s="1"/>
      <c r="R351" s="11"/>
    </row>
    <row r="352" spans="17:18" x14ac:dyDescent="0.25">
      <c r="Q352" s="1"/>
      <c r="R352" s="11"/>
    </row>
    <row r="353" spans="17:18" x14ac:dyDescent="0.25">
      <c r="Q353" s="1"/>
      <c r="R353" s="11"/>
    </row>
    <row r="354" spans="17:18" x14ac:dyDescent="0.25">
      <c r="Q354" s="1"/>
      <c r="R354" s="11"/>
    </row>
    <row r="355" spans="17:18" x14ac:dyDescent="0.25">
      <c r="Q355" s="1"/>
      <c r="R355" s="11"/>
    </row>
    <row r="356" spans="17:18" x14ac:dyDescent="0.25">
      <c r="Q356" s="1"/>
      <c r="R356" s="11"/>
    </row>
    <row r="357" spans="17:18" x14ac:dyDescent="0.25">
      <c r="Q357" s="1"/>
      <c r="R357" s="11"/>
    </row>
    <row r="358" spans="17:18" x14ac:dyDescent="0.25">
      <c r="Q358" s="1"/>
      <c r="R358" s="11"/>
    </row>
    <row r="359" spans="17:18" x14ac:dyDescent="0.25">
      <c r="Q359" s="1"/>
      <c r="R359" s="11"/>
    </row>
    <row r="360" spans="17:18" x14ac:dyDescent="0.25">
      <c r="Q360" s="1"/>
      <c r="R360" s="11"/>
    </row>
    <row r="361" spans="17:18" x14ac:dyDescent="0.25">
      <c r="Q361" s="1"/>
      <c r="R361" s="11"/>
    </row>
    <row r="362" spans="17:18" x14ac:dyDescent="0.25">
      <c r="Q362" s="1"/>
      <c r="R362" s="11"/>
    </row>
    <row r="363" spans="17:18" x14ac:dyDescent="0.25">
      <c r="Q363" s="1"/>
      <c r="R363" s="11"/>
    </row>
    <row r="364" spans="17:18" x14ac:dyDescent="0.25">
      <c r="Q364" s="1"/>
      <c r="R364" s="11"/>
    </row>
    <row r="365" spans="17:18" x14ac:dyDescent="0.25">
      <c r="Q365" s="1"/>
      <c r="R365" s="11"/>
    </row>
    <row r="366" spans="17:18" x14ac:dyDescent="0.25">
      <c r="Q366" s="1"/>
      <c r="R366" s="11"/>
    </row>
    <row r="367" spans="17:18" x14ac:dyDescent="0.25">
      <c r="Q367" s="1"/>
      <c r="R367" s="11"/>
    </row>
    <row r="368" spans="17:18" x14ac:dyDescent="0.25">
      <c r="Q368" s="1"/>
      <c r="R368" s="11"/>
    </row>
    <row r="369" spans="17:18" x14ac:dyDescent="0.25">
      <c r="Q369" s="1"/>
      <c r="R369" s="11"/>
    </row>
    <row r="370" spans="17:18" x14ac:dyDescent="0.25">
      <c r="Q370" s="1"/>
      <c r="R370" s="11"/>
    </row>
    <row r="371" spans="17:18" x14ac:dyDescent="0.25">
      <c r="Q371" s="1"/>
      <c r="R371" s="11"/>
    </row>
    <row r="372" spans="17:18" x14ac:dyDescent="0.25">
      <c r="Q372" s="1"/>
      <c r="R372" s="11"/>
    </row>
    <row r="373" spans="17:18" x14ac:dyDescent="0.25">
      <c r="Q373" s="1"/>
      <c r="R373" s="11"/>
    </row>
    <row r="374" spans="17:18" x14ac:dyDescent="0.25">
      <c r="Q374" s="1"/>
      <c r="R374" s="11"/>
    </row>
    <row r="375" spans="17:18" x14ac:dyDescent="0.25">
      <c r="Q375" s="1"/>
      <c r="R375" s="11"/>
    </row>
    <row r="376" spans="17:18" x14ac:dyDescent="0.25">
      <c r="Q376" s="1"/>
      <c r="R376" s="11"/>
    </row>
    <row r="377" spans="17:18" x14ac:dyDescent="0.25">
      <c r="Q377" s="1"/>
      <c r="R377" s="11"/>
    </row>
    <row r="378" spans="17:18" x14ac:dyDescent="0.25">
      <c r="Q378" s="1"/>
      <c r="R378" s="11"/>
    </row>
    <row r="379" spans="17:18" x14ac:dyDescent="0.25">
      <c r="Q379" s="1"/>
      <c r="R379" s="11"/>
    </row>
    <row r="380" spans="17:18" x14ac:dyDescent="0.25">
      <c r="Q380" s="1"/>
      <c r="R380" s="11"/>
    </row>
    <row r="381" spans="17:18" x14ac:dyDescent="0.25">
      <c r="Q381" s="1"/>
      <c r="R381" s="11"/>
    </row>
    <row r="382" spans="17:18" x14ac:dyDescent="0.25">
      <c r="Q382" s="1"/>
      <c r="R382" s="11"/>
    </row>
    <row r="383" spans="17:18" x14ac:dyDescent="0.25">
      <c r="Q383" s="1"/>
      <c r="R383" s="11"/>
    </row>
    <row r="384" spans="17:18" x14ac:dyDescent="0.25">
      <c r="Q384" s="1"/>
      <c r="R384" s="11"/>
    </row>
    <row r="385" spans="17:18" x14ac:dyDescent="0.25">
      <c r="Q385" s="1"/>
      <c r="R385" s="11"/>
    </row>
    <row r="386" spans="17:18" x14ac:dyDescent="0.25">
      <c r="Q386" s="1"/>
      <c r="R386" s="11"/>
    </row>
    <row r="387" spans="17:18" x14ac:dyDescent="0.25">
      <c r="Q387" s="1"/>
      <c r="R387" s="11"/>
    </row>
    <row r="388" spans="17:18" x14ac:dyDescent="0.25">
      <c r="Q388" s="1"/>
      <c r="R388" s="11"/>
    </row>
    <row r="389" spans="17:18" x14ac:dyDescent="0.25">
      <c r="Q389" s="1"/>
      <c r="R389" s="11"/>
    </row>
    <row r="390" spans="17:18" x14ac:dyDescent="0.25">
      <c r="Q390" s="1"/>
      <c r="R390" s="11"/>
    </row>
    <row r="391" spans="17:18" x14ac:dyDescent="0.25">
      <c r="Q391" s="1"/>
      <c r="R391" s="11"/>
    </row>
    <row r="392" spans="17:18" x14ac:dyDescent="0.25">
      <c r="Q392" s="1"/>
      <c r="R392" s="11"/>
    </row>
    <row r="393" spans="17:18" x14ac:dyDescent="0.25">
      <c r="Q393" s="1"/>
      <c r="R393" s="11"/>
    </row>
    <row r="394" spans="17:18" x14ac:dyDescent="0.25">
      <c r="Q394" s="1"/>
      <c r="R394" s="11"/>
    </row>
    <row r="395" spans="17:18" x14ac:dyDescent="0.25">
      <c r="Q395" s="1"/>
      <c r="R395" s="11"/>
    </row>
    <row r="396" spans="17:18" x14ac:dyDescent="0.25">
      <c r="Q396" s="1"/>
      <c r="R396" s="11"/>
    </row>
    <row r="397" spans="17:18" x14ac:dyDescent="0.25">
      <c r="Q397" s="1"/>
      <c r="R397" s="11"/>
    </row>
    <row r="398" spans="17:18" x14ac:dyDescent="0.25">
      <c r="Q398" s="1"/>
      <c r="R398" s="11"/>
    </row>
    <row r="399" spans="17:18" x14ac:dyDescent="0.25">
      <c r="Q399" s="1"/>
      <c r="R399" s="11"/>
    </row>
    <row r="400" spans="17:18" x14ac:dyDescent="0.25">
      <c r="Q400" s="1"/>
      <c r="R400" s="11"/>
    </row>
    <row r="401" spans="17:18" x14ac:dyDescent="0.25">
      <c r="Q401" s="1"/>
      <c r="R401" s="11"/>
    </row>
    <row r="402" spans="17:18" x14ac:dyDescent="0.25">
      <c r="Q402" s="1"/>
      <c r="R402" s="11"/>
    </row>
    <row r="403" spans="17:18" x14ac:dyDescent="0.25">
      <c r="Q403" s="1"/>
      <c r="R403" s="11"/>
    </row>
    <row r="404" spans="17:18" x14ac:dyDescent="0.25">
      <c r="Q404" s="1"/>
      <c r="R404" s="11"/>
    </row>
    <row r="405" spans="17:18" x14ac:dyDescent="0.25">
      <c r="Q405" s="1"/>
      <c r="R405" s="11"/>
    </row>
    <row r="406" spans="17:18" x14ac:dyDescent="0.25">
      <c r="Q406" s="1"/>
      <c r="R406" s="11"/>
    </row>
    <row r="407" spans="17:18" x14ac:dyDescent="0.25">
      <c r="Q407" s="1"/>
      <c r="R407" s="11"/>
    </row>
    <row r="408" spans="17:18" x14ac:dyDescent="0.25">
      <c r="Q408" s="1"/>
      <c r="R408" s="11"/>
    </row>
    <row r="409" spans="17:18" x14ac:dyDescent="0.25">
      <c r="Q409" s="1"/>
      <c r="R409" s="11"/>
    </row>
    <row r="410" spans="17:18" x14ac:dyDescent="0.25">
      <c r="Q410" s="1"/>
      <c r="R410" s="11"/>
    </row>
    <row r="411" spans="17:18" x14ac:dyDescent="0.25">
      <c r="Q411" s="1"/>
      <c r="R411" s="11"/>
    </row>
    <row r="412" spans="17:18" x14ac:dyDescent="0.25">
      <c r="Q412" s="1"/>
      <c r="R412" s="11"/>
    </row>
    <row r="413" spans="17:18" x14ac:dyDescent="0.25">
      <c r="Q413" s="1"/>
      <c r="R413" s="11"/>
    </row>
    <row r="414" spans="17:18" x14ac:dyDescent="0.25">
      <c r="Q414" s="1"/>
      <c r="R414" s="11"/>
    </row>
    <row r="415" spans="17:18" x14ac:dyDescent="0.25">
      <c r="Q415" s="1"/>
      <c r="R415" s="11"/>
    </row>
    <row r="416" spans="17:18" x14ac:dyDescent="0.25">
      <c r="Q416" s="1"/>
      <c r="R416" s="11"/>
    </row>
    <row r="417" spans="17:18" x14ac:dyDescent="0.25">
      <c r="Q417" s="1"/>
      <c r="R417" s="11"/>
    </row>
    <row r="418" spans="17:18" x14ac:dyDescent="0.25">
      <c r="Q418" s="1"/>
      <c r="R418" s="11"/>
    </row>
    <row r="419" spans="17:18" x14ac:dyDescent="0.25">
      <c r="Q419" s="1"/>
      <c r="R419" s="11"/>
    </row>
    <row r="420" spans="17:18" x14ac:dyDescent="0.25">
      <c r="Q420" s="1"/>
      <c r="R420" s="11"/>
    </row>
    <row r="421" spans="17:18" x14ac:dyDescent="0.25">
      <c r="Q421" s="1"/>
      <c r="R421" s="11"/>
    </row>
    <row r="422" spans="17:18" x14ac:dyDescent="0.25">
      <c r="Q422" s="1"/>
      <c r="R422" s="11"/>
    </row>
    <row r="423" spans="17:18" x14ac:dyDescent="0.25">
      <c r="Q423" s="1"/>
      <c r="R423" s="11"/>
    </row>
    <row r="424" spans="17:18" x14ac:dyDescent="0.25">
      <c r="Q424" s="1"/>
      <c r="R424" s="11"/>
    </row>
    <row r="425" spans="17:18" x14ac:dyDescent="0.25">
      <c r="Q425" s="1"/>
      <c r="R425" s="11"/>
    </row>
    <row r="426" spans="17:18" x14ac:dyDescent="0.25">
      <c r="Q426" s="1"/>
      <c r="R426" s="11"/>
    </row>
    <row r="427" spans="17:18" x14ac:dyDescent="0.25">
      <c r="Q427" s="1"/>
      <c r="R427" s="11"/>
    </row>
    <row r="428" spans="17:18" x14ac:dyDescent="0.25">
      <c r="Q428" s="1"/>
      <c r="R428" s="11"/>
    </row>
    <row r="429" spans="17:18" x14ac:dyDescent="0.25">
      <c r="Q429" s="1"/>
      <c r="R429" s="11"/>
    </row>
    <row r="430" spans="17:18" x14ac:dyDescent="0.25">
      <c r="Q430" s="1"/>
      <c r="R430" s="11"/>
    </row>
    <row r="431" spans="17:18" x14ac:dyDescent="0.25">
      <c r="Q431" s="1"/>
      <c r="R431" s="11"/>
    </row>
    <row r="432" spans="17:18" x14ac:dyDescent="0.25">
      <c r="Q432" s="1"/>
      <c r="R432" s="11"/>
    </row>
    <row r="433" spans="17:18" x14ac:dyDescent="0.25">
      <c r="Q433" s="1"/>
      <c r="R433" s="11"/>
    </row>
    <row r="434" spans="17:18" x14ac:dyDescent="0.25">
      <c r="Q434" s="1"/>
      <c r="R434" s="11"/>
    </row>
    <row r="435" spans="17:18" x14ac:dyDescent="0.25">
      <c r="Q435" s="1"/>
      <c r="R435" s="11"/>
    </row>
    <row r="436" spans="17:18" x14ac:dyDescent="0.25">
      <c r="Q436" s="1"/>
      <c r="R436" s="11"/>
    </row>
    <row r="437" spans="17:18" x14ac:dyDescent="0.25">
      <c r="Q437" s="1"/>
      <c r="R437" s="11"/>
    </row>
    <row r="438" spans="17:18" x14ac:dyDescent="0.25">
      <c r="Q438" s="1"/>
      <c r="R438" s="11"/>
    </row>
    <row r="439" spans="17:18" x14ac:dyDescent="0.25">
      <c r="Q439" s="1"/>
      <c r="R439" s="11"/>
    </row>
    <row r="440" spans="17:18" x14ac:dyDescent="0.25">
      <c r="Q440" s="1"/>
      <c r="R440" s="11"/>
    </row>
    <row r="441" spans="17:18" x14ac:dyDescent="0.25">
      <c r="Q441" s="1"/>
      <c r="R441" s="11"/>
    </row>
    <row r="442" spans="17:18" x14ac:dyDescent="0.25">
      <c r="Q442" s="1"/>
      <c r="R442" s="11"/>
    </row>
    <row r="443" spans="17:18" x14ac:dyDescent="0.25">
      <c r="Q443" s="1"/>
      <c r="R443" s="11"/>
    </row>
    <row r="444" spans="17:18" x14ac:dyDescent="0.25">
      <c r="Q444" s="1"/>
      <c r="R444" s="11"/>
    </row>
    <row r="445" spans="17:18" x14ac:dyDescent="0.25">
      <c r="Q445" s="1"/>
      <c r="R445" s="11"/>
    </row>
    <row r="446" spans="17:18" x14ac:dyDescent="0.25">
      <c r="Q446" s="1"/>
      <c r="R446" s="11"/>
    </row>
    <row r="447" spans="17:18" x14ac:dyDescent="0.25">
      <c r="Q447" s="1"/>
      <c r="R447" s="11"/>
    </row>
    <row r="448" spans="17:18" x14ac:dyDescent="0.25">
      <c r="Q448" s="1"/>
      <c r="R448" s="11"/>
    </row>
    <row r="449" spans="17:18" x14ac:dyDescent="0.25">
      <c r="Q449" s="1"/>
      <c r="R449" s="11"/>
    </row>
    <row r="450" spans="17:18" x14ac:dyDescent="0.25">
      <c r="Q450" s="1"/>
      <c r="R450" s="11"/>
    </row>
    <row r="451" spans="17:18" x14ac:dyDescent="0.25">
      <c r="Q451" s="1"/>
      <c r="R451" s="11"/>
    </row>
    <row r="452" spans="17:18" x14ac:dyDescent="0.25">
      <c r="Q452" s="1"/>
      <c r="R452" s="11"/>
    </row>
    <row r="453" spans="17:18" x14ac:dyDescent="0.25">
      <c r="Q453" s="1"/>
      <c r="R453" s="11"/>
    </row>
    <row r="454" spans="17:18" x14ac:dyDescent="0.25">
      <c r="Q454" s="1"/>
      <c r="R454" s="11"/>
    </row>
    <row r="455" spans="17:18" x14ac:dyDescent="0.25">
      <c r="Q455" s="1"/>
      <c r="R455" s="11"/>
    </row>
    <row r="456" spans="17:18" x14ac:dyDescent="0.25">
      <c r="Q456" s="1"/>
      <c r="R456" s="11"/>
    </row>
    <row r="457" spans="17:18" x14ac:dyDescent="0.25">
      <c r="Q457" s="1"/>
      <c r="R457" s="11"/>
    </row>
    <row r="458" spans="17:18" x14ac:dyDescent="0.25">
      <c r="Q458" s="1"/>
      <c r="R458" s="11"/>
    </row>
    <row r="459" spans="17:18" x14ac:dyDescent="0.25">
      <c r="Q459" s="1"/>
      <c r="R459" s="11"/>
    </row>
    <row r="460" spans="17:18" x14ac:dyDescent="0.25">
      <c r="Q460" s="1"/>
      <c r="R460" s="11"/>
    </row>
    <row r="461" spans="17:18" x14ac:dyDescent="0.25">
      <c r="Q461" s="1"/>
      <c r="R461" s="11"/>
    </row>
    <row r="462" spans="17:18" x14ac:dyDescent="0.25">
      <c r="Q462" s="1"/>
      <c r="R462" s="11"/>
    </row>
    <row r="463" spans="17:18" x14ac:dyDescent="0.25">
      <c r="Q463" s="1"/>
      <c r="R463" s="11"/>
    </row>
    <row r="464" spans="17:18" x14ac:dyDescent="0.25">
      <c r="Q464" s="1"/>
      <c r="R464" s="11"/>
    </row>
    <row r="465" spans="17:18" x14ac:dyDescent="0.25">
      <c r="Q465" s="1"/>
      <c r="R465" s="11"/>
    </row>
    <row r="466" spans="17:18" x14ac:dyDescent="0.25">
      <c r="Q466" s="1"/>
      <c r="R466" s="11"/>
    </row>
    <row r="467" spans="17:18" x14ac:dyDescent="0.25">
      <c r="Q467" s="1"/>
      <c r="R467" s="11"/>
    </row>
    <row r="468" spans="17:18" x14ac:dyDescent="0.25">
      <c r="Q468" s="1"/>
      <c r="R468" s="11"/>
    </row>
    <row r="469" spans="17:18" x14ac:dyDescent="0.25">
      <c r="Q469" s="1"/>
      <c r="R469" s="11"/>
    </row>
    <row r="470" spans="17:18" x14ac:dyDescent="0.25">
      <c r="Q470" s="1"/>
      <c r="R470" s="11"/>
    </row>
    <row r="471" spans="17:18" x14ac:dyDescent="0.25">
      <c r="Q471" s="1"/>
      <c r="R471" s="11"/>
    </row>
    <row r="472" spans="17:18" x14ac:dyDescent="0.25">
      <c r="Q472" s="1"/>
      <c r="R472" s="11"/>
    </row>
    <row r="473" spans="17:18" x14ac:dyDescent="0.25">
      <c r="Q473" s="1"/>
      <c r="R473" s="11"/>
    </row>
    <row r="474" spans="17:18" x14ac:dyDescent="0.25">
      <c r="Q474" s="1"/>
      <c r="R474" s="11"/>
    </row>
    <row r="475" spans="17:18" x14ac:dyDescent="0.25">
      <c r="Q475" s="1"/>
      <c r="R475" s="11"/>
    </row>
    <row r="476" spans="17:18" x14ac:dyDescent="0.25">
      <c r="Q476" s="1"/>
      <c r="R476" s="11"/>
    </row>
    <row r="477" spans="17:18" x14ac:dyDescent="0.25">
      <c r="Q477" s="1"/>
      <c r="R477" s="11"/>
    </row>
    <row r="478" spans="17:18" x14ac:dyDescent="0.25">
      <c r="Q478" s="1"/>
      <c r="R478" s="11"/>
    </row>
    <row r="479" spans="17:18" x14ac:dyDescent="0.25">
      <c r="Q479" s="1"/>
      <c r="R479" s="11"/>
    </row>
    <row r="480" spans="17:18" x14ac:dyDescent="0.25">
      <c r="Q480" s="1"/>
      <c r="R480" s="11"/>
    </row>
    <row r="481" spans="17:18" x14ac:dyDescent="0.25">
      <c r="Q481" s="1"/>
      <c r="R481" s="11"/>
    </row>
    <row r="482" spans="17:18" x14ac:dyDescent="0.25">
      <c r="Q482" s="1"/>
      <c r="R482" s="11"/>
    </row>
    <row r="483" spans="17:18" x14ac:dyDescent="0.25">
      <c r="Q483" s="1"/>
      <c r="R483" s="11"/>
    </row>
    <row r="484" spans="17:18" x14ac:dyDescent="0.25">
      <c r="Q484" s="1"/>
      <c r="R484" s="11"/>
    </row>
    <row r="485" spans="17:18" x14ac:dyDescent="0.25">
      <c r="Q485" s="1"/>
      <c r="R485" s="11"/>
    </row>
    <row r="486" spans="17:18" x14ac:dyDescent="0.25">
      <c r="Q486" s="1"/>
      <c r="R486" s="11"/>
    </row>
    <row r="487" spans="17:18" x14ac:dyDescent="0.25">
      <c r="Q487" s="1"/>
      <c r="R487" s="11"/>
    </row>
    <row r="488" spans="17:18" x14ac:dyDescent="0.25">
      <c r="Q488" s="1"/>
      <c r="R488" s="11"/>
    </row>
    <row r="489" spans="17:18" x14ac:dyDescent="0.25">
      <c r="Q489" s="1"/>
      <c r="R489" s="11"/>
    </row>
    <row r="490" spans="17:18" x14ac:dyDescent="0.25">
      <c r="Q490" s="1"/>
      <c r="R490" s="11"/>
    </row>
    <row r="491" spans="17:18" x14ac:dyDescent="0.25">
      <c r="Q491" s="1"/>
      <c r="R491" s="11"/>
    </row>
    <row r="492" spans="17:18" x14ac:dyDescent="0.25">
      <c r="Q492" s="1"/>
      <c r="R492" s="11"/>
    </row>
    <row r="493" spans="17:18" x14ac:dyDescent="0.25">
      <c r="Q493" s="1"/>
      <c r="R493" s="11"/>
    </row>
    <row r="494" spans="17:18" x14ac:dyDescent="0.25">
      <c r="Q494" s="1"/>
      <c r="R494" s="11"/>
    </row>
    <row r="495" spans="17:18" x14ac:dyDescent="0.25">
      <c r="Q495" s="1"/>
      <c r="R495" s="11"/>
    </row>
    <row r="496" spans="17:18" x14ac:dyDescent="0.25">
      <c r="Q496" s="1"/>
      <c r="R496" s="11"/>
    </row>
    <row r="497" spans="17:18" x14ac:dyDescent="0.25">
      <c r="Q497" s="1"/>
      <c r="R497" s="11"/>
    </row>
    <row r="498" spans="17:18" x14ac:dyDescent="0.25">
      <c r="Q498" s="1"/>
      <c r="R498" s="11"/>
    </row>
    <row r="499" spans="17:18" x14ac:dyDescent="0.25">
      <c r="Q499" s="1"/>
      <c r="R499" s="11"/>
    </row>
    <row r="500" spans="17:18" x14ac:dyDescent="0.25">
      <c r="Q500" s="1"/>
      <c r="R500" s="11"/>
    </row>
    <row r="501" spans="17:18" x14ac:dyDescent="0.25">
      <c r="Q501" s="1"/>
      <c r="R501" s="11"/>
    </row>
    <row r="502" spans="17:18" x14ac:dyDescent="0.25">
      <c r="Q502" s="1"/>
      <c r="R502" s="11"/>
    </row>
    <row r="503" spans="17:18" x14ac:dyDescent="0.25">
      <c r="Q503" s="1"/>
      <c r="R503" s="11"/>
    </row>
    <row r="504" spans="17:18" x14ac:dyDescent="0.25">
      <c r="Q504" s="1"/>
      <c r="R504" s="11"/>
    </row>
    <row r="505" spans="17:18" x14ac:dyDescent="0.25">
      <c r="Q505" s="1"/>
      <c r="R505" s="11"/>
    </row>
    <row r="506" spans="17:18" x14ac:dyDescent="0.25">
      <c r="Q506" s="1"/>
      <c r="R506" s="11"/>
    </row>
    <row r="507" spans="17:18" x14ac:dyDescent="0.25">
      <c r="Q507" s="1"/>
      <c r="R507" s="11"/>
    </row>
    <row r="508" spans="17:18" x14ac:dyDescent="0.25">
      <c r="Q508" s="1"/>
      <c r="R508" s="11"/>
    </row>
    <row r="509" spans="17:18" x14ac:dyDescent="0.25">
      <c r="Q509" s="1"/>
      <c r="R509" s="11"/>
    </row>
    <row r="510" spans="17:18" x14ac:dyDescent="0.25">
      <c r="Q510" s="1"/>
      <c r="R510" s="11"/>
    </row>
    <row r="511" spans="17:18" x14ac:dyDescent="0.25">
      <c r="Q511" s="1"/>
      <c r="R511" s="11"/>
    </row>
    <row r="512" spans="17:18" x14ac:dyDescent="0.25">
      <c r="Q512" s="1"/>
      <c r="R512" s="11"/>
    </row>
    <row r="513" spans="17:18" x14ac:dyDescent="0.25">
      <c r="Q513" s="1"/>
      <c r="R513" s="11"/>
    </row>
    <row r="514" spans="17:18" x14ac:dyDescent="0.25">
      <c r="Q514" s="1"/>
      <c r="R514" s="11"/>
    </row>
    <row r="515" spans="17:18" x14ac:dyDescent="0.25">
      <c r="Q515" s="1"/>
      <c r="R515" s="11"/>
    </row>
    <row r="516" spans="17:18" x14ac:dyDescent="0.25">
      <c r="Q516" s="1"/>
      <c r="R516" s="11"/>
    </row>
    <row r="517" spans="17:18" x14ac:dyDescent="0.25">
      <c r="Q517" s="1"/>
      <c r="R517" s="11"/>
    </row>
    <row r="518" spans="17:18" x14ac:dyDescent="0.25">
      <c r="Q518" s="1"/>
      <c r="R518" s="11"/>
    </row>
    <row r="519" spans="17:18" x14ac:dyDescent="0.25">
      <c r="Q519" s="1"/>
      <c r="R519" s="11"/>
    </row>
    <row r="520" spans="17:18" x14ac:dyDescent="0.25">
      <c r="Q520" s="1"/>
      <c r="R520" s="11"/>
    </row>
    <row r="521" spans="17:18" x14ac:dyDescent="0.25">
      <c r="Q521" s="1"/>
      <c r="R521" s="11"/>
    </row>
    <row r="522" spans="17:18" x14ac:dyDescent="0.25">
      <c r="Q522" s="1"/>
      <c r="R522" s="11"/>
    </row>
    <row r="523" spans="17:18" x14ac:dyDescent="0.25">
      <c r="Q523" s="1"/>
      <c r="R523" s="11"/>
    </row>
    <row r="524" spans="17:18" x14ac:dyDescent="0.25">
      <c r="Q524" s="1"/>
      <c r="R524" s="11"/>
    </row>
    <row r="525" spans="17:18" x14ac:dyDescent="0.25">
      <c r="Q525" s="1"/>
      <c r="R525" s="11"/>
    </row>
    <row r="526" spans="17:18" x14ac:dyDescent="0.25">
      <c r="Q526" s="1"/>
      <c r="R526" s="11"/>
    </row>
    <row r="527" spans="17:18" x14ac:dyDescent="0.25">
      <c r="Q527" s="1"/>
      <c r="R527" s="11"/>
    </row>
    <row r="528" spans="17:18" x14ac:dyDescent="0.25">
      <c r="Q528" s="1"/>
      <c r="R528" s="11"/>
    </row>
    <row r="529" spans="17:18" x14ac:dyDescent="0.25">
      <c r="Q529" s="1"/>
      <c r="R529" s="11"/>
    </row>
    <row r="530" spans="17:18" x14ac:dyDescent="0.25">
      <c r="Q530" s="1"/>
      <c r="R530" s="11"/>
    </row>
    <row r="531" spans="17:18" x14ac:dyDescent="0.25">
      <c r="Q531" s="1"/>
      <c r="R531" s="11"/>
    </row>
    <row r="532" spans="17:18" x14ac:dyDescent="0.25">
      <c r="Q532" s="1"/>
      <c r="R532" s="11"/>
    </row>
    <row r="533" spans="17:18" x14ac:dyDescent="0.25">
      <c r="Q533" s="1"/>
      <c r="R533" s="11"/>
    </row>
    <row r="534" spans="17:18" x14ac:dyDescent="0.25">
      <c r="Q534" s="1"/>
      <c r="R534" s="11"/>
    </row>
    <row r="535" spans="17:18" x14ac:dyDescent="0.25">
      <c r="Q535" s="1"/>
      <c r="R535" s="11"/>
    </row>
    <row r="536" spans="17:18" x14ac:dyDescent="0.25">
      <c r="Q536" s="1"/>
      <c r="R536" s="11"/>
    </row>
    <row r="537" spans="17:18" x14ac:dyDescent="0.25">
      <c r="Q537" s="1"/>
      <c r="R537" s="11"/>
    </row>
    <row r="538" spans="17:18" x14ac:dyDescent="0.25">
      <c r="Q538" s="1"/>
      <c r="R538" s="11"/>
    </row>
    <row r="539" spans="17:18" x14ac:dyDescent="0.25">
      <c r="Q539" s="1"/>
      <c r="R539" s="11"/>
    </row>
    <row r="540" spans="17:18" x14ac:dyDescent="0.25">
      <c r="Q540" s="1"/>
      <c r="R540" s="11"/>
    </row>
    <row r="541" spans="17:18" x14ac:dyDescent="0.25">
      <c r="Q541" s="1"/>
      <c r="R541" s="11"/>
    </row>
    <row r="542" spans="17:18" x14ac:dyDescent="0.25">
      <c r="Q542" s="1"/>
      <c r="R542" s="11"/>
    </row>
    <row r="543" spans="17:18" x14ac:dyDescent="0.25">
      <c r="Q543" s="1"/>
      <c r="R543" s="11"/>
    </row>
    <row r="544" spans="17:18" x14ac:dyDescent="0.25">
      <c r="Q544" s="1"/>
      <c r="R544" s="11"/>
    </row>
    <row r="545" spans="17:18" x14ac:dyDescent="0.25">
      <c r="Q545" s="1"/>
      <c r="R545" s="11"/>
    </row>
    <row r="546" spans="17:18" x14ac:dyDescent="0.25">
      <c r="Q546" s="1"/>
      <c r="R546" s="11"/>
    </row>
    <row r="547" spans="17:18" x14ac:dyDescent="0.25">
      <c r="Q547" s="1"/>
      <c r="R547" s="11"/>
    </row>
    <row r="548" spans="17:18" x14ac:dyDescent="0.25">
      <c r="Q548" s="1"/>
      <c r="R548" s="11"/>
    </row>
    <row r="549" spans="17:18" x14ac:dyDescent="0.25">
      <c r="Q549" s="1"/>
      <c r="R549" s="11"/>
    </row>
    <row r="550" spans="17:18" x14ac:dyDescent="0.25">
      <c r="Q550" s="1"/>
      <c r="R550" s="11"/>
    </row>
    <row r="551" spans="17:18" x14ac:dyDescent="0.25">
      <c r="Q551" s="1"/>
      <c r="R551" s="11"/>
    </row>
    <row r="552" spans="17:18" x14ac:dyDescent="0.25">
      <c r="Q552" s="1"/>
      <c r="R552" s="11"/>
    </row>
    <row r="553" spans="17:18" x14ac:dyDescent="0.25">
      <c r="Q553" s="1"/>
      <c r="R553" s="11"/>
    </row>
    <row r="554" spans="17:18" x14ac:dyDescent="0.25">
      <c r="Q554" s="1"/>
      <c r="R554" s="11"/>
    </row>
    <row r="555" spans="17:18" x14ac:dyDescent="0.25">
      <c r="Q555" s="1"/>
      <c r="R555" s="11"/>
    </row>
    <row r="556" spans="17:18" x14ac:dyDescent="0.25">
      <c r="Q556" s="1"/>
      <c r="R556" s="11"/>
    </row>
    <row r="557" spans="17:18" x14ac:dyDescent="0.25">
      <c r="Q557" s="1"/>
      <c r="R557" s="11"/>
    </row>
    <row r="558" spans="17:18" x14ac:dyDescent="0.25">
      <c r="Q558" s="1"/>
      <c r="R558" s="11"/>
    </row>
    <row r="559" spans="17:18" x14ac:dyDescent="0.25">
      <c r="Q559" s="1"/>
      <c r="R559" s="11"/>
    </row>
    <row r="560" spans="17:18" x14ac:dyDescent="0.25">
      <c r="Q560" s="1"/>
      <c r="R560" s="11"/>
    </row>
    <row r="561" spans="17:18" x14ac:dyDescent="0.25">
      <c r="Q561" s="1"/>
      <c r="R561" s="11"/>
    </row>
    <row r="562" spans="17:18" x14ac:dyDescent="0.25">
      <c r="Q562" s="1"/>
      <c r="R562" s="11"/>
    </row>
    <row r="563" spans="17:18" x14ac:dyDescent="0.25">
      <c r="Q563" s="1"/>
      <c r="R563" s="11"/>
    </row>
    <row r="564" spans="17:18" x14ac:dyDescent="0.25">
      <c r="Q564" s="1"/>
      <c r="R564" s="11"/>
    </row>
    <row r="565" spans="17:18" x14ac:dyDescent="0.25">
      <c r="Q565" s="1"/>
      <c r="R565" s="11"/>
    </row>
    <row r="566" spans="17:18" x14ac:dyDescent="0.25">
      <c r="Q566" s="1"/>
      <c r="R566" s="11"/>
    </row>
    <row r="567" spans="17:18" x14ac:dyDescent="0.25">
      <c r="Q567" s="1"/>
      <c r="R567" s="11"/>
    </row>
    <row r="568" spans="17:18" x14ac:dyDescent="0.25">
      <c r="Q568" s="1"/>
      <c r="R568" s="11"/>
    </row>
    <row r="569" spans="17:18" x14ac:dyDescent="0.25">
      <c r="Q569" s="1"/>
      <c r="R569" s="11"/>
    </row>
    <row r="570" spans="17:18" x14ac:dyDescent="0.25">
      <c r="Q570" s="1"/>
      <c r="R570" s="11"/>
    </row>
    <row r="571" spans="17:18" x14ac:dyDescent="0.25">
      <c r="Q571" s="1"/>
      <c r="R571" s="11"/>
    </row>
    <row r="572" spans="17:18" x14ac:dyDescent="0.25">
      <c r="Q572" s="1"/>
      <c r="R572" s="11"/>
    </row>
    <row r="573" spans="17:18" x14ac:dyDescent="0.25">
      <c r="Q573" s="1"/>
      <c r="R573" s="11"/>
    </row>
    <row r="574" spans="17:18" x14ac:dyDescent="0.25">
      <c r="Q574" s="1"/>
      <c r="R574" s="11"/>
    </row>
    <row r="575" spans="17:18" x14ac:dyDescent="0.25">
      <c r="Q575" s="1"/>
      <c r="R575" s="11"/>
    </row>
    <row r="576" spans="17:18" x14ac:dyDescent="0.25">
      <c r="Q576" s="1"/>
      <c r="R576" s="11"/>
    </row>
    <row r="577" spans="17:18" x14ac:dyDescent="0.25">
      <c r="Q577" s="1"/>
      <c r="R577" s="11"/>
    </row>
    <row r="578" spans="17:18" x14ac:dyDescent="0.25">
      <c r="Q578" s="1"/>
      <c r="R578" s="11"/>
    </row>
    <row r="579" spans="17:18" x14ac:dyDescent="0.25">
      <c r="Q579" s="1"/>
      <c r="R579" s="11"/>
    </row>
    <row r="580" spans="17:18" x14ac:dyDescent="0.25">
      <c r="Q580" s="1"/>
      <c r="R580" s="11"/>
    </row>
    <row r="581" spans="17:18" x14ac:dyDescent="0.25">
      <c r="Q581" s="1"/>
      <c r="R581" s="11"/>
    </row>
    <row r="582" spans="17:18" x14ac:dyDescent="0.25">
      <c r="Q582" s="1"/>
      <c r="R582" s="11"/>
    </row>
    <row r="583" spans="17:18" x14ac:dyDescent="0.25">
      <c r="Q583" s="1"/>
      <c r="R583" s="11"/>
    </row>
    <row r="584" spans="17:18" x14ac:dyDescent="0.25">
      <c r="Q584" s="1"/>
      <c r="R584" s="11"/>
    </row>
    <row r="585" spans="17:18" x14ac:dyDescent="0.25">
      <c r="Q585" s="1"/>
      <c r="R585" s="11"/>
    </row>
    <row r="586" spans="17:18" x14ac:dyDescent="0.25">
      <c r="Q586" s="1"/>
      <c r="R586" s="11"/>
    </row>
    <row r="587" spans="17:18" x14ac:dyDescent="0.25">
      <c r="Q587" s="1"/>
      <c r="R587" s="11"/>
    </row>
    <row r="588" spans="17:18" x14ac:dyDescent="0.25">
      <c r="Q588" s="1"/>
      <c r="R588" s="11"/>
    </row>
    <row r="589" spans="17:18" x14ac:dyDescent="0.25">
      <c r="Q589" s="1"/>
      <c r="R589" s="11"/>
    </row>
    <row r="590" spans="17:18" x14ac:dyDescent="0.25">
      <c r="Q590" s="1"/>
      <c r="R590" s="11"/>
    </row>
    <row r="591" spans="17:18" x14ac:dyDescent="0.25">
      <c r="Q591" s="1"/>
      <c r="R591" s="11"/>
    </row>
    <row r="592" spans="17:18" x14ac:dyDescent="0.25">
      <c r="Q592" s="1"/>
      <c r="R592" s="11"/>
    </row>
    <row r="593" spans="17:18" x14ac:dyDescent="0.25">
      <c r="Q593" s="1"/>
      <c r="R593" s="11"/>
    </row>
    <row r="594" spans="17:18" x14ac:dyDescent="0.25">
      <c r="Q594" s="1"/>
      <c r="R594" s="11"/>
    </row>
    <row r="595" spans="17:18" x14ac:dyDescent="0.25">
      <c r="Q595" s="1"/>
      <c r="R595" s="11"/>
    </row>
    <row r="596" spans="17:18" x14ac:dyDescent="0.25">
      <c r="Q596" s="1"/>
      <c r="R596" s="11"/>
    </row>
    <row r="597" spans="17:18" x14ac:dyDescent="0.25">
      <c r="Q597" s="1"/>
      <c r="R597" s="11"/>
    </row>
    <row r="598" spans="17:18" x14ac:dyDescent="0.25">
      <c r="Q598" s="1"/>
      <c r="R598" s="11"/>
    </row>
    <row r="599" spans="17:18" x14ac:dyDescent="0.25">
      <c r="Q599" s="1"/>
      <c r="R599" s="11"/>
    </row>
    <row r="600" spans="17:18" x14ac:dyDescent="0.25">
      <c r="Q600" s="1"/>
      <c r="R600" s="11"/>
    </row>
    <row r="601" spans="17:18" x14ac:dyDescent="0.25">
      <c r="Q601" s="1"/>
      <c r="R601" s="11"/>
    </row>
    <row r="602" spans="17:18" x14ac:dyDescent="0.25">
      <c r="Q602" s="1"/>
      <c r="R602" s="11"/>
    </row>
    <row r="603" spans="17:18" x14ac:dyDescent="0.25">
      <c r="Q603" s="1"/>
      <c r="R603" s="11"/>
    </row>
    <row r="604" spans="17:18" x14ac:dyDescent="0.25">
      <c r="Q604" s="1"/>
      <c r="R604" s="11"/>
    </row>
    <row r="605" spans="17:18" x14ac:dyDescent="0.25">
      <c r="Q605" s="1"/>
      <c r="R605" s="11"/>
    </row>
    <row r="606" spans="17:18" x14ac:dyDescent="0.25">
      <c r="Q606" s="1"/>
      <c r="R606" s="11"/>
    </row>
    <row r="607" spans="17:18" x14ac:dyDescent="0.25">
      <c r="Q607" s="1"/>
      <c r="R607" s="11"/>
    </row>
    <row r="608" spans="17:18" x14ac:dyDescent="0.25">
      <c r="Q608" s="1"/>
      <c r="R608" s="11"/>
    </row>
    <row r="609" spans="17:18" x14ac:dyDescent="0.25">
      <c r="Q609" s="1"/>
      <c r="R609" s="11"/>
    </row>
    <row r="610" spans="17:18" x14ac:dyDescent="0.25">
      <c r="Q610" s="1"/>
      <c r="R610" s="11"/>
    </row>
    <row r="611" spans="17:18" x14ac:dyDescent="0.25">
      <c r="Q611" s="1"/>
      <c r="R611" s="11"/>
    </row>
    <row r="612" spans="17:18" x14ac:dyDescent="0.25">
      <c r="Q612" s="1"/>
      <c r="R612" s="11"/>
    </row>
    <row r="613" spans="17:18" x14ac:dyDescent="0.25">
      <c r="Q613" s="1"/>
      <c r="R613" s="11"/>
    </row>
    <row r="614" spans="17:18" x14ac:dyDescent="0.25">
      <c r="Q614" s="1"/>
      <c r="R614" s="11"/>
    </row>
    <row r="615" spans="17:18" x14ac:dyDescent="0.25">
      <c r="Q615" s="1"/>
      <c r="R615" s="11"/>
    </row>
    <row r="616" spans="17:18" x14ac:dyDescent="0.25">
      <c r="Q616" s="1"/>
      <c r="R616" s="11"/>
    </row>
    <row r="617" spans="17:18" x14ac:dyDescent="0.25">
      <c r="Q617" s="1"/>
      <c r="R617" s="11"/>
    </row>
    <row r="618" spans="17:18" x14ac:dyDescent="0.25">
      <c r="Q618" s="1"/>
      <c r="R618" s="11"/>
    </row>
    <row r="619" spans="17:18" x14ac:dyDescent="0.25">
      <c r="Q619" s="1"/>
      <c r="R619" s="11"/>
    </row>
    <row r="620" spans="17:18" x14ac:dyDescent="0.25">
      <c r="Q620" s="1"/>
      <c r="R620" s="11"/>
    </row>
    <row r="621" spans="17:18" x14ac:dyDescent="0.25">
      <c r="Q621" s="1"/>
      <c r="R621" s="11"/>
    </row>
    <row r="622" spans="17:18" x14ac:dyDescent="0.25">
      <c r="Q622" s="1"/>
      <c r="R622" s="11"/>
    </row>
    <row r="623" spans="17:18" x14ac:dyDescent="0.25">
      <c r="Q623" s="1"/>
      <c r="R623" s="11"/>
    </row>
    <row r="624" spans="17:18" x14ac:dyDescent="0.25">
      <c r="Q624" s="1"/>
      <c r="R624" s="11"/>
    </row>
    <row r="625" spans="17:18" x14ac:dyDescent="0.25">
      <c r="Q625" s="1"/>
      <c r="R625" s="11"/>
    </row>
    <row r="626" spans="17:18" x14ac:dyDescent="0.25">
      <c r="Q626" s="1"/>
      <c r="R626" s="11"/>
    </row>
    <row r="627" spans="17:18" x14ac:dyDescent="0.25">
      <c r="Q627" s="1"/>
      <c r="R627" s="11"/>
    </row>
    <row r="628" spans="17:18" x14ac:dyDescent="0.25">
      <c r="Q628" s="1"/>
      <c r="R628" s="11"/>
    </row>
    <row r="629" spans="17:18" x14ac:dyDescent="0.25">
      <c r="Q629" s="1"/>
      <c r="R629" s="11"/>
    </row>
    <row r="630" spans="17:18" x14ac:dyDescent="0.25">
      <c r="Q630" s="1"/>
      <c r="R630" s="11"/>
    </row>
    <row r="631" spans="17:18" x14ac:dyDescent="0.25">
      <c r="Q631" s="1"/>
      <c r="R631" s="11"/>
    </row>
    <row r="632" spans="17:18" x14ac:dyDescent="0.25">
      <c r="Q632" s="1"/>
      <c r="R632" s="11"/>
    </row>
    <row r="633" spans="17:18" x14ac:dyDescent="0.25">
      <c r="Q633" s="1"/>
      <c r="R633" s="11"/>
    </row>
    <row r="634" spans="17:18" x14ac:dyDescent="0.25">
      <c r="Q634" s="1"/>
      <c r="R634" s="11"/>
    </row>
    <row r="635" spans="17:18" x14ac:dyDescent="0.25">
      <c r="Q635" s="1"/>
      <c r="R635" s="11"/>
    </row>
    <row r="636" spans="17:18" x14ac:dyDescent="0.25">
      <c r="Q636" s="1"/>
      <c r="R636" s="11"/>
    </row>
    <row r="637" spans="17:18" x14ac:dyDescent="0.25">
      <c r="Q637" s="1"/>
      <c r="R637" s="11"/>
    </row>
    <row r="638" spans="17:18" x14ac:dyDescent="0.25">
      <c r="Q638" s="1"/>
      <c r="R638" s="11"/>
    </row>
    <row r="639" spans="17:18" x14ac:dyDescent="0.25">
      <c r="Q639" s="1"/>
      <c r="R639" s="11"/>
    </row>
    <row r="640" spans="17:18" x14ac:dyDescent="0.25">
      <c r="Q640" s="1"/>
      <c r="R640" s="11"/>
    </row>
    <row r="641" spans="17:18" x14ac:dyDescent="0.25">
      <c r="Q641" s="1"/>
      <c r="R641" s="11"/>
    </row>
    <row r="642" spans="17:18" x14ac:dyDescent="0.25">
      <c r="Q642" s="1"/>
      <c r="R642" s="11"/>
    </row>
    <row r="643" spans="17:18" x14ac:dyDescent="0.25">
      <c r="Q643" s="1"/>
      <c r="R643" s="11"/>
    </row>
    <row r="644" spans="17:18" x14ac:dyDescent="0.25">
      <c r="Q644" s="1"/>
      <c r="R644" s="11"/>
    </row>
    <row r="645" spans="17:18" x14ac:dyDescent="0.25">
      <c r="Q645" s="1"/>
      <c r="R645" s="11"/>
    </row>
    <row r="646" spans="17:18" x14ac:dyDescent="0.25">
      <c r="Q646" s="1"/>
      <c r="R646" s="11"/>
    </row>
    <row r="647" spans="17:18" x14ac:dyDescent="0.25">
      <c r="Q647" s="1"/>
      <c r="R647" s="11"/>
    </row>
    <row r="648" spans="17:18" x14ac:dyDescent="0.25">
      <c r="Q648" s="1"/>
      <c r="R648" s="11"/>
    </row>
    <row r="649" spans="17:18" x14ac:dyDescent="0.25">
      <c r="Q649" s="1"/>
      <c r="R649" s="11"/>
    </row>
    <row r="650" spans="17:18" x14ac:dyDescent="0.25">
      <c r="Q650" s="1"/>
      <c r="R650" s="11"/>
    </row>
    <row r="651" spans="17:18" x14ac:dyDescent="0.25">
      <c r="Q651" s="1"/>
      <c r="R651" s="11"/>
    </row>
    <row r="652" spans="17:18" x14ac:dyDescent="0.25">
      <c r="Q652" s="1"/>
      <c r="R652" s="11"/>
    </row>
    <row r="653" spans="17:18" x14ac:dyDescent="0.25">
      <c r="Q653" s="1"/>
      <c r="R653" s="11"/>
    </row>
    <row r="654" spans="17:18" x14ac:dyDescent="0.25">
      <c r="Q654" s="1"/>
      <c r="R654" s="11"/>
    </row>
    <row r="655" spans="17:18" x14ac:dyDescent="0.25">
      <c r="Q655" s="1"/>
      <c r="R655" s="11"/>
    </row>
    <row r="656" spans="17:18" x14ac:dyDescent="0.25">
      <c r="Q656" s="1"/>
      <c r="R656" s="11"/>
    </row>
    <row r="657" spans="17:18" x14ac:dyDescent="0.25">
      <c r="Q657" s="1"/>
      <c r="R657" s="11"/>
    </row>
    <row r="658" spans="17:18" x14ac:dyDescent="0.25">
      <c r="Q658" s="1"/>
      <c r="R658" s="11"/>
    </row>
    <row r="659" spans="17:18" x14ac:dyDescent="0.25">
      <c r="Q659" s="1"/>
      <c r="R659" s="11"/>
    </row>
    <row r="660" spans="17:18" x14ac:dyDescent="0.25">
      <c r="Q660" s="1"/>
      <c r="R660" s="11"/>
    </row>
    <row r="661" spans="17:18" x14ac:dyDescent="0.25">
      <c r="Q661" s="1"/>
      <c r="R661" s="11"/>
    </row>
    <row r="662" spans="17:18" x14ac:dyDescent="0.25">
      <c r="Q662" s="1"/>
      <c r="R662" s="11"/>
    </row>
    <row r="663" spans="17:18" x14ac:dyDescent="0.25">
      <c r="Q663" s="1"/>
      <c r="R663" s="11"/>
    </row>
    <row r="664" spans="17:18" x14ac:dyDescent="0.25">
      <c r="Q664" s="1"/>
      <c r="R664" s="11"/>
    </row>
    <row r="665" spans="17:18" x14ac:dyDescent="0.25">
      <c r="Q665" s="1"/>
      <c r="R665" s="11"/>
    </row>
    <row r="666" spans="17:18" x14ac:dyDescent="0.25">
      <c r="Q666" s="1"/>
      <c r="R666" s="11"/>
    </row>
    <row r="667" spans="17:18" x14ac:dyDescent="0.25">
      <c r="Q667" s="1"/>
      <c r="R667" s="11"/>
    </row>
    <row r="668" spans="17:18" x14ac:dyDescent="0.25">
      <c r="Q668" s="1"/>
      <c r="R668" s="11"/>
    </row>
    <row r="669" spans="17:18" x14ac:dyDescent="0.25">
      <c r="Q669" s="1"/>
      <c r="R669" s="11"/>
    </row>
    <row r="670" spans="17:18" x14ac:dyDescent="0.25">
      <c r="Q670" s="1"/>
      <c r="R670" s="11"/>
    </row>
    <row r="671" spans="17:18" x14ac:dyDescent="0.25">
      <c r="Q671" s="1"/>
      <c r="R671" s="11"/>
    </row>
    <row r="672" spans="17:18" x14ac:dyDescent="0.25">
      <c r="Q672" s="1"/>
      <c r="R672" s="11"/>
    </row>
    <row r="673" spans="17:18" x14ac:dyDescent="0.25">
      <c r="Q673" s="1"/>
      <c r="R673" s="11"/>
    </row>
    <row r="674" spans="17:18" x14ac:dyDescent="0.25">
      <c r="Q674" s="1"/>
      <c r="R674" s="11"/>
    </row>
    <row r="675" spans="17:18" x14ac:dyDescent="0.25">
      <c r="Q675" s="1"/>
      <c r="R675" s="11"/>
    </row>
    <row r="676" spans="17:18" x14ac:dyDescent="0.25">
      <c r="Q676" s="1"/>
      <c r="R676" s="11"/>
    </row>
    <row r="677" spans="17:18" x14ac:dyDescent="0.25">
      <c r="Q677" s="1"/>
      <c r="R677" s="11"/>
    </row>
    <row r="678" spans="17:18" x14ac:dyDescent="0.25">
      <c r="Q678" s="1"/>
      <c r="R678" s="11"/>
    </row>
    <row r="679" spans="17:18" x14ac:dyDescent="0.25">
      <c r="Q679" s="1"/>
      <c r="R679" s="11"/>
    </row>
    <row r="680" spans="17:18" x14ac:dyDescent="0.25">
      <c r="Q680" s="1"/>
      <c r="R680" s="11"/>
    </row>
    <row r="681" spans="17:18" x14ac:dyDescent="0.25">
      <c r="Q681" s="1"/>
      <c r="R681" s="11"/>
    </row>
    <row r="682" spans="17:18" x14ac:dyDescent="0.25">
      <c r="Q682" s="1"/>
      <c r="R682" s="11"/>
    </row>
    <row r="683" spans="17:18" x14ac:dyDescent="0.25">
      <c r="Q683" s="1"/>
      <c r="R683" s="11"/>
    </row>
    <row r="684" spans="17:18" x14ac:dyDescent="0.25">
      <c r="Q684" s="1"/>
      <c r="R684" s="11"/>
    </row>
    <row r="685" spans="17:18" x14ac:dyDescent="0.25">
      <c r="Q685" s="1"/>
      <c r="R685" s="11"/>
    </row>
    <row r="686" spans="17:18" x14ac:dyDescent="0.25">
      <c r="Q686" s="1"/>
      <c r="R686" s="11"/>
    </row>
    <row r="687" spans="17:18" x14ac:dyDescent="0.25">
      <c r="Q687" s="1"/>
      <c r="R687" s="11"/>
    </row>
    <row r="688" spans="17:18" x14ac:dyDescent="0.25">
      <c r="Q688" s="1"/>
      <c r="R688" s="11"/>
    </row>
    <row r="689" spans="17:18" x14ac:dyDescent="0.25">
      <c r="Q689" s="1"/>
      <c r="R689" s="11"/>
    </row>
    <row r="690" spans="17:18" x14ac:dyDescent="0.25">
      <c r="Q690" s="1"/>
      <c r="R690" s="11"/>
    </row>
    <row r="691" spans="17:18" x14ac:dyDescent="0.25">
      <c r="Q691" s="1"/>
      <c r="R691" s="11"/>
    </row>
    <row r="692" spans="17:18" x14ac:dyDescent="0.25">
      <c r="Q692" s="1"/>
      <c r="R692" s="11"/>
    </row>
    <row r="693" spans="17:18" x14ac:dyDescent="0.25">
      <c r="Q693" s="1"/>
      <c r="R693" s="11"/>
    </row>
    <row r="694" spans="17:18" x14ac:dyDescent="0.25">
      <c r="Q694" s="1"/>
      <c r="R694" s="11"/>
    </row>
    <row r="695" spans="17:18" x14ac:dyDescent="0.25">
      <c r="Q695" s="1"/>
      <c r="R695" s="11"/>
    </row>
    <row r="696" spans="17:18" x14ac:dyDescent="0.25">
      <c r="Q696" s="1"/>
      <c r="R696" s="11"/>
    </row>
    <row r="697" spans="17:18" x14ac:dyDescent="0.25">
      <c r="Q697" s="1"/>
      <c r="R697" s="11"/>
    </row>
    <row r="698" spans="17:18" x14ac:dyDescent="0.25">
      <c r="Q698" s="1"/>
      <c r="R698" s="11"/>
    </row>
    <row r="699" spans="17:18" x14ac:dyDescent="0.25">
      <c r="Q699" s="1"/>
      <c r="R699" s="11"/>
    </row>
    <row r="700" spans="17:18" x14ac:dyDescent="0.25">
      <c r="Q700" s="1"/>
      <c r="R700" s="11"/>
    </row>
    <row r="701" spans="17:18" x14ac:dyDescent="0.25">
      <c r="Q701" s="1"/>
      <c r="R701" s="11"/>
    </row>
    <row r="702" spans="17:18" x14ac:dyDescent="0.25">
      <c r="Q702" s="1"/>
      <c r="R702" s="11"/>
    </row>
    <row r="703" spans="17:18" x14ac:dyDescent="0.25">
      <c r="Q703" s="1"/>
      <c r="R703" s="11"/>
    </row>
    <row r="704" spans="17:18" x14ac:dyDescent="0.25">
      <c r="Q704" s="1"/>
      <c r="R704" s="11"/>
    </row>
    <row r="705" spans="17:18" x14ac:dyDescent="0.25">
      <c r="Q705" s="1"/>
      <c r="R705" s="11"/>
    </row>
    <row r="706" spans="17:18" x14ac:dyDescent="0.25">
      <c r="Q706" s="1"/>
      <c r="R706" s="11"/>
    </row>
    <row r="707" spans="17:18" x14ac:dyDescent="0.25">
      <c r="Q707" s="1"/>
      <c r="R707" s="11"/>
    </row>
    <row r="708" spans="17:18" x14ac:dyDescent="0.25">
      <c r="Q708" s="1"/>
      <c r="R708" s="11"/>
    </row>
    <row r="709" spans="17:18" x14ac:dyDescent="0.25">
      <c r="Q709" s="1"/>
      <c r="R709" s="11"/>
    </row>
    <row r="710" spans="17:18" x14ac:dyDescent="0.25">
      <c r="Q710" s="1"/>
      <c r="R710" s="11"/>
    </row>
    <row r="711" spans="17:18" x14ac:dyDescent="0.25">
      <c r="Q711" s="1"/>
      <c r="R711" s="11"/>
    </row>
    <row r="712" spans="17:18" x14ac:dyDescent="0.25">
      <c r="Q712" s="1"/>
      <c r="R712" s="11"/>
    </row>
    <row r="713" spans="17:18" x14ac:dyDescent="0.25">
      <c r="Q713" s="1"/>
      <c r="R713" s="11"/>
    </row>
    <row r="714" spans="17:18" x14ac:dyDescent="0.25">
      <c r="Q714" s="1"/>
      <c r="R714" s="11"/>
    </row>
    <row r="715" spans="17:18" x14ac:dyDescent="0.25">
      <c r="Q715" s="1"/>
      <c r="R715" s="11"/>
    </row>
  </sheetData>
  <mergeCells count="11">
    <mergeCell ref="A13:Q13"/>
    <mergeCell ref="G9:I9"/>
    <mergeCell ref="G10:I11"/>
    <mergeCell ref="B9:D9"/>
    <mergeCell ref="B10:D11"/>
    <mergeCell ref="L9:N9"/>
    <mergeCell ref="L10:N11"/>
    <mergeCell ref="G5:H5"/>
    <mergeCell ref="G6:H6"/>
    <mergeCell ref="A1:Q1"/>
    <mergeCell ref="A3:Q3"/>
  </mergeCells>
  <phoneticPr fontId="6" type="noConversion"/>
  <conditionalFormatting sqref="A20:E79">
    <cfRule type="expression" dxfId="8" priority="14">
      <formula>$A20&lt;=TODAY()</formula>
    </cfRule>
  </conditionalFormatting>
  <conditionalFormatting sqref="B10">
    <cfRule type="cellIs" dxfId="7" priority="9" operator="equal">
      <formula>0</formula>
    </cfRule>
    <cfRule type="cellIs" dxfId="6" priority="10" operator="greaterThan">
      <formula>0</formula>
    </cfRule>
  </conditionalFormatting>
  <conditionalFormatting sqref="G10">
    <cfRule type="cellIs" dxfId="5" priority="1" operator="greaterThan">
      <formula>0</formula>
    </cfRule>
    <cfRule type="cellIs" dxfId="4" priority="6" operator="equal">
      <formula>0</formula>
    </cfRule>
  </conditionalFormatting>
  <conditionalFormatting sqref="L10">
    <cfRule type="cellIs" dxfId="3" priority="2" operator="lessThan">
      <formula>0</formula>
    </cfRule>
    <cfRule type="cellIs" dxfId="2" priority="3" operator="equal">
      <formula>0</formula>
    </cfRule>
    <cfRule type="cellIs" dxfId="1" priority="4" operator="greaterThan">
      <formula>0</formula>
    </cfRule>
  </conditionalFormatting>
  <dataValidations xWindow="245" yWindow="504" count="1">
    <dataValidation type="list" allowBlank="1" showInputMessage="1" showErrorMessage="1" sqref="I5" xr:uid="{D6A8FDDD-C60F-4F90-B089-1C8A4B2B75A5}">
      <formula1>Contas</formula1>
    </dataValidation>
  </dataValidations>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CCE6A557-97BC-4b89-ADB6-D9C93CAAB3DF}">
      <x14:dataValidations xmlns:xm="http://schemas.microsoft.com/office/excel/2006/main" xWindow="245" yWindow="504" count="2">
        <x14:dataValidation type="list" allowBlank="1" showInputMessage="1" showErrorMessage="1" promptTitle="Selecionar Mês" prompt="Selecione o mês inicial do gráfico do Fluxo de Caixa." xr:uid="{6E8CD954-54B6-46CC-9931-44864D24FF5B}">
          <x14:formula1>
            <xm:f>Auxiliar!$A$1:$A$12</xm:f>
          </x14:formula1>
          <xm:sqref>B15</xm:sqref>
        </x14:dataValidation>
        <x14:dataValidation type="custom" allowBlank="1" showInputMessage="1" showErrorMessage="1" errorTitle="Ano Selecionado Inválido" error="O ano selecionado não atende aos seguintes critérios:_x000a__x000a_1 - Maior ou igual ao ano da data mínima de registro do fluxo de caixa._x000a__x000a_2 - Menor ou igual ao ano da data máxima de registro do fluxo de caixa." promptTitle="Selecionar Ano" prompt="Selecione o ano inicial do gráfico do Fluxo de Caixa." xr:uid="{804DF48F-AD7C-4B49-A5CD-82B7BF5CC0F5}">
          <x14:formula1>
            <xm:f>AND($B$16&gt;=YEAR(MIN('Fluxo de Caixa'!$A:$A)),$B$16&lt;=YEAR(MAX('Fluxo de Caixa'!$A:$A)))</xm:f>
          </x14:formula1>
          <xm:sqref>B16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F0DA2-348F-4902-9FA5-240A6A02E621}">
  <sheetPr codeName="Planilha5"/>
  <dimension ref="A1:E12"/>
  <sheetViews>
    <sheetView workbookViewId="0">
      <selection activeCell="D1" sqref="D1:E4"/>
    </sheetView>
  </sheetViews>
  <sheetFormatPr defaultRowHeight="15" x14ac:dyDescent="0.25"/>
  <cols>
    <col min="5" max="5" width="47.85546875" bestFit="1" customWidth="1"/>
  </cols>
  <sheetData>
    <row r="1" spans="1:5" x14ac:dyDescent="0.25">
      <c r="A1" t="s">
        <v>153</v>
      </c>
      <c r="B1">
        <v>1</v>
      </c>
      <c r="D1" t="s">
        <v>166</v>
      </c>
      <c r="E1" s="18">
        <f>MIN(Resumo!A:A)</f>
        <v>43466</v>
      </c>
    </row>
    <row r="2" spans="1:5" x14ac:dyDescent="0.25">
      <c r="A2" t="s">
        <v>154</v>
      </c>
      <c r="B2">
        <v>2</v>
      </c>
      <c r="D2" t="s">
        <v>167</v>
      </c>
      <c r="E2" s="18">
        <f t="array" ref="E2">MAX(IF(Resumo!B:B&gt;0,Resumo!A:A))</f>
        <v>43983</v>
      </c>
    </row>
    <row r="3" spans="1:5" x14ac:dyDescent="0.25">
      <c r="A3" t="s">
        <v>155</v>
      </c>
      <c r="B3">
        <v>3</v>
      </c>
    </row>
    <row r="4" spans="1:5" x14ac:dyDescent="0.25">
      <c r="A4" t="s">
        <v>156</v>
      </c>
      <c r="B4">
        <v>4</v>
      </c>
      <c r="D4" t="s">
        <v>168</v>
      </c>
      <c r="E4" t="str">
        <f>"Fluxo de Caixa para para o período " &amp; TEXT(E1,"mmm/aa") &amp; " até " &amp; TEXT(E2,"mmm/aa")</f>
        <v>Fluxo de Caixa para para o período jan/19 até jun/20</v>
      </c>
    </row>
    <row r="5" spans="1:5" x14ac:dyDescent="0.25">
      <c r="A5" t="s">
        <v>157</v>
      </c>
      <c r="B5">
        <v>5</v>
      </c>
    </row>
    <row r="6" spans="1:5" x14ac:dyDescent="0.25">
      <c r="A6" t="s">
        <v>158</v>
      </c>
      <c r="B6">
        <v>6</v>
      </c>
    </row>
    <row r="7" spans="1:5" x14ac:dyDescent="0.25">
      <c r="A7" t="s">
        <v>159</v>
      </c>
      <c r="B7">
        <v>7</v>
      </c>
    </row>
    <row r="8" spans="1:5" x14ac:dyDescent="0.25">
      <c r="A8" t="s">
        <v>160</v>
      </c>
      <c r="B8">
        <v>8</v>
      </c>
    </row>
    <row r="9" spans="1:5" x14ac:dyDescent="0.25">
      <c r="A9" t="s">
        <v>161</v>
      </c>
      <c r="B9">
        <v>9</v>
      </c>
    </row>
    <row r="10" spans="1:5" x14ac:dyDescent="0.25">
      <c r="A10" t="s">
        <v>162</v>
      </c>
      <c r="B10">
        <v>10</v>
      </c>
    </row>
    <row r="11" spans="1:5" x14ac:dyDescent="0.25">
      <c r="A11" t="s">
        <v>163</v>
      </c>
      <c r="B11">
        <v>11</v>
      </c>
    </row>
    <row r="12" spans="1:5" x14ac:dyDescent="0.25">
      <c r="A12" t="s">
        <v>164</v>
      </c>
      <c r="B12">
        <v>12</v>
      </c>
    </row>
  </sheetData>
  <sheetProtection sheet="1" objects="1" scenarios="1"/>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E0D50-0B69-4FC7-B661-BAAEF99C02C3}">
  <sheetPr codeName="Planilha2"/>
  <dimension ref="A1:F161"/>
  <sheetViews>
    <sheetView showGridLines="0" zoomScaleNormal="100" workbookViewId="0"/>
  </sheetViews>
  <sheetFormatPr defaultRowHeight="15" x14ac:dyDescent="0.25"/>
  <cols>
    <col min="1" max="1" width="18.85546875" style="4" bestFit="1" customWidth="1"/>
    <col min="2" max="6" width="23.7109375" style="4" bestFit="1" customWidth="1"/>
  </cols>
  <sheetData>
    <row r="1" spans="1:6" x14ac:dyDescent="0.25">
      <c r="A1" s="17" t="s">
        <v>14</v>
      </c>
      <c r="B1" s="17" t="s">
        <v>15</v>
      </c>
      <c r="C1" s="17" t="s">
        <v>16</v>
      </c>
      <c r="D1" s="17" t="s">
        <v>4</v>
      </c>
      <c r="E1" s="17" t="s">
        <v>30</v>
      </c>
      <c r="F1" s="17" t="s">
        <v>39</v>
      </c>
    </row>
    <row r="2" spans="1:6" x14ac:dyDescent="0.25">
      <c r="A2" s="16" t="s">
        <v>13</v>
      </c>
      <c r="B2" s="16" t="s">
        <v>19</v>
      </c>
      <c r="C2" s="16" t="s">
        <v>17</v>
      </c>
      <c r="D2" s="16" t="s">
        <v>31</v>
      </c>
      <c r="E2" s="16" t="s">
        <v>36</v>
      </c>
      <c r="F2" s="16" t="s">
        <v>40</v>
      </c>
    </row>
    <row r="3" spans="1:6" x14ac:dyDescent="0.25">
      <c r="A3" s="16" t="s">
        <v>12</v>
      </c>
      <c r="B3" s="16" t="s">
        <v>20</v>
      </c>
      <c r="C3" s="16" t="s">
        <v>18</v>
      </c>
      <c r="D3" s="16" t="s">
        <v>32</v>
      </c>
      <c r="E3" s="16" t="s">
        <v>37</v>
      </c>
      <c r="F3" s="16" t="s">
        <v>41</v>
      </c>
    </row>
    <row r="4" spans="1:6" x14ac:dyDescent="0.25">
      <c r="A4" s="16" t="s">
        <v>11</v>
      </c>
      <c r="B4" s="16" t="s">
        <v>21</v>
      </c>
      <c r="C4" s="16"/>
      <c r="D4" s="16" t="s">
        <v>33</v>
      </c>
      <c r="E4" s="16" t="s">
        <v>38</v>
      </c>
      <c r="F4" s="16" t="s">
        <v>42</v>
      </c>
    </row>
    <row r="5" spans="1:6" x14ac:dyDescent="0.25">
      <c r="A5" s="16" t="s">
        <v>10</v>
      </c>
      <c r="B5" s="16" t="s">
        <v>22</v>
      </c>
      <c r="C5" s="16"/>
      <c r="D5" s="16" t="s">
        <v>34</v>
      </c>
      <c r="E5" s="16"/>
      <c r="F5" s="16"/>
    </row>
    <row r="6" spans="1:6" x14ac:dyDescent="0.25">
      <c r="A6" s="16"/>
      <c r="B6" s="16" t="s">
        <v>23</v>
      </c>
      <c r="C6" s="16"/>
      <c r="D6" s="16" t="s">
        <v>35</v>
      </c>
      <c r="E6" s="16"/>
      <c r="F6" s="16"/>
    </row>
    <row r="7" spans="1:6" x14ac:dyDescent="0.25">
      <c r="A7" s="16"/>
      <c r="B7" s="16" t="s">
        <v>24</v>
      </c>
      <c r="C7" s="16"/>
      <c r="D7" s="16"/>
      <c r="E7" s="16"/>
      <c r="F7" s="16"/>
    </row>
    <row r="8" spans="1:6" x14ac:dyDescent="0.25">
      <c r="A8" s="16"/>
      <c r="B8" s="16" t="s">
        <v>25</v>
      </c>
      <c r="C8" s="16"/>
      <c r="D8" s="16"/>
      <c r="E8" s="16"/>
      <c r="F8" s="16"/>
    </row>
    <row r="9" spans="1:6" x14ac:dyDescent="0.25">
      <c r="A9" s="16"/>
      <c r="B9" s="16" t="s">
        <v>26</v>
      </c>
      <c r="C9" s="16"/>
      <c r="D9" s="16"/>
      <c r="E9" s="16"/>
      <c r="F9" s="16"/>
    </row>
    <row r="10" spans="1:6" x14ac:dyDescent="0.25">
      <c r="A10" s="16"/>
      <c r="B10" s="16" t="s">
        <v>27</v>
      </c>
      <c r="C10" s="16"/>
      <c r="D10" s="16"/>
      <c r="E10" s="16"/>
      <c r="F10" s="16"/>
    </row>
    <row r="11" spans="1:6" x14ac:dyDescent="0.25">
      <c r="A11" s="16"/>
      <c r="B11" s="16" t="s">
        <v>28</v>
      </c>
      <c r="C11" s="16"/>
      <c r="D11" s="16"/>
      <c r="E11" s="16"/>
      <c r="F11" s="16"/>
    </row>
    <row r="12" spans="1:6" x14ac:dyDescent="0.25">
      <c r="A12" s="16"/>
      <c r="B12" s="16"/>
      <c r="C12" s="16"/>
      <c r="D12" s="16"/>
      <c r="E12" s="16"/>
      <c r="F12" s="16"/>
    </row>
    <row r="13" spans="1:6" x14ac:dyDescent="0.25">
      <c r="A13" s="16"/>
      <c r="B13" s="16"/>
      <c r="C13" s="16"/>
      <c r="D13" s="16"/>
      <c r="E13" s="16"/>
      <c r="F13" s="16"/>
    </row>
    <row r="14" spans="1:6" x14ac:dyDescent="0.25">
      <c r="A14" s="16"/>
      <c r="B14" s="16"/>
      <c r="C14" s="16"/>
      <c r="D14" s="16"/>
      <c r="E14" s="16"/>
      <c r="F14" s="16"/>
    </row>
    <row r="15" spans="1:6" x14ac:dyDescent="0.25">
      <c r="A15" s="16"/>
      <c r="B15" s="16"/>
      <c r="C15" s="16"/>
      <c r="D15" s="16"/>
      <c r="E15" s="16"/>
      <c r="F15" s="16"/>
    </row>
    <row r="16" spans="1:6" x14ac:dyDescent="0.25">
      <c r="A16" s="16"/>
      <c r="B16" s="16"/>
      <c r="C16" s="16"/>
      <c r="D16" s="16"/>
      <c r="E16" s="16"/>
      <c r="F16" s="16"/>
    </row>
    <row r="17" spans="1:6" x14ac:dyDescent="0.25">
      <c r="A17" s="16"/>
      <c r="B17" s="16"/>
      <c r="C17" s="16"/>
      <c r="D17" s="16"/>
      <c r="E17" s="16"/>
      <c r="F17" s="16"/>
    </row>
    <row r="18" spans="1:6" x14ac:dyDescent="0.25">
      <c r="A18" s="16"/>
      <c r="B18" s="16"/>
      <c r="C18" s="16"/>
      <c r="D18" s="16"/>
      <c r="E18" s="16"/>
      <c r="F18" s="16"/>
    </row>
    <row r="19" spans="1:6" x14ac:dyDescent="0.25">
      <c r="A19" s="16"/>
      <c r="B19" s="16"/>
      <c r="C19" s="16"/>
      <c r="D19" s="16"/>
      <c r="E19" s="16"/>
      <c r="F19" s="16"/>
    </row>
    <row r="20" spans="1:6" x14ac:dyDescent="0.25">
      <c r="A20" s="16"/>
      <c r="B20" s="16"/>
      <c r="C20" s="16"/>
      <c r="D20" s="16"/>
      <c r="E20" s="16"/>
      <c r="F20" s="16"/>
    </row>
    <row r="21" spans="1:6" x14ac:dyDescent="0.25">
      <c r="A21" s="16"/>
      <c r="B21" s="16"/>
      <c r="C21" s="16"/>
      <c r="D21" s="16"/>
      <c r="E21" s="16"/>
      <c r="F21" s="16"/>
    </row>
    <row r="22" spans="1:6" x14ac:dyDescent="0.25">
      <c r="A22" s="16"/>
      <c r="B22" s="16"/>
      <c r="C22" s="16"/>
      <c r="D22" s="16"/>
      <c r="E22" s="16"/>
      <c r="F22" s="16"/>
    </row>
    <row r="23" spans="1:6" x14ac:dyDescent="0.25">
      <c r="A23" s="16"/>
      <c r="B23" s="16"/>
      <c r="C23" s="16"/>
      <c r="D23" s="16"/>
      <c r="E23" s="16"/>
      <c r="F23" s="16"/>
    </row>
    <row r="24" spans="1:6" x14ac:dyDescent="0.25">
      <c r="A24" s="16"/>
      <c r="B24" s="16"/>
      <c r="C24" s="16"/>
      <c r="D24" s="16"/>
      <c r="E24" s="16"/>
      <c r="F24" s="16"/>
    </row>
    <row r="25" spans="1:6" x14ac:dyDescent="0.25">
      <c r="A25" s="16"/>
      <c r="B25" s="16"/>
      <c r="C25" s="16"/>
      <c r="D25" s="16"/>
      <c r="E25" s="16"/>
      <c r="F25" s="16"/>
    </row>
    <row r="26" spans="1:6" x14ac:dyDescent="0.25">
      <c r="A26" s="16"/>
      <c r="B26" s="16"/>
      <c r="C26" s="16"/>
      <c r="D26" s="16"/>
      <c r="E26" s="16"/>
      <c r="F26" s="16"/>
    </row>
    <row r="27" spans="1:6" x14ac:dyDescent="0.25">
      <c r="A27" s="16"/>
      <c r="B27" s="16"/>
      <c r="C27" s="16"/>
      <c r="D27" s="16"/>
      <c r="E27" s="16"/>
      <c r="F27" s="16"/>
    </row>
    <row r="28" spans="1:6" x14ac:dyDescent="0.25">
      <c r="A28" s="16"/>
      <c r="B28" s="16"/>
      <c r="C28" s="16"/>
      <c r="D28" s="16"/>
      <c r="E28" s="16"/>
      <c r="F28" s="16"/>
    </row>
    <row r="29" spans="1:6" x14ac:dyDescent="0.25">
      <c r="A29" s="16"/>
      <c r="B29" s="16"/>
      <c r="C29" s="16"/>
      <c r="D29" s="16"/>
      <c r="E29" s="16"/>
      <c r="F29" s="16"/>
    </row>
    <row r="30" spans="1:6" x14ac:dyDescent="0.25">
      <c r="A30" s="16"/>
      <c r="B30" s="16"/>
      <c r="C30" s="16"/>
      <c r="D30" s="16"/>
      <c r="E30" s="16"/>
      <c r="F30" s="16"/>
    </row>
    <row r="31" spans="1:6" x14ac:dyDescent="0.25">
      <c r="A31" s="16"/>
      <c r="B31" s="16"/>
      <c r="C31" s="16"/>
      <c r="D31" s="16"/>
      <c r="E31" s="16"/>
      <c r="F31" s="16"/>
    </row>
    <row r="32" spans="1:6" x14ac:dyDescent="0.25">
      <c r="A32" s="16"/>
      <c r="B32" s="16"/>
      <c r="C32" s="16"/>
      <c r="D32" s="16"/>
      <c r="E32" s="16"/>
      <c r="F32" s="16"/>
    </row>
    <row r="33" spans="1:6" x14ac:dyDescent="0.25">
      <c r="A33" s="16"/>
      <c r="B33" s="16"/>
      <c r="C33" s="16"/>
      <c r="D33" s="16"/>
      <c r="E33" s="16"/>
      <c r="F33" s="16"/>
    </row>
    <row r="34" spans="1:6" x14ac:dyDescent="0.25">
      <c r="A34" s="16"/>
      <c r="B34" s="16"/>
      <c r="C34" s="16"/>
      <c r="D34" s="16"/>
      <c r="E34" s="16"/>
      <c r="F34" s="16"/>
    </row>
    <row r="35" spans="1:6" x14ac:dyDescent="0.25">
      <c r="A35" s="16"/>
      <c r="B35" s="16"/>
      <c r="C35" s="16"/>
      <c r="D35" s="16"/>
      <c r="E35" s="16"/>
      <c r="F35" s="16"/>
    </row>
    <row r="36" spans="1:6" x14ac:dyDescent="0.25">
      <c r="A36" s="16"/>
      <c r="B36" s="16"/>
      <c r="C36" s="16"/>
      <c r="D36" s="16"/>
      <c r="E36" s="16"/>
      <c r="F36" s="16"/>
    </row>
    <row r="37" spans="1:6" x14ac:dyDescent="0.25">
      <c r="A37" s="16"/>
      <c r="B37" s="16"/>
      <c r="C37" s="16"/>
      <c r="D37" s="16"/>
      <c r="E37" s="16"/>
      <c r="F37" s="16"/>
    </row>
    <row r="38" spans="1:6" x14ac:dyDescent="0.25">
      <c r="A38" s="16"/>
      <c r="B38" s="16"/>
      <c r="C38" s="16"/>
      <c r="D38" s="16"/>
      <c r="E38" s="16"/>
      <c r="F38" s="16"/>
    </row>
    <row r="39" spans="1:6" x14ac:dyDescent="0.25">
      <c r="A39" s="16"/>
      <c r="B39" s="16"/>
      <c r="C39" s="16"/>
      <c r="D39" s="16"/>
      <c r="E39" s="16"/>
      <c r="F39" s="16"/>
    </row>
    <row r="40" spans="1:6" x14ac:dyDescent="0.25">
      <c r="A40" s="16"/>
      <c r="B40" s="16"/>
      <c r="C40" s="16"/>
      <c r="D40" s="16"/>
      <c r="E40" s="16"/>
      <c r="F40" s="16"/>
    </row>
    <row r="41" spans="1:6" x14ac:dyDescent="0.25">
      <c r="A41" s="16"/>
      <c r="B41" s="16"/>
      <c r="C41" s="16"/>
      <c r="D41" s="16"/>
      <c r="E41" s="16"/>
      <c r="F41" s="16"/>
    </row>
    <row r="42" spans="1:6" x14ac:dyDescent="0.25">
      <c r="A42" s="16"/>
      <c r="B42" s="16"/>
      <c r="C42" s="16"/>
      <c r="D42" s="16"/>
      <c r="E42" s="16"/>
      <c r="F42" s="16"/>
    </row>
    <row r="43" spans="1:6" x14ac:dyDescent="0.25">
      <c r="A43" s="16"/>
      <c r="B43" s="16"/>
      <c r="C43" s="16"/>
      <c r="D43" s="16"/>
      <c r="E43" s="16"/>
      <c r="F43" s="16"/>
    </row>
    <row r="44" spans="1:6" x14ac:dyDescent="0.25">
      <c r="A44" s="16"/>
      <c r="B44" s="16"/>
      <c r="C44" s="16"/>
      <c r="D44" s="16"/>
      <c r="E44" s="16"/>
      <c r="F44" s="16"/>
    </row>
    <row r="45" spans="1:6" x14ac:dyDescent="0.25">
      <c r="A45" s="16"/>
      <c r="B45" s="16"/>
      <c r="C45" s="16"/>
      <c r="D45" s="16"/>
      <c r="E45" s="16"/>
      <c r="F45" s="16"/>
    </row>
    <row r="46" spans="1:6" x14ac:dyDescent="0.25">
      <c r="A46" s="16"/>
      <c r="B46" s="16"/>
      <c r="C46" s="16"/>
      <c r="D46" s="16"/>
      <c r="E46" s="16"/>
      <c r="F46" s="16"/>
    </row>
    <row r="47" spans="1:6" x14ac:dyDescent="0.25">
      <c r="A47" s="16"/>
      <c r="B47" s="16"/>
      <c r="C47" s="16"/>
      <c r="D47" s="16"/>
      <c r="E47" s="16"/>
      <c r="F47" s="16"/>
    </row>
    <row r="48" spans="1:6" x14ac:dyDescent="0.25">
      <c r="A48" s="16"/>
      <c r="B48" s="16"/>
      <c r="C48" s="16"/>
      <c r="D48" s="16"/>
      <c r="E48" s="16"/>
      <c r="F48" s="16"/>
    </row>
    <row r="49" spans="1:6" x14ac:dyDescent="0.25">
      <c r="A49" s="16"/>
      <c r="B49" s="16"/>
      <c r="C49" s="16"/>
      <c r="D49" s="16"/>
      <c r="E49" s="16"/>
      <c r="F49" s="16"/>
    </row>
    <row r="50" spans="1:6" x14ac:dyDescent="0.25">
      <c r="A50" s="16"/>
      <c r="B50" s="16"/>
      <c r="C50" s="16"/>
      <c r="D50" s="16"/>
      <c r="E50" s="16"/>
      <c r="F50" s="16"/>
    </row>
    <row r="51" spans="1:6" x14ac:dyDescent="0.25">
      <c r="A51" s="16"/>
      <c r="B51" s="16"/>
      <c r="C51" s="16"/>
      <c r="D51" s="16"/>
      <c r="E51" s="16"/>
      <c r="F51" s="16"/>
    </row>
    <row r="52" spans="1:6" x14ac:dyDescent="0.25">
      <c r="A52" s="16"/>
      <c r="B52" s="16"/>
      <c r="C52" s="16"/>
      <c r="D52" s="16"/>
      <c r="E52" s="16"/>
      <c r="F52" s="16"/>
    </row>
    <row r="53" spans="1:6" x14ac:dyDescent="0.25">
      <c r="A53" s="16"/>
      <c r="B53" s="16"/>
      <c r="C53" s="16"/>
      <c r="D53" s="16"/>
      <c r="E53" s="16"/>
      <c r="F53" s="16"/>
    </row>
    <row r="54" spans="1:6" x14ac:dyDescent="0.25">
      <c r="A54" s="16"/>
      <c r="B54" s="16"/>
      <c r="C54" s="16"/>
      <c r="D54" s="16"/>
      <c r="E54" s="16"/>
      <c r="F54" s="16"/>
    </row>
    <row r="55" spans="1:6" x14ac:dyDescent="0.25">
      <c r="A55" s="16"/>
      <c r="B55" s="16"/>
      <c r="C55" s="16"/>
      <c r="D55" s="16"/>
      <c r="E55" s="16"/>
      <c r="F55" s="16"/>
    </row>
    <row r="56" spans="1:6" x14ac:dyDescent="0.25">
      <c r="A56" s="16"/>
      <c r="B56" s="16"/>
      <c r="C56" s="16"/>
      <c r="D56" s="16"/>
      <c r="E56" s="16"/>
      <c r="F56" s="16"/>
    </row>
    <row r="57" spans="1:6" x14ac:dyDescent="0.25">
      <c r="A57" s="16"/>
      <c r="B57" s="16"/>
      <c r="C57" s="16"/>
      <c r="D57" s="16"/>
      <c r="E57" s="16"/>
      <c r="F57" s="16"/>
    </row>
    <row r="58" spans="1:6" x14ac:dyDescent="0.25">
      <c r="A58" s="16"/>
      <c r="B58" s="16"/>
      <c r="C58" s="16"/>
      <c r="D58" s="16"/>
      <c r="E58" s="16"/>
      <c r="F58" s="16"/>
    </row>
    <row r="59" spans="1:6" x14ac:dyDescent="0.25">
      <c r="A59" s="16"/>
      <c r="B59" s="16"/>
      <c r="C59" s="16"/>
      <c r="D59" s="16"/>
      <c r="E59" s="16"/>
      <c r="F59" s="16"/>
    </row>
    <row r="60" spans="1:6" x14ac:dyDescent="0.25">
      <c r="A60" s="16"/>
      <c r="B60" s="16"/>
      <c r="C60" s="16"/>
      <c r="D60" s="16"/>
      <c r="E60" s="16"/>
      <c r="F60" s="16"/>
    </row>
    <row r="61" spans="1:6" x14ac:dyDescent="0.25">
      <c r="A61" s="16"/>
      <c r="B61" s="16"/>
      <c r="C61" s="16"/>
      <c r="D61" s="16"/>
      <c r="E61" s="16"/>
      <c r="F61" s="16"/>
    </row>
    <row r="62" spans="1:6" x14ac:dyDescent="0.25">
      <c r="A62" s="16"/>
      <c r="B62" s="16"/>
      <c r="C62" s="16"/>
      <c r="D62" s="16"/>
      <c r="E62" s="16"/>
      <c r="F62" s="16"/>
    </row>
    <row r="63" spans="1:6" x14ac:dyDescent="0.25">
      <c r="A63" s="16"/>
      <c r="B63" s="16"/>
      <c r="C63" s="16"/>
      <c r="D63" s="16"/>
      <c r="E63" s="16"/>
      <c r="F63" s="16"/>
    </row>
    <row r="64" spans="1:6" x14ac:dyDescent="0.25">
      <c r="A64" s="16"/>
      <c r="B64" s="16"/>
      <c r="C64" s="16"/>
      <c r="D64" s="16"/>
      <c r="E64" s="16"/>
      <c r="F64" s="16"/>
    </row>
    <row r="65" spans="1:6" x14ac:dyDescent="0.25">
      <c r="A65" s="16"/>
      <c r="B65" s="16"/>
      <c r="C65" s="16"/>
      <c r="D65" s="16"/>
      <c r="E65" s="16"/>
      <c r="F65" s="16"/>
    </row>
    <row r="66" spans="1:6" x14ac:dyDescent="0.25">
      <c r="A66" s="16"/>
      <c r="B66" s="16"/>
      <c r="C66" s="16"/>
      <c r="D66" s="16"/>
      <c r="E66" s="16"/>
      <c r="F66" s="16"/>
    </row>
    <row r="67" spans="1:6" x14ac:dyDescent="0.25">
      <c r="A67" s="16"/>
      <c r="B67" s="16"/>
      <c r="C67" s="16"/>
      <c r="D67" s="16"/>
      <c r="E67" s="16"/>
      <c r="F67" s="16"/>
    </row>
    <row r="68" spans="1:6" x14ac:dyDescent="0.25">
      <c r="A68" s="16"/>
      <c r="B68" s="16"/>
      <c r="C68" s="16"/>
      <c r="D68" s="16"/>
      <c r="E68" s="16"/>
      <c r="F68" s="16"/>
    </row>
    <row r="69" spans="1:6" x14ac:dyDescent="0.25">
      <c r="A69" s="16"/>
      <c r="B69" s="16"/>
      <c r="C69" s="16"/>
      <c r="D69" s="16"/>
      <c r="E69" s="16"/>
      <c r="F69" s="16"/>
    </row>
    <row r="70" spans="1:6" x14ac:dyDescent="0.25">
      <c r="A70" s="16"/>
      <c r="B70" s="16"/>
      <c r="C70" s="16"/>
      <c r="D70" s="16"/>
      <c r="E70" s="16"/>
      <c r="F70" s="16"/>
    </row>
    <row r="71" spans="1:6" x14ac:dyDescent="0.25">
      <c r="A71" s="16"/>
      <c r="B71" s="16"/>
      <c r="C71" s="16"/>
      <c r="D71" s="16"/>
      <c r="E71" s="16"/>
      <c r="F71" s="16"/>
    </row>
    <row r="72" spans="1:6" x14ac:dyDescent="0.25">
      <c r="A72" s="16"/>
      <c r="B72" s="16"/>
      <c r="C72" s="16"/>
      <c r="D72" s="16"/>
      <c r="E72" s="16"/>
      <c r="F72" s="16"/>
    </row>
    <row r="73" spans="1:6" x14ac:dyDescent="0.25">
      <c r="A73" s="16"/>
      <c r="B73" s="16"/>
      <c r="C73" s="16"/>
      <c r="D73" s="16"/>
      <c r="E73" s="16"/>
      <c r="F73" s="16"/>
    </row>
    <row r="74" spans="1:6" x14ac:dyDescent="0.25">
      <c r="A74" s="16"/>
      <c r="B74" s="16"/>
      <c r="C74" s="16"/>
      <c r="D74" s="16"/>
      <c r="E74" s="16"/>
      <c r="F74" s="16"/>
    </row>
    <row r="75" spans="1:6" x14ac:dyDescent="0.25">
      <c r="A75" s="16"/>
      <c r="B75" s="16"/>
      <c r="C75" s="16"/>
      <c r="D75" s="16"/>
      <c r="E75" s="16"/>
      <c r="F75" s="16"/>
    </row>
    <row r="76" spans="1:6" x14ac:dyDescent="0.25">
      <c r="A76" s="16"/>
      <c r="B76" s="16"/>
      <c r="C76" s="16"/>
      <c r="D76" s="16"/>
      <c r="E76" s="16"/>
      <c r="F76" s="16"/>
    </row>
    <row r="77" spans="1:6" x14ac:dyDescent="0.25">
      <c r="A77" s="16"/>
      <c r="B77" s="16"/>
      <c r="C77" s="16"/>
      <c r="D77" s="16"/>
      <c r="E77" s="16"/>
      <c r="F77" s="16"/>
    </row>
    <row r="78" spans="1:6" x14ac:dyDescent="0.25">
      <c r="A78" s="16"/>
      <c r="B78" s="16"/>
      <c r="C78" s="16"/>
      <c r="D78" s="16"/>
      <c r="E78" s="16"/>
      <c r="F78" s="16"/>
    </row>
    <row r="79" spans="1:6" x14ac:dyDescent="0.25">
      <c r="A79" s="16"/>
      <c r="B79" s="16"/>
      <c r="C79" s="16"/>
      <c r="D79" s="16"/>
      <c r="E79" s="16"/>
      <c r="F79" s="16"/>
    </row>
    <row r="80" spans="1:6" x14ac:dyDescent="0.25">
      <c r="A80" s="16"/>
      <c r="B80" s="16"/>
      <c r="C80" s="16"/>
      <c r="D80" s="16"/>
      <c r="E80" s="16"/>
      <c r="F80" s="16"/>
    </row>
    <row r="81" spans="1:6" x14ac:dyDescent="0.25">
      <c r="A81" s="16"/>
      <c r="B81" s="16"/>
      <c r="C81" s="16"/>
      <c r="D81" s="16"/>
      <c r="E81" s="16"/>
      <c r="F81" s="16"/>
    </row>
    <row r="82" spans="1:6" x14ac:dyDescent="0.25">
      <c r="A82" s="16"/>
      <c r="B82" s="16"/>
      <c r="C82" s="16"/>
      <c r="D82" s="16"/>
      <c r="E82" s="16"/>
      <c r="F82" s="16"/>
    </row>
    <row r="83" spans="1:6" x14ac:dyDescent="0.25">
      <c r="A83" s="16"/>
      <c r="B83" s="16"/>
      <c r="C83" s="16"/>
      <c r="D83" s="16"/>
      <c r="E83" s="16"/>
      <c r="F83" s="16"/>
    </row>
    <row r="84" spans="1:6" x14ac:dyDescent="0.25">
      <c r="A84" s="16"/>
      <c r="B84" s="16"/>
      <c r="C84" s="16"/>
      <c r="D84" s="16"/>
      <c r="E84" s="16"/>
      <c r="F84" s="16"/>
    </row>
    <row r="85" spans="1:6" x14ac:dyDescent="0.25">
      <c r="A85" s="16"/>
      <c r="B85" s="16"/>
      <c r="C85" s="16"/>
      <c r="D85" s="16"/>
      <c r="E85" s="16"/>
      <c r="F85" s="16"/>
    </row>
    <row r="86" spans="1:6" x14ac:dyDescent="0.25">
      <c r="A86" s="16"/>
      <c r="B86" s="16"/>
      <c r="C86" s="16"/>
      <c r="D86" s="16"/>
      <c r="E86" s="16"/>
      <c r="F86" s="16"/>
    </row>
    <row r="87" spans="1:6" x14ac:dyDescent="0.25">
      <c r="A87" s="16"/>
      <c r="B87" s="16"/>
      <c r="C87" s="16"/>
      <c r="D87" s="16"/>
      <c r="E87" s="16"/>
      <c r="F87" s="16"/>
    </row>
    <row r="88" spans="1:6" x14ac:dyDescent="0.25">
      <c r="A88" s="16"/>
      <c r="B88" s="16"/>
      <c r="C88" s="16"/>
      <c r="D88" s="16"/>
      <c r="E88" s="16"/>
      <c r="F88" s="16"/>
    </row>
    <row r="89" spans="1:6" x14ac:dyDescent="0.25">
      <c r="A89" s="16"/>
      <c r="B89" s="16"/>
      <c r="C89" s="16"/>
      <c r="D89" s="16"/>
      <c r="E89" s="16"/>
      <c r="F89" s="16"/>
    </row>
    <row r="90" spans="1:6" x14ac:dyDescent="0.25">
      <c r="A90" s="16"/>
      <c r="B90" s="16"/>
      <c r="C90" s="16"/>
      <c r="D90" s="16"/>
      <c r="E90" s="16"/>
      <c r="F90" s="16"/>
    </row>
    <row r="91" spans="1:6" x14ac:dyDescent="0.25">
      <c r="A91" s="16"/>
      <c r="B91" s="16"/>
      <c r="C91" s="16"/>
      <c r="D91" s="16"/>
      <c r="E91" s="16"/>
      <c r="F91" s="16"/>
    </row>
    <row r="92" spans="1:6" x14ac:dyDescent="0.25">
      <c r="A92" s="16"/>
      <c r="B92" s="16"/>
      <c r="C92" s="16"/>
      <c r="D92" s="16"/>
      <c r="E92" s="16"/>
      <c r="F92" s="16"/>
    </row>
    <row r="93" spans="1:6" x14ac:dyDescent="0.25">
      <c r="A93" s="16"/>
      <c r="B93" s="16"/>
      <c r="C93" s="16"/>
      <c r="D93" s="16"/>
      <c r="E93" s="16"/>
      <c r="F93" s="16"/>
    </row>
    <row r="94" spans="1:6" x14ac:dyDescent="0.25">
      <c r="A94" s="16"/>
      <c r="B94" s="16"/>
      <c r="C94" s="16"/>
      <c r="D94" s="16"/>
      <c r="E94" s="16"/>
      <c r="F94" s="16"/>
    </row>
    <row r="95" spans="1:6" x14ac:dyDescent="0.25">
      <c r="A95" s="16"/>
      <c r="B95" s="16"/>
      <c r="C95" s="16"/>
      <c r="D95" s="16"/>
      <c r="E95" s="16"/>
      <c r="F95" s="16"/>
    </row>
    <row r="96" spans="1:6" x14ac:dyDescent="0.25">
      <c r="A96" s="16"/>
      <c r="B96" s="16"/>
      <c r="C96" s="16"/>
      <c r="D96" s="16"/>
      <c r="E96" s="16"/>
      <c r="F96" s="16"/>
    </row>
    <row r="97" spans="1:6" x14ac:dyDescent="0.25">
      <c r="A97" s="16"/>
      <c r="B97" s="16"/>
      <c r="C97" s="16"/>
      <c r="D97" s="16"/>
      <c r="E97" s="16"/>
      <c r="F97" s="16"/>
    </row>
    <row r="98" spans="1:6" x14ac:dyDescent="0.25">
      <c r="A98" s="16"/>
      <c r="B98" s="16"/>
      <c r="C98" s="16"/>
      <c r="D98" s="16"/>
      <c r="E98" s="16"/>
      <c r="F98" s="16"/>
    </row>
    <row r="99" spans="1:6" x14ac:dyDescent="0.25">
      <c r="A99" s="16"/>
      <c r="B99" s="16"/>
      <c r="C99" s="16"/>
      <c r="D99" s="16"/>
      <c r="E99" s="16"/>
      <c r="F99" s="16"/>
    </row>
    <row r="100" spans="1:6" x14ac:dyDescent="0.25">
      <c r="A100" s="16"/>
      <c r="B100" s="16"/>
      <c r="C100" s="16"/>
      <c r="D100" s="16"/>
      <c r="E100" s="16"/>
      <c r="F100" s="16"/>
    </row>
    <row r="101" spans="1:6" x14ac:dyDescent="0.25">
      <c r="A101" s="16"/>
      <c r="B101" s="16"/>
      <c r="C101" s="16"/>
      <c r="D101" s="16"/>
      <c r="E101" s="16"/>
      <c r="F101" s="16"/>
    </row>
    <row r="102" spans="1:6" x14ac:dyDescent="0.25">
      <c r="A102" s="16"/>
      <c r="B102" s="16"/>
      <c r="C102" s="16"/>
      <c r="D102" s="16"/>
      <c r="E102" s="16"/>
      <c r="F102" s="16"/>
    </row>
    <row r="103" spans="1:6" x14ac:dyDescent="0.25">
      <c r="A103" s="16"/>
      <c r="B103" s="16"/>
      <c r="C103" s="16"/>
      <c r="D103" s="16"/>
      <c r="E103" s="16"/>
      <c r="F103" s="16"/>
    </row>
    <row r="104" spans="1:6" x14ac:dyDescent="0.25">
      <c r="A104" s="16"/>
      <c r="B104" s="16"/>
      <c r="C104" s="16"/>
      <c r="D104" s="16"/>
      <c r="E104" s="16"/>
      <c r="F104" s="16"/>
    </row>
    <row r="105" spans="1:6" x14ac:dyDescent="0.25">
      <c r="A105" s="16"/>
      <c r="B105" s="16"/>
      <c r="C105" s="16"/>
      <c r="D105" s="16"/>
      <c r="E105" s="16"/>
      <c r="F105" s="16"/>
    </row>
    <row r="106" spans="1:6" x14ac:dyDescent="0.25">
      <c r="A106" s="16"/>
      <c r="B106" s="16"/>
      <c r="C106" s="16"/>
      <c r="D106" s="16"/>
      <c r="E106" s="16"/>
      <c r="F106" s="16"/>
    </row>
    <row r="107" spans="1:6" x14ac:dyDescent="0.25">
      <c r="A107" s="16"/>
      <c r="B107" s="16"/>
      <c r="C107" s="16"/>
      <c r="D107" s="16"/>
      <c r="E107" s="16"/>
      <c r="F107" s="16"/>
    </row>
    <row r="108" spans="1:6" x14ac:dyDescent="0.25">
      <c r="A108" s="16"/>
      <c r="B108" s="16"/>
      <c r="C108" s="16"/>
      <c r="D108" s="16"/>
      <c r="E108" s="16"/>
      <c r="F108" s="16"/>
    </row>
    <row r="109" spans="1:6" x14ac:dyDescent="0.25">
      <c r="A109" s="16"/>
      <c r="B109" s="16"/>
      <c r="C109" s="16"/>
      <c r="D109" s="16"/>
      <c r="E109" s="16"/>
      <c r="F109" s="16"/>
    </row>
    <row r="110" spans="1:6" x14ac:dyDescent="0.25">
      <c r="A110" s="16"/>
      <c r="B110" s="16"/>
      <c r="C110" s="16"/>
      <c r="D110" s="16"/>
      <c r="E110" s="16"/>
      <c r="F110" s="16"/>
    </row>
    <row r="111" spans="1:6" x14ac:dyDescent="0.25">
      <c r="A111" s="16"/>
      <c r="B111" s="16"/>
      <c r="C111" s="16"/>
      <c r="D111" s="16"/>
      <c r="E111" s="16"/>
      <c r="F111" s="16"/>
    </row>
    <row r="112" spans="1:6" x14ac:dyDescent="0.25">
      <c r="A112" s="16"/>
      <c r="B112" s="16"/>
      <c r="C112" s="16"/>
      <c r="D112" s="16"/>
      <c r="E112" s="16"/>
      <c r="F112" s="16"/>
    </row>
    <row r="113" spans="1:6" x14ac:dyDescent="0.25">
      <c r="A113" s="16"/>
      <c r="B113" s="16"/>
      <c r="C113" s="16"/>
      <c r="D113" s="16"/>
      <c r="E113" s="16"/>
      <c r="F113" s="16"/>
    </row>
    <row r="114" spans="1:6" x14ac:dyDescent="0.25">
      <c r="A114" s="16"/>
      <c r="B114" s="16"/>
      <c r="C114" s="16"/>
      <c r="D114" s="16"/>
      <c r="E114" s="16"/>
      <c r="F114" s="16"/>
    </row>
    <row r="115" spans="1:6" x14ac:dyDescent="0.25">
      <c r="A115" s="16"/>
      <c r="B115" s="16"/>
      <c r="C115" s="16"/>
      <c r="D115" s="16"/>
      <c r="E115" s="16"/>
      <c r="F115" s="16"/>
    </row>
    <row r="116" spans="1:6" x14ac:dyDescent="0.25">
      <c r="A116" s="16"/>
      <c r="B116" s="16"/>
      <c r="C116" s="16"/>
      <c r="D116" s="16"/>
      <c r="E116" s="16"/>
      <c r="F116" s="16"/>
    </row>
    <row r="117" spans="1:6" x14ac:dyDescent="0.25">
      <c r="A117" s="16"/>
      <c r="B117" s="16"/>
      <c r="C117" s="16"/>
      <c r="D117" s="16"/>
      <c r="E117" s="16"/>
      <c r="F117" s="16"/>
    </row>
    <row r="118" spans="1:6" x14ac:dyDescent="0.25">
      <c r="A118" s="16"/>
      <c r="B118" s="16"/>
      <c r="C118" s="16"/>
      <c r="D118" s="16"/>
      <c r="E118" s="16"/>
      <c r="F118" s="16"/>
    </row>
    <row r="119" spans="1:6" x14ac:dyDescent="0.25">
      <c r="A119" s="16"/>
      <c r="B119" s="16"/>
      <c r="C119" s="16"/>
      <c r="D119" s="16"/>
      <c r="E119" s="16"/>
      <c r="F119" s="16"/>
    </row>
    <row r="120" spans="1:6" x14ac:dyDescent="0.25">
      <c r="A120" s="16"/>
      <c r="B120" s="16"/>
      <c r="C120" s="16"/>
      <c r="D120" s="16"/>
      <c r="E120" s="16"/>
      <c r="F120" s="16"/>
    </row>
    <row r="121" spans="1:6" x14ac:dyDescent="0.25">
      <c r="A121" s="16"/>
      <c r="B121" s="16"/>
      <c r="C121" s="16"/>
      <c r="D121" s="16"/>
      <c r="E121" s="16"/>
      <c r="F121" s="16"/>
    </row>
    <row r="122" spans="1:6" x14ac:dyDescent="0.25">
      <c r="A122" s="16"/>
      <c r="B122" s="16"/>
      <c r="C122" s="16"/>
      <c r="D122" s="16"/>
      <c r="E122" s="16"/>
      <c r="F122" s="16"/>
    </row>
    <row r="123" spans="1:6" x14ac:dyDescent="0.25">
      <c r="A123" s="16"/>
      <c r="B123" s="16"/>
      <c r="C123" s="16"/>
      <c r="D123" s="16"/>
      <c r="E123" s="16"/>
      <c r="F123" s="16"/>
    </row>
    <row r="124" spans="1:6" x14ac:dyDescent="0.25">
      <c r="A124" s="16"/>
      <c r="B124" s="16"/>
      <c r="C124" s="16"/>
      <c r="D124" s="16"/>
      <c r="E124" s="16"/>
      <c r="F124" s="16"/>
    </row>
    <row r="125" spans="1:6" x14ac:dyDescent="0.25">
      <c r="A125" s="16"/>
      <c r="B125" s="16"/>
      <c r="C125" s="16"/>
      <c r="D125" s="16"/>
      <c r="E125" s="16"/>
      <c r="F125" s="16"/>
    </row>
    <row r="126" spans="1:6" x14ac:dyDescent="0.25">
      <c r="A126" s="16"/>
      <c r="B126" s="16"/>
      <c r="C126" s="16"/>
      <c r="D126" s="16"/>
      <c r="E126" s="16"/>
      <c r="F126" s="16"/>
    </row>
    <row r="127" spans="1:6" x14ac:dyDescent="0.25">
      <c r="A127" s="16"/>
      <c r="B127" s="16"/>
      <c r="C127" s="16"/>
      <c r="D127" s="16"/>
      <c r="E127" s="16"/>
      <c r="F127" s="16"/>
    </row>
    <row r="128" spans="1:6" x14ac:dyDescent="0.25">
      <c r="A128" s="16"/>
      <c r="B128" s="16"/>
      <c r="C128" s="16"/>
      <c r="D128" s="16"/>
      <c r="E128" s="16"/>
      <c r="F128" s="16"/>
    </row>
    <row r="129" spans="1:6" x14ac:dyDescent="0.25">
      <c r="A129" s="16"/>
      <c r="B129" s="16"/>
      <c r="C129" s="16"/>
      <c r="D129" s="16"/>
      <c r="E129" s="16"/>
      <c r="F129" s="16"/>
    </row>
    <row r="130" spans="1:6" x14ac:dyDescent="0.25">
      <c r="A130" s="16"/>
      <c r="B130" s="16"/>
      <c r="C130" s="16"/>
      <c r="D130" s="16"/>
      <c r="E130" s="16"/>
      <c r="F130" s="16"/>
    </row>
    <row r="131" spans="1:6" x14ac:dyDescent="0.25">
      <c r="A131" s="16"/>
      <c r="B131" s="16"/>
      <c r="C131" s="16"/>
      <c r="D131" s="16"/>
      <c r="E131" s="16"/>
      <c r="F131" s="16"/>
    </row>
    <row r="132" spans="1:6" x14ac:dyDescent="0.25">
      <c r="A132" s="16"/>
      <c r="B132" s="16"/>
      <c r="C132" s="16"/>
      <c r="D132" s="16"/>
      <c r="E132" s="16"/>
      <c r="F132" s="16"/>
    </row>
    <row r="133" spans="1:6" x14ac:dyDescent="0.25">
      <c r="A133" s="16"/>
      <c r="B133" s="16"/>
      <c r="C133" s="16"/>
      <c r="D133" s="16"/>
      <c r="E133" s="16"/>
      <c r="F133" s="16"/>
    </row>
    <row r="134" spans="1:6" x14ac:dyDescent="0.25">
      <c r="A134" s="16"/>
      <c r="B134" s="16"/>
      <c r="C134" s="16"/>
      <c r="D134" s="16"/>
      <c r="E134" s="16"/>
      <c r="F134" s="16"/>
    </row>
    <row r="135" spans="1:6" x14ac:dyDescent="0.25">
      <c r="A135" s="16"/>
      <c r="B135" s="16"/>
      <c r="C135" s="16"/>
      <c r="D135" s="16"/>
      <c r="E135" s="16"/>
      <c r="F135" s="16"/>
    </row>
    <row r="136" spans="1:6" x14ac:dyDescent="0.25">
      <c r="A136" s="16"/>
      <c r="B136" s="16"/>
      <c r="C136" s="16"/>
      <c r="D136" s="16"/>
      <c r="E136" s="16"/>
      <c r="F136" s="16"/>
    </row>
    <row r="137" spans="1:6" x14ac:dyDescent="0.25">
      <c r="A137" s="16"/>
      <c r="B137" s="16"/>
      <c r="C137" s="16"/>
      <c r="D137" s="16"/>
      <c r="E137" s="16"/>
      <c r="F137" s="16"/>
    </row>
    <row r="138" spans="1:6" x14ac:dyDescent="0.25">
      <c r="A138" s="16"/>
      <c r="B138" s="16"/>
      <c r="C138" s="16"/>
      <c r="D138" s="16"/>
      <c r="E138" s="16"/>
      <c r="F138" s="16"/>
    </row>
    <row r="139" spans="1:6" x14ac:dyDescent="0.25">
      <c r="A139" s="16"/>
      <c r="B139" s="16"/>
      <c r="C139" s="16"/>
      <c r="D139" s="16"/>
      <c r="E139" s="16"/>
      <c r="F139" s="16"/>
    </row>
    <row r="140" spans="1:6" x14ac:dyDescent="0.25">
      <c r="A140" s="16"/>
      <c r="B140" s="16"/>
      <c r="C140" s="16"/>
      <c r="D140" s="16"/>
      <c r="E140" s="16"/>
      <c r="F140" s="16"/>
    </row>
    <row r="141" spans="1:6" x14ac:dyDescent="0.25">
      <c r="A141" s="16"/>
      <c r="B141" s="16"/>
      <c r="C141" s="16"/>
      <c r="D141" s="16"/>
      <c r="E141" s="16"/>
      <c r="F141" s="16"/>
    </row>
    <row r="142" spans="1:6" x14ac:dyDescent="0.25">
      <c r="A142" s="16"/>
      <c r="B142" s="16"/>
      <c r="C142" s="16"/>
      <c r="D142" s="16"/>
      <c r="E142" s="16"/>
      <c r="F142" s="16"/>
    </row>
    <row r="143" spans="1:6" x14ac:dyDescent="0.25">
      <c r="A143" s="16"/>
      <c r="B143" s="16"/>
      <c r="C143" s="16"/>
      <c r="D143" s="16"/>
      <c r="E143" s="16"/>
      <c r="F143" s="16"/>
    </row>
    <row r="144" spans="1:6" x14ac:dyDescent="0.25">
      <c r="A144" s="16"/>
      <c r="B144" s="16"/>
      <c r="C144" s="16"/>
      <c r="D144" s="16"/>
      <c r="E144" s="16"/>
      <c r="F144" s="16"/>
    </row>
    <row r="145" spans="1:6" x14ac:dyDescent="0.25">
      <c r="A145" s="16"/>
      <c r="B145" s="16"/>
      <c r="C145" s="16"/>
      <c r="D145" s="16"/>
      <c r="E145" s="16"/>
      <c r="F145" s="16"/>
    </row>
    <row r="146" spans="1:6" x14ac:dyDescent="0.25">
      <c r="A146" s="16"/>
      <c r="B146" s="16"/>
      <c r="C146" s="16"/>
      <c r="D146" s="16"/>
      <c r="E146" s="16"/>
      <c r="F146" s="16"/>
    </row>
    <row r="147" spans="1:6" x14ac:dyDescent="0.25">
      <c r="A147" s="16"/>
      <c r="B147" s="16"/>
      <c r="C147" s="16"/>
      <c r="D147" s="16"/>
      <c r="E147" s="16"/>
      <c r="F147" s="16"/>
    </row>
    <row r="148" spans="1:6" x14ac:dyDescent="0.25">
      <c r="A148" s="16"/>
      <c r="B148" s="16"/>
      <c r="C148" s="16"/>
      <c r="D148" s="16"/>
      <c r="E148" s="16"/>
      <c r="F148" s="16"/>
    </row>
    <row r="149" spans="1:6" x14ac:dyDescent="0.25">
      <c r="A149" s="16"/>
      <c r="B149" s="16"/>
      <c r="C149" s="16"/>
      <c r="D149" s="16"/>
      <c r="E149" s="16"/>
      <c r="F149" s="16"/>
    </row>
    <row r="150" spans="1:6" x14ac:dyDescent="0.25">
      <c r="A150" s="16"/>
      <c r="B150" s="16"/>
      <c r="C150" s="16"/>
      <c r="D150" s="16"/>
      <c r="E150" s="16"/>
      <c r="F150" s="16"/>
    </row>
    <row r="151" spans="1:6" x14ac:dyDescent="0.25">
      <c r="A151" s="16"/>
      <c r="B151" s="16"/>
      <c r="C151" s="16"/>
      <c r="D151" s="16"/>
      <c r="E151" s="16"/>
      <c r="F151" s="16"/>
    </row>
    <row r="152" spans="1:6" x14ac:dyDescent="0.25">
      <c r="A152" s="16"/>
      <c r="B152" s="16"/>
      <c r="C152" s="16"/>
      <c r="D152" s="16"/>
      <c r="E152" s="16"/>
      <c r="F152" s="16"/>
    </row>
    <row r="153" spans="1:6" x14ac:dyDescent="0.25">
      <c r="A153" s="16"/>
      <c r="B153" s="16"/>
      <c r="C153" s="16"/>
      <c r="D153" s="16"/>
      <c r="E153" s="16"/>
      <c r="F153" s="16"/>
    </row>
    <row r="154" spans="1:6" x14ac:dyDescent="0.25">
      <c r="A154" s="16"/>
      <c r="B154" s="16"/>
      <c r="C154" s="16"/>
      <c r="D154" s="16"/>
      <c r="E154" s="16"/>
      <c r="F154" s="16"/>
    </row>
    <row r="155" spans="1:6" x14ac:dyDescent="0.25">
      <c r="A155" s="16"/>
      <c r="B155" s="16"/>
      <c r="C155" s="16"/>
      <c r="D155" s="16"/>
      <c r="E155" s="16"/>
      <c r="F155" s="16"/>
    </row>
    <row r="156" spans="1:6" x14ac:dyDescent="0.25">
      <c r="A156" s="16"/>
      <c r="B156" s="16"/>
      <c r="C156" s="16"/>
      <c r="D156" s="16"/>
      <c r="E156" s="16"/>
      <c r="F156" s="16"/>
    </row>
    <row r="157" spans="1:6" x14ac:dyDescent="0.25">
      <c r="A157" s="16"/>
      <c r="B157" s="16"/>
      <c r="C157" s="16"/>
      <c r="D157" s="16"/>
      <c r="E157" s="16"/>
      <c r="F157" s="16"/>
    </row>
    <row r="158" spans="1:6" x14ac:dyDescent="0.25">
      <c r="A158" s="16"/>
      <c r="B158" s="16"/>
      <c r="C158" s="16"/>
      <c r="D158" s="16"/>
      <c r="E158" s="16"/>
      <c r="F158" s="16"/>
    </row>
    <row r="159" spans="1:6" x14ac:dyDescent="0.25">
      <c r="A159" s="16"/>
      <c r="B159" s="16"/>
      <c r="C159" s="16"/>
      <c r="D159" s="16"/>
      <c r="E159" s="16"/>
      <c r="F159" s="16"/>
    </row>
    <row r="160" spans="1:6" x14ac:dyDescent="0.25">
      <c r="A160" s="16"/>
      <c r="B160" s="16"/>
      <c r="C160" s="16"/>
      <c r="D160" s="16"/>
      <c r="E160" s="16"/>
      <c r="F160" s="16"/>
    </row>
    <row r="161" spans="1:6" x14ac:dyDescent="0.25">
      <c r="A161" s="16"/>
      <c r="B161" s="16"/>
      <c r="C161" s="16"/>
      <c r="D161" s="16"/>
      <c r="E161" s="16"/>
      <c r="F161" s="16"/>
    </row>
  </sheetData>
  <conditionalFormatting sqref="A2:F161">
    <cfRule type="expression" dxfId="0" priority="1">
      <formula>A2&lt;&gt;""</formula>
    </cfRule>
  </conditionalFormatting>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6</vt:i4>
      </vt:variant>
    </vt:vector>
  </HeadingPairs>
  <TitlesOfParts>
    <vt:vector size="11" baseType="lpstr">
      <vt:lpstr>Comece por aqui</vt:lpstr>
      <vt:lpstr>Fluxo de Caixa</vt:lpstr>
      <vt:lpstr>Resumo</vt:lpstr>
      <vt:lpstr>Auxiliar</vt:lpstr>
      <vt:lpstr>Cadastros</vt:lpstr>
      <vt:lpstr>CentroDeCustos</vt:lpstr>
      <vt:lpstr>Contas</vt:lpstr>
      <vt:lpstr>Entradas</vt:lpstr>
      <vt:lpstr>Favorecidos</vt:lpstr>
      <vt:lpstr>Saídas</vt:lpstr>
      <vt:lpstr>Transferências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Amorim</dc:creator>
  <cp:lastModifiedBy>Marcus</cp:lastModifiedBy>
  <dcterms:created xsi:type="dcterms:W3CDTF">2020-06-19T16:50:19Z</dcterms:created>
  <dcterms:modified xsi:type="dcterms:W3CDTF">2020-06-22T19:48:41Z</dcterms:modified>
</cp:coreProperties>
</file>