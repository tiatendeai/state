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2.xml" ContentType="application/vnd.openxmlformats-officedocument.drawing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6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SRV-VOGA04\Dpt Contabil\MODELOS\"/>
    </mc:Choice>
  </mc:AlternateContent>
  <bookViews>
    <workbookView xWindow="10416" yWindow="0" windowWidth="19440" windowHeight="7080" tabRatio="596"/>
  </bookViews>
  <sheets>
    <sheet name="1 - Cálculo do IOF S-Mútuo" sheetId="112" r:id="rId1"/>
    <sheet name="2 - Cálculo do IRRF S-Mútuo" sheetId="113" r:id="rId2"/>
    <sheet name="RESUMO DE DESPESAS" sheetId="18" state="hidden" r:id="rId3"/>
    <sheet name="DESPESAS FIXAS" sheetId="19" state="hidden" r:id="rId4"/>
  </sheets>
  <definedNames>
    <definedName name="aaa">#REF!</definedName>
    <definedName name="Aluguel">#REF!</definedName>
    <definedName name="_xlnm.Print_Area" localSheetId="0">'1 - Cálculo do IOF S-Mútuo'!$D$6:$Y$80,'1 - Cálculo do IOF S-Mútuo'!$AC$5:$AX$39</definedName>
    <definedName name="_xlnm.Print_Area" localSheetId="1">'2 - Cálculo do IRRF S-Mútuo'!$B$2:$S$55</definedName>
    <definedName name="Z_D1028346_3542_4DBC_9192_DBBB4A8531AF_.wvu.Cols" localSheetId="3" hidden="1">'DESPESAS FIXAS'!$H:$O</definedName>
    <definedName name="Z_D1028346_3542_4DBC_9192_DBBB4A8531AF_.wvu.Cols" localSheetId="2" hidden="1">'RESUMO DE DESPESAS'!$H:$P</definedName>
    <definedName name="Z_D1028346_3542_4DBC_9192_DBBB4A8531AF_.wvu.Rows" localSheetId="2" hidden="1">'RESUMO DE DESPESAS'!$54:$54</definedName>
  </definedNames>
  <calcPr calcId="162913"/>
  <customWorkbookViews>
    <customWorkbookView name="Ricardo Gonçalves de Oliveira - Modo de exibição pessoal" guid="{D1028346-3542-4DBC-9192-DBBB4A8531AF}" mergeInterval="0" personalView="1" maximized="1" xWindow="1" yWindow="1" windowWidth="1276" windowHeight="490" tabRatio="599" activeSheetId="91"/>
  </customWorkbookViews>
</workbook>
</file>

<file path=xl/calcChain.xml><?xml version="1.0" encoding="utf-8"?>
<calcChain xmlns="http://schemas.openxmlformats.org/spreadsheetml/2006/main">
  <c r="CJ123" i="112" l="1"/>
  <c r="CT105" i="112" s="1"/>
  <c r="CK105" i="112"/>
  <c r="BA60" i="112"/>
  <c r="BC60" i="112" s="1"/>
  <c r="BA61" i="112"/>
  <c r="BC61" i="112" s="1"/>
  <c r="BB101" i="112"/>
  <c r="T69" i="112" s="1"/>
  <c r="CI121" i="113"/>
  <c r="CO97" i="113" s="1"/>
  <c r="CH93" i="113"/>
  <c r="CG93" i="113"/>
  <c r="CF93" i="113"/>
  <c r="CF106" i="113"/>
  <c r="J16" i="113"/>
  <c r="J17" i="113"/>
  <c r="J19" i="113"/>
  <c r="BL74" i="112"/>
  <c r="AL24" i="112"/>
  <c r="BI101" i="112"/>
  <c r="AL25" i="112"/>
  <c r="CG95" i="112"/>
  <c r="CH95" i="112"/>
  <c r="CI95" i="112"/>
  <c r="CG108" i="112"/>
  <c r="BI99" i="112"/>
  <c r="BI95" i="112"/>
  <c r="BI93" i="112"/>
  <c r="BI91" i="112"/>
  <c r="BB32" i="112"/>
  <c r="BC32" i="112"/>
  <c r="BB33" i="112"/>
  <c r="BC33" i="112"/>
  <c r="BB34" i="112"/>
  <c r="BC34" i="112"/>
  <c r="D34" i="112" s="1"/>
  <c r="BB35" i="112"/>
  <c r="BC35" i="112"/>
  <c r="BA33" i="112"/>
  <c r="BA34" i="112"/>
  <c r="BA35" i="112"/>
  <c r="D35" i="112"/>
  <c r="BB36" i="112"/>
  <c r="BC36" i="112"/>
  <c r="D36" i="112" s="1"/>
  <c r="BB37" i="112"/>
  <c r="BC37" i="112"/>
  <c r="BB38" i="112"/>
  <c r="BC38" i="112"/>
  <c r="BA36" i="112"/>
  <c r="BA37" i="112"/>
  <c r="BA38" i="112"/>
  <c r="D38" i="112"/>
  <c r="BB39" i="112"/>
  <c r="BC39" i="112"/>
  <c r="BA39" i="112"/>
  <c r="D39" i="112"/>
  <c r="BB40" i="112"/>
  <c r="BC40" i="112"/>
  <c r="BB41" i="112"/>
  <c r="BC41" i="112"/>
  <c r="D41" i="112" s="1"/>
  <c r="BB42" i="112"/>
  <c r="BC42" i="112"/>
  <c r="BA40" i="112"/>
  <c r="BA41" i="112"/>
  <c r="BA42" i="112"/>
  <c r="D42" i="112"/>
  <c r="BB43" i="112"/>
  <c r="BC43" i="112"/>
  <c r="D43" i="112" s="1"/>
  <c r="BB44" i="112"/>
  <c r="BC44" i="112"/>
  <c r="D44" i="112" s="1"/>
  <c r="BB45" i="112"/>
  <c r="BC45" i="112"/>
  <c r="BA43" i="112"/>
  <c r="BA44" i="112"/>
  <c r="BA45" i="112"/>
  <c r="D45" i="112"/>
  <c r="BB46" i="112"/>
  <c r="BC46" i="112"/>
  <c r="BA46" i="112"/>
  <c r="D46" i="112"/>
  <c r="BB47" i="112"/>
  <c r="BC47" i="112"/>
  <c r="D47" i="112" s="1"/>
  <c r="BB48" i="112"/>
  <c r="BC48" i="112"/>
  <c r="BB49" i="112"/>
  <c r="BC49" i="112"/>
  <c r="D49" i="112" s="1"/>
  <c r="BB50" i="112"/>
  <c r="BC50" i="112"/>
  <c r="D50" i="112" s="1"/>
  <c r="BB51" i="112"/>
  <c r="BC51" i="112"/>
  <c r="BB52" i="112"/>
  <c r="BC52" i="112"/>
  <c r="D52" i="112" s="1"/>
  <c r="BB53" i="112"/>
  <c r="BC53" i="112"/>
  <c r="BA47" i="112"/>
  <c r="BA48" i="112"/>
  <c r="BA49" i="112"/>
  <c r="BA50" i="112"/>
  <c r="BA51" i="112"/>
  <c r="BA52" i="112"/>
  <c r="BA53" i="112"/>
  <c r="D53" i="112"/>
  <c r="BB54" i="112"/>
  <c r="BC54" i="112"/>
  <c r="D54" i="112" s="1"/>
  <c r="BA54" i="112"/>
  <c r="BB55" i="112"/>
  <c r="BC55" i="112"/>
  <c r="BB56" i="112"/>
  <c r="BC56" i="112"/>
  <c r="BB57" i="112"/>
  <c r="BC57" i="112"/>
  <c r="D57" i="112" s="1"/>
  <c r="BB58" i="112"/>
  <c r="BC58" i="112"/>
  <c r="BB59" i="112"/>
  <c r="BC59" i="112"/>
  <c r="D59" i="112" s="1"/>
  <c r="BA62" i="112"/>
  <c r="BB62" i="112" s="1"/>
  <c r="BL56" i="112"/>
  <c r="BA55" i="112"/>
  <c r="BA56" i="112"/>
  <c r="BA57" i="112"/>
  <c r="BA58" i="112"/>
  <c r="BA59" i="112"/>
  <c r="AD12" i="112"/>
  <c r="R9" i="112"/>
  <c r="CF107" i="113"/>
  <c r="CG106" i="113"/>
  <c r="E19" i="113"/>
  <c r="J21" i="113"/>
  <c r="CG107" i="113"/>
  <c r="CF108" i="113"/>
  <c r="D24" i="113"/>
  <c r="G28" i="19"/>
  <c r="G36" i="18"/>
  <c r="G47" i="19"/>
  <c r="G41" i="19"/>
  <c r="G49" i="18"/>
  <c r="G39" i="19"/>
  <c r="G38" i="19"/>
  <c r="G37" i="19"/>
  <c r="G36" i="19"/>
  <c r="G33" i="19"/>
  <c r="Q33" i="19"/>
  <c r="G41" i="18"/>
  <c r="G31" i="19"/>
  <c r="G30" i="19"/>
  <c r="G29" i="19"/>
  <c r="G27" i="19"/>
  <c r="G26" i="19"/>
  <c r="G25" i="19"/>
  <c r="G24" i="19"/>
  <c r="G23" i="19"/>
  <c r="G19" i="18"/>
  <c r="G14" i="18"/>
  <c r="G10" i="18"/>
  <c r="G48" i="18"/>
  <c r="G54" i="18"/>
  <c r="G42" i="18"/>
  <c r="Q42" i="18"/>
  <c r="F15" i="19"/>
  <c r="E15" i="19"/>
  <c r="F54" i="18"/>
  <c r="E54" i="18"/>
  <c r="G24" i="18"/>
  <c r="G52" i="18"/>
  <c r="G34" i="18"/>
  <c r="G20" i="19"/>
  <c r="G15" i="19"/>
  <c r="G42" i="19"/>
  <c r="G18" i="18"/>
  <c r="G13" i="19"/>
  <c r="G14" i="19"/>
  <c r="G32" i="19"/>
  <c r="G32" i="18"/>
  <c r="G37" i="18"/>
  <c r="G53" i="18"/>
  <c r="G47" i="18"/>
  <c r="G51" i="18"/>
  <c r="G17" i="18"/>
  <c r="G25" i="18"/>
  <c r="G26" i="18"/>
  <c r="G45" i="18"/>
  <c r="G58" i="18"/>
  <c r="G8" i="19"/>
  <c r="G49" i="19"/>
  <c r="G9" i="19"/>
  <c r="G10" i="19"/>
  <c r="G11" i="19"/>
  <c r="G12" i="18"/>
  <c r="G59" i="18"/>
  <c r="G8" i="18"/>
  <c r="G62" i="18"/>
  <c r="G13" i="18"/>
  <c r="G27" i="18"/>
  <c r="G50" i="18"/>
  <c r="G20" i="18"/>
  <c r="G39" i="18"/>
  <c r="G23" i="18"/>
  <c r="G46" i="18"/>
  <c r="G16" i="18"/>
  <c r="G11" i="18"/>
  <c r="G40" i="18"/>
  <c r="G55" i="18"/>
  <c r="G28" i="18"/>
  <c r="G38" i="18"/>
  <c r="G35" i="18"/>
  <c r="G33" i="18"/>
  <c r="G31" i="18"/>
  <c r="E20" i="18"/>
  <c r="F20" i="18"/>
  <c r="G45" i="19"/>
  <c r="G46" i="19"/>
  <c r="G12" i="19"/>
  <c r="G40" i="19"/>
  <c r="G9" i="18"/>
  <c r="G15" i="18"/>
  <c r="F53" i="18"/>
  <c r="F52" i="18"/>
  <c r="F51" i="18"/>
  <c r="F40" i="18"/>
  <c r="F28" i="18"/>
  <c r="F26" i="18"/>
  <c r="F23" i="18"/>
  <c r="F17" i="18"/>
  <c r="F16" i="18"/>
  <c r="F14" i="18"/>
  <c r="F13" i="18"/>
  <c r="D54" i="18"/>
  <c r="O54" i="18"/>
  <c r="C40" i="18"/>
  <c r="Q40" i="18"/>
  <c r="F15" i="18"/>
  <c r="F47" i="19"/>
  <c r="E45" i="19"/>
  <c r="D46" i="19"/>
  <c r="O46" i="19"/>
  <c r="D59" i="18"/>
  <c r="O59" i="18"/>
  <c r="E60" i="18"/>
  <c r="E47" i="19"/>
  <c r="F8" i="19"/>
  <c r="F49" i="19"/>
  <c r="F8" i="18"/>
  <c r="F62" i="18"/>
  <c r="F9" i="19"/>
  <c r="F9" i="18"/>
  <c r="F10" i="18"/>
  <c r="F10" i="19"/>
  <c r="F11" i="19"/>
  <c r="F11" i="18"/>
  <c r="F12" i="19"/>
  <c r="F12" i="18"/>
  <c r="F13" i="19"/>
  <c r="F18" i="18"/>
  <c r="F14" i="19"/>
  <c r="F19" i="18"/>
  <c r="F25" i="18"/>
  <c r="F19" i="19"/>
  <c r="F27" i="18"/>
  <c r="F31" i="18"/>
  <c r="F23" i="19"/>
  <c r="F25" i="19"/>
  <c r="F33" i="18"/>
  <c r="F27" i="19"/>
  <c r="F35" i="18"/>
  <c r="F29" i="19"/>
  <c r="F37" i="18"/>
  <c r="F31" i="19"/>
  <c r="F39" i="18"/>
  <c r="F32" i="19"/>
  <c r="F41" i="18"/>
  <c r="F45" i="18"/>
  <c r="F36" i="19"/>
  <c r="F46" i="18"/>
  <c r="F37" i="19"/>
  <c r="F47" i="18"/>
  <c r="F38" i="19"/>
  <c r="F39" i="19"/>
  <c r="F48" i="18"/>
  <c r="F49" i="18"/>
  <c r="F40" i="19"/>
  <c r="F50" i="18"/>
  <c r="F41" i="19"/>
  <c r="F46" i="19"/>
  <c r="D60" i="18"/>
  <c r="O60" i="18"/>
  <c r="D47" i="19"/>
  <c r="O47" i="19"/>
  <c r="E46" i="19"/>
  <c r="E59" i="18"/>
  <c r="D55" i="18"/>
  <c r="D42" i="19"/>
  <c r="O42" i="19"/>
  <c r="F24" i="18"/>
  <c r="F18" i="19"/>
  <c r="F32" i="18"/>
  <c r="F24" i="19"/>
  <c r="F26" i="19"/>
  <c r="F34" i="18"/>
  <c r="F28" i="19"/>
  <c r="F36" i="18"/>
  <c r="F30" i="19"/>
  <c r="F38" i="18"/>
  <c r="F42" i="18"/>
  <c r="F33" i="19"/>
  <c r="F42" i="19"/>
  <c r="F55" i="18"/>
  <c r="F45" i="19"/>
  <c r="F58" i="18"/>
  <c r="F60" i="18"/>
  <c r="E58" i="18"/>
  <c r="C9" i="18"/>
  <c r="Q9" i="18"/>
  <c r="C9" i="19"/>
  <c r="O9" i="19"/>
  <c r="C11" i="19"/>
  <c r="O11" i="19"/>
  <c r="C11" i="18"/>
  <c r="E53" i="18"/>
  <c r="E52" i="18"/>
  <c r="E51" i="18"/>
  <c r="E40" i="18"/>
  <c r="E28" i="18"/>
  <c r="E26" i="18"/>
  <c r="E25" i="18"/>
  <c r="E23" i="18"/>
  <c r="E17" i="18"/>
  <c r="E16" i="18"/>
  <c r="E15" i="18"/>
  <c r="E14" i="18"/>
  <c r="E13" i="18"/>
  <c r="D58" i="18"/>
  <c r="O58" i="18"/>
  <c r="D53" i="18"/>
  <c r="D52" i="18"/>
  <c r="D51" i="18"/>
  <c r="D28" i="18"/>
  <c r="D26" i="18"/>
  <c r="D25" i="18"/>
  <c r="D24" i="18"/>
  <c r="D23" i="18"/>
  <c r="D17" i="18"/>
  <c r="D16" i="18"/>
  <c r="D15" i="18"/>
  <c r="D14" i="18"/>
  <c r="D13" i="18"/>
  <c r="C28" i="18"/>
  <c r="Q28" i="18"/>
  <c r="C17" i="18"/>
  <c r="O17" i="18"/>
  <c r="C16" i="18"/>
  <c r="C15" i="18"/>
  <c r="C26" i="18"/>
  <c r="C31" i="18"/>
  <c r="Q31" i="18"/>
  <c r="C23" i="19"/>
  <c r="O23" i="19"/>
  <c r="C27" i="19"/>
  <c r="Q27" i="19"/>
  <c r="C35" i="18"/>
  <c r="O35" i="18"/>
  <c r="C37" i="18"/>
  <c r="Q37" i="18"/>
  <c r="C29" i="19"/>
  <c r="C31" i="19"/>
  <c r="C39" i="18"/>
  <c r="D8" i="19"/>
  <c r="D49" i="19"/>
  <c r="D8" i="18"/>
  <c r="D62" i="18"/>
  <c r="D10" i="19"/>
  <c r="D10" i="18"/>
  <c r="D12" i="19"/>
  <c r="D12" i="18"/>
  <c r="D14" i="19"/>
  <c r="D19" i="18"/>
  <c r="D24" i="19"/>
  <c r="D32" i="18"/>
  <c r="D26" i="19"/>
  <c r="D34" i="18"/>
  <c r="D28" i="19"/>
  <c r="D36" i="18"/>
  <c r="D30" i="19"/>
  <c r="D38" i="18"/>
  <c r="D41" i="18"/>
  <c r="D32" i="19"/>
  <c r="D45" i="18"/>
  <c r="D36" i="19"/>
  <c r="D47" i="18"/>
  <c r="D38" i="19"/>
  <c r="D40" i="19"/>
  <c r="D49" i="18"/>
  <c r="D45" i="19"/>
  <c r="O45" i="19"/>
  <c r="E8" i="18"/>
  <c r="E62" i="18"/>
  <c r="E8" i="19"/>
  <c r="E49" i="19"/>
  <c r="E10" i="18"/>
  <c r="E10" i="19"/>
  <c r="E12" i="18"/>
  <c r="E12" i="19"/>
  <c r="E19" i="18"/>
  <c r="E14" i="19"/>
  <c r="E27" i="18"/>
  <c r="E20" i="19"/>
  <c r="E31" i="18"/>
  <c r="E23" i="19"/>
  <c r="E33" i="18"/>
  <c r="E25" i="19"/>
  <c r="E35" i="18"/>
  <c r="E27" i="19"/>
  <c r="E37" i="18"/>
  <c r="E29" i="19"/>
  <c r="E31" i="19"/>
  <c r="E39" i="18"/>
  <c r="E32" i="19"/>
  <c r="E41" i="18"/>
  <c r="E37" i="19"/>
  <c r="E46" i="18"/>
  <c r="E39" i="19"/>
  <c r="E48" i="18"/>
  <c r="E41" i="19"/>
  <c r="E50" i="18"/>
  <c r="E55" i="18"/>
  <c r="E42" i="19"/>
  <c r="C33" i="18"/>
  <c r="C25" i="19"/>
  <c r="O25" i="19"/>
  <c r="C32" i="18"/>
  <c r="C24" i="19"/>
  <c r="C34" i="18"/>
  <c r="O34" i="18"/>
  <c r="C26" i="19"/>
  <c r="C36" i="18"/>
  <c r="Q36" i="18"/>
  <c r="C28" i="19"/>
  <c r="O28" i="19"/>
  <c r="C38" i="18"/>
  <c r="O38" i="18"/>
  <c r="C30" i="19"/>
  <c r="O30" i="19"/>
  <c r="C27" i="18"/>
  <c r="C20" i="19"/>
  <c r="D9" i="19"/>
  <c r="D9" i="18"/>
  <c r="D11" i="19"/>
  <c r="D11" i="18"/>
  <c r="D13" i="19"/>
  <c r="D18" i="18"/>
  <c r="D20" i="18"/>
  <c r="D15" i="19"/>
  <c r="D20" i="19"/>
  <c r="D27" i="18"/>
  <c r="D23" i="19"/>
  <c r="D31" i="18"/>
  <c r="D25" i="19"/>
  <c r="D33" i="18"/>
  <c r="D27" i="19"/>
  <c r="D35" i="18"/>
  <c r="D29" i="19"/>
  <c r="D37" i="18"/>
  <c r="D39" i="18"/>
  <c r="D31" i="19"/>
  <c r="D42" i="18"/>
  <c r="D33" i="19"/>
  <c r="D46" i="18"/>
  <c r="D37" i="19"/>
  <c r="D48" i="18"/>
  <c r="D39" i="19"/>
  <c r="D50" i="18"/>
  <c r="D41" i="19"/>
  <c r="E9" i="18"/>
  <c r="E9" i="19"/>
  <c r="E11" i="18"/>
  <c r="E11" i="19"/>
  <c r="E18" i="18"/>
  <c r="E13" i="19"/>
  <c r="E24" i="18"/>
  <c r="E18" i="19"/>
  <c r="O18" i="19"/>
  <c r="E32" i="18"/>
  <c r="E24" i="19"/>
  <c r="E26" i="19"/>
  <c r="E34" i="18"/>
  <c r="E36" i="18"/>
  <c r="E28" i="19"/>
  <c r="E38" i="18"/>
  <c r="E30" i="19"/>
  <c r="E33" i="19"/>
  <c r="E42" i="18"/>
  <c r="E36" i="19"/>
  <c r="E45" i="18"/>
  <c r="E38" i="19"/>
  <c r="E47" i="18"/>
  <c r="E40" i="19"/>
  <c r="E49" i="18"/>
  <c r="C19" i="18"/>
  <c r="Q19" i="18"/>
  <c r="C14" i="19"/>
  <c r="C18" i="18"/>
  <c r="Q18" i="18"/>
  <c r="C13" i="19"/>
  <c r="Q13" i="19"/>
  <c r="C24" i="18"/>
  <c r="C25" i="18"/>
  <c r="C52" i="18"/>
  <c r="O52" i="18"/>
  <c r="C51" i="18"/>
  <c r="C14" i="18"/>
  <c r="O14" i="18"/>
  <c r="C13" i="18"/>
  <c r="O13" i="18"/>
  <c r="C10" i="18"/>
  <c r="O10" i="18"/>
  <c r="C10" i="19"/>
  <c r="Q10" i="19"/>
  <c r="C23" i="18"/>
  <c r="C33" i="19"/>
  <c r="O33" i="19"/>
  <c r="C42" i="18"/>
  <c r="O42" i="18"/>
  <c r="C36" i="19"/>
  <c r="C45" i="18"/>
  <c r="O45" i="18"/>
  <c r="C38" i="19"/>
  <c r="O38" i="19"/>
  <c r="C47" i="18"/>
  <c r="C40" i="19"/>
  <c r="Q40" i="19"/>
  <c r="C49" i="18"/>
  <c r="Q49" i="18"/>
  <c r="C8" i="18"/>
  <c r="C62" i="18"/>
  <c r="C8" i="19"/>
  <c r="O8" i="19"/>
  <c r="C12" i="18"/>
  <c r="O12" i="18"/>
  <c r="C12" i="19"/>
  <c r="Q12" i="19"/>
  <c r="C20" i="18"/>
  <c r="Q20" i="18"/>
  <c r="C15" i="19"/>
  <c r="C41" i="18"/>
  <c r="Q41" i="18"/>
  <c r="C32" i="19"/>
  <c r="O32" i="19"/>
  <c r="C37" i="19"/>
  <c r="C46" i="18"/>
  <c r="O46" i="18"/>
  <c r="C39" i="19"/>
  <c r="Q39" i="19"/>
  <c r="C48" i="18"/>
  <c r="C41" i="19"/>
  <c r="Q41" i="19"/>
  <c r="C50" i="18"/>
  <c r="Q50" i="18"/>
  <c r="Q23" i="19"/>
  <c r="Q9" i="19"/>
  <c r="Q18" i="19"/>
  <c r="Q35" i="18"/>
  <c r="Q13" i="18"/>
  <c r="O49" i="18"/>
  <c r="O50" i="18"/>
  <c r="O9" i="18"/>
  <c r="O31" i="18"/>
  <c r="Q10" i="18"/>
  <c r="O8" i="18"/>
  <c r="O62" i="18"/>
  <c r="Q25" i="19"/>
  <c r="Q46" i="18"/>
  <c r="Q32" i="18"/>
  <c r="O32" i="18"/>
  <c r="Q30" i="19"/>
  <c r="Q14" i="18"/>
  <c r="Q47" i="18"/>
  <c r="O47" i="18"/>
  <c r="Q19" i="19"/>
  <c r="O19" i="19"/>
  <c r="O41" i="18"/>
  <c r="O36" i="18"/>
  <c r="O37" i="18"/>
  <c r="Q48" i="18"/>
  <c r="O48" i="18"/>
  <c r="O37" i="19"/>
  <c r="Q37" i="19"/>
  <c r="O53" i="18"/>
  <c r="Q53" i="18"/>
  <c r="Q34" i="18"/>
  <c r="Q16" i="18"/>
  <c r="O16" i="18"/>
  <c r="O11" i="18"/>
  <c r="Q11" i="18"/>
  <c r="O12" i="19"/>
  <c r="Q38" i="19"/>
  <c r="Q11" i="19"/>
  <c r="Q28" i="19"/>
  <c r="O27" i="19"/>
  <c r="C49" i="19"/>
  <c r="O49" i="19"/>
  <c r="Q8" i="19"/>
  <c r="Q49" i="19"/>
  <c r="Q45" i="18"/>
  <c r="O18" i="18"/>
  <c r="Q29" i="19"/>
  <c r="O29" i="19"/>
  <c r="O28" i="18"/>
  <c r="O24" i="18"/>
  <c r="Q24" i="18"/>
  <c r="O26" i="19"/>
  <c r="Q26" i="19"/>
  <c r="O23" i="18"/>
  <c r="Q23" i="18"/>
  <c r="Q54" i="18"/>
  <c r="Q14" i="19"/>
  <c r="O14" i="19"/>
  <c r="O27" i="18"/>
  <c r="Q27" i="18"/>
  <c r="O24" i="19"/>
  <c r="Q24" i="19"/>
  <c r="Q33" i="18"/>
  <c r="O33" i="18"/>
  <c r="Q39" i="18"/>
  <c r="O39" i="18"/>
  <c r="Q26" i="18"/>
  <c r="O26" i="18"/>
  <c r="O55" i="18"/>
  <c r="Q55" i="18"/>
  <c r="Q15" i="19"/>
  <c r="O15" i="19"/>
  <c r="Q36" i="19"/>
  <c r="O36" i="19"/>
  <c r="Q52" i="18"/>
  <c r="O51" i="18"/>
  <c r="Q51" i="18"/>
  <c r="Q31" i="19"/>
  <c r="O31" i="19"/>
  <c r="Q15" i="18"/>
  <c r="O15" i="18"/>
  <c r="O25" i="18"/>
  <c r="Q25" i="18"/>
  <c r="O20" i="19"/>
  <c r="Q20" i="19"/>
  <c r="O39" i="19"/>
  <c r="Q42" i="19"/>
  <c r="BB93" i="112"/>
  <c r="D37" i="112"/>
  <c r="D55" i="112"/>
  <c r="D51" i="112"/>
  <c r="D40" i="112"/>
  <c r="D33" i="112"/>
  <c r="D58" i="112"/>
  <c r="D56" i="112"/>
  <c r="D48" i="112"/>
  <c r="D32" i="112"/>
  <c r="W32" i="112" s="1"/>
  <c r="BP33" i="112" s="1"/>
  <c r="D61" i="112"/>
  <c r="AL27" i="112"/>
  <c r="CL105" i="112"/>
  <c r="CP105" i="112"/>
  <c r="CX105" i="112"/>
  <c r="CF109" i="113"/>
  <c r="CR105" i="112"/>
  <c r="CN105" i="112"/>
  <c r="CG109" i="112"/>
  <c r="CH108" i="112"/>
  <c r="O41" i="19"/>
  <c r="O19" i="18"/>
  <c r="O40" i="19"/>
  <c r="Q8" i="18"/>
  <c r="Q62" i="18"/>
  <c r="O10" i="19"/>
  <c r="O20" i="18"/>
  <c r="Q12" i="18"/>
  <c r="Q38" i="18"/>
  <c r="CW105" i="112"/>
  <c r="CS105" i="112"/>
  <c r="Q32" i="19"/>
  <c r="O40" i="18"/>
  <c r="CG108" i="113"/>
  <c r="CJ102" i="112"/>
  <c r="CJ106" i="112"/>
  <c r="CK102" i="112"/>
  <c r="CK106" i="112"/>
  <c r="CL102" i="112"/>
  <c r="CL106" i="112"/>
  <c r="CM102" i="112"/>
  <c r="CM106" i="112"/>
  <c r="CN102" i="112"/>
  <c r="CN106" i="112"/>
  <c r="CO102" i="112"/>
  <c r="CO106" i="112"/>
  <c r="CP102" i="112"/>
  <c r="CP106" i="112"/>
  <c r="CQ102" i="112"/>
  <c r="CQ106" i="112"/>
  <c r="CR102" i="112"/>
  <c r="CR106" i="112"/>
  <c r="CS102" i="112"/>
  <c r="CS106" i="112"/>
  <c r="CT102" i="112"/>
  <c r="CT106" i="112"/>
  <c r="CU102" i="112"/>
  <c r="CU106" i="112"/>
  <c r="CV102" i="112"/>
  <c r="CV106" i="112"/>
  <c r="CW102" i="112"/>
  <c r="CW106" i="112"/>
  <c r="CX102" i="112"/>
  <c r="CX106" i="112"/>
  <c r="CY102" i="112"/>
  <c r="CY106" i="112"/>
  <c r="CJ99" i="112"/>
  <c r="CJ103" i="112"/>
  <c r="CK99" i="112"/>
  <c r="CK103" i="112"/>
  <c r="CL99" i="112"/>
  <c r="CL103" i="112"/>
  <c r="CM99" i="112"/>
  <c r="CM103" i="112"/>
  <c r="CN99" i="112"/>
  <c r="CN103" i="112"/>
  <c r="CO99" i="112"/>
  <c r="CO103" i="112"/>
  <c r="CP99" i="112"/>
  <c r="CP103" i="112"/>
  <c r="CQ99" i="112"/>
  <c r="CQ103" i="112"/>
  <c r="CR99" i="112"/>
  <c r="CR103" i="112"/>
  <c r="CS99" i="112"/>
  <c r="CS103" i="112"/>
  <c r="CT99" i="112"/>
  <c r="CT103" i="112"/>
  <c r="CU99" i="112"/>
  <c r="CU103" i="112"/>
  <c r="CV99" i="112"/>
  <c r="CV103" i="112"/>
  <c r="CW99" i="112"/>
  <c r="CW103" i="112"/>
  <c r="CX99" i="112"/>
  <c r="CX103" i="112"/>
  <c r="CY99" i="112"/>
  <c r="CY103" i="112"/>
  <c r="CJ96" i="112"/>
  <c r="CJ101" i="112" s="1"/>
  <c r="CJ100" i="112"/>
  <c r="CJ104" i="112"/>
  <c r="CK96" i="112"/>
  <c r="CK101" i="112" s="1"/>
  <c r="CK100" i="112"/>
  <c r="CK104" i="112"/>
  <c r="CL96" i="112"/>
  <c r="CL97" i="112" s="1"/>
  <c r="CL100" i="112"/>
  <c r="CL104" i="112"/>
  <c r="CM96" i="112"/>
  <c r="CM101" i="112" s="1"/>
  <c r="CM100" i="112"/>
  <c r="CM104" i="112"/>
  <c r="CN96" i="112"/>
  <c r="CN101" i="112" s="1"/>
  <c r="CN100" i="112"/>
  <c r="CN104" i="112"/>
  <c r="CO96" i="112"/>
  <c r="CO97" i="112" s="1"/>
  <c r="CO100" i="112"/>
  <c r="CO104" i="112"/>
  <c r="CP96" i="112"/>
  <c r="CP98" i="112" s="1"/>
  <c r="CP100" i="112"/>
  <c r="CP104" i="112"/>
  <c r="CQ96" i="112"/>
  <c r="CQ101" i="112" s="1"/>
  <c r="CQ100" i="112"/>
  <c r="CQ104" i="112"/>
  <c r="CR96" i="112"/>
  <c r="CR100" i="112"/>
  <c r="CR104" i="112"/>
  <c r="CS96" i="112"/>
  <c r="CS101" i="112" s="1"/>
  <c r="CS100" i="112"/>
  <c r="CS104" i="112"/>
  <c r="CT96" i="112"/>
  <c r="CT101" i="112" s="1"/>
  <c r="CT100" i="112"/>
  <c r="CT104" i="112"/>
  <c r="CU96" i="112"/>
  <c r="CU98" i="112" s="1"/>
  <c r="CU100" i="112"/>
  <c r="CU104" i="112"/>
  <c r="CV96" i="112"/>
  <c r="CV97" i="112" s="1"/>
  <c r="CV100" i="112"/>
  <c r="CV104" i="112"/>
  <c r="CW96" i="112"/>
  <c r="CW98" i="112" s="1"/>
  <c r="CW100" i="112"/>
  <c r="CW104" i="112"/>
  <c r="CX96" i="112"/>
  <c r="CX98" i="112" s="1"/>
  <c r="CX100" i="112"/>
  <c r="CX104" i="112"/>
  <c r="CY96" i="112"/>
  <c r="CY101" i="112" s="1"/>
  <c r="CY100" i="112"/>
  <c r="CY104" i="112"/>
  <c r="Q17" i="18"/>
  <c r="O13" i="19"/>
  <c r="CY105" i="112"/>
  <c r="CU105" i="112"/>
  <c r="CQ105" i="112"/>
  <c r="CM105" i="112"/>
  <c r="CJ105" i="112"/>
  <c r="BO32" i="112"/>
  <c r="BO33" i="112" s="1"/>
  <c r="AH27" i="112"/>
  <c r="AG33" i="112"/>
  <c r="CQ97" i="112"/>
  <c r="CW97" i="112"/>
  <c r="CO101" i="112"/>
  <c r="CK98" i="112"/>
  <c r="CG109" i="113"/>
  <c r="CF110" i="113"/>
  <c r="CV101" i="112"/>
  <c r="CR98" i="112"/>
  <c r="CR101" i="112"/>
  <c r="CN97" i="112"/>
  <c r="CJ98" i="112"/>
  <c r="CJ97" i="112"/>
  <c r="CH109" i="112"/>
  <c r="CG110" i="112"/>
  <c r="CU97" i="112"/>
  <c r="CS98" i="112"/>
  <c r="CS97" i="112"/>
  <c r="CH110" i="112"/>
  <c r="CG111" i="112"/>
  <c r="CG112" i="112" s="1"/>
  <c r="CG110" i="113"/>
  <c r="CF111" i="113"/>
  <c r="CF112" i="113"/>
  <c r="CG111" i="113"/>
  <c r="CG118" i="112"/>
  <c r="AL29" i="112" s="1"/>
  <c r="CF113" i="113"/>
  <c r="CG112" i="113"/>
  <c r="CG113" i="113"/>
  <c r="CU94" i="113" l="1"/>
  <c r="CU95" i="113" s="1"/>
  <c r="CW101" i="112"/>
  <c r="CJ110" i="112"/>
  <c r="BC62" i="112"/>
  <c r="D62" i="112" s="1"/>
  <c r="BB61" i="112"/>
  <c r="CP101" i="112"/>
  <c r="CN98" i="112"/>
  <c r="CN110" i="112" s="1"/>
  <c r="CM98" i="112"/>
  <c r="CJ112" i="112"/>
  <c r="CH112" i="112"/>
  <c r="CG113" i="112"/>
  <c r="CY97" i="112"/>
  <c r="CL101" i="112"/>
  <c r="CX97" i="112"/>
  <c r="CT98" i="112"/>
  <c r="CH111" i="112"/>
  <c r="CJ109" i="112"/>
  <c r="CY98" i="112"/>
  <c r="CP97" i="112"/>
  <c r="CP108" i="112" s="1"/>
  <c r="CL104" i="113"/>
  <c r="CV98" i="113"/>
  <c r="CW101" i="113"/>
  <c r="CR103" i="113"/>
  <c r="CN102" i="113"/>
  <c r="CP94" i="113"/>
  <c r="CP99" i="113" s="1"/>
  <c r="CU102" i="113"/>
  <c r="CO104" i="113"/>
  <c r="CI100" i="113"/>
  <c r="CR104" i="113"/>
  <c r="CI103" i="113"/>
  <c r="CT97" i="113"/>
  <c r="CP103" i="113"/>
  <c r="CL97" i="113"/>
  <c r="CK103" i="113"/>
  <c r="CW94" i="113"/>
  <c r="CW96" i="113" s="1"/>
  <c r="CQ102" i="113"/>
  <c r="CM94" i="113"/>
  <c r="CM95" i="113" s="1"/>
  <c r="CJ94" i="113"/>
  <c r="CU104" i="113"/>
  <c r="CJ104" i="113"/>
  <c r="CP97" i="113"/>
  <c r="CU97" i="113"/>
  <c r="CK101" i="113"/>
  <c r="CR98" i="113"/>
  <c r="CX98" i="113"/>
  <c r="CN104" i="113"/>
  <c r="CT100" i="113"/>
  <c r="CM101" i="113"/>
  <c r="CX94" i="113"/>
  <c r="CX99" i="113" s="1"/>
  <c r="CU96" i="113"/>
  <c r="CI94" i="113"/>
  <c r="CI95" i="113" s="1"/>
  <c r="CM98" i="113"/>
  <c r="CR97" i="113"/>
  <c r="CX97" i="113"/>
  <c r="CN98" i="113"/>
  <c r="CU98" i="113"/>
  <c r="CJ102" i="113"/>
  <c r="CP100" i="113"/>
  <c r="CW104" i="113"/>
  <c r="CL98" i="113"/>
  <c r="CV101" i="113"/>
  <c r="CW108" i="112"/>
  <c r="CW110" i="112"/>
  <c r="CW112" i="112"/>
  <c r="CS109" i="112"/>
  <c r="CJ113" i="112"/>
  <c r="CK97" i="112"/>
  <c r="CK113" i="112" s="1"/>
  <c r="CO98" i="112"/>
  <c r="CO105" i="112"/>
  <c r="CV105" i="112"/>
  <c r="CK104" i="113"/>
  <c r="CO102" i="113"/>
  <c r="CS97" i="113"/>
  <c r="CW97" i="113"/>
  <c r="CK94" i="113"/>
  <c r="CO98" i="113"/>
  <c r="CT103" i="113"/>
  <c r="CX103" i="113"/>
  <c r="CL102" i="113"/>
  <c r="CR100" i="113"/>
  <c r="CV104" i="113"/>
  <c r="CO101" i="113"/>
  <c r="CT94" i="113"/>
  <c r="CT95" i="113" s="1"/>
  <c r="CX101" i="113"/>
  <c r="BO34" i="112"/>
  <c r="BO35" i="112" s="1"/>
  <c r="CS112" i="112"/>
  <c r="CW111" i="112"/>
  <c r="CW109" i="112"/>
  <c r="CS113" i="112"/>
  <c r="CV98" i="112"/>
  <c r="CR97" i="112"/>
  <c r="CR112" i="112" s="1"/>
  <c r="CJ108" i="112"/>
  <c r="CJ111" i="112"/>
  <c r="CS111" i="112"/>
  <c r="CN112" i="112"/>
  <c r="CS110" i="112"/>
  <c r="CS108" i="112"/>
  <c r="CW113" i="112"/>
  <c r="CX101" i="112"/>
  <c r="CX110" i="112" s="1"/>
  <c r="CT97" i="112"/>
  <c r="CL98" i="112"/>
  <c r="CL110" i="112" s="1"/>
  <c r="CN111" i="112"/>
  <c r="CU101" i="112"/>
  <c r="CU110" i="112" s="1"/>
  <c r="CQ98" i="112"/>
  <c r="CQ109" i="112" s="1"/>
  <c r="CM97" i="112"/>
  <c r="W33" i="112"/>
  <c r="BB60" i="112"/>
  <c r="D60" i="112" s="1"/>
  <c r="CK100" i="113"/>
  <c r="CM102" i="113"/>
  <c r="CQ97" i="113"/>
  <c r="CS102" i="113"/>
  <c r="CV97" i="113"/>
  <c r="CI104" i="113"/>
  <c r="CL101" i="113"/>
  <c r="CP98" i="113"/>
  <c r="CS98" i="113"/>
  <c r="CW98" i="113"/>
  <c r="CJ98" i="113"/>
  <c r="CM104" i="113"/>
  <c r="CQ104" i="113"/>
  <c r="CT104" i="113"/>
  <c r="CX100" i="113"/>
  <c r="CU101" i="113"/>
  <c r="CR94" i="113"/>
  <c r="CR96" i="113" s="1"/>
  <c r="CN101" i="113"/>
  <c r="CU99" i="113"/>
  <c r="CW102" i="113"/>
  <c r="CJ97" i="113"/>
  <c r="CL94" i="113"/>
  <c r="CL96" i="113" s="1"/>
  <c r="CN103" i="113"/>
  <c r="CQ98" i="113"/>
  <c r="CT98" i="113"/>
  <c r="CV103" i="113"/>
  <c r="CI97" i="113"/>
  <c r="CK102" i="113"/>
  <c r="CN100" i="113"/>
  <c r="CP104" i="113"/>
  <c r="CS104" i="113"/>
  <c r="CV100" i="113"/>
  <c r="CX104" i="113"/>
  <c r="CS101" i="113"/>
  <c r="CN94" i="113"/>
  <c r="CN99" i="113" s="1"/>
  <c r="CV94" i="113"/>
  <c r="CP101" i="113"/>
  <c r="CK98" i="113"/>
  <c r="CJ95" i="113"/>
  <c r="CJ103" i="113"/>
  <c r="CR101" i="113"/>
  <c r="CS94" i="113"/>
  <c r="CM97" i="113"/>
  <c r="CJ100" i="113"/>
  <c r="CL100" i="113"/>
  <c r="CN97" i="113"/>
  <c r="CP102" i="113"/>
  <c r="CR102" i="113"/>
  <c r="CT102" i="113"/>
  <c r="CV102" i="113"/>
  <c r="CX102" i="113"/>
  <c r="CJ101" i="113"/>
  <c r="CM103" i="113"/>
  <c r="CO103" i="113"/>
  <c r="CQ103" i="113"/>
  <c r="CS103" i="113"/>
  <c r="CU103" i="113"/>
  <c r="CW103" i="113"/>
  <c r="CI101" i="113"/>
  <c r="CK97" i="113"/>
  <c r="CM100" i="113"/>
  <c r="CO100" i="113"/>
  <c r="CQ100" i="113"/>
  <c r="CS100" i="113"/>
  <c r="CU100" i="113"/>
  <c r="CW100" i="113"/>
  <c r="CI98" i="113"/>
  <c r="CQ101" i="113"/>
  <c r="CI102" i="113"/>
  <c r="CL103" i="113"/>
  <c r="CT101" i="113"/>
  <c r="CO94" i="113"/>
  <c r="CQ94" i="113"/>
  <c r="CT110" i="112" l="1"/>
  <c r="CN109" i="112"/>
  <c r="CN108" i="112"/>
  <c r="CY112" i="112"/>
  <c r="CK111" i="112"/>
  <c r="CK109" i="112"/>
  <c r="CP111" i="112"/>
  <c r="CY113" i="112"/>
  <c r="CO110" i="112"/>
  <c r="CV110" i="112"/>
  <c r="CP113" i="112"/>
  <c r="CY109" i="112"/>
  <c r="CN113" i="112"/>
  <c r="CH113" i="112"/>
  <c r="CG114" i="112"/>
  <c r="CM114" i="112" s="1"/>
  <c r="CU112" i="112"/>
  <c r="CU108" i="112"/>
  <c r="CY111" i="112"/>
  <c r="CP109" i="112"/>
  <c r="CY110" i="112"/>
  <c r="CP112" i="112"/>
  <c r="CT108" i="112"/>
  <c r="CP110" i="112"/>
  <c r="CY108" i="112"/>
  <c r="CP95" i="113"/>
  <c r="CX95" i="113"/>
  <c r="CP96" i="113"/>
  <c r="CX96" i="113"/>
  <c r="CI96" i="113"/>
  <c r="CM99" i="113"/>
  <c r="CM96" i="113"/>
  <c r="CJ96" i="113"/>
  <c r="CJ99" i="113"/>
  <c r="CW95" i="113"/>
  <c r="CW99" i="113"/>
  <c r="CI99" i="113"/>
  <c r="CL111" i="112"/>
  <c r="CT113" i="112"/>
  <c r="CX114" i="112"/>
  <c r="CO114" i="112"/>
  <c r="CO108" i="112"/>
  <c r="CT112" i="112"/>
  <c r="CO111" i="112"/>
  <c r="CV114" i="112"/>
  <c r="BO36" i="112"/>
  <c r="W35" i="112"/>
  <c r="BP36" i="112" s="1"/>
  <c r="CO112" i="112"/>
  <c r="CO109" i="112"/>
  <c r="CO113" i="112"/>
  <c r="CT99" i="113"/>
  <c r="CT96" i="113"/>
  <c r="CK96" i="113"/>
  <c r="CK99" i="113"/>
  <c r="CK95" i="113"/>
  <c r="CK110" i="112"/>
  <c r="CK112" i="112"/>
  <c r="CK108" i="112"/>
  <c r="W34" i="112"/>
  <c r="BP35" i="112" s="1"/>
  <c r="CR95" i="113"/>
  <c r="CR99" i="113"/>
  <c r="CG77" i="112"/>
  <c r="BP34" i="112"/>
  <c r="CQ108" i="112"/>
  <c r="CQ110" i="112"/>
  <c r="CQ111" i="112"/>
  <c r="CQ114" i="112"/>
  <c r="CQ112" i="112"/>
  <c r="CQ113" i="112"/>
  <c r="CU109" i="112"/>
  <c r="CU111" i="112"/>
  <c r="CU113" i="112"/>
  <c r="CU114" i="112"/>
  <c r="CL114" i="112"/>
  <c r="CX113" i="112"/>
  <c r="CL113" i="112"/>
  <c r="CX111" i="112"/>
  <c r="CR108" i="112"/>
  <c r="CR109" i="112"/>
  <c r="CR114" i="112"/>
  <c r="CR110" i="112"/>
  <c r="CR111" i="112"/>
  <c r="CR113" i="112"/>
  <c r="CL112" i="112"/>
  <c r="CX109" i="112"/>
  <c r="CU106" i="113"/>
  <c r="CM108" i="112"/>
  <c r="CM110" i="112"/>
  <c r="CM111" i="112"/>
  <c r="CM112" i="112"/>
  <c r="CM109" i="112"/>
  <c r="CM113" i="112"/>
  <c r="CL108" i="112"/>
  <c r="CT109" i="112"/>
  <c r="CT111" i="112"/>
  <c r="CT114" i="112"/>
  <c r="CL109" i="112"/>
  <c r="CX112" i="112"/>
  <c r="CV109" i="112"/>
  <c r="CV113" i="112"/>
  <c r="CV112" i="112"/>
  <c r="CV108" i="112"/>
  <c r="CX108" i="112"/>
  <c r="CV111" i="112"/>
  <c r="CV95" i="113"/>
  <c r="CV96" i="113"/>
  <c r="CV99" i="113"/>
  <c r="CN95" i="113"/>
  <c r="CN96" i="113"/>
  <c r="CL99" i="113"/>
  <c r="CL95" i="113"/>
  <c r="CU113" i="113"/>
  <c r="CQ95" i="113"/>
  <c r="CQ96" i="113"/>
  <c r="CQ99" i="113"/>
  <c r="CO95" i="113"/>
  <c r="CO96" i="113"/>
  <c r="CO99" i="113"/>
  <c r="CU112" i="113"/>
  <c r="CU107" i="113"/>
  <c r="CU108" i="113"/>
  <c r="CU109" i="113"/>
  <c r="CU111" i="113"/>
  <c r="CU110" i="113"/>
  <c r="CS99" i="113"/>
  <c r="CS96" i="113"/>
  <c r="CS95" i="113"/>
  <c r="CP111" i="113" l="1"/>
  <c r="CM108" i="113"/>
  <c r="CX113" i="113"/>
  <c r="CH114" i="112"/>
  <c r="CG115" i="112"/>
  <c r="CN114" i="112"/>
  <c r="CY114" i="112"/>
  <c r="CK114" i="112"/>
  <c r="CP114" i="112"/>
  <c r="CW114" i="112"/>
  <c r="CJ114" i="112"/>
  <c r="CS114" i="112"/>
  <c r="CI113" i="112"/>
  <c r="CI111" i="112"/>
  <c r="CI112" i="113"/>
  <c r="CJ110" i="113"/>
  <c r="CX107" i="113"/>
  <c r="CW111" i="113"/>
  <c r="CP110" i="113"/>
  <c r="CX112" i="113"/>
  <c r="CJ106" i="113"/>
  <c r="CX111" i="113"/>
  <c r="CT110" i="113"/>
  <c r="CW113" i="113"/>
  <c r="CM112" i="113"/>
  <c r="CP112" i="113"/>
  <c r="CX108" i="113"/>
  <c r="CP108" i="113"/>
  <c r="CI111" i="113"/>
  <c r="CN107" i="113"/>
  <c r="CM111" i="113"/>
  <c r="CM113" i="113"/>
  <c r="CX109" i="113"/>
  <c r="CP109" i="113"/>
  <c r="CP106" i="113"/>
  <c r="CJ111" i="113"/>
  <c r="CM110" i="113"/>
  <c r="CP107" i="113"/>
  <c r="CR113" i="113"/>
  <c r="CM109" i="113"/>
  <c r="CX106" i="113"/>
  <c r="CM106" i="113"/>
  <c r="CP113" i="113"/>
  <c r="CI108" i="113"/>
  <c r="CJ112" i="113"/>
  <c r="CI110" i="113"/>
  <c r="CX110" i="113"/>
  <c r="CL113" i="113"/>
  <c r="CT108" i="113"/>
  <c r="CW112" i="113"/>
  <c r="CM107" i="113"/>
  <c r="CI109" i="113"/>
  <c r="CI106" i="113"/>
  <c r="CJ107" i="113"/>
  <c r="CW109" i="113"/>
  <c r="CW110" i="113"/>
  <c r="CW108" i="113"/>
  <c r="CW106" i="113"/>
  <c r="CT107" i="113"/>
  <c r="CJ108" i="113"/>
  <c r="CJ113" i="113"/>
  <c r="CI113" i="113"/>
  <c r="CJ109" i="113"/>
  <c r="CT106" i="113"/>
  <c r="CW107" i="113"/>
  <c r="CL108" i="113"/>
  <c r="CR107" i="113"/>
  <c r="CK111" i="113"/>
  <c r="CR111" i="113"/>
  <c r="CN112" i="113"/>
  <c r="CK110" i="113"/>
  <c r="CR110" i="113"/>
  <c r="CR106" i="113"/>
  <c r="CK106" i="113"/>
  <c r="CN111" i="113"/>
  <c r="CT113" i="113"/>
  <c r="CI107" i="113"/>
  <c r="CV112" i="113"/>
  <c r="CK112" i="113"/>
  <c r="CN113" i="113"/>
  <c r="CT109" i="113"/>
  <c r="CL109" i="113"/>
  <c r="CK109" i="113"/>
  <c r="CL106" i="113"/>
  <c r="CT111" i="113"/>
  <c r="CK107" i="113"/>
  <c r="CL111" i="113"/>
  <c r="CL112" i="113"/>
  <c r="CT112" i="113"/>
  <c r="CK108" i="113"/>
  <c r="CK113" i="113"/>
  <c r="CI110" i="112"/>
  <c r="CR112" i="113"/>
  <c r="CN108" i="113"/>
  <c r="CL110" i="113"/>
  <c r="CV106" i="113"/>
  <c r="CI109" i="112"/>
  <c r="BO37" i="112"/>
  <c r="W36" i="112"/>
  <c r="BP37" i="112" s="1"/>
  <c r="CI108" i="112"/>
  <c r="CV107" i="113"/>
  <c r="CR108" i="113"/>
  <c r="CN109" i="113"/>
  <c r="CR109" i="113"/>
  <c r="CL107" i="113"/>
  <c r="CN106" i="113"/>
  <c r="CI112" i="112"/>
  <c r="CR77" i="112"/>
  <c r="CQ77" i="112"/>
  <c r="CS77" i="112"/>
  <c r="CW77" i="112"/>
  <c r="CN77" i="112"/>
  <c r="CL77" i="112"/>
  <c r="CT77" i="112"/>
  <c r="CM77" i="112"/>
  <c r="CV77" i="112"/>
  <c r="CG78" i="112"/>
  <c r="CX77" i="112"/>
  <c r="CJ77" i="112"/>
  <c r="CP77" i="112"/>
  <c r="CK77" i="112"/>
  <c r="CY77" i="112"/>
  <c r="CO77" i="112"/>
  <c r="CH77" i="112"/>
  <c r="CU77" i="112"/>
  <c r="CV113" i="113"/>
  <c r="CV108" i="113"/>
  <c r="CV110" i="113"/>
  <c r="CO106" i="113"/>
  <c r="CV109" i="113"/>
  <c r="CS107" i="113"/>
  <c r="CS109" i="113"/>
  <c r="CN110" i="113"/>
  <c r="CV111" i="113"/>
  <c r="CO107" i="113"/>
  <c r="CQ109" i="113"/>
  <c r="CS111" i="113"/>
  <c r="CS108" i="113"/>
  <c r="CO109" i="113"/>
  <c r="CO113" i="113"/>
  <c r="CO112" i="113"/>
  <c r="CQ107" i="113"/>
  <c r="CQ113" i="113"/>
  <c r="CQ111" i="113"/>
  <c r="CS106" i="113"/>
  <c r="CS113" i="113"/>
  <c r="CO110" i="113"/>
  <c r="CO111" i="113"/>
  <c r="CQ112" i="113"/>
  <c r="CQ110" i="113"/>
  <c r="CQ108" i="113"/>
  <c r="CS110" i="113"/>
  <c r="CS112" i="113"/>
  <c r="CO108" i="113"/>
  <c r="CQ106" i="113"/>
  <c r="CI114" i="112" l="1"/>
  <c r="CH115" i="112"/>
  <c r="CW115" i="112"/>
  <c r="CS115" i="112"/>
  <c r="CN115" i="112"/>
  <c r="CJ115" i="112"/>
  <c r="CO115" i="112"/>
  <c r="CP115" i="112"/>
  <c r="CY115" i="112"/>
  <c r="CR115" i="112"/>
  <c r="CX115" i="112"/>
  <c r="CV115" i="112"/>
  <c r="CK115" i="112"/>
  <c r="CQ115" i="112"/>
  <c r="CT115" i="112"/>
  <c r="CU115" i="112"/>
  <c r="CL115" i="112"/>
  <c r="CM115" i="112"/>
  <c r="CH111" i="113"/>
  <c r="BO38" i="112"/>
  <c r="W37" i="112"/>
  <c r="BP38" i="112" s="1"/>
  <c r="CI77" i="112"/>
  <c r="CH109" i="113"/>
  <c r="CH107" i="113"/>
  <c r="CH110" i="113"/>
  <c r="CQ78" i="112"/>
  <c r="CN78" i="112"/>
  <c r="CJ78" i="112"/>
  <c r="CU78" i="112"/>
  <c r="CP78" i="112"/>
  <c r="CT78" i="112"/>
  <c r="CL78" i="112"/>
  <c r="CM78" i="112"/>
  <c r="CH78" i="112"/>
  <c r="CV78" i="112"/>
  <c r="CO78" i="112"/>
  <c r="CR78" i="112"/>
  <c r="CS78" i="112"/>
  <c r="CG79" i="112"/>
  <c r="CK78" i="112"/>
  <c r="CW78" i="112"/>
  <c r="CY78" i="112"/>
  <c r="CX78" i="112"/>
  <c r="CH112" i="113"/>
  <c r="CH106" i="113"/>
  <c r="CH108" i="113"/>
  <c r="CH113" i="113"/>
  <c r="CI115" i="112" l="1"/>
  <c r="CI78" i="112"/>
  <c r="BO39" i="112"/>
  <c r="W38" i="112"/>
  <c r="BP39" i="112" s="1"/>
  <c r="CH79" i="112"/>
  <c r="CU79" i="112"/>
  <c r="CG80" i="112"/>
  <c r="CJ79" i="112"/>
  <c r="CK79" i="112"/>
  <c r="CY79" i="112"/>
  <c r="CN79" i="112"/>
  <c r="CL79" i="112"/>
  <c r="CR79" i="112"/>
  <c r="CQ79" i="112"/>
  <c r="CW79" i="112"/>
  <c r="CS79" i="112"/>
  <c r="CO79" i="112"/>
  <c r="CX79" i="112"/>
  <c r="CV79" i="112"/>
  <c r="CT79" i="112"/>
  <c r="CP79" i="112"/>
  <c r="CM79" i="112"/>
  <c r="CF116" i="113"/>
  <c r="BO40" i="112" l="1"/>
  <c r="W39" i="112"/>
  <c r="BP40" i="112" s="1"/>
  <c r="CK80" i="112"/>
  <c r="CM80" i="112"/>
  <c r="CP80" i="112"/>
  <c r="CX80" i="112"/>
  <c r="CO80" i="112"/>
  <c r="CL80" i="112"/>
  <c r="CJ80" i="112"/>
  <c r="CT80" i="112"/>
  <c r="CW80" i="112"/>
  <c r="CU80" i="112"/>
  <c r="CG81" i="112"/>
  <c r="CR80" i="112"/>
  <c r="CY80" i="112"/>
  <c r="CV80" i="112"/>
  <c r="CH80" i="112"/>
  <c r="CQ80" i="112"/>
  <c r="CS80" i="112"/>
  <c r="CN80" i="112"/>
  <c r="CI79" i="112"/>
  <c r="BO41" i="112" l="1"/>
  <c r="W40" i="112"/>
  <c r="BP41" i="112" s="1"/>
  <c r="CI80" i="112"/>
  <c r="CY81" i="112"/>
  <c r="CO81" i="112"/>
  <c r="CW81" i="112"/>
  <c r="CR81" i="112"/>
  <c r="CL81" i="112"/>
  <c r="CQ81" i="112"/>
  <c r="CK81" i="112"/>
  <c r="CT81" i="112"/>
  <c r="CN81" i="112"/>
  <c r="CS81" i="112"/>
  <c r="CP81" i="112"/>
  <c r="CU81" i="112"/>
  <c r="CH81" i="112"/>
  <c r="CX81" i="112"/>
  <c r="CG82" i="112"/>
  <c r="CJ81" i="112"/>
  <c r="CM81" i="112"/>
  <c r="CV81" i="112"/>
  <c r="BO42" i="112" l="1"/>
  <c r="W41" i="112"/>
  <c r="BP42" i="112" s="1"/>
  <c r="CI81" i="112"/>
  <c r="CQ82" i="112"/>
  <c r="CP82" i="112"/>
  <c r="CG83" i="112"/>
  <c r="CU82" i="112"/>
  <c r="CS82" i="112"/>
  <c r="CR82" i="112"/>
  <c r="CK82" i="112"/>
  <c r="CH82" i="112"/>
  <c r="CM82" i="112"/>
  <c r="CL82" i="112"/>
  <c r="CV82" i="112"/>
  <c r="CY82" i="112"/>
  <c r="CW82" i="112"/>
  <c r="CJ82" i="112"/>
  <c r="CN82" i="112"/>
  <c r="CX82" i="112"/>
  <c r="CT82" i="112"/>
  <c r="CO82" i="112"/>
  <c r="CI82" i="112" l="1"/>
  <c r="BO43" i="112"/>
  <c r="W42" i="112"/>
  <c r="BP43" i="112" s="1"/>
  <c r="CR83" i="112"/>
  <c r="CX83" i="112"/>
  <c r="CW83" i="112"/>
  <c r="CM83" i="112"/>
  <c r="CN83" i="112"/>
  <c r="CT83" i="112"/>
  <c r="CQ83" i="112"/>
  <c r="CU83" i="112"/>
  <c r="CJ83" i="112"/>
  <c r="CV83" i="112"/>
  <c r="CY83" i="112"/>
  <c r="CK83" i="112"/>
  <c r="CH83" i="112"/>
  <c r="CS83" i="112"/>
  <c r="CL83" i="112"/>
  <c r="CP83" i="112"/>
  <c r="CO83" i="112"/>
  <c r="BO44" i="112" l="1"/>
  <c r="W43" i="112"/>
  <c r="BP44" i="112" s="1"/>
  <c r="CI83" i="112"/>
  <c r="BO45" i="112" l="1"/>
  <c r="W44" i="112"/>
  <c r="BP45" i="112" s="1"/>
  <c r="BO46" i="112" l="1"/>
  <c r="W45" i="112"/>
  <c r="BP46" i="112" s="1"/>
  <c r="W46" i="112" l="1"/>
  <c r="BP47" i="112" s="1"/>
  <c r="BO47" i="112"/>
  <c r="W47" i="112" l="1"/>
  <c r="BP48" i="112" s="1"/>
  <c r="BO48" i="112"/>
  <c r="W48" i="112" l="1"/>
  <c r="BP49" i="112" s="1"/>
  <c r="BO49" i="112"/>
  <c r="BO50" i="112" l="1"/>
  <c r="W49" i="112"/>
  <c r="BP50" i="112" s="1"/>
  <c r="BO51" i="112" l="1"/>
  <c r="W50" i="112"/>
  <c r="BP51" i="112" s="1"/>
  <c r="BO52" i="112" l="1"/>
  <c r="W51" i="112"/>
  <c r="BP52" i="112" s="1"/>
  <c r="W52" i="112" l="1"/>
  <c r="BP53" i="112" s="1"/>
  <c r="BO53" i="112"/>
  <c r="W53" i="112" l="1"/>
  <c r="BP54" i="112" s="1"/>
  <c r="BO54" i="112"/>
  <c r="BO55" i="112" l="1"/>
  <c r="W54" i="112"/>
  <c r="BP55" i="112" s="1"/>
  <c r="BO56" i="112" l="1"/>
  <c r="W55" i="112"/>
  <c r="BP56" i="112" s="1"/>
  <c r="BO57" i="112" l="1"/>
  <c r="W56" i="112"/>
  <c r="BP57" i="112" s="1"/>
  <c r="BO58" i="112" l="1"/>
  <c r="W57" i="112"/>
  <c r="BP58" i="112" s="1"/>
  <c r="BO59" i="112" l="1"/>
  <c r="W58" i="112"/>
  <c r="BP59" i="112" l="1"/>
  <c r="W59" i="112"/>
  <c r="BP60" i="112" s="1"/>
  <c r="BO60" i="112"/>
  <c r="BO61" i="112" l="1"/>
  <c r="W60" i="112"/>
  <c r="BP61" i="112" l="1"/>
  <c r="W65" i="112"/>
  <c r="W61" i="112"/>
  <c r="BP62" i="112" s="1"/>
  <c r="BO62" i="112"/>
  <c r="BB99" i="112" l="1"/>
  <c r="S68" i="112"/>
  <c r="T71" i="112" s="1"/>
  <c r="BB95" i="112"/>
  <c r="BB91" i="112"/>
  <c r="P71" i="112" l="1"/>
  <c r="CG87" i="112" s="1"/>
  <c r="T73" i="112" l="1"/>
  <c r="O77" i="112"/>
</calcChain>
</file>

<file path=xl/sharedStrings.xml><?xml version="1.0" encoding="utf-8"?>
<sst xmlns="http://schemas.openxmlformats.org/spreadsheetml/2006/main" count="249" uniqueCount="155">
  <si>
    <t>Despesas Administrativas</t>
  </si>
  <si>
    <t>Aluguel</t>
  </si>
  <si>
    <t>Telefone</t>
  </si>
  <si>
    <t>Material de Copa/cozinha</t>
  </si>
  <si>
    <t xml:space="preserve">Energia </t>
  </si>
  <si>
    <t>Outras Despesas gerais</t>
  </si>
  <si>
    <t>Despesas Operacionais</t>
  </si>
  <si>
    <t>Serviços de Terceiros</t>
  </si>
  <si>
    <t>Despesas com Viagens</t>
  </si>
  <si>
    <t>Material de Escritório</t>
  </si>
  <si>
    <t>Despesas com Pessoal</t>
  </si>
  <si>
    <t>Salário</t>
  </si>
  <si>
    <t>Vale Transporte</t>
  </si>
  <si>
    <t>Vale Alimentaçao</t>
  </si>
  <si>
    <t>INSS</t>
  </si>
  <si>
    <t>PIS Sobre Folha</t>
  </si>
  <si>
    <t>FGTS</t>
  </si>
  <si>
    <t>13° Salario</t>
  </si>
  <si>
    <t>Férias</t>
  </si>
  <si>
    <t>Total</t>
  </si>
  <si>
    <t>Taxas Diversas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</si>
  <si>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</si>
  <si>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</si>
  <si>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</si>
  <si>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</si>
  <si>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</si>
  <si>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</si>
  <si>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</si>
  <si>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</si>
  <si>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</si>
  <si>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</si>
  <si>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</si>
  <si>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</si>
  <si>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FR - Consultoria</t>
  </si>
  <si>
    <t>MS - Tecnologia</t>
  </si>
  <si>
    <t>JH - Consultoria</t>
  </si>
  <si>
    <t>Reembolso Dr. Josimar</t>
  </si>
  <si>
    <t>Reembolso Dr. Arcuri</t>
  </si>
  <si>
    <t>Reembolso Adriana</t>
  </si>
  <si>
    <t>Reembolso Gabriel Costa</t>
  </si>
  <si>
    <t>Reembolso Artur Sacco</t>
  </si>
  <si>
    <t>Reembolso Dr. Joel Holanda</t>
  </si>
  <si>
    <t>Reembolso Marcelo Quintão</t>
  </si>
  <si>
    <t>Outras Despesas</t>
  </si>
  <si>
    <t>GRUPO FARMABRASIL</t>
  </si>
  <si>
    <t>Serviços de Consultoria</t>
  </si>
  <si>
    <t>Reservas com Pessoal</t>
  </si>
  <si>
    <t>RBS Computadores</t>
  </si>
  <si>
    <t>Cartões Corporativos</t>
  </si>
  <si>
    <t>DERRAIK  Advogdos</t>
  </si>
  <si>
    <t>Honorários Contábeis</t>
  </si>
  <si>
    <t>Condomínio</t>
  </si>
  <si>
    <t>Plano de Saúde</t>
  </si>
  <si>
    <t>Tarifas Bancárias</t>
  </si>
  <si>
    <t>WAKE UP Informática</t>
  </si>
  <si>
    <t>Diaféria Sociedade</t>
  </si>
  <si>
    <t>CDB - Reginaldo e Adriana</t>
  </si>
  <si>
    <t>FIC MERC - Pessoal</t>
  </si>
  <si>
    <t>Resevas Técnicas - Aplicações</t>
  </si>
  <si>
    <t>Hiper Fundo - outras reservas</t>
  </si>
  <si>
    <t>Despesas</t>
  </si>
  <si>
    <t>Resumo de Despesas</t>
  </si>
  <si>
    <t>Subtotal</t>
  </si>
  <si>
    <t>Seguro Saude Diretoria</t>
  </si>
  <si>
    <t>Outras Depesas com Pessoal</t>
  </si>
  <si>
    <t>Resumo de Despesas FIXAS</t>
  </si>
  <si>
    <t>Reembolso Luana</t>
  </si>
  <si>
    <t>GFB - Comunicaçao Empres</t>
  </si>
  <si>
    <t>GFB - Comunicaçao Empres.</t>
  </si>
  <si>
    <t>Media Mensal</t>
  </si>
  <si>
    <t>¹</t>
  </si>
  <si>
    <t>²</t>
  </si>
  <si>
    <t>Reembolso Luana Araujo</t>
  </si>
  <si>
    <t>Descrição</t>
  </si>
  <si>
    <t>Mês</t>
  </si>
  <si>
    <t>Ano</t>
  </si>
  <si>
    <t>Saldo Devedor</t>
  </si>
  <si>
    <t>1 - Data da simulação:</t>
  </si>
  <si>
    <t>/</t>
  </si>
  <si>
    <t>1 - Valor entregue ou colocado a disposição:</t>
  </si>
  <si>
    <t>Data da operação:</t>
  </si>
  <si>
    <t>2 - Tipo de mutuário:</t>
  </si>
  <si>
    <t>2 - Existe prazo determinado em contrato para quitação das operações de crédito:</t>
  </si>
  <si>
    <t>Sem definição do valor</t>
  </si>
  <si>
    <t>Aquele que recebe recursos financeiros por empréstimo.</t>
  </si>
  <si>
    <t>3 - Quantidade de dias previstos para a devolução do recurso financeiro:</t>
  </si>
  <si>
    <t>3 - Caso o mutuário seja pessoa jurídica, o mesmo é optante pelo Simples Nacional?</t>
  </si>
  <si>
    <t>Desconsiderar esta questão, caso a resposta do item 2 tenha sido "Não"</t>
  </si>
  <si>
    <t>Sim</t>
  </si>
  <si>
    <t>Não</t>
  </si>
  <si>
    <t>4 - Saldo Devedor Anterior:</t>
  </si>
  <si>
    <t>4 - Tipo de mutuário:</t>
  </si>
  <si>
    <t>Inserir o montante referente aos valores entregues em períodos anteriores e que não tiveram quitação.</t>
  </si>
  <si>
    <t xml:space="preserve">5 - O saldo devedor anterior é decorrente de prorrogação, renovação, novação, composição, confissão de dívida e negócios assemelhados, de operações de crédito em que não houve substituição do devedor?                         </t>
  </si>
  <si>
    <t>5 - Caso o mutuário seja pessoa jurídica, o mesmo é optante pelo Simples Nacional?</t>
  </si>
  <si>
    <t xml:space="preserve">Sim </t>
  </si>
  <si>
    <t>IOF:</t>
  </si>
  <si>
    <t>6 - Inserir os valores das transações em suas respectivas datas</t>
  </si>
  <si>
    <t>Adicional do IOF:</t>
  </si>
  <si>
    <t>Data</t>
  </si>
  <si>
    <t>Recolhimento sem encargos até o dia:</t>
  </si>
  <si>
    <t>Pessoa Jurídica</t>
  </si>
  <si>
    <t>Pessoa Física</t>
  </si>
  <si>
    <t>Com definição do valor</t>
  </si>
  <si>
    <t>Tipo de mutuário</t>
  </si>
  <si>
    <t>Soma para o adicional do IOF</t>
  </si>
  <si>
    <t>Tipo de Mutuante</t>
  </si>
  <si>
    <t>Soma dos saldos devedores diários:</t>
  </si>
  <si>
    <t xml:space="preserve">Recolhimento sem encargos até o dia: </t>
  </si>
  <si>
    <t>Art. 7 paragrafo 1º</t>
  </si>
  <si>
    <t>Data do item 5.1 (Fórmula final)</t>
  </si>
  <si>
    <t>5.1</t>
  </si>
  <si>
    <t>5.2</t>
  </si>
  <si>
    <t>Art 7, inciso I, alíniea a, número 1</t>
  </si>
  <si>
    <t>Art 7, inciso I, alíniea b, número 1</t>
  </si>
  <si>
    <t>Art 7, inciso I, alíniea a, número 2</t>
  </si>
  <si>
    <t>Art 7, inciso I, alíniea b, número 2</t>
  </si>
  <si>
    <t>Art. 7, inciso VI</t>
  </si>
  <si>
    <t>Art 7, inciso VI</t>
  </si>
  <si>
    <t>Dúvida (?): Os trinta mil reais é sobre o resultado do somatório ao final do mês, ou é sobre o valor emprestado?</t>
  </si>
  <si>
    <t>Ano Novo</t>
  </si>
  <si>
    <t>Carnaval</t>
  </si>
  <si>
    <t>IOF - Fórmula completa</t>
  </si>
  <si>
    <t>IOF - Fórmula Completa</t>
  </si>
  <si>
    <t>Sexta-Feira da Paixão</t>
  </si>
  <si>
    <t>Tiradentes</t>
  </si>
  <si>
    <t>Adicional do IOF</t>
  </si>
  <si>
    <t>Dia do trabalho</t>
  </si>
  <si>
    <t>Corpus Christi</t>
  </si>
  <si>
    <t>Dúvida (?): Caso tenha saldo devedor anterior e não tenha depósitos no mês, será necessário recolher o IOF referente ao saldo devedor até a sua quitação? Se for o caso, está ok.</t>
  </si>
  <si>
    <t>Independência do Brasil</t>
  </si>
  <si>
    <t>Nossa Senhora da Aparecida</t>
  </si>
  <si>
    <t>Finados</t>
  </si>
  <si>
    <t>Proclamação da República</t>
  </si>
  <si>
    <t>Natal</t>
  </si>
  <si>
    <t>Dúvida (?): No adicional do IOF a base de cálculo são apenas os novos valores diponibilizados no mês, ou os valores disponibilizados no mês somado ao saldo devedor anterior? Se for o primeiro caso terei que alterar a fórmula</t>
  </si>
  <si>
    <t>1º dia do decêndio</t>
  </si>
  <si>
    <t>Dia da semana</t>
  </si>
  <si>
    <t>Feriado</t>
  </si>
  <si>
    <t>Data do item 5.2 (Fórmula final)</t>
  </si>
  <si>
    <r>
      <t xml:space="preserve">1 - Valor do recebimento ou crédito do </t>
    </r>
    <r>
      <rPr>
        <b/>
        <u/>
        <sz val="11"/>
        <color rgb="FFFF0000"/>
        <rFont val="Calibri"/>
        <family val="2"/>
        <scheme val="minor"/>
      </rPr>
      <t>rendimento</t>
    </r>
    <r>
      <rPr>
        <b/>
        <sz val="11"/>
        <color theme="1"/>
        <rFont val="Calibri"/>
        <family val="2"/>
        <scheme val="minor"/>
      </rPr>
      <t xml:space="preserve"> ao mutuante:</t>
    </r>
  </si>
  <si>
    <t>2 - Data da operação:</t>
  </si>
  <si>
    <t>3 - Existe prazo determinado em contrato para quitação das operações de crédito:</t>
  </si>
  <si>
    <t>4 - Quantidade de dias previstos de perduração do contrato:</t>
  </si>
  <si>
    <t>Desconsiderar esta questão, caso a resposta do item 3 tenha sido "Não"</t>
  </si>
  <si>
    <t>Base de Cálculo:</t>
  </si>
  <si>
    <t>Alíquota utilizada:</t>
  </si>
  <si>
    <t>Questão 3</t>
  </si>
  <si>
    <t>1.1 - Cálculo do IOF S/Mútuo sem definição do valor principal em contrato</t>
  </si>
  <si>
    <t>1 - IOF S/Operações de Mútuo</t>
  </si>
  <si>
    <t>1.2 - Cálculo do IOF S/Mútuo com definição do valor principal em contrato</t>
  </si>
  <si>
    <t>2 - Cálculo do IRRF S/Mútuo</t>
  </si>
  <si>
    <t>-</t>
  </si>
  <si>
    <r>
      <t xml:space="preserve">Depósito                                                                          </t>
    </r>
    <r>
      <rPr>
        <b/>
        <sz val="14"/>
        <color rgb="FFFF0000"/>
        <rFont val="Calibri"/>
        <family val="2"/>
        <scheme val="minor"/>
      </rPr>
      <t>[Inserir Valores]</t>
    </r>
  </si>
  <si>
    <r>
      <t xml:space="preserve">Quitação                                                                       </t>
    </r>
    <r>
      <rPr>
        <b/>
        <sz val="14"/>
        <color rgb="FFFF0000"/>
        <rFont val="Calibri"/>
        <family val="2"/>
        <scheme val="minor"/>
      </rPr>
      <t>[Inserir Valores]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</si>
</sst>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R$&quot;\ #,##0.00_);\(&quot;R$&quot;\ #,##0.00\)"/>
    <numFmt numFmtId="165" formatCode="_(&quot;R$&quot;\ * #,##0.00_);_(&quot;R$&quot;\ * \(#,##0.00\);_(&quot;R$&quot;\ * &quot;-&quot;??_);_(@_)"/>
    <numFmt numFmtId="166" formatCode="dd/mm/yy;@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8.5"/>
      <color rgb="FFFF0000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b/>
      <sz val="10.5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lightGrid">
        <fgColor theme="0" tint="-0.34998626667073579"/>
        <bgColor theme="0" tint="-0.249977111117893"/>
      </patternFill>
    </fill>
    <fill>
      <patternFill patternType="gray06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 style="medium">
        <color theme="4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37">
    <xf numFmtId="0" fontId="0" fillId="0" borderId="0" xfId="0"/>
    <xf numFmtId="0" fontId="7" fillId="4" borderId="0" xfId="0" applyFont="1" applyFill="1" applyBorder="1" applyAlignment="1" applyProtection="1"/>
    <xf numFmtId="0" fontId="0" fillId="4" borderId="0" xfId="0" applyFill="1" applyBorder="1"/>
    <xf numFmtId="0" fontId="0" fillId="4" borderId="0" xfId="0" applyFill="1" applyBorder="1" applyAlignment="1" applyProtection="1">
      <alignment horizontal="left"/>
      <protection locked="0"/>
    </xf>
    <xf numFmtId="0" fontId="7" fillId="4" borderId="0" xfId="0" applyFont="1" applyFill="1" applyBorder="1" applyAlignment="1" applyProtection="1">
      <protection locked="0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7" fillId="4" borderId="15" xfId="0" applyFont="1" applyFill="1" applyBorder="1" applyAlignment="1" applyProtection="1"/>
    <xf numFmtId="0" fontId="0" fillId="4" borderId="16" xfId="0" applyFill="1" applyBorder="1" applyAlignment="1" applyProtection="1">
      <alignment horizontal="left"/>
      <protection locked="0"/>
    </xf>
    <xf numFmtId="0" fontId="0" fillId="4" borderId="16" xfId="0" applyFill="1" applyBorder="1" applyAlignment="1" applyProtection="1">
      <protection locked="0"/>
    </xf>
    <xf numFmtId="0" fontId="0" fillId="4" borderId="16" xfId="0" applyFill="1" applyBorder="1" applyProtection="1">
      <protection locked="0"/>
    </xf>
    <xf numFmtId="0" fontId="7" fillId="4" borderId="16" xfId="0" applyFont="1" applyFill="1" applyBorder="1" applyAlignment="1" applyProtection="1"/>
    <xf numFmtId="0" fontId="7" fillId="4" borderId="16" xfId="0" applyFont="1" applyFill="1" applyBorder="1" applyAlignment="1" applyProtection="1">
      <protection locked="0"/>
    </xf>
    <xf numFmtId="0" fontId="0" fillId="4" borderId="16" xfId="0" applyFill="1" applyBorder="1"/>
    <xf numFmtId="0" fontId="4" fillId="4" borderId="17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39" fontId="0" fillId="4" borderId="5" xfId="0" applyNumberFormat="1" applyFont="1" applyFill="1" applyBorder="1" applyAlignment="1" applyProtection="1">
      <alignment horizontal="right"/>
    </xf>
    <xf numFmtId="39" fontId="0" fillId="4" borderId="15" xfId="0" applyNumberFormat="1" applyFont="1" applyFill="1" applyBorder="1" applyAlignment="1" applyProtection="1">
      <alignment horizontal="right"/>
    </xf>
    <xf numFmtId="39" fontId="0" fillId="4" borderId="6" xfId="0" applyNumberFormat="1" applyFont="1" applyFill="1" applyBorder="1" applyAlignment="1">
      <alignment horizontal="right"/>
    </xf>
    <xf numFmtId="39" fontId="0" fillId="4" borderId="15" xfId="0" applyNumberFormat="1" applyFont="1" applyFill="1" applyBorder="1" applyAlignment="1">
      <alignment horizontal="right"/>
    </xf>
    <xf numFmtId="39" fontId="0" fillId="4" borderId="2" xfId="0" applyNumberFormat="1" applyFont="1" applyFill="1" applyBorder="1" applyAlignment="1">
      <alignment horizontal="right"/>
    </xf>
    <xf numFmtId="39" fontId="0" fillId="4" borderId="7" xfId="0" applyNumberFormat="1" applyFont="1" applyFill="1" applyBorder="1" applyAlignment="1" applyProtection="1">
      <alignment horizontal="right"/>
      <protection locked="0"/>
    </xf>
    <xf numFmtId="39" fontId="0" fillId="4" borderId="16" xfId="0" applyNumberFormat="1" applyFont="1" applyFill="1" applyBorder="1" applyAlignment="1" applyProtection="1">
      <alignment horizontal="right"/>
    </xf>
    <xf numFmtId="39" fontId="0" fillId="4" borderId="0" xfId="0" applyNumberFormat="1" applyFont="1" applyFill="1" applyBorder="1" applyAlignment="1">
      <alignment horizontal="right"/>
    </xf>
    <xf numFmtId="39" fontId="0" fillId="4" borderId="16" xfId="0" applyNumberFormat="1" applyFont="1" applyFill="1" applyBorder="1" applyAlignment="1">
      <alignment horizontal="right"/>
    </xf>
    <xf numFmtId="39" fontId="0" fillId="4" borderId="3" xfId="0" applyNumberFormat="1" applyFont="1" applyFill="1" applyBorder="1" applyAlignment="1">
      <alignment horizontal="right"/>
    </xf>
    <xf numFmtId="39" fontId="0" fillId="4" borderId="7" xfId="0" applyNumberFormat="1" applyFont="1" applyFill="1" applyBorder="1" applyAlignment="1" applyProtection="1">
      <alignment horizontal="right"/>
    </xf>
    <xf numFmtId="39" fontId="0" fillId="4" borderId="7" xfId="0" applyNumberFormat="1" applyFont="1" applyFill="1" applyBorder="1" applyAlignment="1">
      <alignment horizontal="right"/>
    </xf>
    <xf numFmtId="39" fontId="0" fillId="4" borderId="17" xfId="0" applyNumberFormat="1" applyFont="1" applyFill="1" applyBorder="1" applyAlignment="1">
      <alignment horizontal="right"/>
    </xf>
    <xf numFmtId="39" fontId="0" fillId="4" borderId="19" xfId="0" applyNumberFormat="1" applyFont="1" applyFill="1" applyBorder="1" applyAlignment="1">
      <alignment horizontal="right"/>
    </xf>
    <xf numFmtId="39" fontId="0" fillId="4" borderId="20" xfId="0" applyNumberFormat="1" applyFont="1" applyFill="1" applyBorder="1" applyAlignment="1">
      <alignment horizontal="right"/>
    </xf>
    <xf numFmtId="0" fontId="0" fillId="2" borderId="16" xfId="0" applyFill="1" applyBorder="1" applyAlignment="1" applyProtection="1">
      <alignment horizontal="left"/>
      <protection locked="0"/>
    </xf>
    <xf numFmtId="39" fontId="0" fillId="2" borderId="7" xfId="0" applyNumberFormat="1" applyFont="1" applyFill="1" applyBorder="1" applyAlignment="1" applyProtection="1">
      <alignment horizontal="right"/>
      <protection locked="0"/>
    </xf>
    <xf numFmtId="39" fontId="0" fillId="2" borderId="16" xfId="0" applyNumberFormat="1" applyFont="1" applyFill="1" applyBorder="1" applyAlignment="1" applyProtection="1">
      <alignment horizontal="right"/>
    </xf>
    <xf numFmtId="39" fontId="0" fillId="2" borderId="0" xfId="0" applyNumberFormat="1" applyFont="1" applyFill="1" applyBorder="1" applyAlignment="1">
      <alignment horizontal="right"/>
    </xf>
    <xf numFmtId="39" fontId="0" fillId="2" borderId="16" xfId="0" applyNumberFormat="1" applyFont="1" applyFill="1" applyBorder="1" applyAlignment="1">
      <alignment horizontal="right"/>
    </xf>
    <xf numFmtId="39" fontId="0" fillId="2" borderId="3" xfId="0" applyNumberFormat="1" applyFont="1" applyFill="1" applyBorder="1" applyAlignment="1">
      <alignment horizontal="right"/>
    </xf>
    <xf numFmtId="39" fontId="4" fillId="4" borderId="21" xfId="0" applyNumberFormat="1" applyFont="1" applyFill="1" applyBorder="1" applyAlignment="1">
      <alignment horizontal="right"/>
    </xf>
    <xf numFmtId="39" fontId="4" fillId="4" borderId="17" xfId="0" applyNumberFormat="1" applyFont="1" applyFill="1" applyBorder="1" applyAlignment="1">
      <alignment horizontal="right"/>
    </xf>
    <xf numFmtId="0" fontId="0" fillId="2" borderId="16" xfId="0" applyFill="1" applyBorder="1" applyAlignment="1" applyProtection="1">
      <protection locked="0"/>
    </xf>
    <xf numFmtId="0" fontId="0" fillId="2" borderId="16" xfId="0" applyFill="1" applyBorder="1" applyProtection="1">
      <protection locked="0"/>
    </xf>
    <xf numFmtId="39" fontId="0" fillId="2" borderId="7" xfId="0" applyNumberFormat="1" applyFont="1" applyFill="1" applyBorder="1" applyAlignment="1" applyProtection="1">
      <alignment horizontal="right"/>
    </xf>
    <xf numFmtId="39" fontId="4" fillId="2" borderId="16" xfId="0" applyNumberFormat="1" applyFont="1" applyFill="1" applyBorder="1" applyAlignment="1">
      <alignment horizontal="right"/>
    </xf>
    <xf numFmtId="39" fontId="4" fillId="4" borderId="16" xfId="0" applyNumberFormat="1" applyFont="1" applyFill="1" applyBorder="1" applyAlignment="1">
      <alignment horizontal="right"/>
    </xf>
    <xf numFmtId="0" fontId="3" fillId="6" borderId="12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0" fontId="3" fillId="7" borderId="17" xfId="0" applyFont="1" applyFill="1" applyBorder="1"/>
    <xf numFmtId="0" fontId="0" fillId="2" borderId="0" xfId="0" applyFill="1" applyBorder="1"/>
    <xf numFmtId="0" fontId="2" fillId="7" borderId="1" xfId="0" applyFont="1" applyFill="1" applyBorder="1"/>
    <xf numFmtId="39" fontId="0" fillId="4" borderId="0" xfId="0" applyNumberFormat="1" applyFill="1" applyBorder="1"/>
    <xf numFmtId="0" fontId="8" fillId="3" borderId="0" xfId="0" applyFont="1" applyFill="1" applyBorder="1"/>
    <xf numFmtId="39" fontId="4" fillId="2" borderId="16" xfId="0" applyNumberFormat="1" applyFont="1" applyFill="1" applyBorder="1" applyAlignment="1" applyProtection="1">
      <alignment horizontal="right"/>
    </xf>
    <xf numFmtId="39" fontId="4" fillId="4" borderId="16" xfId="0" applyNumberFormat="1" applyFont="1" applyFill="1" applyBorder="1" applyAlignment="1" applyProtection="1">
      <alignment horizontal="right"/>
    </xf>
    <xf numFmtId="0" fontId="0" fillId="0" borderId="0" xfId="0" applyFill="1" applyBorder="1" applyProtection="1">
      <protection hidden="1"/>
    </xf>
    <xf numFmtId="0" fontId="0" fillId="0" borderId="3" xfId="0" applyFill="1" applyBorder="1" applyProtection="1">
      <protection hidden="1"/>
    </xf>
    <xf numFmtId="0" fontId="0" fillId="0" borderId="7" xfId="0" applyFill="1" applyBorder="1" applyProtection="1">
      <protection hidden="1"/>
    </xf>
    <xf numFmtId="0" fontId="0" fillId="0" borderId="5" xfId="0" applyFill="1" applyBorder="1" applyProtection="1">
      <protection hidden="1"/>
    </xf>
    <xf numFmtId="0" fontId="0" fillId="0" borderId="8" xfId="0" applyFill="1" applyBorder="1" applyProtection="1">
      <protection hidden="1"/>
    </xf>
    <xf numFmtId="0" fontId="0" fillId="0" borderId="9" xfId="0" applyFill="1" applyBorder="1" applyProtection="1">
      <protection hidden="1"/>
    </xf>
    <xf numFmtId="0" fontId="0" fillId="0" borderId="10" xfId="0" applyFill="1" applyBorder="1" applyProtection="1">
      <protection hidden="1"/>
    </xf>
    <xf numFmtId="0" fontId="0" fillId="0" borderId="0" xfId="0" applyProtection="1">
      <protection hidden="1"/>
    </xf>
    <xf numFmtId="0" fontId="0" fillId="10" borderId="0" xfId="0" applyFill="1" applyProtection="1"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0" fontId="14" fillId="10" borderId="0" xfId="0" applyFont="1" applyFill="1" applyProtection="1">
      <protection hidden="1"/>
    </xf>
    <xf numFmtId="0" fontId="14" fillId="10" borderId="0" xfId="0" applyFont="1" applyFill="1" applyBorder="1" applyProtection="1">
      <protection hidden="1"/>
    </xf>
    <xf numFmtId="0" fontId="0" fillId="10" borderId="0" xfId="0" applyFill="1" applyBorder="1" applyProtection="1">
      <protection hidden="1"/>
    </xf>
    <xf numFmtId="0" fontId="14" fillId="10" borderId="0" xfId="0" applyFont="1" applyFill="1" applyAlignment="1" applyProtection="1">
      <alignment horizontal="left"/>
      <protection locked="0"/>
    </xf>
    <xf numFmtId="0" fontId="0" fillId="0" borderId="27" xfId="0" applyFill="1" applyBorder="1" applyProtection="1">
      <protection hidden="1"/>
    </xf>
    <xf numFmtId="0" fontId="0" fillId="0" borderId="28" xfId="0" applyFill="1" applyBorder="1" applyProtection="1">
      <protection hidden="1"/>
    </xf>
    <xf numFmtId="0" fontId="0" fillId="0" borderId="30" xfId="0" applyFill="1" applyBorder="1" applyProtection="1">
      <protection hidden="1"/>
    </xf>
    <xf numFmtId="0" fontId="0" fillId="0" borderId="31" xfId="0" applyFill="1" applyBorder="1" applyProtection="1">
      <protection hidden="1"/>
    </xf>
    <xf numFmtId="0" fontId="0" fillId="0" borderId="32" xfId="0" applyFill="1" applyBorder="1" applyProtection="1">
      <protection hidden="1"/>
    </xf>
    <xf numFmtId="0" fontId="0" fillId="0" borderId="33" xfId="0" applyFill="1" applyBorder="1" applyProtection="1">
      <protection hidden="1"/>
    </xf>
    <xf numFmtId="0" fontId="0" fillId="0" borderId="34" xfId="0" applyFill="1" applyBorder="1" applyProtection="1">
      <protection hidden="1"/>
    </xf>
    <xf numFmtId="0" fontId="4" fillId="0" borderId="0" xfId="0" applyFont="1" applyFill="1" applyBorder="1" applyAlignment="1" applyProtection="1">
      <alignment horizontal="center" vertical="center"/>
      <protection hidden="1"/>
    </xf>
    <xf numFmtId="39" fontId="14" fillId="10" borderId="0" xfId="0" applyNumberFormat="1" applyFont="1" applyFill="1" applyBorder="1" applyProtection="1">
      <protection hidden="1"/>
    </xf>
    <xf numFmtId="0" fontId="14" fillId="10" borderId="0" xfId="0" applyFont="1" applyFill="1" applyBorder="1" applyAlignment="1" applyProtection="1">
      <alignment horizontal="center"/>
      <protection hidden="1"/>
    </xf>
    <xf numFmtId="0" fontId="14" fillId="10" borderId="0" xfId="0" applyFont="1" applyFill="1" applyAlignment="1" applyProtection="1">
      <alignment horizontal="center" vertical="center"/>
      <protection hidden="1"/>
    </xf>
    <xf numFmtId="0" fontId="0" fillId="0" borderId="0" xfId="0" applyFill="1" applyBorder="1" applyAlignment="1" applyProtection="1">
      <alignment horizontal="left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hidden="1"/>
    </xf>
    <xf numFmtId="39" fontId="4" fillId="0" borderId="0" xfId="0" applyNumberFormat="1" applyFont="1" applyFill="1" applyBorder="1" applyAlignment="1" applyProtection="1">
      <alignment horizontal="right"/>
      <protection hidden="1"/>
    </xf>
    <xf numFmtId="0" fontId="4" fillId="0" borderId="0" xfId="0" applyFont="1" applyFill="1" applyBorder="1" applyAlignment="1" applyProtection="1">
      <protection hidden="1"/>
    </xf>
    <xf numFmtId="0" fontId="0" fillId="0" borderId="33" xfId="0" applyFill="1" applyBorder="1" applyAlignment="1" applyProtection="1">
      <alignment horizontal="center"/>
      <protection hidden="1"/>
    </xf>
    <xf numFmtId="39" fontId="0" fillId="0" borderId="0" xfId="0" applyNumberFormat="1" applyFill="1" applyBorder="1" applyAlignment="1" applyProtection="1">
      <alignment horizontal="right"/>
      <protection hidden="1"/>
    </xf>
    <xf numFmtId="0" fontId="0" fillId="0" borderId="28" xfId="0" applyFill="1" applyBorder="1" applyAlignment="1" applyProtection="1">
      <alignment horizontal="center"/>
      <protection hidden="1"/>
    </xf>
    <xf numFmtId="0" fontId="0" fillId="0" borderId="29" xfId="0" applyFill="1" applyBorder="1" applyAlignment="1" applyProtection="1">
      <alignment horizontal="center"/>
      <protection hidden="1"/>
    </xf>
    <xf numFmtId="0" fontId="9" fillId="0" borderId="31" xfId="0" applyFont="1" applyFill="1" applyBorder="1" applyAlignment="1" applyProtection="1">
      <alignment horizontal="center"/>
      <protection hidden="1"/>
    </xf>
    <xf numFmtId="0" fontId="9" fillId="0" borderId="0" xfId="0" applyFont="1" applyFill="1" applyBorder="1" applyAlignment="1" applyProtection="1">
      <alignment horizontal="center"/>
      <protection hidden="1"/>
    </xf>
    <xf numFmtId="0" fontId="4" fillId="0" borderId="0" xfId="0" applyFont="1" applyFill="1" applyBorder="1" applyProtection="1">
      <protection hidden="1"/>
    </xf>
    <xf numFmtId="0" fontId="0" fillId="12" borderId="5" xfId="0" applyFill="1" applyBorder="1" applyProtection="1">
      <protection hidden="1"/>
    </xf>
    <xf numFmtId="0" fontId="0" fillId="12" borderId="6" xfId="0" applyFill="1" applyBorder="1" applyProtection="1">
      <protection hidden="1"/>
    </xf>
    <xf numFmtId="0" fontId="0" fillId="12" borderId="22" xfId="0" applyFill="1" applyBorder="1" applyProtection="1">
      <protection hidden="1"/>
    </xf>
    <xf numFmtId="0" fontId="4" fillId="12" borderId="7" xfId="0" applyFont="1" applyFill="1" applyBorder="1" applyAlignment="1" applyProtection="1">
      <alignment horizontal="left"/>
      <protection hidden="1"/>
    </xf>
    <xf numFmtId="0" fontId="0" fillId="12" borderId="0" xfId="0" applyFill="1" applyBorder="1" applyAlignment="1" applyProtection="1">
      <alignment horizontal="right"/>
      <protection hidden="1"/>
    </xf>
    <xf numFmtId="0" fontId="15" fillId="12" borderId="4" xfId="0" applyFont="1" applyFill="1" applyBorder="1" applyAlignment="1" applyProtection="1">
      <alignment horizontal="right"/>
      <protection hidden="1"/>
    </xf>
    <xf numFmtId="39" fontId="15" fillId="0" borderId="0" xfId="0" applyNumberFormat="1" applyFont="1" applyFill="1" applyBorder="1" applyAlignment="1" applyProtection="1">
      <alignment horizontal="left" vertical="center"/>
      <protection hidden="1"/>
    </xf>
    <xf numFmtId="39" fontId="15" fillId="12" borderId="7" xfId="0" applyNumberFormat="1" applyFont="1" applyFill="1" applyBorder="1" applyAlignment="1" applyProtection="1">
      <alignment vertical="center"/>
      <protection hidden="1"/>
    </xf>
    <xf numFmtId="0" fontId="15" fillId="12" borderId="11" xfId="0" applyNumberFormat="1" applyFont="1" applyFill="1" applyBorder="1" applyAlignment="1" applyProtection="1">
      <alignment horizontal="center" vertical="center"/>
      <protection locked="0"/>
    </xf>
    <xf numFmtId="39" fontId="15" fillId="12" borderId="0" xfId="0" applyNumberFormat="1" applyFont="1" applyFill="1" applyBorder="1" applyAlignment="1" applyProtection="1">
      <alignment vertical="center"/>
      <protection hidden="1"/>
    </xf>
    <xf numFmtId="39" fontId="15" fillId="12" borderId="4" xfId="0" applyNumberFormat="1" applyFont="1" applyFill="1" applyBorder="1" applyAlignment="1" applyProtection="1">
      <alignment vertical="center"/>
      <protection hidden="1"/>
    </xf>
    <xf numFmtId="39" fontId="15" fillId="0" borderId="31" xfId="0" applyNumberFormat="1" applyFont="1" applyFill="1" applyBorder="1" applyAlignment="1" applyProtection="1">
      <alignment vertical="center"/>
      <protection hidden="1"/>
    </xf>
    <xf numFmtId="0" fontId="4" fillId="0" borderId="0" xfId="0" applyFont="1" applyFill="1" applyBorder="1" applyAlignment="1" applyProtection="1">
      <alignment horizontal="left"/>
      <protection hidden="1"/>
    </xf>
    <xf numFmtId="39" fontId="15" fillId="12" borderId="39" xfId="0" applyNumberFormat="1" applyFont="1" applyFill="1" applyBorder="1" applyAlignment="1" applyProtection="1">
      <alignment vertical="center"/>
      <protection hidden="1"/>
    </xf>
    <xf numFmtId="39" fontId="15" fillId="12" borderId="11" xfId="0" applyNumberFormat="1" applyFont="1" applyFill="1" applyBorder="1" applyAlignment="1" applyProtection="1">
      <alignment vertical="center"/>
      <protection hidden="1"/>
    </xf>
    <xf numFmtId="39" fontId="15" fillId="12" borderId="40" xfId="0" applyNumberFormat="1" applyFont="1" applyFill="1" applyBorder="1" applyAlignment="1" applyProtection="1">
      <alignment vertical="center"/>
      <protection hidden="1"/>
    </xf>
    <xf numFmtId="0" fontId="5" fillId="0" borderId="0" xfId="0" applyFont="1" applyFill="1" applyBorder="1" applyAlignment="1" applyProtection="1">
      <alignment horizontal="left"/>
      <protection hidden="1"/>
    </xf>
    <xf numFmtId="0" fontId="5" fillId="0" borderId="31" xfId="0" applyFont="1" applyFill="1" applyBorder="1" applyAlignment="1" applyProtection="1">
      <protection hidden="1"/>
    </xf>
    <xf numFmtId="0" fontId="21" fillId="0" borderId="0" xfId="0" applyFont="1" applyFill="1" applyBorder="1" applyAlignment="1" applyProtection="1">
      <alignment horizontal="left" vertical="top" wrapText="1"/>
      <protection hidden="1"/>
    </xf>
    <xf numFmtId="0" fontId="21" fillId="0" borderId="31" xfId="0" applyFont="1" applyFill="1" applyBorder="1" applyAlignment="1" applyProtection="1">
      <alignment horizontal="left" vertical="top" wrapText="1"/>
      <protection hidden="1"/>
    </xf>
    <xf numFmtId="0" fontId="21" fillId="0" borderId="0" xfId="0" applyFont="1" applyFill="1" applyBorder="1" applyAlignment="1" applyProtection="1">
      <alignment horizontal="left"/>
      <protection hidden="1"/>
    </xf>
    <xf numFmtId="0" fontId="21" fillId="0" borderId="31" xfId="0" applyFont="1" applyFill="1" applyBorder="1" applyAlignment="1" applyProtection="1">
      <alignment horizontal="left"/>
      <protection hidden="1"/>
    </xf>
    <xf numFmtId="0" fontId="0" fillId="0" borderId="31" xfId="0" applyFill="1" applyBorder="1" applyAlignment="1" applyProtection="1">
      <alignment horizontal="center"/>
      <protection hidden="1"/>
    </xf>
    <xf numFmtId="0" fontId="15" fillId="0" borderId="0" xfId="0" applyFont="1" applyFill="1" applyBorder="1" applyAlignment="1" applyProtection="1">
      <alignment horizontal="left"/>
      <protection hidden="1"/>
    </xf>
    <xf numFmtId="0" fontId="15" fillId="0" borderId="31" xfId="0" applyFont="1" applyFill="1" applyBorder="1" applyAlignment="1" applyProtection="1">
      <alignment horizontal="left"/>
      <protection hidden="1"/>
    </xf>
    <xf numFmtId="0" fontId="0" fillId="0" borderId="0" xfId="0" applyFont="1" applyFill="1" applyBorder="1" applyAlignment="1" applyProtection="1">
      <alignment horizontal="left" wrapText="1"/>
      <protection hidden="1"/>
    </xf>
    <xf numFmtId="0" fontId="5" fillId="0" borderId="0" xfId="0" applyFont="1" applyFill="1" applyBorder="1" applyAlignment="1" applyProtection="1">
      <alignment vertical="top" wrapText="1"/>
      <protection hidden="1"/>
    </xf>
    <xf numFmtId="0" fontId="5" fillId="0" borderId="0" xfId="0" applyFont="1" applyFill="1" applyBorder="1" applyAlignment="1" applyProtection="1">
      <alignment horizontal="justify" vertical="justify" wrapText="1"/>
      <protection hidden="1"/>
    </xf>
    <xf numFmtId="39" fontId="0" fillId="0" borderId="2" xfId="0" applyNumberFormat="1" applyFill="1" applyBorder="1" applyAlignment="1" applyProtection="1">
      <alignment horizontal="right"/>
      <protection hidden="1"/>
    </xf>
    <xf numFmtId="39" fontId="0" fillId="0" borderId="3" xfId="0" applyNumberFormat="1" applyFill="1" applyBorder="1" applyAlignment="1" applyProtection="1">
      <alignment horizontal="right"/>
      <protection hidden="1"/>
    </xf>
    <xf numFmtId="0" fontId="0" fillId="0" borderId="31" xfId="0" applyFont="1" applyFill="1" applyBorder="1" applyAlignment="1" applyProtection="1">
      <alignment horizontal="left" wrapText="1"/>
      <protection hidden="1"/>
    </xf>
    <xf numFmtId="0" fontId="0" fillId="0" borderId="41" xfId="0" applyFill="1" applyBorder="1" applyAlignment="1" applyProtection="1">
      <alignment horizontal="left"/>
      <protection hidden="1"/>
    </xf>
    <xf numFmtId="39" fontId="0" fillId="0" borderId="41" xfId="0" applyNumberFormat="1" applyFill="1" applyBorder="1" applyAlignment="1" applyProtection="1">
      <alignment horizontal="right"/>
      <protection hidden="1"/>
    </xf>
    <xf numFmtId="0" fontId="4" fillId="0" borderId="31" xfId="0" applyFont="1" applyFill="1" applyBorder="1" applyAlignment="1" applyProtection="1">
      <alignment horizontal="center" vertical="center"/>
      <protection hidden="1"/>
    </xf>
    <xf numFmtId="0" fontId="4" fillId="0" borderId="3" xfId="0" applyFont="1" applyFill="1" applyBorder="1" applyProtection="1">
      <protection hidden="1"/>
    </xf>
    <xf numFmtId="0" fontId="4" fillId="0" borderId="7" xfId="0" applyFont="1" applyFill="1" applyBorder="1" applyProtection="1">
      <protection hidden="1"/>
    </xf>
    <xf numFmtId="39" fontId="4" fillId="0" borderId="3" xfId="0" applyNumberFormat="1" applyFont="1" applyFill="1" applyBorder="1" applyAlignment="1" applyProtection="1">
      <alignment horizontal="right"/>
      <protection hidden="1"/>
    </xf>
    <xf numFmtId="39" fontId="0" fillId="0" borderId="31" xfId="0" applyNumberFormat="1" applyFill="1" applyBorder="1" applyAlignment="1" applyProtection="1">
      <alignment horizontal="right"/>
      <protection hidden="1"/>
    </xf>
    <xf numFmtId="0" fontId="0" fillId="0" borderId="33" xfId="0" applyFill="1" applyBorder="1" applyAlignment="1" applyProtection="1">
      <alignment vertical="top" wrapText="1"/>
      <protection hidden="1"/>
    </xf>
    <xf numFmtId="0" fontId="0" fillId="0" borderId="0" xfId="0" applyFill="1" applyBorder="1" applyAlignment="1" applyProtection="1">
      <alignment vertical="top" wrapText="1"/>
      <protection hidden="1"/>
    </xf>
    <xf numFmtId="0" fontId="0" fillId="0" borderId="30" xfId="0" applyFill="1" applyBorder="1" applyAlignment="1" applyProtection="1">
      <protection hidden="1"/>
    </xf>
    <xf numFmtId="0" fontId="0" fillId="0" borderId="0" xfId="0" applyFill="1" applyBorder="1" applyAlignment="1" applyProtection="1">
      <protection hidden="1"/>
    </xf>
    <xf numFmtId="39" fontId="0" fillId="0" borderId="0" xfId="0" applyNumberFormat="1" applyFill="1" applyBorder="1" applyAlignment="1" applyProtection="1">
      <alignment horizontal="right" vertical="center"/>
      <protection hidden="1"/>
    </xf>
    <xf numFmtId="39" fontId="0" fillId="0" borderId="31" xfId="0" applyNumberFormat="1" applyFill="1" applyBorder="1" applyAlignment="1" applyProtection="1">
      <alignment horizontal="right" vertical="center"/>
      <protection hidden="1"/>
    </xf>
    <xf numFmtId="39" fontId="10" fillId="0" borderId="31" xfId="0" applyNumberFormat="1" applyFont="1" applyFill="1" applyBorder="1" applyAlignment="1" applyProtection="1">
      <alignment horizontal="right"/>
      <protection hidden="1"/>
    </xf>
    <xf numFmtId="39" fontId="0" fillId="0" borderId="2" xfId="0" applyNumberFormat="1" applyFill="1" applyBorder="1" applyAlignment="1" applyProtection="1">
      <alignment horizontal="right" vertical="center"/>
      <protection hidden="1"/>
    </xf>
    <xf numFmtId="39" fontId="0" fillId="0" borderId="3" xfId="0" applyNumberFormat="1" applyFill="1" applyBorder="1" applyAlignment="1" applyProtection="1">
      <alignment horizontal="right" vertical="center"/>
      <protection hidden="1"/>
    </xf>
    <xf numFmtId="39" fontId="4" fillId="0" borderId="3" xfId="0" applyNumberFormat="1" applyFont="1" applyFill="1" applyBorder="1" applyAlignment="1" applyProtection="1">
      <alignment horizontal="right" vertical="center"/>
      <protection hidden="1"/>
    </xf>
    <xf numFmtId="39" fontId="4" fillId="0" borderId="0" xfId="0" applyNumberFormat="1" applyFont="1" applyFill="1" applyBorder="1" applyAlignment="1" applyProtection="1">
      <alignment horizontal="right" vertical="center"/>
      <protection hidden="1"/>
    </xf>
    <xf numFmtId="166" fontId="4" fillId="0" borderId="3" xfId="0" applyNumberFormat="1" applyFont="1" applyFill="1" applyBorder="1" applyAlignment="1" applyProtection="1">
      <alignment horizontal="right" vertical="center"/>
      <protection hidden="1"/>
    </xf>
    <xf numFmtId="0" fontId="4" fillId="0" borderId="9" xfId="0" applyFont="1" applyFill="1" applyBorder="1" applyAlignment="1" applyProtection="1">
      <alignment horizontal="left"/>
      <protection hidden="1"/>
    </xf>
    <xf numFmtId="39" fontId="4" fillId="0" borderId="9" xfId="0" applyNumberFormat="1" applyFont="1" applyFill="1" applyBorder="1" applyAlignment="1" applyProtection="1">
      <alignment horizontal="right" vertical="center"/>
      <protection hidden="1"/>
    </xf>
    <xf numFmtId="39" fontId="4" fillId="0" borderId="10" xfId="0" applyNumberFormat="1" applyFont="1" applyFill="1" applyBorder="1" applyAlignment="1" applyProtection="1">
      <alignment horizontal="right" vertical="center"/>
      <protection hidden="1"/>
    </xf>
    <xf numFmtId="14" fontId="14" fillId="10" borderId="0" xfId="0" applyNumberFormat="1" applyFont="1" applyFill="1" applyProtection="1">
      <protection hidden="1"/>
    </xf>
    <xf numFmtId="0" fontId="14" fillId="10" borderId="0" xfId="0" applyFont="1" applyFill="1" applyAlignment="1" applyProtection="1">
      <alignment horizontal="left" vertical="center"/>
      <protection hidden="1"/>
    </xf>
    <xf numFmtId="39" fontId="0" fillId="10" borderId="0" xfId="0" applyNumberFormat="1" applyFill="1" applyBorder="1" applyAlignment="1" applyProtection="1">
      <protection hidden="1"/>
    </xf>
    <xf numFmtId="0" fontId="0" fillId="10" borderId="0" xfId="0" applyFill="1" applyBorder="1" applyAlignment="1" applyProtection="1">
      <protection hidden="1"/>
    </xf>
    <xf numFmtId="0" fontId="0" fillId="10" borderId="0" xfId="0" applyFill="1" applyBorder="1" applyAlignment="1" applyProtection="1">
      <alignment horizontal="left"/>
      <protection hidden="1"/>
    </xf>
    <xf numFmtId="39" fontId="0" fillId="10" borderId="0" xfId="0" applyNumberFormat="1" applyFill="1" applyBorder="1" applyAlignment="1" applyProtection="1">
      <alignment horizontal="left"/>
      <protection hidden="1"/>
    </xf>
    <xf numFmtId="0" fontId="0" fillId="10" borderId="0" xfId="0" applyFill="1" applyBorder="1" applyAlignment="1" applyProtection="1">
      <alignment wrapText="1"/>
      <protection hidden="1"/>
    </xf>
    <xf numFmtId="0" fontId="0" fillId="10" borderId="0" xfId="0" applyFill="1" applyBorder="1" applyAlignment="1" applyProtection="1">
      <alignment horizontal="left" wrapText="1"/>
      <protection hidden="1"/>
    </xf>
    <xf numFmtId="0" fontId="14" fillId="10" borderId="0" xfId="0" applyFont="1" applyFill="1" applyBorder="1" applyAlignment="1" applyProtection="1">
      <protection hidden="1"/>
    </xf>
    <xf numFmtId="39" fontId="16" fillId="10" borderId="0" xfId="0" applyNumberFormat="1" applyFont="1" applyFill="1" applyBorder="1" applyAlignment="1" applyProtection="1">
      <protection hidden="1"/>
    </xf>
    <xf numFmtId="0" fontId="14" fillId="10" borderId="0" xfId="0" applyNumberFormat="1" applyFont="1" applyFill="1" applyProtection="1">
      <protection hidden="1"/>
    </xf>
    <xf numFmtId="0" fontId="6" fillId="10" borderId="0" xfId="0" applyFont="1" applyFill="1" applyBorder="1" applyAlignment="1" applyProtection="1">
      <alignment wrapText="1"/>
      <protection hidden="1"/>
    </xf>
    <xf numFmtId="0" fontId="6" fillId="10" borderId="0" xfId="0" applyFont="1" applyFill="1" applyBorder="1" applyAlignment="1" applyProtection="1">
      <alignment horizontal="left" wrapText="1"/>
      <protection hidden="1"/>
    </xf>
    <xf numFmtId="2" fontId="14" fillId="10" borderId="0" xfId="0" applyNumberFormat="1" applyFont="1" applyFill="1" applyAlignment="1" applyProtection="1">
      <protection hidden="1"/>
    </xf>
    <xf numFmtId="0" fontId="16" fillId="10" borderId="0" xfId="0" applyFont="1" applyFill="1" applyBorder="1" applyAlignment="1" applyProtection="1">
      <alignment vertical="top" wrapText="1"/>
      <protection hidden="1"/>
    </xf>
    <xf numFmtId="0" fontId="0" fillId="10" borderId="0" xfId="0" applyFill="1" applyBorder="1" applyAlignment="1" applyProtection="1">
      <alignment horizontal="left" vertical="top" wrapText="1"/>
      <protection hidden="1"/>
    </xf>
    <xf numFmtId="0" fontId="0" fillId="10" borderId="0" xfId="0" applyFill="1" applyBorder="1" applyAlignment="1" applyProtection="1">
      <alignment horizontal="center"/>
      <protection hidden="1"/>
    </xf>
    <xf numFmtId="14" fontId="0" fillId="10" borderId="0" xfId="0" applyNumberFormat="1" applyFill="1" applyProtection="1">
      <protection hidden="1"/>
    </xf>
    <xf numFmtId="14" fontId="14" fillId="10" borderId="0" xfId="0" applyNumberFormat="1" applyFont="1" applyFill="1" applyAlignment="1" applyProtection="1">
      <alignment horizontal="center" vertical="center"/>
      <protection hidden="1"/>
    </xf>
    <xf numFmtId="0" fontId="12" fillId="10" borderId="0" xfId="0" applyFont="1" applyFill="1" applyBorder="1" applyAlignment="1" applyProtection="1">
      <alignment horizontal="center"/>
      <protection hidden="1"/>
    </xf>
    <xf numFmtId="0" fontId="4" fillId="12" borderId="5" xfId="0" applyFont="1" applyFill="1" applyBorder="1" applyAlignment="1" applyProtection="1">
      <alignment horizontal="left"/>
      <protection hidden="1"/>
    </xf>
    <xf numFmtId="0" fontId="4" fillId="12" borderId="6" xfId="0" applyFont="1" applyFill="1" applyBorder="1" applyAlignment="1" applyProtection="1">
      <alignment horizontal="left"/>
      <protection hidden="1"/>
    </xf>
    <xf numFmtId="0" fontId="4" fillId="12" borderId="22" xfId="0" applyFont="1" applyFill="1" applyBorder="1" applyAlignment="1" applyProtection="1">
      <alignment horizontal="left"/>
      <protection hidden="1"/>
    </xf>
    <xf numFmtId="0" fontId="5" fillId="0" borderId="0" xfId="0" applyFont="1" applyFill="1" applyBorder="1" applyAlignment="1" applyProtection="1">
      <protection hidden="1"/>
    </xf>
    <xf numFmtId="0" fontId="5" fillId="12" borderId="7" xfId="0" applyFont="1" applyFill="1" applyBorder="1" applyAlignment="1" applyProtection="1">
      <protection hidden="1"/>
    </xf>
    <xf numFmtId="0" fontId="5" fillId="12" borderId="11" xfId="0" applyNumberFormat="1" applyFont="1" applyFill="1" applyBorder="1" applyAlignment="1" applyProtection="1">
      <alignment horizontal="center"/>
      <protection locked="0"/>
    </xf>
    <xf numFmtId="0" fontId="5" fillId="12" borderId="0" xfId="0" applyFont="1" applyFill="1" applyBorder="1" applyAlignment="1" applyProtection="1">
      <protection hidden="1"/>
    </xf>
    <xf numFmtId="0" fontId="5" fillId="12" borderId="4" xfId="0" applyFont="1" applyFill="1" applyBorder="1" applyAlignment="1" applyProtection="1">
      <protection hidden="1"/>
    </xf>
    <xf numFmtId="0" fontId="5" fillId="12" borderId="39" xfId="0" applyFont="1" applyFill="1" applyBorder="1" applyAlignment="1" applyProtection="1">
      <protection hidden="1"/>
    </xf>
    <xf numFmtId="0" fontId="5" fillId="12" borderId="11" xfId="0" applyFont="1" applyFill="1" applyBorder="1" applyAlignment="1" applyProtection="1">
      <protection hidden="1"/>
    </xf>
    <xf numFmtId="0" fontId="5" fillId="12" borderId="40" xfId="0" applyFont="1" applyFill="1" applyBorder="1" applyAlignment="1" applyProtection="1">
      <protection hidden="1"/>
    </xf>
    <xf numFmtId="0" fontId="0" fillId="0" borderId="5" xfId="0" applyFill="1" applyBorder="1" applyAlignment="1" applyProtection="1">
      <protection hidden="1"/>
    </xf>
    <xf numFmtId="0" fontId="0" fillId="0" borderId="2" xfId="0" applyFill="1" applyBorder="1" applyAlignment="1" applyProtection="1">
      <alignment horizontal="center"/>
      <protection hidden="1"/>
    </xf>
    <xf numFmtId="0" fontId="0" fillId="0" borderId="7" xfId="0" applyFill="1" applyBorder="1" applyAlignment="1" applyProtection="1">
      <protection hidden="1"/>
    </xf>
    <xf numFmtId="0" fontId="4" fillId="0" borderId="7" xfId="0" applyFont="1" applyFill="1" applyBorder="1" applyAlignment="1" applyProtection="1">
      <protection hidden="1"/>
    </xf>
    <xf numFmtId="0" fontId="3" fillId="0" borderId="8" xfId="0" applyFont="1" applyFill="1" applyBorder="1" applyAlignment="1" applyProtection="1">
      <alignment wrapText="1"/>
      <protection hidden="1"/>
    </xf>
    <xf numFmtId="0" fontId="3" fillId="0" borderId="9" xfId="0" applyFont="1" applyFill="1" applyBorder="1" applyAlignment="1" applyProtection="1">
      <alignment wrapText="1"/>
      <protection hidden="1"/>
    </xf>
    <xf numFmtId="14" fontId="3" fillId="0" borderId="9" xfId="0" applyNumberFormat="1" applyFont="1" applyFill="1" applyBorder="1" applyAlignment="1" applyProtection="1">
      <alignment vertical="center"/>
      <protection hidden="1"/>
    </xf>
    <xf numFmtId="0" fontId="3" fillId="0" borderId="9" xfId="0" applyFont="1" applyFill="1" applyBorder="1" applyAlignment="1" applyProtection="1">
      <alignment vertical="center"/>
      <protection hidden="1"/>
    </xf>
    <xf numFmtId="0" fontId="3" fillId="0" borderId="9" xfId="0" applyFont="1" applyFill="1" applyBorder="1" applyAlignment="1" applyProtection="1">
      <alignment horizontal="right" vertical="center"/>
      <protection hidden="1"/>
    </xf>
    <xf numFmtId="0" fontId="3" fillId="0" borderId="0" xfId="0" applyFont="1" applyFill="1" applyBorder="1" applyAlignment="1" applyProtection="1">
      <alignment wrapText="1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horizontal="right" vertical="center"/>
      <protection hidden="1"/>
    </xf>
    <xf numFmtId="0" fontId="0" fillId="0" borderId="0" xfId="0" applyFill="1" applyBorder="1" applyAlignment="1" applyProtection="1">
      <alignment vertical="top"/>
      <protection hidden="1"/>
    </xf>
    <xf numFmtId="49" fontId="0" fillId="10" borderId="0" xfId="0" applyNumberFormat="1" applyFill="1" applyProtection="1">
      <protection hidden="1"/>
    </xf>
    <xf numFmtId="0" fontId="14" fillId="10" borderId="0" xfId="0" applyFont="1" applyFill="1" applyAlignment="1" applyProtection="1">
      <alignment horizontal="left"/>
      <protection hidden="1"/>
    </xf>
    <xf numFmtId="49" fontId="14" fillId="10" borderId="0" xfId="0" applyNumberFormat="1" applyFont="1" applyFill="1" applyProtection="1">
      <protection hidden="1"/>
    </xf>
    <xf numFmtId="0" fontId="6" fillId="10" borderId="0" xfId="0" applyFont="1" applyFill="1" applyProtection="1">
      <protection hidden="1"/>
    </xf>
    <xf numFmtId="0" fontId="14" fillId="10" borderId="0" xfId="0" applyFont="1" applyFill="1" applyBorder="1" applyAlignment="1" applyProtection="1">
      <alignment horizontal="left"/>
      <protection locked="0"/>
    </xf>
    <xf numFmtId="39" fontId="14" fillId="10" borderId="0" xfId="0" applyNumberFormat="1" applyFont="1" applyFill="1" applyBorder="1" applyAlignment="1" applyProtection="1">
      <alignment horizontal="left"/>
      <protection hidden="1"/>
    </xf>
    <xf numFmtId="0" fontId="14" fillId="10" borderId="0" xfId="0" applyFont="1" applyFill="1" applyBorder="1" applyAlignment="1" applyProtection="1">
      <alignment horizontal="left"/>
      <protection hidden="1"/>
    </xf>
    <xf numFmtId="39" fontId="14" fillId="10" borderId="0" xfId="0" applyNumberFormat="1" applyFont="1" applyFill="1" applyBorder="1" applyAlignment="1" applyProtection="1">
      <protection hidden="1"/>
    </xf>
    <xf numFmtId="0" fontId="14" fillId="10" borderId="0" xfId="0" applyFont="1" applyFill="1" applyBorder="1" applyAlignment="1" applyProtection="1">
      <alignment vertical="top" wrapText="1"/>
      <protection hidden="1"/>
    </xf>
    <xf numFmtId="0" fontId="14" fillId="10" borderId="0" xfId="0" applyFont="1" applyFill="1" applyBorder="1" applyAlignment="1" applyProtection="1">
      <alignment wrapText="1"/>
      <protection hidden="1"/>
    </xf>
    <xf numFmtId="0" fontId="14" fillId="10" borderId="0" xfId="0" applyFont="1" applyFill="1" applyBorder="1" applyAlignment="1" applyProtection="1">
      <alignment horizontal="left" vertical="top" wrapText="1"/>
      <protection hidden="1"/>
    </xf>
    <xf numFmtId="14" fontId="6" fillId="10" borderId="0" xfId="0" applyNumberFormat="1" applyFont="1" applyFill="1" applyProtection="1">
      <protection hidden="1"/>
    </xf>
    <xf numFmtId="0" fontId="8" fillId="0" borderId="6" xfId="0" applyFont="1" applyFill="1" applyBorder="1" applyAlignment="1" applyProtection="1">
      <protection hidden="1"/>
    </xf>
    <xf numFmtId="39" fontId="8" fillId="0" borderId="11" xfId="0" applyNumberFormat="1" applyFont="1" applyFill="1" applyBorder="1" applyAlignment="1" applyProtection="1">
      <alignment horizontal="right" vertical="center"/>
      <protection hidden="1"/>
    </xf>
    <xf numFmtId="0" fontId="8" fillId="0" borderId="0" xfId="0" applyFont="1" applyFill="1" applyBorder="1" applyAlignment="1" applyProtection="1">
      <alignment horizontal="left"/>
      <protection hidden="1"/>
    </xf>
    <xf numFmtId="0" fontId="8" fillId="0" borderId="0" xfId="0" applyFont="1" applyBorder="1" applyProtection="1">
      <protection hidden="1"/>
    </xf>
    <xf numFmtId="39" fontId="8" fillId="0" borderId="0" xfId="0" applyNumberFormat="1" applyFont="1" applyFill="1" applyBorder="1" applyAlignment="1" applyProtection="1">
      <alignment horizontal="right" vertical="center"/>
      <protection hidden="1"/>
    </xf>
    <xf numFmtId="39" fontId="9" fillId="11" borderId="0" xfId="0" applyNumberFormat="1" applyFont="1" applyFill="1" applyBorder="1" applyAlignment="1" applyProtection="1">
      <alignment horizontal="right" vertical="center"/>
      <protection hidden="1"/>
    </xf>
    <xf numFmtId="0" fontId="9" fillId="0" borderId="0" xfId="0" applyFont="1" applyFill="1" applyBorder="1" applyAlignment="1" applyProtection="1">
      <alignment horizontal="left"/>
      <protection hidden="1"/>
    </xf>
    <xf numFmtId="39" fontId="9" fillId="0" borderId="0" xfId="0" applyNumberFormat="1" applyFont="1" applyFill="1" applyBorder="1" applyAlignment="1" applyProtection="1">
      <alignment horizontal="right" vertical="center"/>
      <protection hidden="1"/>
    </xf>
    <xf numFmtId="0" fontId="12" fillId="10" borderId="0" xfId="0" applyFont="1" applyFill="1" applyBorder="1" applyAlignment="1" applyProtection="1">
      <protection hidden="1"/>
    </xf>
    <xf numFmtId="0" fontId="9" fillId="10" borderId="0" xfId="0" applyFont="1" applyFill="1" applyBorder="1" applyAlignment="1" applyProtection="1">
      <alignment horizontal="center"/>
      <protection hidden="1"/>
    </xf>
    <xf numFmtId="0" fontId="4" fillId="10" borderId="0" xfId="0" applyFont="1" applyFill="1" applyBorder="1" applyAlignment="1" applyProtection="1">
      <alignment horizontal="center" vertical="center"/>
      <protection hidden="1"/>
    </xf>
    <xf numFmtId="0" fontId="4" fillId="10" borderId="0" xfId="0" applyFont="1" applyFill="1" applyBorder="1" applyProtection="1">
      <protection hidden="1"/>
    </xf>
    <xf numFmtId="0" fontId="0" fillId="10" borderId="0" xfId="0" applyFill="1" applyBorder="1" applyAlignment="1" applyProtection="1">
      <alignment horizontal="center" vertical="center"/>
      <protection hidden="1"/>
    </xf>
    <xf numFmtId="0" fontId="4" fillId="10" borderId="0" xfId="0" applyFont="1" applyFill="1" applyBorder="1" applyAlignment="1" applyProtection="1">
      <alignment horizontal="left"/>
      <protection hidden="1"/>
    </xf>
    <xf numFmtId="0" fontId="0" fillId="10" borderId="0" xfId="0" applyFill="1" applyBorder="1" applyAlignment="1" applyProtection="1">
      <alignment horizontal="right"/>
      <protection hidden="1"/>
    </xf>
    <xf numFmtId="0" fontId="15" fillId="10" borderId="0" xfId="0" applyFont="1" applyFill="1" applyBorder="1" applyAlignment="1" applyProtection="1">
      <alignment horizontal="right"/>
      <protection hidden="1"/>
    </xf>
    <xf numFmtId="39" fontId="15" fillId="10" borderId="0" xfId="0" applyNumberFormat="1" applyFont="1" applyFill="1" applyBorder="1" applyAlignment="1" applyProtection="1">
      <alignment horizontal="left" vertical="center"/>
      <protection hidden="1"/>
    </xf>
    <xf numFmtId="39" fontId="15" fillId="10" borderId="0" xfId="0" applyNumberFormat="1" applyFont="1" applyFill="1" applyBorder="1" applyAlignment="1" applyProtection="1">
      <alignment vertical="center"/>
      <protection hidden="1"/>
    </xf>
    <xf numFmtId="0" fontId="15" fillId="10" borderId="0" xfId="0" applyNumberFormat="1" applyFont="1" applyFill="1" applyBorder="1" applyAlignment="1" applyProtection="1">
      <alignment horizontal="center" vertical="center"/>
      <protection hidden="1"/>
    </xf>
    <xf numFmtId="0" fontId="5" fillId="10" borderId="0" xfId="0" applyFont="1" applyFill="1" applyBorder="1" applyAlignment="1" applyProtection="1">
      <alignment horizontal="left"/>
      <protection hidden="1"/>
    </xf>
    <xf numFmtId="0" fontId="5" fillId="10" borderId="0" xfId="0" applyFont="1" applyFill="1" applyBorder="1" applyAlignment="1" applyProtection="1">
      <protection hidden="1"/>
    </xf>
    <xf numFmtId="0" fontId="21" fillId="10" borderId="0" xfId="0" applyFont="1" applyFill="1" applyBorder="1" applyAlignment="1" applyProtection="1">
      <alignment horizontal="left" vertical="top" wrapText="1"/>
      <protection hidden="1"/>
    </xf>
    <xf numFmtId="0" fontId="21" fillId="10" borderId="0" xfId="0" applyFont="1" applyFill="1" applyBorder="1" applyAlignment="1" applyProtection="1">
      <alignment horizontal="left"/>
      <protection hidden="1"/>
    </xf>
    <xf numFmtId="0" fontId="15" fillId="10" borderId="0" xfId="0" applyFont="1" applyFill="1" applyBorder="1" applyAlignment="1" applyProtection="1">
      <alignment horizontal="left"/>
      <protection hidden="1"/>
    </xf>
    <xf numFmtId="0" fontId="0" fillId="10" borderId="0" xfId="0" applyFont="1" applyFill="1" applyBorder="1" applyAlignment="1" applyProtection="1">
      <alignment horizontal="left" wrapText="1"/>
      <protection hidden="1"/>
    </xf>
    <xf numFmtId="0" fontId="5" fillId="10" borderId="0" xfId="0" applyFont="1" applyFill="1" applyBorder="1" applyAlignment="1" applyProtection="1">
      <alignment vertical="top" wrapText="1"/>
      <protection hidden="1"/>
    </xf>
    <xf numFmtId="0" fontId="5" fillId="10" borderId="0" xfId="0" applyFont="1" applyFill="1" applyBorder="1" applyAlignment="1" applyProtection="1">
      <alignment horizontal="justify" vertical="justify" wrapText="1"/>
      <protection hidden="1"/>
    </xf>
    <xf numFmtId="39" fontId="0" fillId="10" borderId="0" xfId="0" applyNumberFormat="1" applyFill="1" applyBorder="1" applyAlignment="1" applyProtection="1">
      <alignment horizontal="right"/>
      <protection hidden="1"/>
    </xf>
    <xf numFmtId="39" fontId="4" fillId="10" borderId="0" xfId="0" applyNumberFormat="1" applyFont="1" applyFill="1" applyBorder="1" applyAlignment="1" applyProtection="1">
      <alignment horizontal="right"/>
      <protection hidden="1"/>
    </xf>
    <xf numFmtId="0" fontId="0" fillId="10" borderId="0" xfId="0" applyFill="1" applyBorder="1" applyAlignment="1" applyProtection="1">
      <alignment vertical="top" wrapText="1"/>
      <protection hidden="1"/>
    </xf>
    <xf numFmtId="39" fontId="0" fillId="10" borderId="0" xfId="0" applyNumberFormat="1" applyFill="1" applyBorder="1" applyAlignment="1" applyProtection="1">
      <alignment horizontal="right" vertical="center"/>
      <protection hidden="1"/>
    </xf>
    <xf numFmtId="39" fontId="10" fillId="10" borderId="0" xfId="0" applyNumberFormat="1" applyFont="1" applyFill="1" applyBorder="1" applyAlignment="1" applyProtection="1">
      <alignment horizontal="right"/>
      <protection hidden="1"/>
    </xf>
    <xf numFmtId="39" fontId="4" fillId="10" borderId="0" xfId="0" applyNumberFormat="1" applyFont="1" applyFill="1" applyBorder="1" applyAlignment="1" applyProtection="1">
      <alignment horizontal="right" vertical="center"/>
      <protection hidden="1"/>
    </xf>
    <xf numFmtId="166" fontId="4" fillId="10" borderId="0" xfId="0" applyNumberFormat="1" applyFont="1" applyFill="1" applyBorder="1" applyAlignment="1" applyProtection="1">
      <alignment horizontal="right" vertical="center"/>
      <protection hidden="1"/>
    </xf>
    <xf numFmtId="0" fontId="6" fillId="10" borderId="0" xfId="0" applyFont="1" applyFill="1" applyBorder="1" applyProtection="1">
      <protection hidden="1"/>
    </xf>
    <xf numFmtId="0" fontId="6" fillId="10" borderId="0" xfId="0" applyFont="1" applyFill="1" applyBorder="1" applyAlignment="1" applyProtection="1">
      <protection hidden="1"/>
    </xf>
    <xf numFmtId="39" fontId="6" fillId="10" borderId="0" xfId="0" applyNumberFormat="1" applyFont="1" applyFill="1" applyBorder="1" applyAlignment="1" applyProtection="1">
      <protection hidden="1"/>
    </xf>
    <xf numFmtId="0" fontId="0" fillId="13" borderId="0" xfId="0" applyFill="1" applyProtection="1">
      <protection hidden="1"/>
    </xf>
    <xf numFmtId="0" fontId="0" fillId="13" borderId="0" xfId="0" applyFill="1" applyBorder="1" applyProtection="1">
      <protection hidden="1"/>
    </xf>
    <xf numFmtId="0" fontId="0" fillId="14" borderId="5" xfId="0" applyFill="1" applyBorder="1" applyProtection="1">
      <protection hidden="1"/>
    </xf>
    <xf numFmtId="0" fontId="0" fillId="14" borderId="6" xfId="0" applyFill="1" applyBorder="1" applyProtection="1">
      <protection hidden="1"/>
    </xf>
    <xf numFmtId="0" fontId="0" fillId="14" borderId="2" xfId="0" applyFill="1" applyBorder="1" applyProtection="1">
      <protection hidden="1"/>
    </xf>
    <xf numFmtId="0" fontId="0" fillId="14" borderId="7" xfId="0" applyFill="1" applyBorder="1" applyProtection="1">
      <protection hidden="1"/>
    </xf>
    <xf numFmtId="0" fontId="0" fillId="14" borderId="8" xfId="0" applyFill="1" applyBorder="1" applyProtection="1">
      <protection hidden="1"/>
    </xf>
    <xf numFmtId="0" fontId="0" fillId="14" borderId="0" xfId="0" applyFill="1" applyBorder="1" applyProtection="1">
      <protection hidden="1"/>
    </xf>
    <xf numFmtId="0" fontId="12" fillId="14" borderId="0" xfId="0" applyFont="1" applyFill="1" applyBorder="1" applyAlignment="1" applyProtection="1">
      <alignment horizontal="center"/>
      <protection hidden="1"/>
    </xf>
    <xf numFmtId="0" fontId="12" fillId="14" borderId="3" xfId="0" applyFont="1" applyFill="1" applyBorder="1" applyAlignment="1" applyProtection="1">
      <protection hidden="1"/>
    </xf>
    <xf numFmtId="0" fontId="12" fillId="14" borderId="35" xfId="0" applyFont="1" applyFill="1" applyBorder="1" applyAlignment="1" applyProtection="1">
      <protection hidden="1"/>
    </xf>
    <xf numFmtId="0" fontId="0" fillId="14" borderId="3" xfId="0" applyFill="1" applyBorder="1" applyProtection="1">
      <protection hidden="1"/>
    </xf>
    <xf numFmtId="0" fontId="0" fillId="14" borderId="10" xfId="0" applyFill="1" applyBorder="1" applyProtection="1">
      <protection hidden="1"/>
    </xf>
    <xf numFmtId="0" fontId="0" fillId="14" borderId="9" xfId="0" applyFill="1" applyBorder="1" applyProtection="1">
      <protection hidden="1"/>
    </xf>
    <xf numFmtId="0" fontId="0" fillId="14" borderId="0" xfId="0" applyFill="1" applyBorder="1" applyAlignment="1" applyProtection="1">
      <alignment vertical="top" wrapText="1"/>
      <protection hidden="1"/>
    </xf>
    <xf numFmtId="0" fontId="12" fillId="13" borderId="0" xfId="0" applyFont="1" applyFill="1" applyBorder="1" applyAlignment="1" applyProtection="1">
      <alignment horizontal="center"/>
      <protection hidden="1"/>
    </xf>
    <xf numFmtId="0" fontId="0" fillId="10" borderId="0" xfId="0" applyFill="1" applyBorder="1" applyProtection="1">
      <protection hidden="1"/>
    </xf>
    <xf numFmtId="0" fontId="4" fillId="0" borderId="0" xfId="0" applyFont="1" applyFill="1" applyBorder="1" applyAlignment="1" applyProtection="1">
      <alignment horizontal="left"/>
      <protection hidden="1"/>
    </xf>
    <xf numFmtId="0" fontId="4" fillId="0" borderId="3" xfId="0" applyFont="1" applyFill="1" applyBorder="1" applyAlignment="1" applyProtection="1">
      <alignment horizontal="left"/>
      <protection hidden="1"/>
    </xf>
    <xf numFmtId="39" fontId="15" fillId="12" borderId="36" xfId="0" applyNumberFormat="1" applyFont="1" applyFill="1" applyBorder="1" applyAlignment="1" applyProtection="1">
      <alignment horizontal="left" vertical="center"/>
      <protection locked="0"/>
    </xf>
    <xf numFmtId="39" fontId="15" fillId="12" borderId="37" xfId="0" applyNumberFormat="1" applyFont="1" applyFill="1" applyBorder="1" applyAlignment="1" applyProtection="1">
      <alignment horizontal="left" vertical="center"/>
      <protection locked="0"/>
    </xf>
    <xf numFmtId="39" fontId="15" fillId="12" borderId="38" xfId="0" applyNumberFormat="1" applyFont="1" applyFill="1" applyBorder="1" applyAlignment="1" applyProtection="1">
      <alignment horizontal="left" vertical="center"/>
      <protection locked="0"/>
    </xf>
    <xf numFmtId="39" fontId="4" fillId="0" borderId="0" xfId="0" applyNumberFormat="1" applyFont="1" applyFill="1" applyBorder="1" applyAlignment="1" applyProtection="1">
      <alignment horizontal="left" vertical="center"/>
      <protection hidden="1"/>
    </xf>
    <xf numFmtId="0" fontId="4" fillId="12" borderId="39" xfId="0" applyFont="1" applyFill="1" applyBorder="1" applyAlignment="1" applyProtection="1">
      <alignment horizontal="center"/>
      <protection hidden="1"/>
    </xf>
    <xf numFmtId="0" fontId="4" fillId="12" borderId="11" xfId="0" applyFont="1" applyFill="1" applyBorder="1" applyAlignment="1" applyProtection="1">
      <alignment horizontal="center"/>
      <protection hidden="1"/>
    </xf>
    <xf numFmtId="0" fontId="4" fillId="12" borderId="40" xfId="0" applyFont="1" applyFill="1" applyBorder="1" applyAlignment="1" applyProtection="1">
      <alignment horizontal="center"/>
      <protection hidden="1"/>
    </xf>
    <xf numFmtId="0" fontId="20" fillId="0" borderId="0" xfId="0" applyFont="1" applyFill="1" applyBorder="1" applyAlignment="1" applyProtection="1">
      <alignment horizontal="left"/>
      <protection hidden="1"/>
    </xf>
    <xf numFmtId="0" fontId="5" fillId="0" borderId="0" xfId="0" applyFont="1" applyFill="1" applyBorder="1" applyAlignment="1" applyProtection="1">
      <alignment horizontal="left"/>
      <protection hidden="1"/>
    </xf>
    <xf numFmtId="0" fontId="17" fillId="0" borderId="23" xfId="0" applyFont="1" applyFill="1" applyBorder="1" applyAlignment="1" applyProtection="1">
      <alignment horizontal="center"/>
      <protection hidden="1"/>
    </xf>
    <xf numFmtId="0" fontId="17" fillId="0" borderId="24" xfId="0" applyFont="1" applyFill="1" applyBorder="1" applyAlignment="1" applyProtection="1">
      <alignment horizontal="center"/>
      <protection hidden="1"/>
    </xf>
    <xf numFmtId="0" fontId="17" fillId="0" borderId="25" xfId="0" applyFont="1" applyFill="1" applyBorder="1" applyAlignment="1" applyProtection="1">
      <alignment horizontal="center"/>
      <protection hidden="1"/>
    </xf>
    <xf numFmtId="0" fontId="0" fillId="0" borderId="28" xfId="0" applyFill="1" applyBorder="1" applyAlignment="1" applyProtection="1">
      <alignment horizontal="center"/>
      <protection hidden="1"/>
    </xf>
    <xf numFmtId="0" fontId="0" fillId="0" borderId="27" xfId="0" applyFill="1" applyBorder="1" applyAlignment="1" applyProtection="1">
      <alignment horizontal="center"/>
      <protection hidden="1"/>
    </xf>
    <xf numFmtId="0" fontId="0" fillId="0" borderId="29" xfId="0" applyFill="1" applyBorder="1" applyAlignment="1" applyProtection="1">
      <alignment horizontal="center"/>
      <protection hidden="1"/>
    </xf>
    <xf numFmtId="0" fontId="9" fillId="0" borderId="0" xfId="0" applyFont="1" applyFill="1" applyBorder="1" applyAlignment="1" applyProtection="1">
      <alignment horizontal="center"/>
      <protection hidden="1"/>
    </xf>
    <xf numFmtId="0" fontId="0" fillId="12" borderId="5" xfId="0" applyFill="1" applyBorder="1" applyAlignment="1" applyProtection="1">
      <alignment horizontal="center"/>
      <protection hidden="1"/>
    </xf>
    <xf numFmtId="0" fontId="0" fillId="12" borderId="6" xfId="0" applyFill="1" applyBorder="1" applyAlignment="1" applyProtection="1">
      <alignment horizontal="center"/>
      <protection hidden="1"/>
    </xf>
    <xf numFmtId="0" fontId="0" fillId="12" borderId="22" xfId="0" applyFill="1" applyBorder="1" applyAlignment="1" applyProtection="1">
      <alignment horizontal="center"/>
      <protection hidden="1"/>
    </xf>
    <xf numFmtId="0" fontId="19" fillId="0" borderId="0" xfId="0" applyFont="1" applyFill="1" applyBorder="1" applyAlignment="1" applyProtection="1">
      <alignment horizontal="justify" vertical="top" wrapText="1"/>
      <protection hidden="1"/>
    </xf>
    <xf numFmtId="0" fontId="15" fillId="12" borderId="11" xfId="0" applyFont="1" applyFill="1" applyBorder="1" applyAlignment="1" applyProtection="1">
      <alignment horizontal="center"/>
      <protection locked="0"/>
    </xf>
    <xf numFmtId="0" fontId="15" fillId="12" borderId="11" xfId="0" applyFont="1" applyFill="1" applyBorder="1" applyAlignment="1" applyProtection="1">
      <alignment horizontal="center" vertical="center"/>
      <protection locked="0"/>
    </xf>
    <xf numFmtId="39" fontId="15" fillId="12" borderId="36" xfId="0" applyNumberFormat="1" applyFont="1" applyFill="1" applyBorder="1" applyAlignment="1" applyProtection="1">
      <alignment horizontal="left"/>
      <protection locked="0"/>
    </xf>
    <xf numFmtId="39" fontId="15" fillId="12" borderId="37" xfId="0" applyNumberFormat="1" applyFont="1" applyFill="1" applyBorder="1" applyAlignment="1" applyProtection="1">
      <alignment horizontal="left"/>
      <protection locked="0"/>
    </xf>
    <xf numFmtId="39" fontId="15" fillId="12" borderId="38" xfId="0" applyNumberFormat="1" applyFont="1" applyFill="1" applyBorder="1" applyAlignment="1" applyProtection="1">
      <alignment horizontal="left"/>
      <protection locked="0"/>
    </xf>
    <xf numFmtId="0" fontId="21" fillId="0" borderId="0" xfId="0" applyFont="1" applyFill="1" applyBorder="1" applyAlignment="1" applyProtection="1">
      <alignment horizontal="left" vertical="justify" wrapText="1"/>
      <protection hidden="1"/>
    </xf>
    <xf numFmtId="0" fontId="21" fillId="0" borderId="0" xfId="0" applyFont="1" applyFill="1" applyBorder="1" applyAlignment="1" applyProtection="1">
      <alignment horizontal="left" vertical="top" wrapText="1"/>
      <protection hidden="1"/>
    </xf>
    <xf numFmtId="0" fontId="5" fillId="0" borderId="0" xfId="0" applyFont="1" applyFill="1" applyBorder="1" applyAlignment="1" applyProtection="1">
      <alignment horizontal="justify" vertical="top" wrapText="1"/>
      <protection hidden="1"/>
    </xf>
    <xf numFmtId="0" fontId="0" fillId="0" borderId="0" xfId="0" applyFill="1" applyBorder="1" applyAlignment="1" applyProtection="1">
      <alignment horizontal="center"/>
      <protection hidden="1"/>
    </xf>
    <xf numFmtId="0" fontId="15" fillId="12" borderId="36" xfId="0" applyFont="1" applyFill="1" applyBorder="1" applyAlignment="1" applyProtection="1">
      <alignment horizontal="center"/>
      <protection locked="0"/>
    </xf>
    <xf numFmtId="0" fontId="15" fillId="12" borderId="37" xfId="0" applyFont="1" applyFill="1" applyBorder="1" applyAlignment="1" applyProtection="1">
      <alignment horizontal="center"/>
      <protection locked="0"/>
    </xf>
    <xf numFmtId="0" fontId="15" fillId="12" borderId="38" xfId="0" applyFont="1" applyFill="1" applyBorder="1" applyAlignment="1" applyProtection="1">
      <alignment horizontal="center"/>
      <protection locked="0"/>
    </xf>
    <xf numFmtId="0" fontId="4" fillId="11" borderId="0" xfId="0" applyFont="1" applyFill="1" applyBorder="1" applyAlignment="1" applyProtection="1">
      <alignment horizontal="left"/>
      <protection hidden="1"/>
    </xf>
    <xf numFmtId="39" fontId="4" fillId="11" borderId="0" xfId="0" applyNumberFormat="1" applyFont="1" applyFill="1" applyBorder="1" applyAlignment="1" applyProtection="1">
      <alignment horizontal="right"/>
      <protection hidden="1"/>
    </xf>
    <xf numFmtId="0" fontId="3" fillId="8" borderId="0" xfId="0" applyFont="1" applyFill="1" applyBorder="1" applyAlignment="1" applyProtection="1">
      <alignment horizontal="left" wrapText="1"/>
      <protection hidden="1"/>
    </xf>
    <xf numFmtId="14" fontId="3" fillId="8" borderId="0" xfId="0" applyNumberFormat="1" applyFont="1" applyFill="1" applyBorder="1" applyAlignment="1" applyProtection="1">
      <alignment horizontal="right" vertical="center"/>
      <protection hidden="1"/>
    </xf>
    <xf numFmtId="0" fontId="3" fillId="8" borderId="0" xfId="0" applyFont="1" applyFill="1" applyBorder="1" applyAlignment="1" applyProtection="1">
      <alignment horizontal="right" vertical="center"/>
      <protection hidden="1"/>
    </xf>
    <xf numFmtId="0" fontId="0" fillId="0" borderId="6" xfId="0" applyFill="1" applyBorder="1" applyAlignment="1" applyProtection="1">
      <alignment horizontal="left"/>
      <protection hidden="1"/>
    </xf>
    <xf numFmtId="39" fontId="0" fillId="0" borderId="6" xfId="0" applyNumberFormat="1" applyFill="1" applyBorder="1" applyAlignment="1" applyProtection="1">
      <alignment horizontal="right"/>
      <protection hidden="1"/>
    </xf>
    <xf numFmtId="0" fontId="5" fillId="0" borderId="0" xfId="0" applyFont="1" applyFill="1" applyBorder="1" applyAlignment="1" applyProtection="1">
      <alignment horizontal="left" vertical="center" wrapText="1"/>
      <protection hidden="1"/>
    </xf>
    <xf numFmtId="0" fontId="0" fillId="0" borderId="11" xfId="0" applyFill="1" applyBorder="1" applyAlignment="1" applyProtection="1">
      <alignment horizontal="left"/>
      <protection hidden="1"/>
    </xf>
    <xf numFmtId="39" fontId="0" fillId="0" borderId="0" xfId="0" applyNumberFormat="1" applyFill="1" applyBorder="1" applyAlignment="1" applyProtection="1">
      <alignment horizontal="right"/>
      <protection hidden="1"/>
    </xf>
    <xf numFmtId="39" fontId="0" fillId="0" borderId="42" xfId="0" applyNumberFormat="1" applyFill="1" applyBorder="1" applyAlignment="1" applyProtection="1">
      <alignment horizontal="right"/>
      <protection hidden="1"/>
    </xf>
    <xf numFmtId="39" fontId="0" fillId="0" borderId="41" xfId="0" applyNumberFormat="1" applyFill="1" applyBorder="1" applyAlignment="1" applyProtection="1">
      <alignment horizontal="right"/>
      <protection hidden="1"/>
    </xf>
    <xf numFmtId="0" fontId="0" fillId="0" borderId="30" xfId="0" applyFill="1" applyBorder="1" applyAlignment="1" applyProtection="1">
      <alignment horizontal="center"/>
      <protection hidden="1"/>
    </xf>
    <xf numFmtId="0" fontId="0" fillId="0" borderId="31" xfId="0" applyFill="1" applyBorder="1" applyAlignment="1" applyProtection="1">
      <alignment horizontal="center"/>
      <protection hidden="1"/>
    </xf>
    <xf numFmtId="0" fontId="4" fillId="0" borderId="30" xfId="0" applyFont="1" applyFill="1" applyBorder="1" applyAlignment="1" applyProtection="1">
      <alignment horizontal="center"/>
      <protection hidden="1"/>
    </xf>
    <xf numFmtId="0" fontId="4" fillId="0" borderId="0" xfId="0" applyFont="1" applyFill="1" applyBorder="1" applyAlignment="1" applyProtection="1">
      <alignment horizontal="center"/>
      <protection hidden="1"/>
    </xf>
    <xf numFmtId="0" fontId="4" fillId="0" borderId="31" xfId="0" applyFont="1" applyFill="1" applyBorder="1" applyAlignment="1" applyProtection="1">
      <alignment horizontal="center"/>
      <protection hidden="1"/>
    </xf>
    <xf numFmtId="0" fontId="4" fillId="0" borderId="30" xfId="0" applyFont="1" applyFill="1" applyBorder="1" applyAlignment="1" applyProtection="1">
      <alignment horizontal="center" vertical="center"/>
      <protection hidden="1"/>
    </xf>
    <xf numFmtId="0" fontId="4" fillId="0" borderId="0" xfId="0" applyFont="1" applyFill="1" applyBorder="1" applyAlignment="1" applyProtection="1">
      <alignment horizontal="center" vertical="center"/>
      <protection hidden="1"/>
    </xf>
    <xf numFmtId="0" fontId="4" fillId="0" borderId="31" xfId="0" applyFont="1" applyFill="1" applyBorder="1" applyAlignment="1" applyProtection="1">
      <alignment horizontal="center" vertical="center"/>
      <protection hidden="1"/>
    </xf>
    <xf numFmtId="14" fontId="8" fillId="9" borderId="30" xfId="0" applyNumberFormat="1" applyFont="1" applyFill="1" applyBorder="1" applyAlignment="1" applyProtection="1">
      <alignment horizontal="center"/>
      <protection hidden="1"/>
    </xf>
    <xf numFmtId="14" fontId="8" fillId="9" borderId="0" xfId="0" applyNumberFormat="1" applyFont="1" applyFill="1" applyBorder="1" applyAlignment="1" applyProtection="1">
      <alignment horizontal="center"/>
      <protection hidden="1"/>
    </xf>
    <xf numFmtId="14" fontId="8" fillId="9" borderId="31" xfId="0" applyNumberFormat="1" applyFont="1" applyFill="1" applyBorder="1" applyAlignment="1" applyProtection="1">
      <alignment horizontal="center"/>
      <protection hidden="1"/>
    </xf>
    <xf numFmtId="39" fontId="8" fillId="9" borderId="26" xfId="0" applyNumberFormat="1" applyFont="1" applyFill="1" applyBorder="1" applyAlignment="1" applyProtection="1">
      <alignment horizontal="right" vertical="center"/>
      <protection locked="0"/>
    </xf>
    <xf numFmtId="39" fontId="8" fillId="9" borderId="30" xfId="0" applyNumberFormat="1" applyFont="1" applyFill="1" applyBorder="1" applyAlignment="1" applyProtection="1">
      <alignment horizontal="right"/>
      <protection hidden="1"/>
    </xf>
    <xf numFmtId="39" fontId="8" fillId="9" borderId="0" xfId="0" applyNumberFormat="1" applyFont="1" applyFill="1" applyBorder="1" applyAlignment="1" applyProtection="1">
      <alignment horizontal="right"/>
      <protection hidden="1"/>
    </xf>
    <xf numFmtId="39" fontId="8" fillId="9" borderId="31" xfId="0" applyNumberFormat="1" applyFont="1" applyFill="1" applyBorder="1" applyAlignment="1" applyProtection="1">
      <alignment horizontal="right"/>
      <protection hidden="1"/>
    </xf>
    <xf numFmtId="0" fontId="17" fillId="11" borderId="27" xfId="0" applyFont="1" applyFill="1" applyBorder="1" applyAlignment="1" applyProtection="1">
      <alignment horizontal="center" vertical="center"/>
      <protection hidden="1"/>
    </xf>
    <xf numFmtId="0" fontId="12" fillId="0" borderId="28" xfId="0" applyFont="1" applyBorder="1" applyProtection="1">
      <protection hidden="1"/>
    </xf>
    <xf numFmtId="0" fontId="12" fillId="0" borderId="29" xfId="0" applyFont="1" applyBorder="1" applyProtection="1">
      <protection hidden="1"/>
    </xf>
    <xf numFmtId="0" fontId="12" fillId="0" borderId="30" xfId="0" applyFont="1" applyBorder="1" applyProtection="1">
      <protection hidden="1"/>
    </xf>
    <xf numFmtId="0" fontId="12" fillId="0" borderId="0" xfId="0" applyFont="1" applyProtection="1">
      <protection hidden="1"/>
    </xf>
    <xf numFmtId="0" fontId="12" fillId="0" borderId="31" xfId="0" applyFont="1" applyBorder="1" applyProtection="1">
      <protection hidden="1"/>
    </xf>
    <xf numFmtId="0" fontId="12" fillId="0" borderId="32" xfId="0" applyFont="1" applyBorder="1" applyProtection="1">
      <protection hidden="1"/>
    </xf>
    <xf numFmtId="0" fontId="12" fillId="0" borderId="33" xfId="0" applyFont="1" applyBorder="1" applyProtection="1">
      <protection hidden="1"/>
    </xf>
    <xf numFmtId="0" fontId="12" fillId="0" borderId="34" xfId="0" applyFont="1" applyBorder="1" applyProtection="1">
      <protection hidden="1"/>
    </xf>
    <xf numFmtId="0" fontId="17" fillId="11" borderId="27" xfId="0" applyFont="1" applyFill="1" applyBorder="1" applyAlignment="1" applyProtection="1">
      <alignment horizontal="center" vertical="center" wrapText="1"/>
      <protection hidden="1"/>
    </xf>
    <xf numFmtId="0" fontId="12" fillId="0" borderId="28" xfId="0" applyFont="1" applyBorder="1" applyAlignment="1" applyProtection="1">
      <alignment wrapText="1"/>
      <protection hidden="1"/>
    </xf>
    <xf numFmtId="0" fontId="12" fillId="0" borderId="29" xfId="0" applyFont="1" applyBorder="1" applyAlignment="1" applyProtection="1">
      <alignment wrapText="1"/>
      <protection hidden="1"/>
    </xf>
    <xf numFmtId="0" fontId="12" fillId="0" borderId="30" xfId="0" applyFont="1" applyBorder="1" applyAlignment="1" applyProtection="1">
      <alignment wrapText="1"/>
      <protection hidden="1"/>
    </xf>
    <xf numFmtId="0" fontId="12" fillId="0" borderId="0" xfId="0" applyFont="1" applyAlignment="1" applyProtection="1">
      <alignment wrapText="1"/>
      <protection hidden="1"/>
    </xf>
    <xf numFmtId="0" fontId="12" fillId="0" borderId="31" xfId="0" applyFont="1" applyBorder="1" applyAlignment="1" applyProtection="1">
      <alignment wrapText="1"/>
      <protection hidden="1"/>
    </xf>
    <xf numFmtId="0" fontId="12" fillId="0" borderId="32" xfId="0" applyFont="1" applyBorder="1" applyAlignment="1" applyProtection="1">
      <alignment wrapText="1"/>
      <protection hidden="1"/>
    </xf>
    <xf numFmtId="0" fontId="12" fillId="0" borderId="33" xfId="0" applyFont="1" applyBorder="1" applyAlignment="1" applyProtection="1">
      <alignment wrapText="1"/>
      <protection hidden="1"/>
    </xf>
    <xf numFmtId="0" fontId="12" fillId="0" borderId="34" xfId="0" applyFont="1" applyBorder="1" applyAlignment="1" applyProtection="1">
      <alignment wrapText="1"/>
      <protection hidden="1"/>
    </xf>
    <xf numFmtId="14" fontId="8" fillId="0" borderId="30" xfId="0" applyNumberFormat="1" applyFont="1" applyFill="1" applyBorder="1" applyAlignment="1" applyProtection="1">
      <alignment horizontal="center"/>
      <protection hidden="1"/>
    </xf>
    <xf numFmtId="14" fontId="8" fillId="0" borderId="0" xfId="0" applyNumberFormat="1" applyFont="1" applyFill="1" applyBorder="1" applyAlignment="1" applyProtection="1">
      <alignment horizontal="center"/>
      <protection hidden="1"/>
    </xf>
    <xf numFmtId="14" fontId="8" fillId="0" borderId="31" xfId="0" applyNumberFormat="1" applyFont="1" applyFill="1" applyBorder="1" applyAlignment="1" applyProtection="1">
      <alignment horizontal="center"/>
      <protection hidden="1"/>
    </xf>
    <xf numFmtId="39" fontId="8" fillId="0" borderId="26" xfId="0" applyNumberFormat="1" applyFont="1" applyFill="1" applyBorder="1" applyAlignment="1" applyProtection="1">
      <alignment horizontal="right" vertical="center"/>
      <protection locked="0"/>
    </xf>
    <xf numFmtId="39" fontId="8" fillId="0" borderId="30" xfId="0" applyNumberFormat="1" applyFont="1" applyFill="1" applyBorder="1" applyAlignment="1" applyProtection="1">
      <alignment horizontal="right"/>
      <protection hidden="1"/>
    </xf>
    <xf numFmtId="39" fontId="8" fillId="0" borderId="0" xfId="0" applyNumberFormat="1" applyFont="1" applyFill="1" applyBorder="1" applyAlignment="1" applyProtection="1">
      <alignment horizontal="right"/>
      <protection hidden="1"/>
    </xf>
    <xf numFmtId="39" fontId="8" fillId="0" borderId="31" xfId="0" applyNumberFormat="1" applyFont="1" applyFill="1" applyBorder="1" applyAlignment="1" applyProtection="1">
      <alignment horizontal="right"/>
      <protection hidden="1"/>
    </xf>
    <xf numFmtId="0" fontId="0" fillId="0" borderId="0" xfId="0" applyFill="1" applyBorder="1" applyAlignment="1" applyProtection="1">
      <alignment horizontal="justify" vertical="top" wrapText="1"/>
      <protection hidden="1"/>
    </xf>
    <xf numFmtId="39" fontId="8" fillId="9" borderId="30" xfId="0" applyNumberFormat="1" applyFont="1" applyFill="1" applyBorder="1" applyAlignment="1" applyProtection="1">
      <alignment horizontal="right" vertical="center"/>
      <protection locked="0"/>
    </xf>
    <xf numFmtId="39" fontId="8" fillId="9" borderId="0" xfId="0" applyNumberFormat="1" applyFont="1" applyFill="1" applyBorder="1" applyAlignment="1" applyProtection="1">
      <alignment horizontal="right" vertical="center"/>
      <protection locked="0"/>
    </xf>
    <xf numFmtId="39" fontId="8" fillId="9" borderId="31" xfId="0" applyNumberFormat="1" applyFont="1" applyFill="1" applyBorder="1" applyAlignment="1" applyProtection="1">
      <alignment horizontal="right" vertical="center"/>
      <protection locked="0"/>
    </xf>
    <xf numFmtId="39" fontId="8" fillId="9" borderId="26" xfId="0" applyNumberFormat="1" applyFont="1" applyFill="1" applyBorder="1" applyAlignment="1" applyProtection="1">
      <alignment horizontal="center" vertical="center"/>
      <protection hidden="1"/>
    </xf>
    <xf numFmtId="39" fontId="8" fillId="9" borderId="30" xfId="0" applyNumberFormat="1" applyFont="1" applyFill="1" applyBorder="1" applyAlignment="1" applyProtection="1">
      <alignment horizontal="center"/>
      <protection hidden="1"/>
    </xf>
    <xf numFmtId="39" fontId="8" fillId="9" borderId="0" xfId="0" applyNumberFormat="1" applyFont="1" applyFill="1" applyBorder="1" applyAlignment="1" applyProtection="1">
      <alignment horizontal="center"/>
      <protection hidden="1"/>
    </xf>
    <xf numFmtId="39" fontId="8" fillId="9" borderId="31" xfId="0" applyNumberFormat="1" applyFont="1" applyFill="1" applyBorder="1" applyAlignment="1" applyProtection="1">
      <alignment horizontal="center"/>
      <protection hidden="1"/>
    </xf>
    <xf numFmtId="0" fontId="8" fillId="0" borderId="11" xfId="0" applyFont="1" applyFill="1" applyBorder="1" applyAlignment="1" applyProtection="1">
      <alignment horizontal="left"/>
      <protection hidden="1"/>
    </xf>
    <xf numFmtId="0" fontId="8" fillId="0" borderId="11" xfId="0" applyFont="1" applyBorder="1" applyProtection="1">
      <protection hidden="1"/>
    </xf>
    <xf numFmtId="0" fontId="9" fillId="11" borderId="0" xfId="0" applyFont="1" applyFill="1" applyBorder="1" applyAlignment="1" applyProtection="1">
      <alignment horizontal="left"/>
      <protection hidden="1"/>
    </xf>
    <xf numFmtId="0" fontId="24" fillId="8" borderId="0" xfId="0" applyFont="1" applyFill="1" applyBorder="1" applyAlignment="1" applyProtection="1">
      <alignment horizontal="left" vertical="center" wrapText="1"/>
      <protection hidden="1"/>
    </xf>
    <xf numFmtId="0" fontId="25" fillId="8" borderId="0" xfId="0" applyFont="1" applyFill="1" applyBorder="1" applyAlignment="1" applyProtection="1">
      <alignment vertical="center" wrapText="1"/>
      <protection hidden="1"/>
    </xf>
    <xf numFmtId="166" fontId="24" fillId="8" borderId="0" xfId="0" applyNumberFormat="1" applyFont="1" applyFill="1" applyBorder="1" applyAlignment="1" applyProtection="1">
      <alignment horizontal="right" vertical="center" wrapText="1"/>
      <protection hidden="1"/>
    </xf>
    <xf numFmtId="39" fontId="0" fillId="0" borderId="30" xfId="0" applyNumberFormat="1" applyFill="1" applyBorder="1" applyAlignment="1" applyProtection="1">
      <alignment horizontal="center"/>
      <protection hidden="1"/>
    </xf>
    <xf numFmtId="39" fontId="0" fillId="0" borderId="0" xfId="0" applyNumberFormat="1" applyFill="1" applyBorder="1" applyAlignment="1" applyProtection="1">
      <alignment horizontal="center"/>
      <protection hidden="1"/>
    </xf>
    <xf numFmtId="39" fontId="0" fillId="0" borderId="31" xfId="0" applyNumberFormat="1" applyFill="1" applyBorder="1" applyAlignment="1" applyProtection="1">
      <alignment horizontal="center"/>
      <protection hidden="1"/>
    </xf>
    <xf numFmtId="0" fontId="9" fillId="0" borderId="23" xfId="0" applyFont="1" applyFill="1" applyBorder="1" applyAlignment="1" applyProtection="1">
      <alignment horizontal="right"/>
      <protection hidden="1"/>
    </xf>
    <xf numFmtId="0" fontId="9" fillId="0" borderId="24" xfId="0" applyFont="1" applyFill="1" applyBorder="1" applyAlignment="1" applyProtection="1">
      <alignment horizontal="right"/>
      <protection hidden="1"/>
    </xf>
    <xf numFmtId="0" fontId="9" fillId="0" borderId="25" xfId="0" applyFont="1" applyFill="1" applyBorder="1" applyAlignment="1" applyProtection="1">
      <alignment horizontal="right"/>
      <protection hidden="1"/>
    </xf>
    <xf numFmtId="39" fontId="23" fillId="0" borderId="23" xfId="0" applyNumberFormat="1" applyFont="1" applyFill="1" applyBorder="1" applyAlignment="1" applyProtection="1">
      <alignment horizontal="right"/>
      <protection hidden="1"/>
    </xf>
    <xf numFmtId="39" fontId="23" fillId="0" borderId="25" xfId="0" applyNumberFormat="1" applyFont="1" applyFill="1" applyBorder="1" applyAlignment="1" applyProtection="1">
      <alignment horizontal="right"/>
      <protection hidden="1"/>
    </xf>
    <xf numFmtId="0" fontId="0" fillId="0" borderId="32" xfId="0" applyFill="1" applyBorder="1" applyAlignment="1" applyProtection="1">
      <alignment horizontal="center"/>
      <protection hidden="1"/>
    </xf>
    <xf numFmtId="0" fontId="0" fillId="0" borderId="33" xfId="0" applyFill="1" applyBorder="1" applyAlignment="1" applyProtection="1">
      <alignment horizontal="center"/>
      <protection hidden="1"/>
    </xf>
    <xf numFmtId="0" fontId="0" fillId="0" borderId="34" xfId="0" applyFill="1" applyBorder="1" applyAlignment="1" applyProtection="1">
      <alignment horizontal="center"/>
      <protection hidden="1"/>
    </xf>
    <xf numFmtId="39" fontId="8" fillId="0" borderId="6" xfId="0" applyNumberFormat="1" applyFont="1" applyFill="1" applyBorder="1" applyAlignment="1" applyProtection="1">
      <alignment horizontal="right" vertical="center"/>
      <protection hidden="1"/>
    </xf>
    <xf numFmtId="0" fontId="26" fillId="0" borderId="0" xfId="0" applyFont="1" applyFill="1" applyBorder="1" applyAlignment="1" applyProtection="1">
      <alignment horizontal="justify" vertical="top" wrapText="1"/>
      <protection hidden="1"/>
    </xf>
    <xf numFmtId="0" fontId="0" fillId="14" borderId="9" xfId="0" applyFill="1" applyBorder="1" applyAlignment="1" applyProtection="1">
      <alignment horizontal="center"/>
      <protection hidden="1"/>
    </xf>
    <xf numFmtId="0" fontId="14" fillId="10" borderId="0" xfId="0" applyFont="1" applyFill="1" applyBorder="1" applyAlignment="1" applyProtection="1">
      <alignment horizontal="left" vertical="top" wrapText="1"/>
      <protection hidden="1"/>
    </xf>
    <xf numFmtId="0" fontId="17" fillId="10" borderId="0" xfId="0" applyFont="1" applyFill="1" applyBorder="1" applyAlignment="1" applyProtection="1">
      <alignment horizontal="center"/>
      <protection hidden="1"/>
    </xf>
    <xf numFmtId="0" fontId="6" fillId="10" borderId="0" xfId="0" applyFont="1" applyFill="1" applyAlignment="1" applyProtection="1">
      <alignment horizontal="left"/>
      <protection hidden="1"/>
    </xf>
    <xf numFmtId="0" fontId="18" fillId="10" borderId="0" xfId="0" applyFont="1" applyFill="1" applyBorder="1" applyAlignment="1" applyProtection="1">
      <alignment horizontal="right" vertical="center"/>
      <protection hidden="1"/>
    </xf>
    <xf numFmtId="0" fontId="18" fillId="10" borderId="0" xfId="0" applyFont="1" applyFill="1" applyBorder="1" applyAlignment="1" applyProtection="1">
      <alignment horizontal="right" vertical="top"/>
      <protection hidden="1"/>
    </xf>
    <xf numFmtId="0" fontId="9" fillId="10" borderId="0" xfId="0" applyFont="1" applyFill="1" applyBorder="1" applyAlignment="1" applyProtection="1">
      <alignment horizontal="center"/>
      <protection hidden="1"/>
    </xf>
    <xf numFmtId="39" fontId="4" fillId="10" borderId="0" xfId="0" applyNumberFormat="1" applyFont="1" applyFill="1" applyBorder="1" applyAlignment="1" applyProtection="1">
      <alignment horizontal="left" vertical="center"/>
      <protection hidden="1"/>
    </xf>
    <xf numFmtId="0" fontId="4" fillId="10" borderId="0" xfId="0" applyFont="1" applyFill="1" applyBorder="1" applyAlignment="1" applyProtection="1">
      <alignment horizontal="center"/>
      <protection hidden="1"/>
    </xf>
    <xf numFmtId="0" fontId="20" fillId="10" borderId="0" xfId="0" applyFont="1" applyFill="1" applyBorder="1" applyAlignment="1" applyProtection="1">
      <alignment horizontal="left"/>
      <protection hidden="1"/>
    </xf>
    <xf numFmtId="0" fontId="4" fillId="10" borderId="0" xfId="0" applyFont="1" applyFill="1" applyBorder="1" applyAlignment="1" applyProtection="1">
      <alignment horizontal="left"/>
      <protection hidden="1"/>
    </xf>
    <xf numFmtId="0" fontId="5" fillId="10" borderId="0" xfId="0" applyFont="1" applyFill="1" applyBorder="1" applyAlignment="1" applyProtection="1">
      <alignment horizontal="left"/>
      <protection hidden="1"/>
    </xf>
    <xf numFmtId="0" fontId="21" fillId="10" borderId="0" xfId="0" applyFont="1" applyFill="1" applyBorder="1" applyAlignment="1" applyProtection="1">
      <alignment horizontal="left" vertical="top" wrapText="1"/>
      <protection hidden="1"/>
    </xf>
    <xf numFmtId="0" fontId="14" fillId="10" borderId="0" xfId="0" applyFont="1" applyFill="1" applyAlignment="1" applyProtection="1">
      <alignment horizontal="center"/>
      <protection hidden="1"/>
    </xf>
    <xf numFmtId="0" fontId="0" fillId="10" borderId="0" xfId="0" applyFill="1" applyBorder="1" applyAlignment="1" applyProtection="1">
      <alignment horizontal="center"/>
      <protection hidden="1"/>
    </xf>
    <xf numFmtId="0" fontId="19" fillId="10" borderId="0" xfId="0" applyFont="1" applyFill="1" applyBorder="1" applyAlignment="1" applyProtection="1">
      <alignment horizontal="justify" vertical="top" wrapText="1"/>
      <protection hidden="1"/>
    </xf>
    <xf numFmtId="0" fontId="15" fillId="10" borderId="0" xfId="0" applyFont="1" applyFill="1" applyBorder="1" applyAlignment="1" applyProtection="1">
      <alignment horizontal="center"/>
      <protection hidden="1"/>
    </xf>
    <xf numFmtId="0" fontId="15" fillId="10" borderId="0" xfId="0" applyFont="1" applyFill="1" applyBorder="1" applyAlignment="1" applyProtection="1">
      <alignment horizontal="center" vertical="center"/>
      <protection hidden="1"/>
    </xf>
    <xf numFmtId="39" fontId="15" fillId="10" borderId="0" xfId="0" applyNumberFormat="1" applyFont="1" applyFill="1" applyBorder="1" applyAlignment="1" applyProtection="1">
      <alignment horizontal="left" vertical="center"/>
      <protection hidden="1"/>
    </xf>
    <xf numFmtId="0" fontId="21" fillId="10" borderId="0" xfId="0" applyFont="1" applyFill="1" applyBorder="1" applyAlignment="1" applyProtection="1">
      <alignment horizontal="left" vertical="justify" wrapText="1"/>
      <protection hidden="1"/>
    </xf>
    <xf numFmtId="0" fontId="5" fillId="10" borderId="0" xfId="0" applyFont="1" applyFill="1" applyBorder="1" applyAlignment="1" applyProtection="1">
      <alignment horizontal="justify" vertical="top" wrapText="1"/>
      <protection hidden="1"/>
    </xf>
    <xf numFmtId="0" fontId="0" fillId="10" borderId="0" xfId="0" applyFill="1" applyBorder="1" applyAlignment="1" applyProtection="1">
      <alignment horizontal="left"/>
      <protection hidden="1"/>
    </xf>
    <xf numFmtId="39" fontId="0" fillId="10" borderId="0" xfId="0" applyNumberFormat="1" applyFill="1" applyBorder="1" applyAlignment="1" applyProtection="1">
      <alignment horizontal="right"/>
      <protection hidden="1"/>
    </xf>
    <xf numFmtId="39" fontId="15" fillId="10" borderId="0" xfId="0" applyNumberFormat="1" applyFont="1" applyFill="1" applyBorder="1" applyAlignment="1" applyProtection="1">
      <alignment horizontal="left"/>
      <protection hidden="1"/>
    </xf>
    <xf numFmtId="0" fontId="4" fillId="10" borderId="0" xfId="0" applyFont="1" applyFill="1" applyBorder="1" applyAlignment="1" applyProtection="1">
      <alignment horizontal="center" vertical="center"/>
      <protection hidden="1"/>
    </xf>
    <xf numFmtId="0" fontId="5" fillId="10" borderId="0" xfId="0" applyFont="1" applyFill="1" applyBorder="1" applyAlignment="1" applyProtection="1">
      <alignment horizontal="left" vertical="top" wrapText="1"/>
      <protection hidden="1"/>
    </xf>
    <xf numFmtId="0" fontId="9" fillId="10" borderId="0" xfId="0" applyFont="1" applyFill="1" applyBorder="1" applyAlignment="1" applyProtection="1">
      <alignment horizontal="center" vertical="center"/>
      <protection hidden="1"/>
    </xf>
    <xf numFmtId="0" fontId="0" fillId="10" borderId="0" xfId="0" applyFill="1" applyBorder="1" applyProtection="1">
      <protection hidden="1"/>
    </xf>
    <xf numFmtId="39" fontId="4" fillId="10" borderId="0" xfId="0" applyNumberFormat="1" applyFont="1" applyFill="1" applyBorder="1" applyAlignment="1" applyProtection="1">
      <alignment horizontal="right"/>
      <protection hidden="1"/>
    </xf>
    <xf numFmtId="14" fontId="0" fillId="10" borderId="0" xfId="0" applyNumberFormat="1" applyFill="1" applyBorder="1" applyAlignment="1" applyProtection="1">
      <alignment horizontal="center"/>
      <protection hidden="1"/>
    </xf>
    <xf numFmtId="39" fontId="0" fillId="10" borderId="0" xfId="0" applyNumberFormat="1" applyFill="1" applyBorder="1" applyAlignment="1" applyProtection="1">
      <alignment horizontal="right" vertical="center"/>
      <protection hidden="1"/>
    </xf>
    <xf numFmtId="39" fontId="0" fillId="10" borderId="0" xfId="0" applyNumberFormat="1" applyFill="1" applyBorder="1" applyAlignment="1" applyProtection="1">
      <alignment horizontal="center"/>
      <protection hidden="1"/>
    </xf>
    <xf numFmtId="0" fontId="3" fillId="10" borderId="0" xfId="0" applyFont="1" applyFill="1" applyBorder="1" applyAlignment="1" applyProtection="1">
      <alignment horizontal="left" wrapText="1"/>
      <protection hidden="1"/>
    </xf>
    <xf numFmtId="0" fontId="0" fillId="10" borderId="0" xfId="0" applyFill="1" applyBorder="1" applyAlignment="1" applyProtection="1">
      <alignment horizontal="justify" vertical="top" wrapText="1"/>
      <protection hidden="1"/>
    </xf>
    <xf numFmtId="14" fontId="3" fillId="10" borderId="0" xfId="0" applyNumberFormat="1" applyFont="1" applyFill="1" applyBorder="1" applyAlignment="1" applyProtection="1">
      <alignment horizontal="right" vertical="center"/>
      <protection hidden="1"/>
    </xf>
    <xf numFmtId="0" fontId="3" fillId="10" borderId="0" xfId="0" applyFont="1" applyFill="1" applyBorder="1" applyAlignment="1" applyProtection="1">
      <alignment horizontal="right" vertical="center"/>
      <protection hidden="1"/>
    </xf>
    <xf numFmtId="39" fontId="0" fillId="10" borderId="0" xfId="0" applyNumberFormat="1" applyFill="1" applyBorder="1" applyAlignment="1" applyProtection="1">
      <alignment horizontal="center" vertical="center"/>
      <protection hidden="1"/>
    </xf>
    <xf numFmtId="0" fontId="18" fillId="10" borderId="0" xfId="0" applyFont="1" applyFill="1" applyBorder="1" applyAlignment="1" applyProtection="1">
      <alignment horizontal="right"/>
      <protection hidden="1"/>
    </xf>
    <xf numFmtId="0" fontId="4" fillId="10" borderId="0" xfId="0" applyFont="1" applyFill="1" applyBorder="1" applyAlignment="1" applyProtection="1">
      <alignment horizontal="right"/>
      <protection hidden="1"/>
    </xf>
    <xf numFmtId="39" fontId="10" fillId="10" borderId="0" xfId="0" applyNumberFormat="1" applyFont="1" applyFill="1" applyBorder="1" applyAlignment="1" applyProtection="1">
      <alignment horizontal="right"/>
      <protection hidden="1"/>
    </xf>
    <xf numFmtId="0" fontId="11" fillId="10" borderId="0" xfId="0" applyFont="1" applyFill="1" applyBorder="1" applyAlignment="1" applyProtection="1">
      <alignment horizontal="justify" vertical="top" wrapText="1"/>
      <protection hidden="1"/>
    </xf>
    <xf numFmtId="0" fontId="6" fillId="10" borderId="0" xfId="0" applyFont="1" applyFill="1" applyBorder="1" applyAlignment="1" applyProtection="1">
      <alignment horizontal="center"/>
      <protection hidden="1"/>
    </xf>
    <xf numFmtId="0" fontId="3" fillId="10" borderId="0" xfId="0" applyFont="1" applyFill="1" applyBorder="1" applyAlignment="1" applyProtection="1">
      <alignment horizontal="left" vertical="center" wrapText="1"/>
      <protection hidden="1"/>
    </xf>
    <xf numFmtId="0" fontId="2" fillId="10" borderId="0" xfId="0" applyFont="1" applyFill="1" applyBorder="1" applyAlignment="1" applyProtection="1">
      <alignment vertical="center" wrapText="1"/>
      <protection hidden="1"/>
    </xf>
    <xf numFmtId="166" fontId="3" fillId="10" borderId="0" xfId="0" applyNumberFormat="1" applyFont="1" applyFill="1" applyBorder="1" applyAlignment="1" applyProtection="1">
      <alignment horizontal="right" vertical="center" wrapText="1"/>
      <protection hidden="1"/>
    </xf>
    <xf numFmtId="0" fontId="0" fillId="0" borderId="41" xfId="0" applyFill="1" applyBorder="1" applyAlignment="1" applyProtection="1">
      <alignment horizontal="center"/>
      <protection hidden="1"/>
    </xf>
    <xf numFmtId="0" fontId="9" fillId="0" borderId="23" xfId="0" applyFont="1" applyFill="1" applyBorder="1" applyAlignment="1" applyProtection="1">
      <alignment horizontal="center"/>
      <protection hidden="1"/>
    </xf>
    <xf numFmtId="0" fontId="9" fillId="0" borderId="24" xfId="0" applyFont="1" applyFill="1" applyBorder="1" applyAlignment="1" applyProtection="1">
      <alignment horizontal="center"/>
      <protection hidden="1"/>
    </xf>
    <xf numFmtId="0" fontId="9" fillId="0" borderId="25" xfId="0" applyFont="1" applyFill="1" applyBorder="1" applyAlignment="1" applyProtection="1">
      <alignment horizontal="center"/>
      <protection hidden="1"/>
    </xf>
    <xf numFmtId="164" fontId="4" fillId="12" borderId="36" xfId="0" applyNumberFormat="1" applyFont="1" applyFill="1" applyBorder="1" applyAlignment="1" applyProtection="1">
      <alignment horizontal="left"/>
      <protection locked="0"/>
    </xf>
    <xf numFmtId="164" fontId="4" fillId="12" borderId="37" xfId="0" applyNumberFormat="1" applyFont="1" applyFill="1" applyBorder="1" applyAlignment="1" applyProtection="1">
      <alignment horizontal="left"/>
      <protection locked="0"/>
    </xf>
    <xf numFmtId="164" fontId="4" fillId="12" borderId="38" xfId="0" applyNumberFormat="1" applyFont="1" applyFill="1" applyBorder="1" applyAlignment="1" applyProtection="1">
      <alignment horizontal="left"/>
      <protection locked="0"/>
    </xf>
    <xf numFmtId="1" fontId="4" fillId="12" borderId="36" xfId="0" applyNumberFormat="1" applyFont="1" applyFill="1" applyBorder="1" applyAlignment="1" applyProtection="1">
      <alignment horizontal="center"/>
      <protection locked="0"/>
    </xf>
    <xf numFmtId="1" fontId="4" fillId="12" borderId="38" xfId="0" applyNumberFormat="1" applyFont="1" applyFill="1" applyBorder="1" applyAlignment="1" applyProtection="1">
      <alignment horizontal="center"/>
      <protection locked="0"/>
    </xf>
    <xf numFmtId="164" fontId="0" fillId="0" borderId="6" xfId="0" applyNumberFormat="1" applyFill="1" applyBorder="1" applyAlignment="1" applyProtection="1">
      <alignment horizontal="right"/>
      <protection hidden="1"/>
    </xf>
    <xf numFmtId="167" fontId="0" fillId="0" borderId="11" xfId="1" applyNumberFormat="1" applyFont="1" applyFill="1" applyBorder="1" applyAlignment="1" applyProtection="1">
      <alignment horizontal="right"/>
      <protection hidden="1"/>
    </xf>
    <xf numFmtId="164" fontId="4" fillId="11" borderId="0" xfId="0" applyNumberFormat="1" applyFont="1" applyFill="1" applyBorder="1" applyAlignment="1" applyProtection="1">
      <alignment horizontal="right"/>
      <protection hidden="1"/>
    </xf>
    <xf numFmtId="0" fontId="22" fillId="8" borderId="0" xfId="0" applyFont="1" applyFill="1" applyBorder="1" applyAlignment="1" applyProtection="1">
      <alignment horizontal="center" vertical="justify" wrapText="1"/>
      <protection hidden="1"/>
    </xf>
    <xf numFmtId="14" fontId="3" fillId="8" borderId="0" xfId="0" applyNumberFormat="1" applyFont="1" applyFill="1" applyBorder="1" applyAlignment="1" applyProtection="1">
      <alignment horizontal="right" vertical="center" wrapText="1"/>
      <protection hidden="1"/>
    </xf>
    <xf numFmtId="0" fontId="3" fillId="8" borderId="0" xfId="0" applyFont="1" applyFill="1" applyBorder="1" applyAlignment="1" applyProtection="1">
      <alignment horizontal="right" vertical="center" wrapText="1"/>
      <protection hidden="1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0" fillId="10" borderId="0" xfId="0" applyFont="1" applyFill="1" applyProtection="1">
      <protection hidden="1"/>
    </xf>
    <xf numFmtId="14" fontId="0" fillId="10" borderId="0" xfId="0" applyNumberFormat="1" applyFont="1" applyFill="1" applyProtection="1">
      <protection hidden="1"/>
    </xf>
  </cellXfs>
  <cellStyles count="3">
    <cellStyle name="Moeda 2" xfId="2"/>
    <cellStyle name="Normal" xfId="0" builtinId="0"/>
    <cellStyle name="Porcentagem" xfId="1" builtinId="5"/>
  </cellStyles>
  <dxfs count="9"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996633"/>
      <color rgb="FFCE7A78"/>
      <color rgb="FFC09200"/>
      <color rgb="FFFFE07D"/>
      <color rgb="FFE2AC00"/>
      <color rgb="FFD09E00"/>
      <color rgb="FFCD7775"/>
      <color rgb="FFCC7472"/>
      <color rgb="FFFA4F32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Style="combo" dx="16" fmlaLink="$BL$32" fmlaRange="$BL$35:$BL$37" sel="1" val="0"/>
</file>

<file path=xl/ctrlProps/ctrlProp2.xml><?xml version="1.0" encoding="utf-8"?>
<formControlPr xmlns="http://schemas.microsoft.com/office/spreadsheetml/2009/9/main" objectType="Drop" dropStyle="combo" dx="16" fmlaLink="$BL$14" fmlaRange="$BL$15:$BL$17" sel="1" val="0"/>
</file>

<file path=xl/ctrlProps/ctrlProp3.xml><?xml version="1.0" encoding="utf-8"?>
<formControlPr xmlns="http://schemas.microsoft.com/office/spreadsheetml/2009/9/main" objectType="Drop" dropStyle="combo" dx="16" fmlaLink="$BL$54" fmlaRange="$BL$44:$BL$46" sel="1" val="0"/>
</file>

<file path=xl/ctrlProps/ctrlProp4.xml><?xml version="1.0" encoding="utf-8"?>
<formControlPr xmlns="http://schemas.microsoft.com/office/spreadsheetml/2009/9/main" objectType="Drop" dropStyle="combo" dx="16" fmlaLink="$BL$59" fmlaRange="$BL$48:$BL$50" sel="1" val="0"/>
</file>

<file path=xl/ctrlProps/ctrlProp5.xml><?xml version="1.0" encoding="utf-8"?>
<formControlPr xmlns="http://schemas.microsoft.com/office/spreadsheetml/2009/9/main" objectType="Drop" dropStyle="combo" dx="16" fmlaLink="$BL$80" fmlaRange="$BL$77:$BL$79" sel="1" val="0"/>
</file>

<file path=xl/ctrlProps/ctrlProp6.xml><?xml version="1.0" encoding="utf-8"?>
<formControlPr xmlns="http://schemas.microsoft.com/office/spreadsheetml/2009/9/main" objectType="Drop" dropStyle="combo" dx="16" fmlaLink="$BL$19" fmlaRange="$BL$21:$BL$23" sel="1" val="0"/>
</file>

<file path=xl/ctrlProps/ctrlProp7.xml><?xml version="1.0" encoding="utf-8"?>
<formControlPr xmlns="http://schemas.microsoft.com/office/spreadsheetml/2009/9/main" objectType="Drop" dropStyle="combo" dx="16" fmlaLink="$CG$72" fmlaRange="$CG$73:$CG$75" sel="1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12</xdr:row>
          <xdr:rowOff>0</xdr:rowOff>
        </xdr:from>
        <xdr:to>
          <xdr:col>17</xdr:col>
          <xdr:colOff>182880</xdr:colOff>
          <xdr:row>13</xdr:row>
          <xdr:rowOff>7620</xdr:rowOff>
        </xdr:to>
        <xdr:sp macro="" textlink="">
          <xdr:nvSpPr>
            <xdr:cNvPr id="3073" name="Drop-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15240</xdr:colOff>
          <xdr:row>15</xdr:row>
          <xdr:rowOff>0</xdr:rowOff>
        </xdr:from>
        <xdr:to>
          <xdr:col>22</xdr:col>
          <xdr:colOff>472440</xdr:colOff>
          <xdr:row>16</xdr:row>
          <xdr:rowOff>38100</xdr:rowOff>
        </xdr:to>
        <xdr:sp macro="" textlink="">
          <xdr:nvSpPr>
            <xdr:cNvPr id="3074" name="Drop-down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0</xdr:colOff>
          <xdr:row>17</xdr:row>
          <xdr:rowOff>7620</xdr:rowOff>
        </xdr:from>
        <xdr:to>
          <xdr:col>33</xdr:col>
          <xdr:colOff>411480</xdr:colOff>
          <xdr:row>18</xdr:row>
          <xdr:rowOff>15240</xdr:rowOff>
        </xdr:to>
        <xdr:sp macro="" textlink="">
          <xdr:nvSpPr>
            <xdr:cNvPr id="3075" name="Drop-dow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236220</xdr:colOff>
          <xdr:row>19</xdr:row>
          <xdr:rowOff>190500</xdr:rowOff>
        </xdr:from>
        <xdr:to>
          <xdr:col>43</xdr:col>
          <xdr:colOff>7620</xdr:colOff>
          <xdr:row>21</xdr:row>
          <xdr:rowOff>45720</xdr:rowOff>
        </xdr:to>
        <xdr:sp macro="" textlink="">
          <xdr:nvSpPr>
            <xdr:cNvPr id="3076" name="Drop-down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41</xdr:col>
          <xdr:colOff>121920</xdr:colOff>
          <xdr:row>12</xdr:row>
          <xdr:rowOff>0</xdr:rowOff>
        </xdr:from>
        <xdr:to>
          <xdr:col>41</xdr:col>
          <xdr:colOff>678180</xdr:colOff>
          <xdr:row>13</xdr:row>
          <xdr:rowOff>38100</xdr:rowOff>
        </xdr:to>
        <xdr:sp macro="" textlink="">
          <xdr:nvSpPr>
            <xdr:cNvPr id="3077" name="Drop-down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419100</xdr:colOff>
          <xdr:row>21</xdr:row>
          <xdr:rowOff>15240</xdr:rowOff>
        </xdr:from>
        <xdr:to>
          <xdr:col>23</xdr:col>
          <xdr:colOff>198120</xdr:colOff>
          <xdr:row>22</xdr:row>
          <xdr:rowOff>22860</xdr:rowOff>
        </xdr:to>
        <xdr:sp macro="" textlink="">
          <xdr:nvSpPr>
            <xdr:cNvPr id="3078" name="Drop-down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403860</xdr:colOff>
          <xdr:row>10</xdr:row>
          <xdr:rowOff>0</xdr:rowOff>
        </xdr:from>
        <xdr:to>
          <xdr:col>17</xdr:col>
          <xdr:colOff>411480</xdr:colOff>
          <xdr:row>11</xdr:row>
          <xdr:rowOff>7620</xdr:rowOff>
        </xdr:to>
        <xdr:sp macro="" textlink="">
          <xdr:nvSpPr>
            <xdr:cNvPr id="4097" name="Drop-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BTX576"/>
  <sheetViews>
    <sheetView showGridLines="0" showRowColHeaders="0" tabSelected="1" zoomScale="90" zoomScaleNormal="90" zoomScaleSheetLayoutView="40" workbookViewId="0">
      <selection activeCell="L10" sqref="L10:M10"/>
    </sheetView>
  </sheetViews>
  <sheetFormatPr defaultColWidth="0" defaultRowHeight="14.4" zeroHeight="1" x14ac:dyDescent="0.3"/>
  <cols>
    <col min="1" max="1" width="2.44140625" style="64" customWidth="1"/>
    <col min="2" max="3" width="2.5546875" style="64" customWidth="1"/>
    <col min="4" max="4" width="1" style="64" customWidth="1"/>
    <col min="5" max="5" width="4.44140625" style="64" customWidth="1"/>
    <col min="6" max="6" width="1.44140625" style="64" customWidth="1"/>
    <col min="7" max="7" width="4.5546875" style="64" customWidth="1"/>
    <col min="8" max="8" width="4.44140625" style="64" customWidth="1"/>
    <col min="9" max="9" width="3.5546875" style="64" customWidth="1"/>
    <col min="10" max="11" width="0.5546875" style="64" customWidth="1"/>
    <col min="12" max="12" width="4.33203125" style="64" customWidth="1"/>
    <col min="13" max="13" width="0.33203125" style="64" customWidth="1"/>
    <col min="14" max="14" width="1.6640625" style="68" customWidth="1"/>
    <col min="15" max="15" width="1" style="68" customWidth="1"/>
    <col min="16" max="16" width="4.6640625" style="64" customWidth="1"/>
    <col min="17" max="17" width="0.5546875" style="64" customWidth="1"/>
    <col min="18" max="18" width="12.77734375" style="64" customWidth="1"/>
    <col min="19" max="19" width="6" style="64" customWidth="1"/>
    <col min="20" max="20" width="22.21875" style="64" customWidth="1"/>
    <col min="21" max="21" width="1" style="64" customWidth="1"/>
    <col min="22" max="22" width="1.6640625" style="64" customWidth="1"/>
    <col min="23" max="23" width="11.6640625" style="64" customWidth="1"/>
    <col min="24" max="24" width="12.77734375" style="64" customWidth="1"/>
    <col min="25" max="25" width="1.109375" style="64" customWidth="1"/>
    <col min="26" max="26" width="2.5546875" style="64" customWidth="1"/>
    <col min="27" max="28" width="0.88671875" style="64" customWidth="1"/>
    <col min="29" max="29" width="2.5546875" style="64" customWidth="1"/>
    <col min="30" max="30" width="19.109375" style="64" customWidth="1"/>
    <col min="31" max="31" width="0.6640625" style="64" customWidth="1"/>
    <col min="32" max="32" width="8" style="64" customWidth="1"/>
    <col min="33" max="33" width="1" style="64" customWidth="1"/>
    <col min="34" max="34" width="8" style="64" customWidth="1"/>
    <col min="35" max="35" width="2.88671875" style="64" customWidth="1"/>
    <col min="36" max="36" width="4.5546875" style="64" customWidth="1"/>
    <col min="37" max="37" width="2.44140625" style="64" customWidth="1"/>
    <col min="38" max="38" width="17.6640625" style="64" customWidth="1"/>
    <col min="39" max="39" width="0.5546875" style="64" customWidth="1"/>
    <col min="40" max="40" width="5.109375" style="64" customWidth="1"/>
    <col min="41" max="41" width="1" style="64" customWidth="1"/>
    <col min="42" max="42" width="10.88671875" style="64" customWidth="1"/>
    <col min="43" max="43" width="0.5546875" style="64" customWidth="1"/>
    <col min="44" max="44" width="4.33203125" style="64" customWidth="1"/>
    <col min="45" max="45" width="1.6640625" style="64" customWidth="1"/>
    <col min="46" max="46" width="4.33203125" style="64" customWidth="1"/>
    <col min="47" max="47" width="1.6640625" style="64" customWidth="1"/>
    <col min="48" max="48" width="5.6640625" style="64" customWidth="1"/>
    <col min="49" max="49" width="0.5546875" style="64" customWidth="1"/>
    <col min="50" max="51" width="2.5546875" style="64" customWidth="1"/>
    <col min="52" max="52" width="3" style="64" customWidth="1"/>
    <col min="53" max="53" width="3.44140625" style="64" hidden="1"/>
    <col min="54" max="83" width="3.109375" style="66" hidden="1"/>
    <col min="84" max="84" width="3.109375" style="435" hidden="1"/>
    <col min="85" max="85" width="11.77734375" style="66" hidden="1"/>
    <col min="86" max="87" width="8.77734375" style="66" hidden="1"/>
    <col min="88" max="103" width="11.77734375" style="66" hidden="1"/>
    <col min="104" max="107" width="3.109375" style="66" hidden="1"/>
    <col min="108" max="118" width="11.77734375" style="66" hidden="1"/>
    <col min="119" max="120" width="11.6640625" style="66" hidden="1"/>
    <col min="121" max="221" width="3.109375" style="64" hidden="1"/>
    <col min="222" max="223" width="3.109375" style="68" hidden="1"/>
    <col min="224" max="1896" width="3.109375" style="64" hidden="1"/>
    <col min="1897" max="16384" width="3.109375" style="63" hidden="1"/>
  </cols>
  <sheetData>
    <row r="1" spans="1:64" ht="15" thickBot="1" x14ac:dyDescent="0.35">
      <c r="A1" s="239"/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40"/>
      <c r="O1" s="240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39"/>
      <c r="AH1" s="239"/>
      <c r="AI1" s="239"/>
      <c r="AJ1" s="239"/>
      <c r="AK1" s="239"/>
      <c r="AL1" s="239"/>
      <c r="AM1" s="239"/>
      <c r="AN1" s="239"/>
      <c r="AO1" s="239"/>
      <c r="AP1" s="239"/>
      <c r="AQ1" s="239"/>
      <c r="AR1" s="239"/>
      <c r="AS1" s="239"/>
      <c r="AT1" s="239"/>
      <c r="AU1" s="239"/>
      <c r="AV1" s="239"/>
      <c r="AW1" s="239"/>
      <c r="AX1" s="239"/>
      <c r="AY1" s="239"/>
      <c r="AZ1" s="239"/>
      <c r="BA1" s="255"/>
    </row>
    <row r="2" spans="1:64" ht="9.75" customHeight="1" thickBot="1" x14ac:dyDescent="0.35">
      <c r="A2" s="239"/>
      <c r="B2" s="241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3"/>
      <c r="AZ2" s="239"/>
      <c r="BA2" s="68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</row>
    <row r="3" spans="1:64" ht="18.600000000000001" thickBot="1" x14ac:dyDescent="0.4">
      <c r="A3" s="239"/>
      <c r="B3" s="244"/>
      <c r="C3" s="267" t="s">
        <v>149</v>
      </c>
      <c r="D3" s="268"/>
      <c r="E3" s="268"/>
      <c r="F3" s="268"/>
      <c r="G3" s="268"/>
      <c r="H3" s="268"/>
      <c r="I3" s="268"/>
      <c r="J3" s="268"/>
      <c r="K3" s="268"/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8"/>
      <c r="AP3" s="268"/>
      <c r="AQ3" s="268"/>
      <c r="AR3" s="268"/>
      <c r="AS3" s="268"/>
      <c r="AT3" s="268"/>
      <c r="AU3" s="268"/>
      <c r="AV3" s="268"/>
      <c r="AW3" s="268"/>
      <c r="AX3" s="269"/>
      <c r="AY3" s="249"/>
      <c r="AZ3" s="239"/>
      <c r="BA3" s="68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</row>
    <row r="4" spans="1:64" ht="9.75" customHeight="1" thickBot="1" x14ac:dyDescent="0.4">
      <c r="A4" s="239"/>
      <c r="B4" s="244"/>
      <c r="C4" s="246"/>
      <c r="D4" s="246"/>
      <c r="E4" s="246"/>
      <c r="F4" s="246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7"/>
      <c r="AX4" s="247"/>
      <c r="AY4" s="248"/>
      <c r="AZ4" s="239"/>
      <c r="BA4" s="68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</row>
    <row r="5" spans="1:64" ht="6.75" customHeight="1" x14ac:dyDescent="0.3">
      <c r="A5" s="239"/>
      <c r="B5" s="244"/>
      <c r="C5" s="70"/>
      <c r="D5" s="71"/>
      <c r="E5" s="71"/>
      <c r="F5" s="71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88"/>
      <c r="Z5" s="89"/>
      <c r="AA5" s="246"/>
      <c r="AB5" s="246"/>
      <c r="AC5" s="271"/>
      <c r="AD5" s="270"/>
      <c r="AE5" s="270"/>
      <c r="AF5" s="270"/>
      <c r="AG5" s="270"/>
      <c r="AH5" s="270"/>
      <c r="AI5" s="270"/>
      <c r="AJ5" s="270"/>
      <c r="AK5" s="270"/>
      <c r="AL5" s="270"/>
      <c r="AM5" s="270"/>
      <c r="AN5" s="270"/>
      <c r="AO5" s="270"/>
      <c r="AP5" s="270"/>
      <c r="AQ5" s="270"/>
      <c r="AR5" s="270"/>
      <c r="AS5" s="270"/>
      <c r="AT5" s="270"/>
      <c r="AU5" s="270"/>
      <c r="AV5" s="270"/>
      <c r="AW5" s="270"/>
      <c r="AX5" s="272"/>
      <c r="AY5" s="250"/>
      <c r="AZ5" s="239"/>
      <c r="BA5" s="68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1:64" ht="15.6" x14ac:dyDescent="0.3">
      <c r="A6" s="239"/>
      <c r="B6" s="244"/>
      <c r="C6" s="72"/>
      <c r="D6" s="273" t="s">
        <v>148</v>
      </c>
      <c r="E6" s="273"/>
      <c r="F6" s="273"/>
      <c r="G6" s="273"/>
      <c r="H6" s="273"/>
      <c r="I6" s="273"/>
      <c r="J6" s="273"/>
      <c r="K6" s="273"/>
      <c r="L6" s="273"/>
      <c r="M6" s="273"/>
      <c r="N6" s="273"/>
      <c r="O6" s="273"/>
      <c r="P6" s="273"/>
      <c r="Q6" s="273"/>
      <c r="R6" s="273"/>
      <c r="S6" s="273"/>
      <c r="T6" s="273"/>
      <c r="U6" s="273"/>
      <c r="V6" s="273"/>
      <c r="W6" s="273"/>
      <c r="X6" s="273"/>
      <c r="Y6" s="273"/>
      <c r="Z6" s="90"/>
      <c r="AA6" s="246"/>
      <c r="AB6" s="246"/>
      <c r="AC6" s="72"/>
      <c r="AD6" s="273" t="s">
        <v>150</v>
      </c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90"/>
      <c r="AY6" s="250"/>
      <c r="AZ6" s="239"/>
      <c r="BA6" s="68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1:64" ht="6.75" customHeight="1" x14ac:dyDescent="0.3">
      <c r="A7" s="239"/>
      <c r="B7" s="244"/>
      <c r="C7" s="72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73"/>
      <c r="AA7" s="246"/>
      <c r="AB7" s="246"/>
      <c r="AC7" s="72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0"/>
      <c r="AY7" s="250"/>
      <c r="AZ7" s="239"/>
      <c r="BA7" s="68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1:64" ht="16.2" thickBot="1" x14ac:dyDescent="0.35">
      <c r="A8" s="239"/>
      <c r="B8" s="244"/>
      <c r="C8" s="72"/>
      <c r="D8" s="56"/>
      <c r="E8" s="56"/>
      <c r="F8" s="56"/>
      <c r="G8" s="56"/>
      <c r="H8" s="56"/>
      <c r="I8" s="56"/>
      <c r="J8" s="56"/>
      <c r="K8" s="56"/>
      <c r="L8" s="77" t="s">
        <v>74</v>
      </c>
      <c r="M8" s="92"/>
      <c r="N8" s="92"/>
      <c r="O8" s="92"/>
      <c r="P8" s="77" t="s">
        <v>75</v>
      </c>
      <c r="Q8" s="77"/>
      <c r="R8" s="65"/>
      <c r="S8" s="56"/>
      <c r="T8" s="56"/>
      <c r="U8" s="56"/>
      <c r="V8" s="56"/>
      <c r="W8" s="56"/>
      <c r="X8" s="56"/>
      <c r="Y8" s="56"/>
      <c r="Z8" s="73"/>
      <c r="AA8" s="246"/>
      <c r="AB8" s="246"/>
      <c r="AC8" s="72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0"/>
      <c r="AY8" s="250"/>
      <c r="AZ8" s="239"/>
      <c r="BA8" s="68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1:64" ht="3" customHeight="1" thickBot="1" x14ac:dyDescent="0.35">
      <c r="A9" s="239"/>
      <c r="B9" s="244"/>
      <c r="C9" s="72"/>
      <c r="D9" s="56"/>
      <c r="E9" s="56"/>
      <c r="F9" s="56"/>
      <c r="G9" s="56"/>
      <c r="H9" s="56"/>
      <c r="I9" s="56"/>
      <c r="J9" s="56"/>
      <c r="K9" s="274"/>
      <c r="L9" s="275"/>
      <c r="M9" s="275"/>
      <c r="N9" s="275"/>
      <c r="O9" s="275"/>
      <c r="P9" s="275"/>
      <c r="Q9" s="276"/>
      <c r="R9" s="277" t="str">
        <f>IF(O10&lt;2015,"*Simulações realizadas somente a partir de 2015, por conta das alterações realizadas pelo Decreto nº 8.392, de 20 de Janeiro de 2015","")</f>
        <v>*Simulações realizadas somente a partir de 2015, por conta das alterações realizadas pelo Decreto nº 8.392, de 20 de Janeiro de 2015</v>
      </c>
      <c r="S9" s="277"/>
      <c r="T9" s="277"/>
      <c r="U9" s="277"/>
      <c r="V9" s="277"/>
      <c r="W9" s="277"/>
      <c r="X9" s="277"/>
      <c r="Y9" s="56"/>
      <c r="Z9" s="73"/>
      <c r="AA9" s="246"/>
      <c r="AB9" s="246"/>
      <c r="AC9" s="72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93"/>
      <c r="AR9" s="94"/>
      <c r="AS9" s="94"/>
      <c r="AT9" s="94"/>
      <c r="AU9" s="94"/>
      <c r="AV9" s="94"/>
      <c r="AW9" s="95"/>
      <c r="AX9" s="73"/>
      <c r="AY9" s="250"/>
      <c r="AZ9" s="239"/>
      <c r="BA9" s="68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1:64" ht="15" customHeight="1" x14ac:dyDescent="0.3">
      <c r="A10" s="239"/>
      <c r="B10" s="244"/>
      <c r="C10" s="72"/>
      <c r="D10" s="256" t="s">
        <v>77</v>
      </c>
      <c r="E10" s="256"/>
      <c r="F10" s="256"/>
      <c r="G10" s="256"/>
      <c r="H10" s="256"/>
      <c r="I10" s="256"/>
      <c r="J10" s="257"/>
      <c r="K10" s="96"/>
      <c r="L10" s="278"/>
      <c r="M10" s="278"/>
      <c r="N10" s="97" t="s">
        <v>78</v>
      </c>
      <c r="O10" s="279"/>
      <c r="P10" s="279"/>
      <c r="Q10" s="98"/>
      <c r="R10" s="277"/>
      <c r="S10" s="277"/>
      <c r="T10" s="277"/>
      <c r="U10" s="277"/>
      <c r="V10" s="277"/>
      <c r="W10" s="277"/>
      <c r="X10" s="277"/>
      <c r="Y10" s="56"/>
      <c r="Z10" s="73"/>
      <c r="AA10" s="246"/>
      <c r="AB10" s="246"/>
      <c r="AC10" s="72"/>
      <c r="AD10" s="256" t="s">
        <v>79</v>
      </c>
      <c r="AE10" s="256"/>
      <c r="AF10" s="256"/>
      <c r="AG10" s="256"/>
      <c r="AH10" s="256"/>
      <c r="AI10" s="257"/>
      <c r="AJ10" s="258"/>
      <c r="AK10" s="259"/>
      <c r="AL10" s="260"/>
      <c r="AM10" s="99"/>
      <c r="AN10" s="261" t="s">
        <v>80</v>
      </c>
      <c r="AO10" s="261"/>
      <c r="AP10" s="261"/>
      <c r="AQ10" s="100"/>
      <c r="AR10" s="101"/>
      <c r="AS10" s="102" t="s">
        <v>78</v>
      </c>
      <c r="AT10" s="101"/>
      <c r="AU10" s="102" t="s">
        <v>78</v>
      </c>
      <c r="AV10" s="101"/>
      <c r="AW10" s="103"/>
      <c r="AX10" s="104"/>
      <c r="AY10" s="250"/>
      <c r="AZ10" s="239"/>
      <c r="BA10" s="68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1:64" ht="3" customHeight="1" x14ac:dyDescent="0.3">
      <c r="A11" s="239"/>
      <c r="B11" s="244"/>
      <c r="C11" s="72"/>
      <c r="D11" s="56"/>
      <c r="E11" s="56"/>
      <c r="F11" s="56"/>
      <c r="G11" s="105"/>
      <c r="H11" s="105"/>
      <c r="I11" s="105"/>
      <c r="J11" s="105"/>
      <c r="K11" s="262"/>
      <c r="L11" s="263"/>
      <c r="M11" s="263"/>
      <c r="N11" s="263"/>
      <c r="O11" s="263"/>
      <c r="P11" s="263"/>
      <c r="Q11" s="264"/>
      <c r="R11" s="277"/>
      <c r="S11" s="277"/>
      <c r="T11" s="277"/>
      <c r="U11" s="277"/>
      <c r="V11" s="277"/>
      <c r="W11" s="277"/>
      <c r="X11" s="277"/>
      <c r="Y11" s="56"/>
      <c r="Z11" s="73"/>
      <c r="AA11" s="246"/>
      <c r="AB11" s="246"/>
      <c r="AC11" s="72"/>
      <c r="AD11" s="105"/>
      <c r="AE11" s="105"/>
      <c r="AF11" s="105"/>
      <c r="AG11" s="105"/>
      <c r="AH11" s="105"/>
      <c r="AI11" s="105"/>
      <c r="AJ11" s="105"/>
      <c r="AK11" s="105"/>
      <c r="AL11" s="99"/>
      <c r="AM11" s="99"/>
      <c r="AN11" s="99"/>
      <c r="AO11" s="99"/>
      <c r="AP11" s="99"/>
      <c r="AQ11" s="106"/>
      <c r="AR11" s="107"/>
      <c r="AS11" s="107"/>
      <c r="AT11" s="107"/>
      <c r="AU11" s="107"/>
      <c r="AV11" s="107"/>
      <c r="AW11" s="108"/>
      <c r="AX11" s="104"/>
      <c r="AY11" s="250"/>
      <c r="AZ11" s="239"/>
      <c r="BA11" s="68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</row>
    <row r="12" spans="1:64" x14ac:dyDescent="0.3">
      <c r="A12" s="239"/>
      <c r="B12" s="244"/>
      <c r="C12" s="72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277"/>
      <c r="S12" s="277"/>
      <c r="T12" s="277"/>
      <c r="U12" s="277"/>
      <c r="V12" s="277"/>
      <c r="W12" s="277"/>
      <c r="X12" s="277"/>
      <c r="Y12" s="56"/>
      <c r="Z12" s="73"/>
      <c r="AA12" s="246"/>
      <c r="AB12" s="246"/>
      <c r="AC12" s="72"/>
      <c r="AD12" s="265" t="str">
        <f>IF(AV10&lt;2015,"*Simulações realizadas somente a partir de 2015, por conta das alterações realizadas pelo Decreto nº 8.392, de 20 de Janeiro de 2015","")</f>
        <v>*Simulações realizadas somente a partir de 2015, por conta das alterações realizadas pelo Decreto nº 8.392, de 20 de Janeiro de 2015</v>
      </c>
      <c r="AE12" s="265"/>
      <c r="AF12" s="265"/>
      <c r="AG12" s="265"/>
      <c r="AH12" s="265"/>
      <c r="AI12" s="265"/>
      <c r="AJ12" s="265"/>
      <c r="AK12" s="265"/>
      <c r="AL12" s="265"/>
      <c r="AM12" s="265"/>
      <c r="AN12" s="265"/>
      <c r="AO12" s="265"/>
      <c r="AP12" s="265"/>
      <c r="AQ12" s="265"/>
      <c r="AR12" s="265"/>
      <c r="AS12" s="265"/>
      <c r="AT12" s="265"/>
      <c r="AU12" s="265"/>
      <c r="AV12" s="265"/>
      <c r="AW12" s="265"/>
      <c r="AX12" s="73"/>
      <c r="AY12" s="250"/>
      <c r="AZ12" s="239"/>
      <c r="BA12" s="68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</row>
    <row r="13" spans="1:64" x14ac:dyDescent="0.3">
      <c r="A13" s="239"/>
      <c r="B13" s="244"/>
      <c r="C13" s="72"/>
      <c r="D13" s="256" t="s">
        <v>81</v>
      </c>
      <c r="E13" s="256"/>
      <c r="F13" s="256"/>
      <c r="G13" s="256"/>
      <c r="H13" s="256"/>
      <c r="I13" s="256"/>
      <c r="J13" s="82"/>
      <c r="K13" s="82"/>
      <c r="L13" s="82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73"/>
      <c r="AA13" s="246"/>
      <c r="AB13" s="246"/>
      <c r="AC13" s="72"/>
      <c r="AD13" s="266" t="s">
        <v>82</v>
      </c>
      <c r="AE13" s="266"/>
      <c r="AF13" s="266"/>
      <c r="AG13" s="266"/>
      <c r="AH13" s="266"/>
      <c r="AI13" s="266"/>
      <c r="AJ13" s="266"/>
      <c r="AK13" s="266"/>
      <c r="AL13" s="266"/>
      <c r="AM13" s="266"/>
      <c r="AN13" s="266"/>
      <c r="AO13" s="266"/>
      <c r="AP13" s="266"/>
      <c r="AQ13" s="266"/>
      <c r="AR13" s="109"/>
      <c r="AS13" s="109"/>
      <c r="AT13" s="109"/>
      <c r="AU13" s="109"/>
      <c r="AV13" s="109"/>
      <c r="AW13" s="109"/>
      <c r="AX13" s="110"/>
      <c r="AY13" s="250"/>
      <c r="AZ13" s="239"/>
      <c r="BA13" s="68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 t="s">
        <v>83</v>
      </c>
    </row>
    <row r="14" spans="1:64" ht="15" customHeight="1" thickBot="1" x14ac:dyDescent="0.35">
      <c r="A14" s="239"/>
      <c r="B14" s="244"/>
      <c r="C14" s="72"/>
      <c r="D14" s="284" t="s">
        <v>84</v>
      </c>
      <c r="E14" s="284"/>
      <c r="F14" s="284"/>
      <c r="G14" s="284"/>
      <c r="H14" s="284"/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284"/>
      <c r="T14" s="284"/>
      <c r="U14" s="284"/>
      <c r="V14" s="284"/>
      <c r="W14" s="284"/>
      <c r="X14" s="284"/>
      <c r="Y14" s="111"/>
      <c r="Z14" s="112"/>
      <c r="AA14" s="246"/>
      <c r="AB14" s="246"/>
      <c r="AC14" s="72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4"/>
      <c r="AY14" s="250"/>
      <c r="AZ14" s="239"/>
      <c r="BA14" s="68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194">
        <v>1</v>
      </c>
    </row>
    <row r="15" spans="1:64" x14ac:dyDescent="0.3">
      <c r="A15" s="239"/>
      <c r="B15" s="244"/>
      <c r="C15" s="72"/>
      <c r="D15" s="56"/>
      <c r="E15" s="56"/>
      <c r="F15" s="56"/>
      <c r="G15" s="286"/>
      <c r="H15" s="286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82"/>
      <c r="Z15" s="115"/>
      <c r="AA15" s="246"/>
      <c r="AB15" s="246"/>
      <c r="AC15" s="72"/>
      <c r="AD15" s="256" t="s">
        <v>85</v>
      </c>
      <c r="AE15" s="256"/>
      <c r="AF15" s="256"/>
      <c r="AG15" s="256"/>
      <c r="AH15" s="256"/>
      <c r="AI15" s="256"/>
      <c r="AJ15" s="256"/>
      <c r="AK15" s="256"/>
      <c r="AL15" s="256"/>
      <c r="AM15" s="287"/>
      <c r="AN15" s="288"/>
      <c r="AO15" s="289"/>
      <c r="AP15" s="116"/>
      <c r="AQ15" s="116"/>
      <c r="AR15" s="116"/>
      <c r="AS15" s="116"/>
      <c r="AT15" s="116"/>
      <c r="AU15" s="116"/>
      <c r="AV15" s="116"/>
      <c r="AW15" s="116"/>
      <c r="AX15" s="117"/>
      <c r="AY15" s="250"/>
      <c r="AZ15" s="239"/>
      <c r="BA15" s="68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1:64" ht="15" customHeight="1" x14ac:dyDescent="0.3">
      <c r="A16" s="239"/>
      <c r="B16" s="244"/>
      <c r="C16" s="72"/>
      <c r="D16" s="256" t="s">
        <v>86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  <c r="U16" s="256"/>
      <c r="V16" s="256"/>
      <c r="W16" s="256"/>
      <c r="X16" s="256"/>
      <c r="Y16" s="256"/>
      <c r="Z16" s="115"/>
      <c r="AA16" s="246"/>
      <c r="AB16" s="246"/>
      <c r="AC16" s="72"/>
      <c r="AD16" s="284" t="s">
        <v>87</v>
      </c>
      <c r="AE16" s="284"/>
      <c r="AF16" s="284"/>
      <c r="AG16" s="284"/>
      <c r="AH16" s="284"/>
      <c r="AI16" s="284"/>
      <c r="AJ16" s="284"/>
      <c r="AK16" s="284"/>
      <c r="AL16" s="284"/>
      <c r="AM16" s="284"/>
      <c r="AN16" s="284"/>
      <c r="AO16" s="284"/>
      <c r="AP16" s="284"/>
      <c r="AQ16" s="284"/>
      <c r="AR16" s="111"/>
      <c r="AS16" s="111"/>
      <c r="AT16" s="111"/>
      <c r="AU16" s="111"/>
      <c r="AV16" s="111"/>
      <c r="AW16" s="111"/>
      <c r="AX16" s="117"/>
      <c r="AY16" s="250"/>
      <c r="AZ16" s="239"/>
      <c r="BA16" s="68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 t="s">
        <v>88</v>
      </c>
    </row>
    <row r="17" spans="1:67" ht="15.75" customHeight="1" thickBot="1" x14ac:dyDescent="0.35">
      <c r="A17" s="239"/>
      <c r="B17" s="244"/>
      <c r="C17" s="72"/>
      <c r="D17" s="56"/>
      <c r="E17" s="56"/>
      <c r="F17" s="56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115"/>
      <c r="AA17" s="246"/>
      <c r="AB17" s="246"/>
      <c r="AC17" s="72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73"/>
      <c r="AY17" s="250"/>
      <c r="AZ17" s="239"/>
      <c r="BA17" s="68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 t="s">
        <v>89</v>
      </c>
    </row>
    <row r="18" spans="1:67" x14ac:dyDescent="0.3">
      <c r="A18" s="239"/>
      <c r="B18" s="244"/>
      <c r="C18" s="72"/>
      <c r="D18" s="256" t="s">
        <v>90</v>
      </c>
      <c r="E18" s="256"/>
      <c r="F18" s="256"/>
      <c r="G18" s="256"/>
      <c r="H18" s="256"/>
      <c r="I18" s="256"/>
      <c r="J18" s="256"/>
      <c r="K18" s="256"/>
      <c r="L18" s="257"/>
      <c r="M18" s="280"/>
      <c r="N18" s="281"/>
      <c r="O18" s="281"/>
      <c r="P18" s="281"/>
      <c r="Q18" s="281"/>
      <c r="R18" s="281"/>
      <c r="S18" s="282"/>
      <c r="T18" s="81"/>
      <c r="U18" s="81"/>
      <c r="V18" s="81"/>
      <c r="W18" s="81"/>
      <c r="X18" s="56"/>
      <c r="Y18" s="56"/>
      <c r="Z18" s="115"/>
      <c r="AA18" s="246"/>
      <c r="AB18" s="246"/>
      <c r="AC18" s="72"/>
      <c r="AD18" s="105" t="s">
        <v>91</v>
      </c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73"/>
      <c r="AY18" s="250"/>
      <c r="AZ18" s="239"/>
      <c r="BA18" s="68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1:67" ht="15" customHeight="1" x14ac:dyDescent="0.3">
      <c r="A19" s="239"/>
      <c r="B19" s="244"/>
      <c r="C19" s="72"/>
      <c r="D19" s="283" t="s">
        <v>92</v>
      </c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115"/>
      <c r="AA19" s="246"/>
      <c r="AB19" s="246"/>
      <c r="AC19" s="72"/>
      <c r="AD19" s="284" t="s">
        <v>84</v>
      </c>
      <c r="AE19" s="284"/>
      <c r="AF19" s="284"/>
      <c r="AG19" s="284"/>
      <c r="AH19" s="284"/>
      <c r="AI19" s="284"/>
      <c r="AJ19" s="284"/>
      <c r="AK19" s="284"/>
      <c r="AL19" s="284"/>
      <c r="AM19" s="284"/>
      <c r="AN19" s="284"/>
      <c r="AO19" s="284"/>
      <c r="AP19" s="284"/>
      <c r="AQ19" s="284"/>
      <c r="AR19" s="111"/>
      <c r="AS19" s="111"/>
      <c r="AT19" s="111"/>
      <c r="AU19" s="111"/>
      <c r="AV19" s="111"/>
      <c r="AW19" s="111"/>
      <c r="AX19" s="112"/>
      <c r="AY19" s="250"/>
      <c r="AZ19" s="239"/>
      <c r="BA19" s="68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194">
        <v>1</v>
      </c>
    </row>
    <row r="20" spans="1:67" ht="15" customHeight="1" x14ac:dyDescent="0.3">
      <c r="A20" s="239"/>
      <c r="B20" s="244"/>
      <c r="C20" s="72"/>
      <c r="D20" s="56"/>
      <c r="E20" s="56"/>
      <c r="F20" s="56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5"/>
      <c r="AA20" s="246"/>
      <c r="AB20" s="246"/>
      <c r="AC20" s="72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73"/>
      <c r="AY20" s="250"/>
      <c r="AZ20" s="239"/>
      <c r="BA20" s="68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1:67" ht="15" customHeight="1" x14ac:dyDescent="0.3">
      <c r="A21" s="239"/>
      <c r="B21" s="244"/>
      <c r="C21" s="72"/>
      <c r="D21" s="285" t="s">
        <v>93</v>
      </c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119"/>
      <c r="Z21" s="115"/>
      <c r="AA21" s="246"/>
      <c r="AB21" s="246"/>
      <c r="AC21" s="72"/>
      <c r="AD21" s="256" t="s">
        <v>94</v>
      </c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105"/>
      <c r="AS21" s="105"/>
      <c r="AT21" s="105"/>
      <c r="AU21" s="105"/>
      <c r="AV21" s="105"/>
      <c r="AW21" s="105"/>
      <c r="AX21" s="73"/>
      <c r="AY21" s="250"/>
      <c r="AZ21" s="239"/>
      <c r="BA21" s="68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1:67" ht="15" customHeight="1" x14ac:dyDescent="0.3">
      <c r="A22" s="239"/>
      <c r="B22" s="244"/>
      <c r="C22" s="72"/>
      <c r="D22" s="285"/>
      <c r="E22" s="285"/>
      <c r="F22" s="285"/>
      <c r="G22" s="285"/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119"/>
      <c r="Z22" s="73"/>
      <c r="AA22" s="246"/>
      <c r="AB22" s="246"/>
      <c r="AC22" s="72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4"/>
      <c r="AY22" s="250"/>
      <c r="AZ22" s="239"/>
      <c r="BA22" s="68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 t="s">
        <v>95</v>
      </c>
    </row>
    <row r="23" spans="1:67" ht="15.75" customHeight="1" thickBot="1" x14ac:dyDescent="0.35">
      <c r="A23" s="239"/>
      <c r="B23" s="244"/>
      <c r="C23" s="72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  <c r="Y23" s="119"/>
      <c r="Z23" s="112"/>
      <c r="AA23" s="246"/>
      <c r="AB23" s="246"/>
      <c r="AC23" s="72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73"/>
      <c r="AY23" s="250"/>
      <c r="AZ23" s="239"/>
      <c r="BA23" s="68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 t="s">
        <v>89</v>
      </c>
    </row>
    <row r="24" spans="1:67" x14ac:dyDescent="0.3">
      <c r="A24" s="239"/>
      <c r="B24" s="244"/>
      <c r="C24" s="72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19"/>
      <c r="Z24" s="112"/>
      <c r="AA24" s="246"/>
      <c r="AB24" s="246"/>
      <c r="AC24" s="72"/>
      <c r="AD24" s="56"/>
      <c r="AE24" s="56"/>
      <c r="AF24" s="57"/>
      <c r="AG24" s="59"/>
      <c r="AH24" s="295" t="s">
        <v>96</v>
      </c>
      <c r="AI24" s="295"/>
      <c r="AJ24" s="295"/>
      <c r="AK24" s="295"/>
      <c r="AL24" s="296" t="str">
        <f>IF(AND(OR(AJ10=0,AJ10="",AJ10&lt;0),OR(AR10=0,AR10="",AR10&lt;0),OR(AT10=0,AT10="",AT10&lt;0),OR(AV10=0,AV10="",AV10&lt;0),BL80=1,BL54=1,BL59=1),"-",IF(OR(AV10&lt;2015,AND(AR10&gt;31,AT10=1),AND(AR10&gt;29,AT10=2,AV10=2016),AND(AR10&gt;29,AT10=2,AV10=2020),AND(AR10&gt;29,AT10=2,AV10=2024),AND(AR10&gt;29,AT10=2,AV10=2028),AND(AR10&gt;29,AT10=2,AV10=2032),AND(AR10&gt;29,AT10=2,AV10=2036),AND(AR10&gt;29,AT10=2,AV10=2040),AND(AR10&gt;28,AT10=2,AV10=2015),AND(AR10&gt;28,AT10=2,AV10&gt;=2017,AV10&lt;=2019),AND(AR10&gt;28,AT10=2,AV10&gt;=2021,AV10&lt;=2023),AND(AR10&gt;28,AT10=2,AV10&gt;=2025,AV10&lt;=2027),AND(AR10&gt;28,AT10=2,AV10&gt;=2029,AV10&lt;=2031),AND(AR10&gt;28,AT10=2,AV10&gt;=2033,AV10&lt;=2035),AND(AR10&gt;28,AT10=2,AV10&gt;=2037,AV10&lt;=2039),AND(AR10&gt;31,AT10=3),AND(AR10&gt;30,AT10=4),AND(AR10&gt;31,AT10=5),AND(AR10&gt;30,AT10=6),AND(AR10&gt;31,AT10=7),AND(AR10&gt;31,AT10=8),AND(AR10&gt;30,AT10=9),AND(AR10&gt;31,AT10=10),AND(AR10&gt;30,AT10=11),AND(AR10&gt;31,AT10=12)),"Alterar o item 1",IF(AND(OR(AJ10="",AJ10&lt;=AR10="",AR10&lt;=0,AT10="",AT10&lt;=0,AV10="",AV10&lt;=0),BL80=1,BL54=1),"Falta resp. os itens 1, 2 e 4",IF(AND(OR(AJ10="",AJ10&lt;=AR10="",AR10&lt;=0,AT10="",AT10&lt;=0,AV10="",AV10&lt;=0),BL80=1,BL54=2,BL59=1),"Falta resp. os itens 1, 2 e 5",IF(AND(OR(AJ10="",AJ10&lt;=AR10="",AR10&lt;=0,AT10="",AT10&lt;=0,AV10="",AV10&lt;=0),BL80=2,OR(AM15="",AM15&lt;=0),BL54=1),"Falta resp. o item 1, 3 e 4",IF(AND(OR(AJ10="",AJ10&lt;=AR10="",AR10&lt;=0,AT10="",AT10&lt;=0,AV10="",AV10&lt;=0),BL80=2,OR(AM15&lt;=0,AM15=""),BL54=2,BL59=1),"Falta resp. os itens 1, 3 e 5",IF(AND(OR(AJ10="",AJ10&lt;=AR10="",AR10&lt;=0,AT10="",AT10&lt;=0,AV10="",AV10&lt;=0),BL80=2,AM15&gt;0,BL54=1,BL59=1),"Falta resp. os itens 1, 4 e 5",IF(AND(OR(AJ10="",AJ10&lt;=AR10="",AR10&lt;=0,AT10="",AT10&lt;=0,AV10="",AV10&lt;=0),BL80=1,BL54=3),"Falta resp. os itens 1 e 2",IF(AND(OR(AJ10="",AJ10&lt;=AR10="",AR10&lt;=0,AT10="",AT10&lt;=0,AV10="",AV10&lt;=0),BL80=1,OR(AM15&gt;=0,AM15=""),BL54=2,OR(BL59=2,BL59=3)),"Falta resp. os itens 1 e 2",IF(AND(OR(AJ10="",AJ10&lt;=AR10="",AR10&lt;=0,AT10="",AT10&lt;=0,AV10="",AV10&lt;=0),BL80=1,BL54=3),"Falta resp. os itens 1 e 2",IF(AND(OR(AJ10="",AJ10&lt;=AR10="",AR10&lt;=0,AT10="",AT10&lt;=0,AV10="",AV10&lt;=0),BL80=2,OR(AM15=0,AM15=""),BL54=2,OR(BL59=2,BL59=3)),"Falta resp. os itens 1 e 3",IF(AND(OR(AJ10="",AJ10&lt;=AR10="",AR10&lt;=0,AT10="",AT10&lt;=0,AV10="",AV10&lt;=0),BL80=2,OR(AM15="",AM15&lt;=0),BL54=3),"Falta resp. os itens 1 e 3",IF(AND(OR(AJ10="",AJ10&lt;=AR10="",AR10&lt;=0,AT10="",AT10&lt;=0,AV10="",AV10&lt;=0),OR(BL80=3,AND(BL80=2,AM15&gt;0)),BL54=1),"Falta resp. os itens 1 e 4",IF(AND(OR(AJ10="",AJ10&lt;=AR10="",AR10&lt;=0,AT10="",AT10&lt;=0,AV10="",AV10&lt;=0),BL80=3,BL54=2,BL59=1),"Falta resp. os itens 1 e 5",IF(AND(OR(AJ10="",AJ10&lt;=AR10="",AR10&lt;=0,AT10="",AT10&lt;=0,AV10="",AV10&lt;=0),BL80=2,AM15&gt;0,BL54=2,BL59=1),"Falta resp. os itens 1 e 5",IF(AND(OR(AJ10&gt;0,AR10&gt;0,AT10&gt;0,AV10&gt;0),BL80=1,BL54=1),"Falta resp. os itens 2 e 4",IF(AND(OR(AJ10&gt;0,AR10&gt;0,AT10&gt;0,AV10&gt;0),BL80=1,BL54=2,BL59=1),"Falta resp. os itens 2 e 5",IF(AND(OR(AJ10&gt;0,AR10&gt;0,AT10&gt;0,AV10&gt;0),BL80=2,OR(AM15&lt;=0,AM15=""),BL54=1),"Falta resp. os itens 3 e 4",IF(AND(OR(AJ10&gt;0,AR10&gt;0,AT10&gt;0,AV10&gt;0),BL80=2,OR(AM15&lt;=0,AM15=""),BL54=2,BL59=1),"Falta resp. os itens 3 e 5",IF(AND(OR(AJ10="",AJ10&lt;=AR10="",AR10&lt;=0,AT10="",AT10&lt;=0,AV10="",AV10&lt;=0),BL80=2,AM15&gt;0,BL54=2,OR(BL59=2,BL59=3)),"Falta resp. o item 1",IF(AND(OR(AJ10="",AJ10&lt;=AR10="",AR10&lt;=0,AT10="",AT10&lt;=0,AV10="",AV10&lt;=0),BL80=3,BL54=3),"Falta resp. o item 1",IF(AND(OR(AJ10="",AJ10&lt;=AR10="",AR10&lt;=0,AT10="",AT10&lt;=0,AV10="",AV10&lt;=0),BL80=2,AM15&gt;0,BL54=3),"Falta resp. o item 1",IF(AND(OR(AJ10="",AJ10&lt;=AR10="",AR10&lt;=0,AT10="",AT10&lt;=0,AV10="",AV10&lt;=0),BL80=3,BL54=2,OR(BL59=2,BL59=3)),"Falta resp. o item 1",IF(AND(OR(AJ10&gt;0,AR10&gt;0,AT10&gt;0,AV10&gt;0),BL80=1,AND(BL54=2,OR(BL59=2,BL59=3))),"Falta resp. o item 2",IF(AND(OR(AJ10&gt;0,AR10&gt;0,AT10&gt;0,AV10&gt;0),BL80=1,BL54=3),"Falta resp. o item 2",IF(AND(OR(AJ10&gt;0,AR10&gt;0,AT10&gt;0,AV10&gt;0),BL80=2,OR(AM15&lt;=0,AM15=""),BL54=2,OR(BL59=2,BL59=3)),"Falta resp. o item 3",IF(AND(OR(AJ10&gt;0,AR10&gt;0,AT10&gt;0,AV10&gt;0),BL80=2,OR(AM15&lt;=0,AM15=""),BL54=3),"Falta resp. o item 3",IF(AND(OR(AJ10&gt;0,AR10&gt;0,AT10&gt;0,AV10&gt;0),BL80=3,BL54=1),"Falta resp. o item 4",IF(AND(OR(AJ10&gt;0,AR10&gt;0,AT10&gt;0,AV10&gt;0),BL80=2,AM15&gt;0,BL54=1),"Falta resp. o item 4",IF(AND(OR(AJ10&gt;0,AR10&gt;0,AT10&gt;0,AV10&gt;0),BL80=2,AM15&gt;0,BL54=2,BL59=1),"Falta resp. o item 5",IF(AND(AJ10&lt;=BI96,BL59=2,BL54=2,BL80=2),AJ10*(BL74*0.00137%),IF(AND(AJ10&lt;=BI96,BL59=2,BL54=2,BL80=3),(AJ10*365)*0.00137%,IF(AND(AJ10&gt;BI96,BL59=2,BL54=2,BL80=2),AJ10*(BL74*0.0041%),IF(AND(AJ10&gt;BI96,BL59=2,BL54=2,BL80=3),(AJ10*365)*0.0041%,IF(AND(OR(AJ10&gt;BI96,AJ10&lt;BI96),OR(BL59=2,BL59=1),BL54=3,BL80=2),AJ10*(BL74*0.0082%),IF(AND(OR(AJ10&gt;BI96,AJ10&lt;BI96),OR(BL59=2,BL59=1),BL54=3,BL80=3),(AJ10*365)*0.0082%,IF(AND(BL59=3,BL54=2,BL80=2),AJ10*(BL74*0.0041%),IF(AND(BL59=3,BL54=2,BL80=3),(AJ10*365)*0.0041%,IF(AND(BL59=3,BL54=3,BL80=2),AJ10*(BL74*0.0082%),IF(AND(BL59=3,BL54=3,BL80=3),(AJ10*365)*0.0082%,IF(AND(BL59=1,BL54=3,BL80=3),(AJ10*365)*0.0082%)))))))))))))))))))))))))))))))))))))))))</f>
        <v>-</v>
      </c>
      <c r="AM24" s="296"/>
      <c r="AN24" s="296"/>
      <c r="AO24" s="121"/>
      <c r="AP24" s="87"/>
      <c r="AQ24" s="56"/>
      <c r="AR24" s="56"/>
      <c r="AS24" s="56"/>
      <c r="AT24" s="56"/>
      <c r="AU24" s="56"/>
      <c r="AV24" s="56"/>
      <c r="AW24" s="56"/>
      <c r="AX24" s="73"/>
      <c r="AY24" s="250"/>
      <c r="AZ24" s="239"/>
      <c r="BA24" s="68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1:67" x14ac:dyDescent="0.3">
      <c r="A25" s="239"/>
      <c r="B25" s="244"/>
      <c r="C25" s="72"/>
      <c r="D25" s="297" t="s">
        <v>97</v>
      </c>
      <c r="E25" s="297"/>
      <c r="F25" s="297"/>
      <c r="G25" s="297"/>
      <c r="H25" s="297"/>
      <c r="I25" s="297"/>
      <c r="J25" s="297"/>
      <c r="K25" s="297"/>
      <c r="L25" s="297"/>
      <c r="M25" s="297"/>
      <c r="N25" s="297"/>
      <c r="O25" s="297"/>
      <c r="P25" s="297"/>
      <c r="Q25" s="297"/>
      <c r="R25" s="297"/>
      <c r="S25" s="297"/>
      <c r="T25" s="297"/>
      <c r="U25" s="297"/>
      <c r="V25" s="297"/>
      <c r="W25" s="297"/>
      <c r="X25" s="297"/>
      <c r="Y25" s="297"/>
      <c r="Z25" s="112"/>
      <c r="AA25" s="246"/>
      <c r="AB25" s="246"/>
      <c r="AC25" s="72"/>
      <c r="AD25" s="56"/>
      <c r="AE25" s="56"/>
      <c r="AF25" s="57"/>
      <c r="AG25" s="58"/>
      <c r="AH25" s="298" t="s">
        <v>98</v>
      </c>
      <c r="AI25" s="298"/>
      <c r="AJ25" s="298"/>
      <c r="AK25" s="298"/>
      <c r="AL25" s="299" t="str">
        <f>BI101</f>
        <v>-</v>
      </c>
      <c r="AM25" s="299"/>
      <c r="AN25" s="299"/>
      <c r="AO25" s="122"/>
      <c r="AP25" s="87"/>
      <c r="AQ25" s="56"/>
      <c r="AR25" s="56"/>
      <c r="AS25" s="56"/>
      <c r="AT25" s="56"/>
      <c r="AU25" s="56"/>
      <c r="AV25" s="56"/>
      <c r="AW25" s="56"/>
      <c r="AX25" s="73"/>
      <c r="AY25" s="250"/>
      <c r="AZ25" s="239"/>
      <c r="BA25" s="68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1:67" ht="4.5" customHeight="1" thickBot="1" x14ac:dyDescent="0.35">
      <c r="A26" s="239"/>
      <c r="B26" s="244"/>
      <c r="C26" s="72"/>
      <c r="D26" s="56"/>
      <c r="E26" s="56"/>
      <c r="F26" s="56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123"/>
      <c r="AA26" s="246"/>
      <c r="AB26" s="246"/>
      <c r="AC26" s="72"/>
      <c r="AD26" s="56"/>
      <c r="AE26" s="56"/>
      <c r="AF26" s="57"/>
      <c r="AG26" s="58"/>
      <c r="AH26" s="124"/>
      <c r="AI26" s="124"/>
      <c r="AJ26" s="124"/>
      <c r="AK26" s="124"/>
      <c r="AL26" s="300"/>
      <c r="AM26" s="301"/>
      <c r="AN26" s="125"/>
      <c r="AO26" s="122"/>
      <c r="AP26" s="87"/>
      <c r="AQ26" s="56"/>
      <c r="AR26" s="56"/>
      <c r="AS26" s="56"/>
      <c r="AT26" s="56"/>
      <c r="AU26" s="56"/>
      <c r="AV26" s="56"/>
      <c r="AW26" s="56"/>
      <c r="AX26" s="73"/>
      <c r="AY26" s="250"/>
      <c r="AZ26" s="239"/>
      <c r="BA26" s="68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1:67" ht="15" customHeight="1" x14ac:dyDescent="0.3">
      <c r="A27" s="239"/>
      <c r="B27" s="244"/>
      <c r="C27" s="72"/>
      <c r="D27" s="317" t="s">
        <v>99</v>
      </c>
      <c r="E27" s="318"/>
      <c r="F27" s="318"/>
      <c r="G27" s="318"/>
      <c r="H27" s="318"/>
      <c r="I27" s="318"/>
      <c r="J27" s="318"/>
      <c r="K27" s="318"/>
      <c r="L27" s="319"/>
      <c r="M27" s="326" t="s">
        <v>153</v>
      </c>
      <c r="N27" s="327"/>
      <c r="O27" s="327"/>
      <c r="P27" s="327"/>
      <c r="Q27" s="327"/>
      <c r="R27" s="327"/>
      <c r="S27" s="328"/>
      <c r="T27" s="326" t="s">
        <v>154</v>
      </c>
      <c r="U27" s="327"/>
      <c r="V27" s="328"/>
      <c r="W27" s="317" t="s">
        <v>76</v>
      </c>
      <c r="X27" s="318"/>
      <c r="Y27" s="319"/>
      <c r="Z27" s="126"/>
      <c r="AA27" s="246"/>
      <c r="AB27" s="246"/>
      <c r="AC27" s="72"/>
      <c r="AD27" s="56"/>
      <c r="AE27" s="56"/>
      <c r="AF27" s="127"/>
      <c r="AG27" s="128"/>
      <c r="AH27" s="290" t="str">
        <f>IF(AL27&lt;10,"IOF a Pagar*:","IOF a Pagar:")</f>
        <v>IOF a Pagar:</v>
      </c>
      <c r="AI27" s="290"/>
      <c r="AJ27" s="290"/>
      <c r="AK27" s="290"/>
      <c r="AL27" s="291" t="str">
        <f>IF(SUM(AI24:AL25)=0,"-",SUM(AI24:AL25))</f>
        <v>-</v>
      </c>
      <c r="AM27" s="291"/>
      <c r="AN27" s="291"/>
      <c r="AO27" s="129"/>
      <c r="AP27" s="84"/>
      <c r="AQ27" s="56"/>
      <c r="AR27" s="56"/>
      <c r="AS27" s="56"/>
      <c r="AT27" s="56"/>
      <c r="AU27" s="56"/>
      <c r="AV27" s="56"/>
      <c r="AW27" s="56"/>
      <c r="AX27" s="73"/>
      <c r="AY27" s="250"/>
      <c r="AZ27" s="239"/>
      <c r="BA27" s="68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1:67" ht="4.5" customHeight="1" x14ac:dyDescent="0.3">
      <c r="A28" s="239"/>
      <c r="B28" s="244"/>
      <c r="C28" s="72"/>
      <c r="D28" s="320"/>
      <c r="E28" s="321"/>
      <c r="F28" s="321"/>
      <c r="G28" s="321"/>
      <c r="H28" s="321"/>
      <c r="I28" s="321"/>
      <c r="J28" s="321"/>
      <c r="K28" s="321"/>
      <c r="L28" s="322"/>
      <c r="M28" s="329"/>
      <c r="N28" s="330"/>
      <c r="O28" s="330"/>
      <c r="P28" s="330"/>
      <c r="Q28" s="330"/>
      <c r="R28" s="330"/>
      <c r="S28" s="331"/>
      <c r="T28" s="329"/>
      <c r="U28" s="330"/>
      <c r="V28" s="331"/>
      <c r="W28" s="320"/>
      <c r="X28" s="321"/>
      <c r="Y28" s="322"/>
      <c r="Z28" s="126"/>
      <c r="AA28" s="246"/>
      <c r="AB28" s="246"/>
      <c r="AC28" s="72"/>
      <c r="AD28" s="56"/>
      <c r="AE28" s="56"/>
      <c r="AF28" s="56"/>
      <c r="AG28" s="58"/>
      <c r="AH28" s="56"/>
      <c r="AI28" s="56"/>
      <c r="AJ28" s="56"/>
      <c r="AK28" s="56"/>
      <c r="AL28" s="56"/>
      <c r="AM28" s="56"/>
      <c r="AN28" s="56"/>
      <c r="AO28" s="57"/>
      <c r="AP28" s="56"/>
      <c r="AQ28" s="56"/>
      <c r="AR28" s="56"/>
      <c r="AS28" s="56"/>
      <c r="AT28" s="56"/>
      <c r="AU28" s="56"/>
      <c r="AV28" s="56"/>
      <c r="AW28" s="56"/>
      <c r="AX28" s="73"/>
      <c r="AY28" s="250"/>
      <c r="AZ28" s="239"/>
      <c r="BA28" s="68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1:67" ht="15" customHeight="1" x14ac:dyDescent="0.3">
      <c r="A29" s="239"/>
      <c r="B29" s="244"/>
      <c r="C29" s="72"/>
      <c r="D29" s="320"/>
      <c r="E29" s="321"/>
      <c r="F29" s="321"/>
      <c r="G29" s="321"/>
      <c r="H29" s="321"/>
      <c r="I29" s="321"/>
      <c r="J29" s="321"/>
      <c r="K29" s="321"/>
      <c r="L29" s="322"/>
      <c r="M29" s="329"/>
      <c r="N29" s="330"/>
      <c r="O29" s="330"/>
      <c r="P29" s="330"/>
      <c r="Q29" s="330"/>
      <c r="R29" s="330"/>
      <c r="S29" s="331"/>
      <c r="T29" s="329"/>
      <c r="U29" s="330"/>
      <c r="V29" s="331"/>
      <c r="W29" s="320"/>
      <c r="X29" s="321"/>
      <c r="Y29" s="322"/>
      <c r="Z29" s="126"/>
      <c r="AA29" s="246"/>
      <c r="AB29" s="246"/>
      <c r="AC29" s="72"/>
      <c r="AD29" s="56"/>
      <c r="AE29" s="56"/>
      <c r="AF29" s="56"/>
      <c r="AG29" s="58"/>
      <c r="AH29" s="292" t="s">
        <v>100</v>
      </c>
      <c r="AI29" s="292"/>
      <c r="AJ29" s="292"/>
      <c r="AK29" s="292"/>
      <c r="AL29" s="293" t="str">
        <f>CG118</f>
        <v>-</v>
      </c>
      <c r="AM29" s="294"/>
      <c r="AN29" s="294"/>
      <c r="AO29" s="57"/>
      <c r="AP29" s="56"/>
      <c r="AQ29" s="56"/>
      <c r="AR29" s="56"/>
      <c r="AS29" s="56"/>
      <c r="AT29" s="56"/>
      <c r="AU29" s="56"/>
      <c r="AV29" s="56"/>
      <c r="AW29" s="56"/>
      <c r="AX29" s="73"/>
      <c r="AY29" s="250"/>
      <c r="AZ29" s="239"/>
      <c r="BA29" s="68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1:67" ht="15.75" customHeight="1" thickBot="1" x14ac:dyDescent="0.35">
      <c r="A30" s="239"/>
      <c r="B30" s="244"/>
      <c r="C30" s="72"/>
      <c r="D30" s="323"/>
      <c r="E30" s="324"/>
      <c r="F30" s="324"/>
      <c r="G30" s="324"/>
      <c r="H30" s="324"/>
      <c r="I30" s="324"/>
      <c r="J30" s="324"/>
      <c r="K30" s="324"/>
      <c r="L30" s="325"/>
      <c r="M30" s="332"/>
      <c r="N30" s="333"/>
      <c r="O30" s="333"/>
      <c r="P30" s="333"/>
      <c r="Q30" s="333"/>
      <c r="R30" s="333"/>
      <c r="S30" s="334"/>
      <c r="T30" s="332"/>
      <c r="U30" s="333"/>
      <c r="V30" s="334"/>
      <c r="W30" s="323"/>
      <c r="X30" s="324"/>
      <c r="Y30" s="325"/>
      <c r="Z30" s="126"/>
      <c r="AA30" s="246"/>
      <c r="AB30" s="246"/>
      <c r="AC30" s="72"/>
      <c r="AD30" s="56"/>
      <c r="AE30" s="56"/>
      <c r="AF30" s="56"/>
      <c r="AG30" s="58"/>
      <c r="AH30" s="292"/>
      <c r="AI30" s="292"/>
      <c r="AJ30" s="292"/>
      <c r="AK30" s="292"/>
      <c r="AL30" s="294"/>
      <c r="AM30" s="294"/>
      <c r="AN30" s="294"/>
      <c r="AO30" s="57"/>
      <c r="AP30" s="56"/>
      <c r="AQ30" s="56"/>
      <c r="AR30" s="56"/>
      <c r="AS30" s="56"/>
      <c r="AT30" s="56"/>
      <c r="AU30" s="56"/>
      <c r="AV30" s="56"/>
      <c r="AW30" s="56"/>
      <c r="AX30" s="73"/>
      <c r="AY30" s="250"/>
      <c r="AZ30" s="239"/>
      <c r="BA30" s="68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1:67" ht="5.25" customHeight="1" thickBot="1" x14ac:dyDescent="0.35">
      <c r="A31" s="239"/>
      <c r="B31" s="244"/>
      <c r="C31" s="72"/>
      <c r="D31" s="302"/>
      <c r="E31" s="286"/>
      <c r="F31" s="286"/>
      <c r="G31" s="286"/>
      <c r="H31" s="286"/>
      <c r="I31" s="286"/>
      <c r="J31" s="286"/>
      <c r="K31" s="286"/>
      <c r="L31" s="303"/>
      <c r="M31" s="304"/>
      <c r="N31" s="305"/>
      <c r="O31" s="305"/>
      <c r="P31" s="305"/>
      <c r="Q31" s="305"/>
      <c r="R31" s="305"/>
      <c r="S31" s="306"/>
      <c r="T31" s="304"/>
      <c r="U31" s="305"/>
      <c r="V31" s="306"/>
      <c r="W31" s="307"/>
      <c r="X31" s="308"/>
      <c r="Y31" s="309"/>
      <c r="Z31" s="126"/>
      <c r="AA31" s="246"/>
      <c r="AB31" s="246"/>
      <c r="AC31" s="72"/>
      <c r="AD31" s="56"/>
      <c r="AE31" s="56"/>
      <c r="AF31" s="56"/>
      <c r="AG31" s="60"/>
      <c r="AH31" s="61"/>
      <c r="AI31" s="61"/>
      <c r="AJ31" s="61"/>
      <c r="AK31" s="61"/>
      <c r="AL31" s="61"/>
      <c r="AM31" s="61"/>
      <c r="AN31" s="61"/>
      <c r="AO31" s="62"/>
      <c r="AP31" s="56"/>
      <c r="AQ31" s="56"/>
      <c r="AR31" s="56"/>
      <c r="AS31" s="56"/>
      <c r="AT31" s="56"/>
      <c r="AU31" s="56"/>
      <c r="AV31" s="56"/>
      <c r="AW31" s="56"/>
      <c r="AX31" s="73"/>
      <c r="AY31" s="250"/>
      <c r="AZ31" s="239"/>
      <c r="BA31" s="68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1:67" ht="15.6" x14ac:dyDescent="0.3">
      <c r="A32" s="239"/>
      <c r="B32" s="244"/>
      <c r="C32" s="72"/>
      <c r="D32" s="310" t="str">
        <f>IF(OR(L10="",L10=0,O10="",O10=0),"-",IF(OR(O10&lt;2015,L10&gt;12),"Alterar o item 1",DATE(BC32,BB32,BA32)))</f>
        <v>-</v>
      </c>
      <c r="E32" s="311"/>
      <c r="F32" s="311"/>
      <c r="G32" s="311"/>
      <c r="H32" s="311"/>
      <c r="I32" s="311"/>
      <c r="J32" s="311"/>
      <c r="K32" s="311"/>
      <c r="L32" s="312"/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4" t="str">
        <f>IF(D32="","",IF(D32="Alterar o item 1","-",IF(D32="-","-",IF(M32+M18-T32&lt;0,0,M32+M18-T32))))</f>
        <v>-</v>
      </c>
      <c r="X32" s="315"/>
      <c r="Y32" s="316"/>
      <c r="Z32" s="130"/>
      <c r="AA32" s="246"/>
      <c r="AB32" s="246"/>
      <c r="AC32" s="72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73"/>
      <c r="AY32" s="250"/>
      <c r="AZ32" s="239"/>
      <c r="BA32" s="67">
        <v>1</v>
      </c>
      <c r="BB32" s="67">
        <f>$L$10</f>
        <v>0</v>
      </c>
      <c r="BC32" s="67">
        <f t="shared" ref="BC32:BC59" si="0">$O$10</f>
        <v>0</v>
      </c>
      <c r="BD32" s="67"/>
      <c r="BE32" s="67"/>
      <c r="BF32" s="67"/>
      <c r="BG32" s="67"/>
      <c r="BH32" s="67"/>
      <c r="BI32" s="67"/>
      <c r="BJ32" s="67"/>
      <c r="BK32" s="67"/>
      <c r="BL32" s="194">
        <v>1</v>
      </c>
      <c r="BO32" s="66">
        <f>IF(D32="","",M32+M18-T32)</f>
        <v>0</v>
      </c>
    </row>
    <row r="33" spans="1:68" ht="15" customHeight="1" x14ac:dyDescent="0.3">
      <c r="A33" s="239"/>
      <c r="B33" s="244"/>
      <c r="C33" s="72"/>
      <c r="D33" s="335" t="str">
        <f>IF(OR($L$10="",$L$10=0,$O$10="",$O$10=0),"-",IF(OR($O$10&lt;2015,$L$10&gt;12),"Alterar o item 1",DATE(BC33,BB33,BA33)))</f>
        <v>-</v>
      </c>
      <c r="E33" s="336"/>
      <c r="F33" s="336"/>
      <c r="G33" s="336"/>
      <c r="H33" s="336"/>
      <c r="I33" s="336"/>
      <c r="J33" s="336"/>
      <c r="K33" s="336"/>
      <c r="L33" s="337"/>
      <c r="M33" s="338"/>
      <c r="N33" s="338"/>
      <c r="O33" s="338"/>
      <c r="P33" s="338"/>
      <c r="Q33" s="338"/>
      <c r="R33" s="338"/>
      <c r="S33" s="338"/>
      <c r="T33" s="338"/>
      <c r="U33" s="338"/>
      <c r="V33" s="338"/>
      <c r="W33" s="339" t="str">
        <f>IF(D33="Alterar o item 1","-",IF(D33="-","-",IF(BO33&gt;=0,BO33,0)))</f>
        <v>-</v>
      </c>
      <c r="X33" s="340"/>
      <c r="Y33" s="341"/>
      <c r="Z33" s="130"/>
      <c r="AA33" s="246"/>
      <c r="AB33" s="246"/>
      <c r="AC33" s="72"/>
      <c r="AD33" s="56"/>
      <c r="AE33" s="56"/>
      <c r="AF33" s="56"/>
      <c r="AG33" s="342" t="str">
        <f>IF(AL27="-","",IF(AH27="IOF a Pagar*:","*Lembramos que é vedado a utilização de documento de arrecadação de receitas federais (DARF) para o pagamento de tributos e contribuições de valor inferior a R$ 10,00, conforme descrito no art. 68 da Lei nº 9.430, de 27 de dezembro de 1996.",IF(AND(AL27&gt;=10,BL54=2),"O imposto deverá ser recolhido utilizando o documento de arrecadação de receitas federais (DARF), sob o código 1150 (Mutuário pessoa jurídica).",IF(AND(AL27&gt;=10,BL54=3),"O imposto deverá ser recolhido utilizando o documento de arrecadação de receitas federais (DARF), sob o código 7893 (Mutuário pessoa física)."))))</f>
        <v/>
      </c>
      <c r="AH33" s="342"/>
      <c r="AI33" s="342"/>
      <c r="AJ33" s="342"/>
      <c r="AK33" s="342"/>
      <c r="AL33" s="342"/>
      <c r="AM33" s="342"/>
      <c r="AN33" s="342"/>
      <c r="AO33" s="342"/>
      <c r="AP33" s="56"/>
      <c r="AQ33" s="56"/>
      <c r="AR33" s="56"/>
      <c r="AS33" s="56"/>
      <c r="AT33" s="56"/>
      <c r="AU33" s="56"/>
      <c r="AV33" s="56"/>
      <c r="AW33" s="56"/>
      <c r="AX33" s="73"/>
      <c r="AY33" s="250"/>
      <c r="AZ33" s="239"/>
      <c r="BA33" s="67">
        <f>BA32+1</f>
        <v>2</v>
      </c>
      <c r="BB33" s="67">
        <f t="shared" ref="BB33:BB59" si="1">$L$10</f>
        <v>0</v>
      </c>
      <c r="BC33" s="67">
        <f t="shared" si="0"/>
        <v>0</v>
      </c>
      <c r="BD33" s="67"/>
      <c r="BE33" s="67"/>
      <c r="BF33" s="67"/>
      <c r="BG33" s="67"/>
      <c r="BH33" s="67"/>
      <c r="BI33" s="67"/>
      <c r="BJ33" s="67"/>
      <c r="BK33" s="67"/>
      <c r="BL33" s="67"/>
      <c r="BO33" s="66">
        <f t="shared" ref="BO33:BO59" si="2">IF(D33="","",M33+BO32-T33)</f>
        <v>0</v>
      </c>
      <c r="BP33" s="66" t="e">
        <f t="shared" ref="BP33:BP59" si="3">IF(D33="","",IF(M33+W32-T33&lt;0,0,M33+W32-T33))</f>
        <v>#VALUE!</v>
      </c>
    </row>
    <row r="34" spans="1:68" ht="15.6" x14ac:dyDescent="0.3">
      <c r="A34" s="239"/>
      <c r="B34" s="244"/>
      <c r="C34" s="72"/>
      <c r="D34" s="310" t="str">
        <f t="shared" ref="D34:D59" si="4">IF(OR($L$10="",$L$10=0,$O$10="",$O$10=0),"-",IF(OR($O$10&lt;2015,$L$10&gt;12),"Alterar o item 1",DATE(BC34,BB34,BA34)))</f>
        <v>-</v>
      </c>
      <c r="E34" s="311"/>
      <c r="F34" s="311"/>
      <c r="G34" s="311"/>
      <c r="H34" s="311"/>
      <c r="I34" s="311"/>
      <c r="J34" s="311"/>
      <c r="K34" s="311"/>
      <c r="L34" s="312"/>
      <c r="M34" s="313"/>
      <c r="N34" s="313"/>
      <c r="O34" s="313"/>
      <c r="P34" s="313"/>
      <c r="Q34" s="313"/>
      <c r="R34" s="313"/>
      <c r="S34" s="313"/>
      <c r="T34" s="313"/>
      <c r="U34" s="313"/>
      <c r="V34" s="313"/>
      <c r="W34" s="314" t="str">
        <f>IF(D34="Alterar o item 1","-",IF(D34="-","-",IF(BO34&gt;=0,BO34,0)))</f>
        <v>-</v>
      </c>
      <c r="X34" s="315"/>
      <c r="Y34" s="316"/>
      <c r="Z34" s="130"/>
      <c r="AA34" s="246"/>
      <c r="AB34" s="246"/>
      <c r="AC34" s="72"/>
      <c r="AD34" s="56"/>
      <c r="AE34" s="56"/>
      <c r="AF34" s="56"/>
      <c r="AG34" s="342"/>
      <c r="AH34" s="342"/>
      <c r="AI34" s="342"/>
      <c r="AJ34" s="342"/>
      <c r="AK34" s="342"/>
      <c r="AL34" s="342"/>
      <c r="AM34" s="342"/>
      <c r="AN34" s="342"/>
      <c r="AO34" s="342"/>
      <c r="AP34" s="56"/>
      <c r="AQ34" s="56"/>
      <c r="AR34" s="56"/>
      <c r="AS34" s="56"/>
      <c r="AT34" s="56"/>
      <c r="AU34" s="56"/>
      <c r="AV34" s="56"/>
      <c r="AW34" s="56"/>
      <c r="AX34" s="73"/>
      <c r="AY34" s="250"/>
      <c r="AZ34" s="239"/>
      <c r="BA34" s="67">
        <f t="shared" ref="BA34:BA59" si="5">BA33+1</f>
        <v>3</v>
      </c>
      <c r="BB34" s="67">
        <f t="shared" si="1"/>
        <v>0</v>
      </c>
      <c r="BC34" s="67">
        <f t="shared" si="0"/>
        <v>0</v>
      </c>
      <c r="BD34" s="67"/>
      <c r="BE34" s="67"/>
      <c r="BF34" s="67"/>
      <c r="BG34" s="67"/>
      <c r="BH34" s="67"/>
      <c r="BI34" s="67"/>
      <c r="BJ34" s="67"/>
      <c r="BK34" s="67"/>
      <c r="BL34" s="67"/>
      <c r="BO34" s="66">
        <f t="shared" si="2"/>
        <v>0</v>
      </c>
      <c r="BP34" s="66" t="e">
        <f t="shared" si="3"/>
        <v>#VALUE!</v>
      </c>
    </row>
    <row r="35" spans="1:68" ht="15.6" x14ac:dyDescent="0.3">
      <c r="A35" s="239"/>
      <c r="B35" s="244"/>
      <c r="C35" s="72"/>
      <c r="D35" s="335" t="str">
        <f t="shared" si="4"/>
        <v>-</v>
      </c>
      <c r="E35" s="336"/>
      <c r="F35" s="336"/>
      <c r="G35" s="336"/>
      <c r="H35" s="336"/>
      <c r="I35" s="336"/>
      <c r="J35" s="336"/>
      <c r="K35" s="336"/>
      <c r="L35" s="337"/>
      <c r="M35" s="338"/>
      <c r="N35" s="338"/>
      <c r="O35" s="338"/>
      <c r="P35" s="338"/>
      <c r="Q35" s="338"/>
      <c r="R35" s="338"/>
      <c r="S35" s="338"/>
      <c r="T35" s="338"/>
      <c r="U35" s="338"/>
      <c r="V35" s="338"/>
      <c r="W35" s="339" t="str">
        <f t="shared" ref="W35:W58" si="6">IF(D35="Alterar o item 1","-",IF(D35="-","-",IF(BO35&gt;=0,BO35,0)))</f>
        <v>-</v>
      </c>
      <c r="X35" s="340"/>
      <c r="Y35" s="341"/>
      <c r="Z35" s="130"/>
      <c r="AA35" s="246"/>
      <c r="AB35" s="246"/>
      <c r="AC35" s="72"/>
      <c r="AD35" s="56"/>
      <c r="AE35" s="56"/>
      <c r="AF35" s="56"/>
      <c r="AG35" s="342"/>
      <c r="AH35" s="342"/>
      <c r="AI35" s="342"/>
      <c r="AJ35" s="342"/>
      <c r="AK35" s="342"/>
      <c r="AL35" s="342"/>
      <c r="AM35" s="342"/>
      <c r="AN35" s="342"/>
      <c r="AO35" s="342"/>
      <c r="AP35" s="56"/>
      <c r="AQ35" s="56"/>
      <c r="AR35" s="56"/>
      <c r="AS35" s="56"/>
      <c r="AT35" s="56"/>
      <c r="AU35" s="56"/>
      <c r="AV35" s="56"/>
      <c r="AW35" s="56"/>
      <c r="AX35" s="73"/>
      <c r="AY35" s="250"/>
      <c r="AZ35" s="239"/>
      <c r="BA35" s="67">
        <f t="shared" si="5"/>
        <v>4</v>
      </c>
      <c r="BB35" s="67">
        <f t="shared" si="1"/>
        <v>0</v>
      </c>
      <c r="BC35" s="67">
        <f t="shared" si="0"/>
        <v>0</v>
      </c>
      <c r="BD35" s="67"/>
      <c r="BE35" s="67"/>
      <c r="BF35" s="67"/>
      <c r="BG35" s="67"/>
      <c r="BH35" s="67"/>
      <c r="BI35" s="67"/>
      <c r="BJ35" s="67"/>
      <c r="BK35" s="67"/>
      <c r="BL35" s="67"/>
      <c r="BO35" s="66">
        <f t="shared" si="2"/>
        <v>0</v>
      </c>
      <c r="BP35" s="66" t="e">
        <f t="shared" si="3"/>
        <v>#VALUE!</v>
      </c>
    </row>
    <row r="36" spans="1:68" ht="15.6" x14ac:dyDescent="0.3">
      <c r="A36" s="239"/>
      <c r="B36" s="244"/>
      <c r="C36" s="72"/>
      <c r="D36" s="310" t="str">
        <f t="shared" si="4"/>
        <v>-</v>
      </c>
      <c r="E36" s="311"/>
      <c r="F36" s="311"/>
      <c r="G36" s="311"/>
      <c r="H36" s="311"/>
      <c r="I36" s="311"/>
      <c r="J36" s="311"/>
      <c r="K36" s="311"/>
      <c r="L36" s="312"/>
      <c r="M36" s="313"/>
      <c r="N36" s="313"/>
      <c r="O36" s="313"/>
      <c r="P36" s="313"/>
      <c r="Q36" s="313"/>
      <c r="R36" s="313"/>
      <c r="S36" s="313"/>
      <c r="T36" s="313"/>
      <c r="U36" s="313"/>
      <c r="V36" s="313"/>
      <c r="W36" s="314" t="str">
        <f t="shared" si="6"/>
        <v>-</v>
      </c>
      <c r="X36" s="315"/>
      <c r="Y36" s="316"/>
      <c r="Z36" s="130"/>
      <c r="AA36" s="246"/>
      <c r="AB36" s="246"/>
      <c r="AC36" s="72"/>
      <c r="AD36" s="56"/>
      <c r="AE36" s="56"/>
      <c r="AF36" s="56"/>
      <c r="AG36" s="342"/>
      <c r="AH36" s="342"/>
      <c r="AI36" s="342"/>
      <c r="AJ36" s="342"/>
      <c r="AK36" s="342"/>
      <c r="AL36" s="342"/>
      <c r="AM36" s="342"/>
      <c r="AN36" s="342"/>
      <c r="AO36" s="342"/>
      <c r="AP36" s="56"/>
      <c r="AQ36" s="56"/>
      <c r="AR36" s="56"/>
      <c r="AS36" s="56"/>
      <c r="AT36" s="56"/>
      <c r="AU36" s="56"/>
      <c r="AV36" s="56"/>
      <c r="AW36" s="56"/>
      <c r="AX36" s="73"/>
      <c r="AY36" s="250"/>
      <c r="AZ36" s="239"/>
      <c r="BA36" s="67">
        <f t="shared" si="5"/>
        <v>5</v>
      </c>
      <c r="BB36" s="67">
        <f t="shared" si="1"/>
        <v>0</v>
      </c>
      <c r="BC36" s="67">
        <f t="shared" si="0"/>
        <v>0</v>
      </c>
      <c r="BD36" s="67"/>
      <c r="BE36" s="67"/>
      <c r="BF36" s="67"/>
      <c r="BG36" s="67"/>
      <c r="BH36" s="67"/>
      <c r="BI36" s="67"/>
      <c r="BJ36" s="67"/>
      <c r="BK36" s="67"/>
      <c r="BL36" s="67" t="s">
        <v>101</v>
      </c>
      <c r="BO36" s="66">
        <f t="shared" si="2"/>
        <v>0</v>
      </c>
      <c r="BP36" s="66" t="e">
        <f t="shared" si="3"/>
        <v>#VALUE!</v>
      </c>
    </row>
    <row r="37" spans="1:68" ht="15.6" x14ac:dyDescent="0.3">
      <c r="A37" s="239"/>
      <c r="B37" s="244"/>
      <c r="C37" s="72"/>
      <c r="D37" s="335" t="str">
        <f t="shared" si="4"/>
        <v>-</v>
      </c>
      <c r="E37" s="336"/>
      <c r="F37" s="336"/>
      <c r="G37" s="336"/>
      <c r="H37" s="336"/>
      <c r="I37" s="336"/>
      <c r="J37" s="336"/>
      <c r="K37" s="336"/>
      <c r="L37" s="337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9" t="str">
        <f t="shared" si="6"/>
        <v>-</v>
      </c>
      <c r="X37" s="340"/>
      <c r="Y37" s="341"/>
      <c r="Z37" s="130"/>
      <c r="AA37" s="246"/>
      <c r="AB37" s="246"/>
      <c r="AC37" s="72"/>
      <c r="AD37" s="56"/>
      <c r="AE37" s="56"/>
      <c r="AF37" s="56"/>
      <c r="AG37" s="342"/>
      <c r="AH37" s="342"/>
      <c r="AI37" s="342"/>
      <c r="AJ37" s="342"/>
      <c r="AK37" s="342"/>
      <c r="AL37" s="342"/>
      <c r="AM37" s="342"/>
      <c r="AN37" s="342"/>
      <c r="AO37" s="342"/>
      <c r="AP37" s="56"/>
      <c r="AQ37" s="56"/>
      <c r="AR37" s="56"/>
      <c r="AS37" s="56"/>
      <c r="AT37" s="56"/>
      <c r="AU37" s="56"/>
      <c r="AV37" s="56"/>
      <c r="AW37" s="56"/>
      <c r="AX37" s="73"/>
      <c r="AY37" s="250"/>
      <c r="AZ37" s="239"/>
      <c r="BA37" s="67">
        <f t="shared" si="5"/>
        <v>6</v>
      </c>
      <c r="BB37" s="67">
        <f t="shared" si="1"/>
        <v>0</v>
      </c>
      <c r="BC37" s="67">
        <f t="shared" si="0"/>
        <v>0</v>
      </c>
      <c r="BD37" s="67"/>
      <c r="BE37" s="67"/>
      <c r="BF37" s="67"/>
      <c r="BG37" s="67"/>
      <c r="BH37" s="67"/>
      <c r="BI37" s="67"/>
      <c r="BJ37" s="67"/>
      <c r="BK37" s="67"/>
      <c r="BL37" s="67" t="s">
        <v>102</v>
      </c>
      <c r="BO37" s="66">
        <f t="shared" si="2"/>
        <v>0</v>
      </c>
      <c r="BP37" s="66" t="e">
        <f t="shared" si="3"/>
        <v>#VALUE!</v>
      </c>
    </row>
    <row r="38" spans="1:68" ht="15.6" x14ac:dyDescent="0.3">
      <c r="A38" s="239"/>
      <c r="B38" s="244"/>
      <c r="C38" s="72"/>
      <c r="D38" s="310" t="str">
        <f t="shared" si="4"/>
        <v>-</v>
      </c>
      <c r="E38" s="311"/>
      <c r="F38" s="311"/>
      <c r="G38" s="311"/>
      <c r="H38" s="311"/>
      <c r="I38" s="311"/>
      <c r="J38" s="311"/>
      <c r="K38" s="311"/>
      <c r="L38" s="312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4" t="str">
        <f t="shared" si="6"/>
        <v>-</v>
      </c>
      <c r="X38" s="315"/>
      <c r="Y38" s="316"/>
      <c r="Z38" s="130"/>
      <c r="AA38" s="246"/>
      <c r="AB38" s="246"/>
      <c r="AC38" s="72"/>
      <c r="AD38" s="56"/>
      <c r="AE38" s="56"/>
      <c r="AF38" s="56"/>
      <c r="AG38" s="342"/>
      <c r="AH38" s="342"/>
      <c r="AI38" s="342"/>
      <c r="AJ38" s="342"/>
      <c r="AK38" s="342"/>
      <c r="AL38" s="342"/>
      <c r="AM38" s="342"/>
      <c r="AN38" s="342"/>
      <c r="AO38" s="342"/>
      <c r="AP38" s="56"/>
      <c r="AQ38" s="56"/>
      <c r="AR38" s="56"/>
      <c r="AS38" s="56"/>
      <c r="AT38" s="56"/>
      <c r="AU38" s="56"/>
      <c r="AV38" s="56"/>
      <c r="AW38" s="56"/>
      <c r="AX38" s="73"/>
      <c r="AY38" s="250"/>
      <c r="AZ38" s="239"/>
      <c r="BA38" s="67">
        <f t="shared" si="5"/>
        <v>7</v>
      </c>
      <c r="BB38" s="67">
        <f t="shared" si="1"/>
        <v>0</v>
      </c>
      <c r="BC38" s="67">
        <f t="shared" si="0"/>
        <v>0</v>
      </c>
      <c r="BD38" s="67"/>
      <c r="BE38" s="67"/>
      <c r="BF38" s="67"/>
      <c r="BG38" s="67"/>
      <c r="BH38" s="67"/>
      <c r="BI38" s="67"/>
      <c r="BJ38" s="67"/>
      <c r="BK38" s="67"/>
      <c r="BL38" s="67"/>
      <c r="BO38" s="66">
        <f t="shared" si="2"/>
        <v>0</v>
      </c>
      <c r="BP38" s="66" t="e">
        <f t="shared" si="3"/>
        <v>#VALUE!</v>
      </c>
    </row>
    <row r="39" spans="1:68" ht="16.2" thickBot="1" x14ac:dyDescent="0.35">
      <c r="A39" s="239"/>
      <c r="B39" s="244"/>
      <c r="C39" s="72"/>
      <c r="D39" s="335" t="str">
        <f t="shared" si="4"/>
        <v>-</v>
      </c>
      <c r="E39" s="336"/>
      <c r="F39" s="336"/>
      <c r="G39" s="336"/>
      <c r="H39" s="336"/>
      <c r="I39" s="336"/>
      <c r="J39" s="336"/>
      <c r="K39" s="336"/>
      <c r="L39" s="337"/>
      <c r="M39" s="338"/>
      <c r="N39" s="338"/>
      <c r="O39" s="338"/>
      <c r="P39" s="338"/>
      <c r="Q39" s="338"/>
      <c r="R39" s="338"/>
      <c r="S39" s="338"/>
      <c r="T39" s="338"/>
      <c r="U39" s="338"/>
      <c r="V39" s="338"/>
      <c r="W39" s="339" t="str">
        <f t="shared" si="6"/>
        <v>-</v>
      </c>
      <c r="X39" s="340"/>
      <c r="Y39" s="341"/>
      <c r="Z39" s="130"/>
      <c r="AA39" s="246"/>
      <c r="AB39" s="246"/>
      <c r="AC39" s="74"/>
      <c r="AD39" s="75"/>
      <c r="AE39" s="75"/>
      <c r="AF39" s="75"/>
      <c r="AG39" s="131"/>
      <c r="AH39" s="131"/>
      <c r="AI39" s="131"/>
      <c r="AJ39" s="131"/>
      <c r="AK39" s="131"/>
      <c r="AL39" s="131"/>
      <c r="AM39" s="131"/>
      <c r="AN39" s="131"/>
      <c r="AO39" s="131"/>
      <c r="AP39" s="75"/>
      <c r="AQ39" s="75"/>
      <c r="AR39" s="75"/>
      <c r="AS39" s="75"/>
      <c r="AT39" s="75"/>
      <c r="AU39" s="75"/>
      <c r="AV39" s="75"/>
      <c r="AW39" s="75"/>
      <c r="AX39" s="76"/>
      <c r="AY39" s="250"/>
      <c r="AZ39" s="239"/>
      <c r="BA39" s="67">
        <f t="shared" si="5"/>
        <v>8</v>
      </c>
      <c r="BB39" s="67">
        <f t="shared" si="1"/>
        <v>0</v>
      </c>
      <c r="BC39" s="67">
        <f t="shared" si="0"/>
        <v>0</v>
      </c>
      <c r="BD39" s="67"/>
      <c r="BE39" s="67"/>
      <c r="BF39" s="67"/>
      <c r="BG39" s="67"/>
      <c r="BH39" s="67"/>
      <c r="BI39" s="67"/>
      <c r="BJ39" s="67"/>
      <c r="BK39" s="67"/>
      <c r="BL39" s="67"/>
      <c r="BO39" s="66">
        <f t="shared" si="2"/>
        <v>0</v>
      </c>
      <c r="BP39" s="66" t="e">
        <f t="shared" si="3"/>
        <v>#VALUE!</v>
      </c>
    </row>
    <row r="40" spans="1:68" ht="15.6" x14ac:dyDescent="0.3">
      <c r="A40" s="239"/>
      <c r="B40" s="244"/>
      <c r="C40" s="72"/>
      <c r="D40" s="310" t="str">
        <f t="shared" si="4"/>
        <v>-</v>
      </c>
      <c r="E40" s="311"/>
      <c r="F40" s="311"/>
      <c r="G40" s="311"/>
      <c r="H40" s="311"/>
      <c r="I40" s="311"/>
      <c r="J40" s="311"/>
      <c r="K40" s="311"/>
      <c r="L40" s="312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4" t="str">
        <f t="shared" si="6"/>
        <v>-</v>
      </c>
      <c r="X40" s="315"/>
      <c r="Y40" s="316"/>
      <c r="Z40" s="130"/>
      <c r="AA40" s="246"/>
      <c r="AB40" s="246"/>
      <c r="AC40" s="246"/>
      <c r="AD40" s="246"/>
      <c r="AE40" s="246"/>
      <c r="AF40" s="246"/>
      <c r="AG40" s="253"/>
      <c r="AH40" s="253"/>
      <c r="AI40" s="253"/>
      <c r="AJ40" s="253"/>
      <c r="AK40" s="253"/>
      <c r="AL40" s="253"/>
      <c r="AM40" s="253"/>
      <c r="AN40" s="253"/>
      <c r="AO40" s="253"/>
      <c r="AP40" s="246"/>
      <c r="AQ40" s="246"/>
      <c r="AR40" s="246"/>
      <c r="AS40" s="246"/>
      <c r="AT40" s="246"/>
      <c r="AU40" s="246"/>
      <c r="AV40" s="246"/>
      <c r="AW40" s="246"/>
      <c r="AX40" s="246"/>
      <c r="AY40" s="250"/>
      <c r="AZ40" s="239"/>
      <c r="BA40" s="67">
        <f>BA39+1</f>
        <v>9</v>
      </c>
      <c r="BB40" s="67">
        <f t="shared" si="1"/>
        <v>0</v>
      </c>
      <c r="BC40" s="67">
        <f t="shared" si="0"/>
        <v>0</v>
      </c>
      <c r="BD40" s="67"/>
      <c r="BE40" s="67"/>
      <c r="BF40" s="67"/>
      <c r="BG40" s="67"/>
      <c r="BH40" s="67"/>
      <c r="BI40" s="67"/>
      <c r="BJ40" s="67"/>
      <c r="BK40" s="67"/>
      <c r="BL40" s="67"/>
      <c r="BO40" s="66">
        <f t="shared" si="2"/>
        <v>0</v>
      </c>
      <c r="BP40" s="66" t="e">
        <f t="shared" si="3"/>
        <v>#VALUE!</v>
      </c>
    </row>
    <row r="41" spans="1:68" ht="15.6" x14ac:dyDescent="0.3">
      <c r="A41" s="239"/>
      <c r="B41" s="244"/>
      <c r="C41" s="72"/>
      <c r="D41" s="335" t="str">
        <f t="shared" si="4"/>
        <v>-</v>
      </c>
      <c r="E41" s="336"/>
      <c r="F41" s="336"/>
      <c r="G41" s="336"/>
      <c r="H41" s="336"/>
      <c r="I41" s="336"/>
      <c r="J41" s="336"/>
      <c r="K41" s="336"/>
      <c r="L41" s="337"/>
      <c r="M41" s="338"/>
      <c r="N41" s="338"/>
      <c r="O41" s="338"/>
      <c r="P41" s="338"/>
      <c r="Q41" s="338"/>
      <c r="R41" s="338"/>
      <c r="S41" s="338"/>
      <c r="T41" s="338"/>
      <c r="U41" s="338"/>
      <c r="V41" s="338"/>
      <c r="W41" s="339" t="str">
        <f t="shared" si="6"/>
        <v>-</v>
      </c>
      <c r="X41" s="340"/>
      <c r="Y41" s="341"/>
      <c r="Z41" s="130"/>
      <c r="AA41" s="246"/>
      <c r="AB41" s="246"/>
      <c r="AC41" s="246"/>
      <c r="AD41" s="246"/>
      <c r="AE41" s="246"/>
      <c r="AF41" s="246"/>
      <c r="AG41" s="246"/>
      <c r="AH41" s="246"/>
      <c r="AI41" s="246"/>
      <c r="AJ41" s="246"/>
      <c r="AK41" s="246"/>
      <c r="AL41" s="246"/>
      <c r="AM41" s="246"/>
      <c r="AN41" s="246"/>
      <c r="AO41" s="246"/>
      <c r="AP41" s="246"/>
      <c r="AQ41" s="246"/>
      <c r="AR41" s="246"/>
      <c r="AS41" s="246"/>
      <c r="AT41" s="246"/>
      <c r="AU41" s="246"/>
      <c r="AV41" s="246"/>
      <c r="AW41" s="246"/>
      <c r="AX41" s="246"/>
      <c r="AY41" s="250"/>
      <c r="AZ41" s="239"/>
      <c r="BA41" s="67">
        <f t="shared" si="5"/>
        <v>10</v>
      </c>
      <c r="BB41" s="67">
        <f t="shared" si="1"/>
        <v>0</v>
      </c>
      <c r="BC41" s="67">
        <f t="shared" si="0"/>
        <v>0</v>
      </c>
      <c r="BD41" s="67"/>
      <c r="BE41" s="67"/>
      <c r="BF41" s="67"/>
      <c r="BG41" s="67"/>
      <c r="BH41" s="67"/>
      <c r="BI41" s="67"/>
      <c r="BJ41" s="67"/>
      <c r="BK41" s="67"/>
      <c r="BL41" s="67"/>
      <c r="BO41" s="66">
        <f t="shared" si="2"/>
        <v>0</v>
      </c>
      <c r="BP41" s="66" t="e">
        <f t="shared" si="3"/>
        <v>#VALUE!</v>
      </c>
    </row>
    <row r="42" spans="1:68" ht="15.6" x14ac:dyDescent="0.3">
      <c r="A42" s="239"/>
      <c r="B42" s="244"/>
      <c r="C42" s="72"/>
      <c r="D42" s="310" t="str">
        <f t="shared" si="4"/>
        <v>-</v>
      </c>
      <c r="E42" s="311"/>
      <c r="F42" s="311"/>
      <c r="G42" s="311"/>
      <c r="H42" s="311"/>
      <c r="I42" s="311"/>
      <c r="J42" s="311"/>
      <c r="K42" s="311"/>
      <c r="L42" s="312"/>
      <c r="M42" s="313"/>
      <c r="N42" s="313"/>
      <c r="O42" s="313"/>
      <c r="P42" s="313"/>
      <c r="Q42" s="313"/>
      <c r="R42" s="313"/>
      <c r="S42" s="313"/>
      <c r="T42" s="313"/>
      <c r="U42" s="313"/>
      <c r="V42" s="313"/>
      <c r="W42" s="314" t="str">
        <f t="shared" si="6"/>
        <v>-</v>
      </c>
      <c r="X42" s="315"/>
      <c r="Y42" s="316"/>
      <c r="Z42" s="130"/>
      <c r="AA42" s="246"/>
      <c r="AB42" s="246"/>
      <c r="AC42" s="246"/>
      <c r="AD42" s="246"/>
      <c r="AE42" s="246"/>
      <c r="AF42" s="246"/>
      <c r="AG42" s="246"/>
      <c r="AH42" s="246"/>
      <c r="AI42" s="246"/>
      <c r="AJ42" s="246"/>
      <c r="AK42" s="246"/>
      <c r="AL42" s="246"/>
      <c r="AM42" s="246"/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50"/>
      <c r="AZ42" s="239"/>
      <c r="BA42" s="67">
        <f t="shared" si="5"/>
        <v>11</v>
      </c>
      <c r="BB42" s="67">
        <f t="shared" si="1"/>
        <v>0</v>
      </c>
      <c r="BC42" s="67">
        <f t="shared" si="0"/>
        <v>0</v>
      </c>
      <c r="BD42" s="67"/>
      <c r="BE42" s="67"/>
      <c r="BF42" s="67"/>
      <c r="BG42" s="67"/>
      <c r="BH42" s="67"/>
      <c r="BI42" s="67"/>
      <c r="BJ42" s="67"/>
      <c r="BK42" s="67"/>
      <c r="BL42" s="67"/>
      <c r="BO42" s="66">
        <f t="shared" si="2"/>
        <v>0</v>
      </c>
      <c r="BP42" s="66" t="e">
        <f t="shared" si="3"/>
        <v>#VALUE!</v>
      </c>
    </row>
    <row r="43" spans="1:68" ht="15.6" x14ac:dyDescent="0.3">
      <c r="A43" s="239"/>
      <c r="B43" s="244"/>
      <c r="C43" s="72"/>
      <c r="D43" s="335" t="str">
        <f t="shared" si="4"/>
        <v>-</v>
      </c>
      <c r="E43" s="336"/>
      <c r="F43" s="336"/>
      <c r="G43" s="336"/>
      <c r="H43" s="336"/>
      <c r="I43" s="336"/>
      <c r="J43" s="336"/>
      <c r="K43" s="336"/>
      <c r="L43" s="337"/>
      <c r="M43" s="338"/>
      <c r="N43" s="338"/>
      <c r="O43" s="338"/>
      <c r="P43" s="338"/>
      <c r="Q43" s="338"/>
      <c r="R43" s="338"/>
      <c r="S43" s="338"/>
      <c r="T43" s="338"/>
      <c r="U43" s="338"/>
      <c r="V43" s="338"/>
      <c r="W43" s="339" t="str">
        <f t="shared" si="6"/>
        <v>-</v>
      </c>
      <c r="X43" s="340"/>
      <c r="Y43" s="341"/>
      <c r="Z43" s="130"/>
      <c r="AA43" s="246"/>
      <c r="AB43" s="246"/>
      <c r="AC43" s="246"/>
      <c r="AD43" s="246"/>
      <c r="AE43" s="246"/>
      <c r="AF43" s="246"/>
      <c r="AG43" s="246"/>
      <c r="AH43" s="246"/>
      <c r="AI43" s="246"/>
      <c r="AJ43" s="246"/>
      <c r="AK43" s="246"/>
      <c r="AL43" s="246"/>
      <c r="AM43" s="246"/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50"/>
      <c r="AZ43" s="239"/>
      <c r="BA43" s="67">
        <f t="shared" si="5"/>
        <v>12</v>
      </c>
      <c r="BB43" s="67">
        <f t="shared" si="1"/>
        <v>0</v>
      </c>
      <c r="BC43" s="67">
        <f t="shared" si="0"/>
        <v>0</v>
      </c>
      <c r="BD43" s="67"/>
      <c r="BE43" s="67"/>
      <c r="BF43" s="67"/>
      <c r="BG43" s="67"/>
      <c r="BH43" s="67"/>
      <c r="BI43" s="67"/>
      <c r="BJ43" s="67"/>
      <c r="BK43" s="67"/>
      <c r="BL43" s="67" t="s">
        <v>103</v>
      </c>
      <c r="BO43" s="66">
        <f t="shared" si="2"/>
        <v>0</v>
      </c>
      <c r="BP43" s="66" t="e">
        <f t="shared" si="3"/>
        <v>#VALUE!</v>
      </c>
    </row>
    <row r="44" spans="1:68" ht="15.6" x14ac:dyDescent="0.3">
      <c r="A44" s="239"/>
      <c r="B44" s="244"/>
      <c r="C44" s="72"/>
      <c r="D44" s="310" t="str">
        <f t="shared" si="4"/>
        <v>-</v>
      </c>
      <c r="E44" s="311"/>
      <c r="F44" s="311"/>
      <c r="G44" s="311"/>
      <c r="H44" s="311"/>
      <c r="I44" s="311"/>
      <c r="J44" s="311"/>
      <c r="K44" s="311"/>
      <c r="L44" s="312"/>
      <c r="M44" s="313"/>
      <c r="N44" s="313"/>
      <c r="O44" s="313"/>
      <c r="P44" s="313"/>
      <c r="Q44" s="313"/>
      <c r="R44" s="313"/>
      <c r="S44" s="313"/>
      <c r="T44" s="313"/>
      <c r="U44" s="313"/>
      <c r="V44" s="313"/>
      <c r="W44" s="314" t="str">
        <f t="shared" si="6"/>
        <v>-</v>
      </c>
      <c r="X44" s="315"/>
      <c r="Y44" s="316"/>
      <c r="Z44" s="130"/>
      <c r="AA44" s="246"/>
      <c r="AB44" s="246"/>
      <c r="AC44" s="246"/>
      <c r="AD44" s="246"/>
      <c r="AE44" s="246"/>
      <c r="AF44" s="246"/>
      <c r="AG44" s="246"/>
      <c r="AH44" s="246"/>
      <c r="AI44" s="246"/>
      <c r="AJ44" s="246"/>
      <c r="AK44" s="246"/>
      <c r="AL44" s="246"/>
      <c r="AM44" s="246"/>
      <c r="AN44" s="246"/>
      <c r="AO44" s="246"/>
      <c r="AP44" s="246"/>
      <c r="AQ44" s="246"/>
      <c r="AR44" s="246"/>
      <c r="AS44" s="246"/>
      <c r="AT44" s="246"/>
      <c r="AU44" s="246"/>
      <c r="AV44" s="246"/>
      <c r="AW44" s="246"/>
      <c r="AX44" s="246"/>
      <c r="AY44" s="250"/>
      <c r="AZ44" s="239"/>
      <c r="BA44" s="67">
        <f t="shared" si="5"/>
        <v>13</v>
      </c>
      <c r="BB44" s="67">
        <f t="shared" si="1"/>
        <v>0</v>
      </c>
      <c r="BC44" s="67">
        <f t="shared" si="0"/>
        <v>0</v>
      </c>
      <c r="BD44" s="67"/>
      <c r="BE44" s="67"/>
      <c r="BF44" s="67"/>
      <c r="BG44" s="67"/>
      <c r="BH44" s="67"/>
      <c r="BI44" s="67"/>
      <c r="BJ44" s="67"/>
      <c r="BK44" s="67"/>
      <c r="BL44" s="67"/>
      <c r="BO44" s="66">
        <f t="shared" si="2"/>
        <v>0</v>
      </c>
      <c r="BP44" s="66" t="e">
        <f t="shared" si="3"/>
        <v>#VALUE!</v>
      </c>
    </row>
    <row r="45" spans="1:68" ht="15.6" x14ac:dyDescent="0.3">
      <c r="A45" s="239"/>
      <c r="B45" s="244"/>
      <c r="C45" s="72"/>
      <c r="D45" s="335" t="str">
        <f t="shared" si="4"/>
        <v>-</v>
      </c>
      <c r="E45" s="336"/>
      <c r="F45" s="336"/>
      <c r="G45" s="336"/>
      <c r="H45" s="336"/>
      <c r="I45" s="336"/>
      <c r="J45" s="336"/>
      <c r="K45" s="336"/>
      <c r="L45" s="337"/>
      <c r="M45" s="338"/>
      <c r="N45" s="338"/>
      <c r="O45" s="338"/>
      <c r="P45" s="338"/>
      <c r="Q45" s="338"/>
      <c r="R45" s="338"/>
      <c r="S45" s="338"/>
      <c r="T45" s="338"/>
      <c r="U45" s="338"/>
      <c r="V45" s="338"/>
      <c r="W45" s="339" t="str">
        <f t="shared" si="6"/>
        <v>-</v>
      </c>
      <c r="X45" s="340"/>
      <c r="Y45" s="341"/>
      <c r="Z45" s="130"/>
      <c r="AA45" s="246"/>
      <c r="AB45" s="246"/>
      <c r="AC45" s="246"/>
      <c r="AD45" s="246"/>
      <c r="AE45" s="246"/>
      <c r="AF45" s="246"/>
      <c r="AG45" s="246"/>
      <c r="AH45" s="246"/>
      <c r="AI45" s="246"/>
      <c r="AJ45" s="246"/>
      <c r="AK45" s="246"/>
      <c r="AL45" s="246"/>
      <c r="AM45" s="246"/>
      <c r="AN45" s="246"/>
      <c r="AO45" s="246"/>
      <c r="AP45" s="246"/>
      <c r="AQ45" s="246"/>
      <c r="AR45" s="246"/>
      <c r="AS45" s="246"/>
      <c r="AT45" s="246"/>
      <c r="AU45" s="246"/>
      <c r="AV45" s="246"/>
      <c r="AW45" s="246"/>
      <c r="AX45" s="246"/>
      <c r="AY45" s="250"/>
      <c r="AZ45" s="239"/>
      <c r="BA45" s="67">
        <f t="shared" si="5"/>
        <v>14</v>
      </c>
      <c r="BB45" s="67">
        <f t="shared" si="1"/>
        <v>0</v>
      </c>
      <c r="BC45" s="67">
        <f t="shared" si="0"/>
        <v>0</v>
      </c>
      <c r="BD45" s="67"/>
      <c r="BE45" s="67"/>
      <c r="BF45" s="67"/>
      <c r="BG45" s="67"/>
      <c r="BH45" s="67"/>
      <c r="BI45" s="67"/>
      <c r="BJ45" s="67"/>
      <c r="BK45" s="67"/>
      <c r="BL45" s="67" t="s">
        <v>101</v>
      </c>
      <c r="BO45" s="66">
        <f t="shared" si="2"/>
        <v>0</v>
      </c>
      <c r="BP45" s="66" t="e">
        <f t="shared" si="3"/>
        <v>#VALUE!</v>
      </c>
    </row>
    <row r="46" spans="1:68" ht="15.6" x14ac:dyDescent="0.3">
      <c r="A46" s="239"/>
      <c r="B46" s="244"/>
      <c r="C46" s="72"/>
      <c r="D46" s="310" t="str">
        <f t="shared" si="4"/>
        <v>-</v>
      </c>
      <c r="E46" s="311"/>
      <c r="F46" s="311"/>
      <c r="G46" s="311"/>
      <c r="H46" s="311"/>
      <c r="I46" s="311"/>
      <c r="J46" s="311"/>
      <c r="K46" s="311"/>
      <c r="L46" s="312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4" t="str">
        <f t="shared" si="6"/>
        <v>-</v>
      </c>
      <c r="X46" s="315"/>
      <c r="Y46" s="316"/>
      <c r="Z46" s="130"/>
      <c r="AA46" s="246"/>
      <c r="AB46" s="246"/>
      <c r="AC46" s="246"/>
      <c r="AD46" s="246"/>
      <c r="AE46" s="246"/>
      <c r="AF46" s="246"/>
      <c r="AG46" s="246"/>
      <c r="AH46" s="246"/>
      <c r="AI46" s="246"/>
      <c r="AJ46" s="246"/>
      <c r="AK46" s="246"/>
      <c r="AL46" s="246"/>
      <c r="AM46" s="246"/>
      <c r="AN46" s="246"/>
      <c r="AO46" s="246"/>
      <c r="AP46" s="246"/>
      <c r="AQ46" s="246"/>
      <c r="AR46" s="246"/>
      <c r="AS46" s="246"/>
      <c r="AT46" s="246"/>
      <c r="AU46" s="246"/>
      <c r="AV46" s="246"/>
      <c r="AW46" s="246"/>
      <c r="AX46" s="246"/>
      <c r="AY46" s="250"/>
      <c r="AZ46" s="239"/>
      <c r="BA46" s="67">
        <f t="shared" si="5"/>
        <v>15</v>
      </c>
      <c r="BB46" s="67">
        <f t="shared" si="1"/>
        <v>0</v>
      </c>
      <c r="BC46" s="67">
        <f t="shared" si="0"/>
        <v>0</v>
      </c>
      <c r="BD46" s="67"/>
      <c r="BE46" s="67"/>
      <c r="BF46" s="67"/>
      <c r="BG46" s="67"/>
      <c r="BH46" s="67"/>
      <c r="BI46" s="67"/>
      <c r="BJ46" s="67"/>
      <c r="BK46" s="67"/>
      <c r="BL46" s="67" t="s">
        <v>102</v>
      </c>
      <c r="BO46" s="66">
        <f t="shared" si="2"/>
        <v>0</v>
      </c>
      <c r="BP46" s="66" t="e">
        <f t="shared" si="3"/>
        <v>#VALUE!</v>
      </c>
    </row>
    <row r="47" spans="1:68" ht="15.6" x14ac:dyDescent="0.3">
      <c r="A47" s="239"/>
      <c r="B47" s="244"/>
      <c r="C47" s="72"/>
      <c r="D47" s="335" t="str">
        <f t="shared" si="4"/>
        <v>-</v>
      </c>
      <c r="E47" s="336"/>
      <c r="F47" s="336"/>
      <c r="G47" s="336"/>
      <c r="H47" s="336"/>
      <c r="I47" s="336"/>
      <c r="J47" s="336"/>
      <c r="K47" s="336"/>
      <c r="L47" s="337"/>
      <c r="M47" s="338"/>
      <c r="N47" s="338"/>
      <c r="O47" s="338"/>
      <c r="P47" s="338"/>
      <c r="Q47" s="338"/>
      <c r="R47" s="338"/>
      <c r="S47" s="338"/>
      <c r="T47" s="338"/>
      <c r="U47" s="338"/>
      <c r="V47" s="338"/>
      <c r="W47" s="339" t="str">
        <f t="shared" si="6"/>
        <v>-</v>
      </c>
      <c r="X47" s="340"/>
      <c r="Y47" s="341"/>
      <c r="Z47" s="130"/>
      <c r="AA47" s="246"/>
      <c r="AB47" s="246"/>
      <c r="AC47" s="246"/>
      <c r="AD47" s="246"/>
      <c r="AE47" s="246"/>
      <c r="AF47" s="246"/>
      <c r="AG47" s="246"/>
      <c r="AH47" s="246"/>
      <c r="AI47" s="246"/>
      <c r="AJ47" s="246"/>
      <c r="AK47" s="246"/>
      <c r="AL47" s="246"/>
      <c r="AM47" s="246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50"/>
      <c r="AZ47" s="239"/>
      <c r="BA47" s="67">
        <f t="shared" si="5"/>
        <v>16</v>
      </c>
      <c r="BB47" s="67">
        <f t="shared" si="1"/>
        <v>0</v>
      </c>
      <c r="BC47" s="67">
        <f t="shared" si="0"/>
        <v>0</v>
      </c>
      <c r="BD47" s="67"/>
      <c r="BE47" s="67"/>
      <c r="BF47" s="67"/>
      <c r="BG47" s="67"/>
      <c r="BH47" s="67"/>
      <c r="BI47" s="67"/>
      <c r="BJ47" s="67"/>
      <c r="BK47" s="67"/>
      <c r="BL47" s="67"/>
      <c r="BO47" s="66">
        <f t="shared" si="2"/>
        <v>0</v>
      </c>
      <c r="BP47" s="66" t="e">
        <f t="shared" si="3"/>
        <v>#VALUE!</v>
      </c>
    </row>
    <row r="48" spans="1:68" ht="15.6" x14ac:dyDescent="0.3">
      <c r="A48" s="239"/>
      <c r="B48" s="244"/>
      <c r="C48" s="72"/>
      <c r="D48" s="310" t="str">
        <f t="shared" si="4"/>
        <v>-</v>
      </c>
      <c r="E48" s="311"/>
      <c r="F48" s="311"/>
      <c r="G48" s="311"/>
      <c r="H48" s="311"/>
      <c r="I48" s="311"/>
      <c r="J48" s="311"/>
      <c r="K48" s="311"/>
      <c r="L48" s="312"/>
      <c r="M48" s="313"/>
      <c r="N48" s="313"/>
      <c r="O48" s="313"/>
      <c r="P48" s="313"/>
      <c r="Q48" s="313"/>
      <c r="R48" s="313"/>
      <c r="S48" s="313"/>
      <c r="T48" s="313"/>
      <c r="U48" s="313"/>
      <c r="V48" s="313"/>
      <c r="W48" s="314" t="str">
        <f t="shared" si="6"/>
        <v>-</v>
      </c>
      <c r="X48" s="315"/>
      <c r="Y48" s="316"/>
      <c r="Z48" s="130"/>
      <c r="AA48" s="246"/>
      <c r="AB48" s="246"/>
      <c r="AC48" s="246"/>
      <c r="AD48" s="246"/>
      <c r="AE48" s="246"/>
      <c r="AF48" s="246"/>
      <c r="AG48" s="246"/>
      <c r="AH48" s="246"/>
      <c r="AI48" s="246"/>
      <c r="AJ48" s="246"/>
      <c r="AK48" s="246"/>
      <c r="AL48" s="246"/>
      <c r="AM48" s="246"/>
      <c r="AN48" s="246"/>
      <c r="AO48" s="246"/>
      <c r="AP48" s="246"/>
      <c r="AQ48" s="246"/>
      <c r="AR48" s="246"/>
      <c r="AS48" s="246"/>
      <c r="AT48" s="246"/>
      <c r="AU48" s="246"/>
      <c r="AV48" s="246"/>
      <c r="AW48" s="246"/>
      <c r="AX48" s="246"/>
      <c r="AY48" s="250"/>
      <c r="AZ48" s="239"/>
      <c r="BA48" s="67">
        <f t="shared" si="5"/>
        <v>17</v>
      </c>
      <c r="BB48" s="67">
        <f t="shared" si="1"/>
        <v>0</v>
      </c>
      <c r="BC48" s="67">
        <f t="shared" si="0"/>
        <v>0</v>
      </c>
      <c r="BD48" s="67"/>
      <c r="BE48" s="67"/>
      <c r="BF48" s="67"/>
      <c r="BG48" s="67"/>
      <c r="BH48" s="67"/>
      <c r="BI48" s="67"/>
      <c r="BJ48" s="67"/>
      <c r="BK48" s="67"/>
      <c r="BL48" s="67"/>
      <c r="BO48" s="66">
        <f t="shared" si="2"/>
        <v>0</v>
      </c>
      <c r="BP48" s="66" t="e">
        <f t="shared" si="3"/>
        <v>#VALUE!</v>
      </c>
    </row>
    <row r="49" spans="1:68" ht="15.6" x14ac:dyDescent="0.3">
      <c r="A49" s="239"/>
      <c r="B49" s="244"/>
      <c r="C49" s="72"/>
      <c r="D49" s="335" t="str">
        <f t="shared" si="4"/>
        <v>-</v>
      </c>
      <c r="E49" s="336"/>
      <c r="F49" s="336"/>
      <c r="G49" s="336"/>
      <c r="H49" s="336"/>
      <c r="I49" s="336"/>
      <c r="J49" s="336"/>
      <c r="K49" s="336"/>
      <c r="L49" s="337"/>
      <c r="M49" s="338"/>
      <c r="N49" s="338"/>
      <c r="O49" s="338"/>
      <c r="P49" s="338"/>
      <c r="Q49" s="338"/>
      <c r="R49" s="338"/>
      <c r="S49" s="338"/>
      <c r="T49" s="338"/>
      <c r="U49" s="338"/>
      <c r="V49" s="338"/>
      <c r="W49" s="339" t="str">
        <f t="shared" si="6"/>
        <v>-</v>
      </c>
      <c r="X49" s="340"/>
      <c r="Y49" s="341"/>
      <c r="Z49" s="130"/>
      <c r="AA49" s="246"/>
      <c r="AB49" s="246"/>
      <c r="AC49" s="246"/>
      <c r="AD49" s="246"/>
      <c r="AE49" s="246"/>
      <c r="AF49" s="246"/>
      <c r="AG49" s="246"/>
      <c r="AH49" s="246"/>
      <c r="AI49" s="246"/>
      <c r="AJ49" s="246"/>
      <c r="AK49" s="246"/>
      <c r="AL49" s="246"/>
      <c r="AM49" s="246"/>
      <c r="AN49" s="246"/>
      <c r="AO49" s="246"/>
      <c r="AP49" s="246"/>
      <c r="AQ49" s="246"/>
      <c r="AR49" s="246"/>
      <c r="AS49" s="246"/>
      <c r="AT49" s="246"/>
      <c r="AU49" s="246"/>
      <c r="AV49" s="246"/>
      <c r="AW49" s="246"/>
      <c r="AX49" s="246"/>
      <c r="AY49" s="250"/>
      <c r="AZ49" s="239"/>
      <c r="BA49" s="67">
        <f t="shared" si="5"/>
        <v>18</v>
      </c>
      <c r="BB49" s="67">
        <f t="shared" si="1"/>
        <v>0</v>
      </c>
      <c r="BC49" s="67">
        <f t="shared" si="0"/>
        <v>0</v>
      </c>
      <c r="BD49" s="67"/>
      <c r="BE49" s="67"/>
      <c r="BF49" s="67"/>
      <c r="BG49" s="67"/>
      <c r="BH49" s="67"/>
      <c r="BI49" s="67"/>
      <c r="BJ49" s="67"/>
      <c r="BK49" s="67"/>
      <c r="BL49" s="67" t="s">
        <v>88</v>
      </c>
      <c r="BO49" s="66">
        <f t="shared" si="2"/>
        <v>0</v>
      </c>
      <c r="BP49" s="66" t="e">
        <f t="shared" si="3"/>
        <v>#VALUE!</v>
      </c>
    </row>
    <row r="50" spans="1:68" ht="15.6" x14ac:dyDescent="0.3">
      <c r="A50" s="239"/>
      <c r="B50" s="244"/>
      <c r="C50" s="72"/>
      <c r="D50" s="310" t="str">
        <f t="shared" si="4"/>
        <v>-</v>
      </c>
      <c r="E50" s="311"/>
      <c r="F50" s="311"/>
      <c r="G50" s="311"/>
      <c r="H50" s="311"/>
      <c r="I50" s="311"/>
      <c r="J50" s="311"/>
      <c r="K50" s="311"/>
      <c r="L50" s="312"/>
      <c r="M50" s="313"/>
      <c r="N50" s="313"/>
      <c r="O50" s="313"/>
      <c r="P50" s="313"/>
      <c r="Q50" s="313"/>
      <c r="R50" s="313"/>
      <c r="S50" s="313"/>
      <c r="T50" s="313"/>
      <c r="U50" s="313"/>
      <c r="V50" s="313"/>
      <c r="W50" s="314" t="str">
        <f t="shared" si="6"/>
        <v>-</v>
      </c>
      <c r="X50" s="315"/>
      <c r="Y50" s="316"/>
      <c r="Z50" s="130"/>
      <c r="AA50" s="246"/>
      <c r="AB50" s="246"/>
      <c r="AC50" s="246"/>
      <c r="AD50" s="246"/>
      <c r="AE50" s="246"/>
      <c r="AF50" s="246"/>
      <c r="AG50" s="246"/>
      <c r="AH50" s="246"/>
      <c r="AI50" s="246"/>
      <c r="AJ50" s="246"/>
      <c r="AK50" s="246"/>
      <c r="AL50" s="246"/>
      <c r="AM50" s="246"/>
      <c r="AN50" s="246"/>
      <c r="AO50" s="246"/>
      <c r="AP50" s="246"/>
      <c r="AQ50" s="246"/>
      <c r="AR50" s="246"/>
      <c r="AS50" s="246"/>
      <c r="AT50" s="246"/>
      <c r="AU50" s="246"/>
      <c r="AV50" s="246"/>
      <c r="AW50" s="246"/>
      <c r="AX50" s="246"/>
      <c r="AY50" s="250"/>
      <c r="AZ50" s="239"/>
      <c r="BA50" s="67">
        <f t="shared" si="5"/>
        <v>19</v>
      </c>
      <c r="BB50" s="67">
        <f t="shared" si="1"/>
        <v>0</v>
      </c>
      <c r="BC50" s="67">
        <f t="shared" si="0"/>
        <v>0</v>
      </c>
      <c r="BD50" s="67"/>
      <c r="BE50" s="67"/>
      <c r="BF50" s="67"/>
      <c r="BG50" s="67"/>
      <c r="BH50" s="67"/>
      <c r="BI50" s="67"/>
      <c r="BJ50" s="67"/>
      <c r="BK50" s="67"/>
      <c r="BL50" s="67" t="s">
        <v>89</v>
      </c>
      <c r="BO50" s="66">
        <f t="shared" si="2"/>
        <v>0</v>
      </c>
      <c r="BP50" s="66" t="e">
        <f t="shared" si="3"/>
        <v>#VALUE!</v>
      </c>
    </row>
    <row r="51" spans="1:68" ht="15.6" x14ac:dyDescent="0.3">
      <c r="A51" s="239"/>
      <c r="B51" s="244"/>
      <c r="C51" s="72"/>
      <c r="D51" s="335" t="str">
        <f t="shared" si="4"/>
        <v>-</v>
      </c>
      <c r="E51" s="336"/>
      <c r="F51" s="336"/>
      <c r="G51" s="336"/>
      <c r="H51" s="336"/>
      <c r="I51" s="336"/>
      <c r="J51" s="336"/>
      <c r="K51" s="336"/>
      <c r="L51" s="337"/>
      <c r="M51" s="338"/>
      <c r="N51" s="338"/>
      <c r="O51" s="338"/>
      <c r="P51" s="338"/>
      <c r="Q51" s="338"/>
      <c r="R51" s="338"/>
      <c r="S51" s="338"/>
      <c r="T51" s="338"/>
      <c r="U51" s="338"/>
      <c r="V51" s="338"/>
      <c r="W51" s="339" t="str">
        <f t="shared" si="6"/>
        <v>-</v>
      </c>
      <c r="X51" s="340"/>
      <c r="Y51" s="341"/>
      <c r="Z51" s="130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50"/>
      <c r="AZ51" s="239"/>
      <c r="BA51" s="67">
        <f t="shared" si="5"/>
        <v>20</v>
      </c>
      <c r="BB51" s="67">
        <f t="shared" si="1"/>
        <v>0</v>
      </c>
      <c r="BC51" s="67">
        <f t="shared" si="0"/>
        <v>0</v>
      </c>
      <c r="BD51" s="67"/>
      <c r="BE51" s="67"/>
      <c r="BF51" s="67"/>
      <c r="BG51" s="67"/>
      <c r="BH51" s="67"/>
      <c r="BI51" s="67"/>
      <c r="BJ51" s="67"/>
      <c r="BK51" s="67"/>
      <c r="BL51" s="67"/>
      <c r="BO51" s="66">
        <f t="shared" si="2"/>
        <v>0</v>
      </c>
      <c r="BP51" s="66" t="e">
        <f t="shared" si="3"/>
        <v>#VALUE!</v>
      </c>
    </row>
    <row r="52" spans="1:68" ht="15.6" x14ac:dyDescent="0.3">
      <c r="A52" s="239"/>
      <c r="B52" s="244"/>
      <c r="C52" s="72"/>
      <c r="D52" s="310" t="str">
        <f t="shared" si="4"/>
        <v>-</v>
      </c>
      <c r="E52" s="311"/>
      <c r="F52" s="311"/>
      <c r="G52" s="311"/>
      <c r="H52" s="311"/>
      <c r="I52" s="311"/>
      <c r="J52" s="311"/>
      <c r="K52" s="311"/>
      <c r="L52" s="312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4" t="str">
        <f t="shared" si="6"/>
        <v>-</v>
      </c>
      <c r="X52" s="315"/>
      <c r="Y52" s="316"/>
      <c r="Z52" s="130"/>
      <c r="AA52" s="246"/>
      <c r="AB52" s="246"/>
      <c r="AC52" s="246"/>
      <c r="AD52" s="246"/>
      <c r="AE52" s="246"/>
      <c r="AF52" s="246"/>
      <c r="AG52" s="246"/>
      <c r="AH52" s="246"/>
      <c r="AI52" s="246"/>
      <c r="AJ52" s="246"/>
      <c r="AK52" s="246"/>
      <c r="AL52" s="246"/>
      <c r="AM52" s="246"/>
      <c r="AN52" s="246"/>
      <c r="AO52" s="246"/>
      <c r="AP52" s="246"/>
      <c r="AQ52" s="246"/>
      <c r="AR52" s="246"/>
      <c r="AS52" s="246"/>
      <c r="AT52" s="246"/>
      <c r="AU52" s="246"/>
      <c r="AV52" s="246"/>
      <c r="AW52" s="246"/>
      <c r="AX52" s="246"/>
      <c r="AY52" s="250"/>
      <c r="AZ52" s="239"/>
      <c r="BA52" s="67">
        <f t="shared" si="5"/>
        <v>21</v>
      </c>
      <c r="BB52" s="67">
        <f t="shared" si="1"/>
        <v>0</v>
      </c>
      <c r="BC52" s="67">
        <f t="shared" si="0"/>
        <v>0</v>
      </c>
      <c r="BD52" s="67"/>
      <c r="BE52" s="67"/>
      <c r="BF52" s="67"/>
      <c r="BG52" s="67"/>
      <c r="BH52" s="67"/>
      <c r="BI52" s="67"/>
      <c r="BJ52" s="67"/>
      <c r="BK52" s="67"/>
      <c r="BL52" s="67"/>
      <c r="BO52" s="66">
        <f t="shared" si="2"/>
        <v>0</v>
      </c>
      <c r="BP52" s="66" t="e">
        <f t="shared" si="3"/>
        <v>#VALUE!</v>
      </c>
    </row>
    <row r="53" spans="1:68" ht="15.6" x14ac:dyDescent="0.3">
      <c r="A53" s="239"/>
      <c r="B53" s="244"/>
      <c r="C53" s="72"/>
      <c r="D53" s="335" t="str">
        <f t="shared" si="4"/>
        <v>-</v>
      </c>
      <c r="E53" s="336"/>
      <c r="F53" s="336"/>
      <c r="G53" s="336"/>
      <c r="H53" s="336"/>
      <c r="I53" s="336"/>
      <c r="J53" s="336"/>
      <c r="K53" s="336"/>
      <c r="L53" s="337"/>
      <c r="M53" s="338"/>
      <c r="N53" s="338"/>
      <c r="O53" s="338"/>
      <c r="P53" s="338"/>
      <c r="Q53" s="338"/>
      <c r="R53" s="338"/>
      <c r="S53" s="338"/>
      <c r="T53" s="338"/>
      <c r="U53" s="338"/>
      <c r="V53" s="338"/>
      <c r="W53" s="339" t="str">
        <f t="shared" si="6"/>
        <v>-</v>
      </c>
      <c r="X53" s="340"/>
      <c r="Y53" s="341"/>
      <c r="Z53" s="130"/>
      <c r="AA53" s="246"/>
      <c r="AB53" s="246"/>
      <c r="AC53" s="246"/>
      <c r="AD53" s="246"/>
      <c r="AE53" s="246"/>
      <c r="AF53" s="246"/>
      <c r="AG53" s="246"/>
      <c r="AH53" s="246"/>
      <c r="AI53" s="246"/>
      <c r="AJ53" s="246"/>
      <c r="AK53" s="246"/>
      <c r="AL53" s="246"/>
      <c r="AM53" s="246"/>
      <c r="AN53" s="246"/>
      <c r="AO53" s="246"/>
      <c r="AP53" s="246"/>
      <c r="AQ53" s="246"/>
      <c r="AR53" s="246"/>
      <c r="AS53" s="246"/>
      <c r="AT53" s="246"/>
      <c r="AU53" s="246"/>
      <c r="AV53" s="246"/>
      <c r="AW53" s="246"/>
      <c r="AX53" s="246"/>
      <c r="AY53" s="250"/>
      <c r="AZ53" s="239"/>
      <c r="BA53" s="67">
        <f t="shared" si="5"/>
        <v>22</v>
      </c>
      <c r="BB53" s="67">
        <f t="shared" si="1"/>
        <v>0</v>
      </c>
      <c r="BC53" s="67">
        <f t="shared" si="0"/>
        <v>0</v>
      </c>
      <c r="BD53" s="67"/>
      <c r="BE53" s="67"/>
      <c r="BF53" s="67"/>
      <c r="BG53" s="67"/>
      <c r="BH53" s="67"/>
      <c r="BI53" s="67"/>
      <c r="BJ53" s="67"/>
      <c r="BK53" s="67"/>
      <c r="BL53" s="67" t="s">
        <v>104</v>
      </c>
      <c r="BO53" s="66">
        <f t="shared" si="2"/>
        <v>0</v>
      </c>
      <c r="BP53" s="66" t="e">
        <f t="shared" si="3"/>
        <v>#VALUE!</v>
      </c>
    </row>
    <row r="54" spans="1:68" ht="15.6" x14ac:dyDescent="0.3">
      <c r="A54" s="239"/>
      <c r="B54" s="244"/>
      <c r="C54" s="72"/>
      <c r="D54" s="310" t="str">
        <f t="shared" si="4"/>
        <v>-</v>
      </c>
      <c r="E54" s="311"/>
      <c r="F54" s="311"/>
      <c r="G54" s="311"/>
      <c r="H54" s="311"/>
      <c r="I54" s="311"/>
      <c r="J54" s="311"/>
      <c r="K54" s="311"/>
      <c r="L54" s="312"/>
      <c r="M54" s="343"/>
      <c r="N54" s="344"/>
      <c r="O54" s="344"/>
      <c r="P54" s="344"/>
      <c r="Q54" s="344"/>
      <c r="R54" s="344"/>
      <c r="S54" s="345"/>
      <c r="T54" s="313"/>
      <c r="U54" s="313"/>
      <c r="V54" s="313"/>
      <c r="W54" s="314" t="str">
        <f t="shared" si="6"/>
        <v>-</v>
      </c>
      <c r="X54" s="315"/>
      <c r="Y54" s="316"/>
      <c r="Z54" s="130"/>
      <c r="AA54" s="246"/>
      <c r="AB54" s="246"/>
      <c r="AC54" s="246"/>
      <c r="AD54" s="246"/>
      <c r="AE54" s="246"/>
      <c r="AF54" s="246"/>
      <c r="AG54" s="246"/>
      <c r="AH54" s="246"/>
      <c r="AI54" s="246"/>
      <c r="AJ54" s="246"/>
      <c r="AK54" s="246"/>
      <c r="AL54" s="246"/>
      <c r="AM54" s="246"/>
      <c r="AN54" s="246"/>
      <c r="AO54" s="246"/>
      <c r="AP54" s="246"/>
      <c r="AQ54" s="246"/>
      <c r="AR54" s="246"/>
      <c r="AS54" s="246"/>
      <c r="AT54" s="246"/>
      <c r="AU54" s="246"/>
      <c r="AV54" s="246"/>
      <c r="AW54" s="246"/>
      <c r="AX54" s="246"/>
      <c r="AY54" s="250"/>
      <c r="AZ54" s="239"/>
      <c r="BA54" s="67">
        <f t="shared" si="5"/>
        <v>23</v>
      </c>
      <c r="BB54" s="67">
        <f t="shared" si="1"/>
        <v>0</v>
      </c>
      <c r="BC54" s="67">
        <f t="shared" si="0"/>
        <v>0</v>
      </c>
      <c r="BD54" s="67"/>
      <c r="BE54" s="67"/>
      <c r="BF54" s="67"/>
      <c r="BG54" s="67"/>
      <c r="BH54" s="67"/>
      <c r="BI54" s="67"/>
      <c r="BJ54" s="67"/>
      <c r="BK54" s="67"/>
      <c r="BL54" s="194">
        <v>1</v>
      </c>
      <c r="BO54" s="66">
        <f t="shared" si="2"/>
        <v>0</v>
      </c>
      <c r="BP54" s="66" t="e">
        <f t="shared" si="3"/>
        <v>#VALUE!</v>
      </c>
    </row>
    <row r="55" spans="1:68" ht="15.6" x14ac:dyDescent="0.3">
      <c r="A55" s="239"/>
      <c r="B55" s="244"/>
      <c r="C55" s="72"/>
      <c r="D55" s="335" t="str">
        <f t="shared" si="4"/>
        <v>-</v>
      </c>
      <c r="E55" s="336"/>
      <c r="F55" s="336"/>
      <c r="G55" s="336"/>
      <c r="H55" s="336"/>
      <c r="I55" s="336"/>
      <c r="J55" s="336"/>
      <c r="K55" s="336"/>
      <c r="L55" s="337"/>
      <c r="M55" s="338"/>
      <c r="N55" s="338"/>
      <c r="O55" s="338"/>
      <c r="P55" s="338"/>
      <c r="Q55" s="338"/>
      <c r="R55" s="338"/>
      <c r="S55" s="338"/>
      <c r="T55" s="338"/>
      <c r="U55" s="338"/>
      <c r="V55" s="338"/>
      <c r="W55" s="339" t="str">
        <f t="shared" si="6"/>
        <v>-</v>
      </c>
      <c r="X55" s="340"/>
      <c r="Y55" s="341"/>
      <c r="Z55" s="130"/>
      <c r="AA55" s="246"/>
      <c r="AB55" s="246"/>
      <c r="AC55" s="246"/>
      <c r="AD55" s="246"/>
      <c r="AE55" s="246"/>
      <c r="AF55" s="246"/>
      <c r="AG55" s="246"/>
      <c r="AH55" s="246"/>
      <c r="AI55" s="246"/>
      <c r="AJ55" s="246"/>
      <c r="AK55" s="246"/>
      <c r="AL55" s="246"/>
      <c r="AM55" s="246"/>
      <c r="AN55" s="246"/>
      <c r="AO55" s="246"/>
      <c r="AP55" s="246"/>
      <c r="AQ55" s="246"/>
      <c r="AR55" s="246"/>
      <c r="AS55" s="246"/>
      <c r="AT55" s="246"/>
      <c r="AU55" s="246"/>
      <c r="AV55" s="246"/>
      <c r="AW55" s="246"/>
      <c r="AX55" s="246"/>
      <c r="AY55" s="250"/>
      <c r="AZ55" s="239"/>
      <c r="BA55" s="67">
        <f t="shared" si="5"/>
        <v>24</v>
      </c>
      <c r="BB55" s="67">
        <f t="shared" si="1"/>
        <v>0</v>
      </c>
      <c r="BC55" s="67">
        <f t="shared" si="0"/>
        <v>0</v>
      </c>
      <c r="BD55" s="67"/>
      <c r="BE55" s="67"/>
      <c r="BF55" s="67"/>
      <c r="BG55" s="67"/>
      <c r="BH55" s="67"/>
      <c r="BI55" s="67"/>
      <c r="BJ55" s="67"/>
      <c r="BK55" s="67"/>
      <c r="BL55" s="67" t="s">
        <v>105</v>
      </c>
      <c r="BO55" s="66">
        <f t="shared" si="2"/>
        <v>0</v>
      </c>
      <c r="BP55" s="66" t="e">
        <f t="shared" si="3"/>
        <v>#VALUE!</v>
      </c>
    </row>
    <row r="56" spans="1:68" ht="15.6" x14ac:dyDescent="0.3">
      <c r="A56" s="239"/>
      <c r="B56" s="244"/>
      <c r="C56" s="72"/>
      <c r="D56" s="310" t="str">
        <f t="shared" si="4"/>
        <v>-</v>
      </c>
      <c r="E56" s="311"/>
      <c r="F56" s="311"/>
      <c r="G56" s="311"/>
      <c r="H56" s="311"/>
      <c r="I56" s="311"/>
      <c r="J56" s="311"/>
      <c r="K56" s="311"/>
      <c r="L56" s="312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4" t="str">
        <f t="shared" si="6"/>
        <v>-</v>
      </c>
      <c r="X56" s="315"/>
      <c r="Y56" s="316"/>
      <c r="Z56" s="130"/>
      <c r="AA56" s="246"/>
      <c r="AB56" s="246"/>
      <c r="AC56" s="246"/>
      <c r="AD56" s="246"/>
      <c r="AE56" s="246"/>
      <c r="AF56" s="246"/>
      <c r="AG56" s="246"/>
      <c r="AH56" s="246"/>
      <c r="AI56" s="246"/>
      <c r="AJ56" s="246"/>
      <c r="AK56" s="246"/>
      <c r="AL56" s="246"/>
      <c r="AM56" s="246"/>
      <c r="AN56" s="246"/>
      <c r="AO56" s="246"/>
      <c r="AP56" s="246"/>
      <c r="AQ56" s="246"/>
      <c r="AR56" s="246"/>
      <c r="AS56" s="246"/>
      <c r="AT56" s="246"/>
      <c r="AU56" s="246"/>
      <c r="AV56" s="246"/>
      <c r="AW56" s="246"/>
      <c r="AX56" s="246"/>
      <c r="AY56" s="250"/>
      <c r="AZ56" s="239"/>
      <c r="BA56" s="67">
        <f t="shared" si="5"/>
        <v>25</v>
      </c>
      <c r="BB56" s="67">
        <f t="shared" si="1"/>
        <v>0</v>
      </c>
      <c r="BC56" s="67">
        <f t="shared" si="0"/>
        <v>0</v>
      </c>
      <c r="BD56" s="67"/>
      <c r="BE56" s="67"/>
      <c r="BF56" s="67"/>
      <c r="BG56" s="67"/>
      <c r="BH56" s="67"/>
      <c r="BI56" s="67"/>
      <c r="BJ56" s="67"/>
      <c r="BK56" s="67"/>
      <c r="BL56" s="195">
        <f>M18+SUM(M32:S62)</f>
        <v>0</v>
      </c>
      <c r="BO56" s="66">
        <f t="shared" si="2"/>
        <v>0</v>
      </c>
      <c r="BP56" s="66" t="e">
        <f t="shared" si="3"/>
        <v>#VALUE!</v>
      </c>
    </row>
    <row r="57" spans="1:68" ht="15.6" x14ac:dyDescent="0.3">
      <c r="A57" s="239"/>
      <c r="B57" s="244"/>
      <c r="C57" s="72"/>
      <c r="D57" s="335" t="str">
        <f t="shared" si="4"/>
        <v>-</v>
      </c>
      <c r="E57" s="336"/>
      <c r="F57" s="336"/>
      <c r="G57" s="336"/>
      <c r="H57" s="336"/>
      <c r="I57" s="336"/>
      <c r="J57" s="336"/>
      <c r="K57" s="336"/>
      <c r="L57" s="337"/>
      <c r="M57" s="338"/>
      <c r="N57" s="338"/>
      <c r="O57" s="338"/>
      <c r="P57" s="338"/>
      <c r="Q57" s="338"/>
      <c r="R57" s="338"/>
      <c r="S57" s="338"/>
      <c r="T57" s="338"/>
      <c r="U57" s="338"/>
      <c r="V57" s="338"/>
      <c r="W57" s="339" t="str">
        <f t="shared" si="6"/>
        <v>-</v>
      </c>
      <c r="X57" s="340"/>
      <c r="Y57" s="341"/>
      <c r="Z57" s="130"/>
      <c r="AA57" s="246"/>
      <c r="AB57" s="246"/>
      <c r="AC57" s="246"/>
      <c r="AD57" s="246"/>
      <c r="AE57" s="246"/>
      <c r="AF57" s="246"/>
      <c r="AG57" s="246"/>
      <c r="AH57" s="246"/>
      <c r="AI57" s="246"/>
      <c r="AJ57" s="246"/>
      <c r="AK57" s="246"/>
      <c r="AL57" s="246"/>
      <c r="AM57" s="246"/>
      <c r="AN57" s="246"/>
      <c r="AO57" s="246"/>
      <c r="AP57" s="246"/>
      <c r="AQ57" s="246"/>
      <c r="AR57" s="246"/>
      <c r="AS57" s="246"/>
      <c r="AT57" s="246"/>
      <c r="AU57" s="246"/>
      <c r="AV57" s="246"/>
      <c r="AW57" s="246"/>
      <c r="AX57" s="246"/>
      <c r="AY57" s="250"/>
      <c r="AZ57" s="239"/>
      <c r="BA57" s="67">
        <f t="shared" si="5"/>
        <v>26</v>
      </c>
      <c r="BB57" s="67">
        <f t="shared" si="1"/>
        <v>0</v>
      </c>
      <c r="BC57" s="67">
        <f t="shared" si="0"/>
        <v>0</v>
      </c>
      <c r="BD57" s="67"/>
      <c r="BE57" s="67"/>
      <c r="BF57" s="67"/>
      <c r="BG57" s="67"/>
      <c r="BH57" s="67"/>
      <c r="BI57" s="67"/>
      <c r="BJ57" s="67"/>
      <c r="BK57" s="67"/>
      <c r="BL57" s="67"/>
      <c r="BO57" s="66">
        <f t="shared" si="2"/>
        <v>0</v>
      </c>
      <c r="BP57" s="66" t="e">
        <f t="shared" si="3"/>
        <v>#VALUE!</v>
      </c>
    </row>
    <row r="58" spans="1:68" ht="15.6" x14ac:dyDescent="0.3">
      <c r="A58" s="239"/>
      <c r="B58" s="244"/>
      <c r="C58" s="72"/>
      <c r="D58" s="310" t="str">
        <f t="shared" si="4"/>
        <v>-</v>
      </c>
      <c r="E58" s="311"/>
      <c r="F58" s="311"/>
      <c r="G58" s="311"/>
      <c r="H58" s="311"/>
      <c r="I58" s="311"/>
      <c r="J58" s="311"/>
      <c r="K58" s="311"/>
      <c r="L58" s="312"/>
      <c r="M58" s="313"/>
      <c r="N58" s="313"/>
      <c r="O58" s="313"/>
      <c r="P58" s="313"/>
      <c r="Q58" s="313"/>
      <c r="R58" s="313"/>
      <c r="S58" s="313"/>
      <c r="T58" s="313"/>
      <c r="U58" s="313"/>
      <c r="V58" s="313"/>
      <c r="W58" s="314" t="str">
        <f t="shared" si="6"/>
        <v>-</v>
      </c>
      <c r="X58" s="315"/>
      <c r="Y58" s="316"/>
      <c r="Z58" s="130"/>
      <c r="AA58" s="246"/>
      <c r="AB58" s="246"/>
      <c r="AC58" s="246"/>
      <c r="AD58" s="246"/>
      <c r="AE58" s="246"/>
      <c r="AF58" s="246"/>
      <c r="AG58" s="246"/>
      <c r="AH58" s="246"/>
      <c r="AI58" s="246"/>
      <c r="AJ58" s="246"/>
      <c r="AK58" s="246"/>
      <c r="AL58" s="246"/>
      <c r="AM58" s="246"/>
      <c r="AN58" s="246"/>
      <c r="AO58" s="246"/>
      <c r="AP58" s="246"/>
      <c r="AQ58" s="246"/>
      <c r="AR58" s="246"/>
      <c r="AS58" s="246"/>
      <c r="AT58" s="246"/>
      <c r="AU58" s="246"/>
      <c r="AV58" s="246"/>
      <c r="AW58" s="246"/>
      <c r="AX58" s="246"/>
      <c r="AY58" s="250"/>
      <c r="AZ58" s="239"/>
      <c r="BA58" s="67">
        <f t="shared" si="5"/>
        <v>27</v>
      </c>
      <c r="BB58" s="67">
        <f t="shared" si="1"/>
        <v>0</v>
      </c>
      <c r="BC58" s="67">
        <f t="shared" si="0"/>
        <v>0</v>
      </c>
      <c r="BD58" s="67"/>
      <c r="BE58" s="67"/>
      <c r="BF58" s="67"/>
      <c r="BG58" s="67"/>
      <c r="BH58" s="67"/>
      <c r="BI58" s="67"/>
      <c r="BJ58" s="67"/>
      <c r="BK58" s="67"/>
      <c r="BL58" s="67" t="s">
        <v>106</v>
      </c>
      <c r="BO58" s="66">
        <f t="shared" si="2"/>
        <v>0</v>
      </c>
      <c r="BP58" s="66" t="e">
        <f t="shared" si="3"/>
        <v>#VALUE!</v>
      </c>
    </row>
    <row r="59" spans="1:68" ht="15.6" x14ac:dyDescent="0.3">
      <c r="A59" s="239"/>
      <c r="B59" s="244"/>
      <c r="C59" s="72"/>
      <c r="D59" s="335" t="str">
        <f t="shared" si="4"/>
        <v>-</v>
      </c>
      <c r="E59" s="336"/>
      <c r="F59" s="336"/>
      <c r="G59" s="336"/>
      <c r="H59" s="336"/>
      <c r="I59" s="336"/>
      <c r="J59" s="336"/>
      <c r="K59" s="336"/>
      <c r="L59" s="337"/>
      <c r="M59" s="338"/>
      <c r="N59" s="338"/>
      <c r="O59" s="338"/>
      <c r="P59" s="338"/>
      <c r="Q59" s="338"/>
      <c r="R59" s="338"/>
      <c r="S59" s="338"/>
      <c r="T59" s="338"/>
      <c r="U59" s="338"/>
      <c r="V59" s="338"/>
      <c r="W59" s="339" t="str">
        <f>IF(D59="Alterar o item 1","-",IF(D59="-","-",IF(BO59&gt;=0,BO59,0)))</f>
        <v>-</v>
      </c>
      <c r="X59" s="340"/>
      <c r="Y59" s="341"/>
      <c r="Z59" s="130"/>
      <c r="AA59" s="246"/>
      <c r="AB59" s="246"/>
      <c r="AC59" s="246"/>
      <c r="AD59" s="246"/>
      <c r="AE59" s="246"/>
      <c r="AF59" s="246"/>
      <c r="AG59" s="246"/>
      <c r="AH59" s="246"/>
      <c r="AI59" s="246"/>
      <c r="AJ59" s="246"/>
      <c r="AK59" s="246"/>
      <c r="AL59" s="246"/>
      <c r="AM59" s="246"/>
      <c r="AN59" s="246"/>
      <c r="AO59" s="246"/>
      <c r="AP59" s="246"/>
      <c r="AQ59" s="246"/>
      <c r="AR59" s="246"/>
      <c r="AS59" s="246"/>
      <c r="AT59" s="246"/>
      <c r="AU59" s="246"/>
      <c r="AV59" s="246"/>
      <c r="AW59" s="246"/>
      <c r="AX59" s="246"/>
      <c r="AY59" s="250"/>
      <c r="AZ59" s="239"/>
      <c r="BA59" s="67">
        <f t="shared" si="5"/>
        <v>28</v>
      </c>
      <c r="BB59" s="67">
        <f t="shared" si="1"/>
        <v>0</v>
      </c>
      <c r="BC59" s="67">
        <f t="shared" si="0"/>
        <v>0</v>
      </c>
      <c r="BD59" s="67"/>
      <c r="BE59" s="67"/>
      <c r="BF59" s="67"/>
      <c r="BG59" s="67"/>
      <c r="BH59" s="67"/>
      <c r="BI59" s="67"/>
      <c r="BJ59" s="67"/>
      <c r="BK59" s="67"/>
      <c r="BL59" s="194">
        <v>1</v>
      </c>
      <c r="BO59" s="66">
        <f t="shared" si="2"/>
        <v>0</v>
      </c>
      <c r="BP59" s="66" t="e">
        <f t="shared" si="3"/>
        <v>#VALUE!</v>
      </c>
    </row>
    <row r="60" spans="1:68" ht="15.6" x14ac:dyDescent="0.3">
      <c r="A60" s="239"/>
      <c r="B60" s="244"/>
      <c r="C60" s="72"/>
      <c r="D60" s="310" t="str">
        <f>IF(OR(L10="",L10=0,O10="",O10=0),"-",IF(OR(O10&lt;2015,L10&gt;12),"Alterar o item 1",IF(BA60="-","-",DATE(BC60,BB60,BA60))))</f>
        <v>-</v>
      </c>
      <c r="E60" s="311"/>
      <c r="F60" s="311"/>
      <c r="G60" s="311"/>
      <c r="H60" s="311"/>
      <c r="I60" s="311"/>
      <c r="J60" s="311"/>
      <c r="K60" s="311"/>
      <c r="L60" s="312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4" t="str">
        <f>IF(D60="Alterar o item 1","-",IF(D60="-","-",IF(BO60&gt;=0,BO60,0)))</f>
        <v>-</v>
      </c>
      <c r="X60" s="315"/>
      <c r="Y60" s="316"/>
      <c r="Z60" s="130"/>
      <c r="AA60" s="246"/>
      <c r="AB60" s="246"/>
      <c r="AC60" s="246"/>
      <c r="AD60" s="246"/>
      <c r="AE60" s="246"/>
      <c r="AF60" s="246"/>
      <c r="AG60" s="246"/>
      <c r="AH60" s="246"/>
      <c r="AI60" s="246"/>
      <c r="AJ60" s="246"/>
      <c r="AK60" s="246"/>
      <c r="AL60" s="246"/>
      <c r="AM60" s="246"/>
      <c r="AN60" s="246"/>
      <c r="AO60" s="246"/>
      <c r="AP60" s="246"/>
      <c r="AQ60" s="246"/>
      <c r="AR60" s="246"/>
      <c r="AS60" s="246"/>
      <c r="AT60" s="246"/>
      <c r="AU60" s="246"/>
      <c r="AV60" s="246"/>
      <c r="AW60" s="246"/>
      <c r="AX60" s="246"/>
      <c r="AY60" s="250"/>
      <c r="AZ60" s="239"/>
      <c r="BA60" s="67" t="str">
        <f>IF(OR(AND(L10=2,O10=2016),AND(L10=2,O10=2020),AND(L10=2,O10=2024),AND(L10=2,O10=2028),AND(L10=2,O10=2032),AND(L10=2,O10=2036),AND(L10=2,O10=2040)),29,IF(OR(L10=1,L10=3,L10=4,L10=5,L10=6,L10=7,L10=8,L10=9,L10=10,L10=11,L10=12),29,"-"))</f>
        <v>-</v>
      </c>
      <c r="BB60" s="67" t="str">
        <f>IF(BA60="-","-",$L$10)</f>
        <v>-</v>
      </c>
      <c r="BC60" s="67" t="str">
        <f>IF(BA60="-","-",$O$10)</f>
        <v>-</v>
      </c>
      <c r="BD60" s="67"/>
      <c r="BE60" s="67"/>
      <c r="BF60" s="67"/>
      <c r="BG60" s="67"/>
      <c r="BH60" s="67"/>
      <c r="BI60" s="67"/>
      <c r="BJ60" s="67"/>
      <c r="BK60" s="67"/>
      <c r="BL60" s="67"/>
      <c r="BO60" s="66" t="str">
        <f>IF(D60="","",IF(OR(BA60="-",BB60="-",BC60="-"),"-",M60+BO59-T60))</f>
        <v>-</v>
      </c>
      <c r="BP60" s="66" t="str">
        <f>IF(D60="","",IF(OR(BA60="-",BB60="-",BC60="-"),"-",IF(M60+W59-T60&lt;0,0,M60+W59-T60)))</f>
        <v>-</v>
      </c>
    </row>
    <row r="61" spans="1:68" ht="15.6" x14ac:dyDescent="0.3">
      <c r="A61" s="239"/>
      <c r="B61" s="244"/>
      <c r="C61" s="72"/>
      <c r="D61" s="335" t="str">
        <f>IF(OR(L10="",L10=0,O10="",O10=0),"-",IF(OR(O10&lt;2015,L10&gt;12),"Alterar o item 1",IF(BA61="-","-",DATE(BC61,BB61,BA61))))</f>
        <v>-</v>
      </c>
      <c r="E61" s="336"/>
      <c r="F61" s="336"/>
      <c r="G61" s="336"/>
      <c r="H61" s="336"/>
      <c r="I61" s="336"/>
      <c r="J61" s="336"/>
      <c r="K61" s="336"/>
      <c r="L61" s="337"/>
      <c r="M61" s="338"/>
      <c r="N61" s="338"/>
      <c r="O61" s="338"/>
      <c r="P61" s="338"/>
      <c r="Q61" s="338"/>
      <c r="R61" s="338"/>
      <c r="S61" s="338"/>
      <c r="T61" s="338"/>
      <c r="U61" s="338"/>
      <c r="V61" s="338"/>
      <c r="W61" s="339" t="str">
        <f>IF(D61="Alterar o item 1","-",IF(D61="-","-",IF(BO61&gt;=0,BO61,0)))</f>
        <v>-</v>
      </c>
      <c r="X61" s="340"/>
      <c r="Y61" s="341"/>
      <c r="Z61" s="130"/>
      <c r="AA61" s="246"/>
      <c r="AB61" s="246"/>
      <c r="AC61" s="246"/>
      <c r="AD61" s="246"/>
      <c r="AE61" s="246"/>
      <c r="AF61" s="246"/>
      <c r="AG61" s="246"/>
      <c r="AH61" s="246"/>
      <c r="AI61" s="246"/>
      <c r="AJ61" s="246"/>
      <c r="AK61" s="246"/>
      <c r="AL61" s="246"/>
      <c r="AM61" s="246"/>
      <c r="AN61" s="246"/>
      <c r="AO61" s="246"/>
      <c r="AP61" s="246"/>
      <c r="AQ61" s="246"/>
      <c r="AR61" s="246"/>
      <c r="AS61" s="246"/>
      <c r="AT61" s="246"/>
      <c r="AU61" s="246"/>
      <c r="AV61" s="246"/>
      <c r="AW61" s="246"/>
      <c r="AX61" s="246"/>
      <c r="AY61" s="250"/>
      <c r="AZ61" s="239"/>
      <c r="BA61" s="67" t="str">
        <f>IF(OR(L10=1,L10=3,L10=4,L10=5,L10=6,L10=7,L10=8,L10=9,L10=10,L10=11,L10=12),30,"-")</f>
        <v>-</v>
      </c>
      <c r="BB61" s="67" t="str">
        <f>IF(BA61="-","-",$L$10)</f>
        <v>-</v>
      </c>
      <c r="BC61" s="67" t="str">
        <f>IF(BA61="-","-",$O$10)</f>
        <v>-</v>
      </c>
      <c r="BD61" s="67"/>
      <c r="BE61" s="67"/>
      <c r="BF61" s="67"/>
      <c r="BG61" s="67"/>
      <c r="BH61" s="67"/>
      <c r="BI61" s="67"/>
      <c r="BJ61" s="67"/>
      <c r="BK61" s="67"/>
      <c r="BL61" s="67"/>
      <c r="BO61" s="66" t="str">
        <f>IF(D61="","",IF(OR(BA61="-",BB61="-",BC61="-"),"-",M61+BO60-T61))</f>
        <v>-</v>
      </c>
      <c r="BP61" s="66" t="str">
        <f>IF(D61="","",IF(OR(BA61="-",BB61="-",BC61="-"),"-",IF(M61+W60-T61&lt;0,0,M61+W60-T61)))</f>
        <v>-</v>
      </c>
    </row>
    <row r="62" spans="1:68" ht="15.6" x14ac:dyDescent="0.3">
      <c r="A62" s="239"/>
      <c r="B62" s="244"/>
      <c r="C62" s="72"/>
      <c r="D62" s="310" t="str">
        <f>IF(OR(L10="",L10=0,O10="",O10=0),"-",IF(OR(O10&lt;2015,L10&gt;12),"Alterar o item 1",IF(BA62="-","-",DATE(BC62,BB62,BA62))))</f>
        <v>-</v>
      </c>
      <c r="E62" s="311"/>
      <c r="F62" s="311"/>
      <c r="G62" s="311"/>
      <c r="H62" s="311"/>
      <c r="I62" s="311"/>
      <c r="J62" s="311"/>
      <c r="K62" s="311"/>
      <c r="L62" s="312"/>
      <c r="M62" s="346" t="s">
        <v>152</v>
      </c>
      <c r="N62" s="346"/>
      <c r="O62" s="346"/>
      <c r="P62" s="346"/>
      <c r="Q62" s="346"/>
      <c r="R62" s="346"/>
      <c r="S62" s="346"/>
      <c r="T62" s="346" t="s">
        <v>152</v>
      </c>
      <c r="U62" s="346"/>
      <c r="V62" s="346"/>
      <c r="W62" s="347" t="s">
        <v>152</v>
      </c>
      <c r="X62" s="348"/>
      <c r="Y62" s="349"/>
      <c r="Z62" s="130"/>
      <c r="AA62" s="246"/>
      <c r="AB62" s="246"/>
      <c r="AC62" s="246"/>
      <c r="AD62" s="246"/>
      <c r="AE62" s="246"/>
      <c r="AF62" s="246"/>
      <c r="AG62" s="246"/>
      <c r="AH62" s="246"/>
      <c r="AI62" s="246"/>
      <c r="AJ62" s="246"/>
      <c r="AK62" s="246"/>
      <c r="AL62" s="246"/>
      <c r="AM62" s="246"/>
      <c r="AN62" s="246"/>
      <c r="AO62" s="246"/>
      <c r="AP62" s="246"/>
      <c r="AQ62" s="246"/>
      <c r="AR62" s="246"/>
      <c r="AS62" s="246"/>
      <c r="AT62" s="246"/>
      <c r="AU62" s="246"/>
      <c r="AV62" s="246"/>
      <c r="AW62" s="246"/>
      <c r="AX62" s="246"/>
      <c r="AY62" s="250"/>
      <c r="AZ62" s="239"/>
      <c r="BA62" s="67" t="str">
        <f>IF(OR(L10=1,L10=3,L10=5,L10=7,L10=8,L10=10,L10=12),31,"-")</f>
        <v>-</v>
      </c>
      <c r="BB62" s="67" t="str">
        <f>IF(BA62="-","-",$L$10)</f>
        <v>-</v>
      </c>
      <c r="BC62" s="67" t="str">
        <f>IF(BA62="-","-",$O$10)</f>
        <v>-</v>
      </c>
      <c r="BD62" s="67"/>
      <c r="BE62" s="67"/>
      <c r="BF62" s="67"/>
      <c r="BG62" s="67"/>
      <c r="BH62" s="67"/>
      <c r="BI62" s="67"/>
      <c r="BJ62" s="67"/>
      <c r="BK62" s="67"/>
      <c r="BL62" s="67"/>
      <c r="BO62" s="66" t="str">
        <f>IF(D62="","",IF(OR(BA62="-",BB62="-",BC62="-"),"-",M62+BO61-T62))</f>
        <v>-</v>
      </c>
      <c r="BP62" s="66" t="str">
        <f>IF(D62="","",IF(OR(BA62="-",BB62="-",BC62="-"),"-",IF(M62+W61-T62&lt;0,0,M62+W61-T62)))</f>
        <v>-</v>
      </c>
    </row>
    <row r="63" spans="1:68" ht="5.25" customHeight="1" thickBot="1" x14ac:dyDescent="0.35">
      <c r="A63" s="239"/>
      <c r="B63" s="244"/>
      <c r="C63" s="72"/>
      <c r="D63" s="133"/>
      <c r="E63" s="134"/>
      <c r="F63" s="134"/>
      <c r="G63" s="134"/>
      <c r="H63" s="82"/>
      <c r="I63" s="82"/>
      <c r="J63" s="82"/>
      <c r="K63" s="82"/>
      <c r="L63" s="115"/>
      <c r="M63" s="135"/>
      <c r="N63" s="135"/>
      <c r="O63" s="135"/>
      <c r="P63" s="135"/>
      <c r="Q63" s="135"/>
      <c r="R63" s="135"/>
      <c r="S63" s="136"/>
      <c r="T63" s="135"/>
      <c r="U63" s="135"/>
      <c r="V63" s="136"/>
      <c r="W63" s="356"/>
      <c r="X63" s="357"/>
      <c r="Y63" s="358"/>
      <c r="Z63" s="130"/>
      <c r="AA63" s="246"/>
      <c r="AB63" s="246"/>
      <c r="AC63" s="246"/>
      <c r="AD63" s="246"/>
      <c r="AE63" s="246"/>
      <c r="AF63" s="246"/>
      <c r="AG63" s="246"/>
      <c r="AH63" s="246"/>
      <c r="AI63" s="246"/>
      <c r="AJ63" s="246"/>
      <c r="AK63" s="246"/>
      <c r="AL63" s="246"/>
      <c r="AM63" s="246"/>
      <c r="AN63" s="246"/>
      <c r="AO63" s="246"/>
      <c r="AP63" s="246"/>
      <c r="AQ63" s="246"/>
      <c r="AR63" s="246"/>
      <c r="AS63" s="246"/>
      <c r="AT63" s="246"/>
      <c r="AU63" s="246"/>
      <c r="AV63" s="246"/>
      <c r="AW63" s="246"/>
      <c r="AX63" s="246"/>
      <c r="AY63" s="250"/>
      <c r="AZ63" s="239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1:68" ht="6" customHeight="1" thickBot="1" x14ac:dyDescent="0.35">
      <c r="A64" s="239"/>
      <c r="B64" s="244"/>
      <c r="C64" s="72"/>
      <c r="D64" s="271"/>
      <c r="E64" s="270"/>
      <c r="F64" s="270"/>
      <c r="G64" s="270"/>
      <c r="H64" s="270"/>
      <c r="I64" s="270"/>
      <c r="J64" s="270"/>
      <c r="K64" s="270"/>
      <c r="L64" s="270"/>
      <c r="M64" s="270"/>
      <c r="N64" s="270"/>
      <c r="O64" s="270"/>
      <c r="P64" s="270"/>
      <c r="Q64" s="270"/>
      <c r="R64" s="270"/>
      <c r="S64" s="270"/>
      <c r="T64" s="270"/>
      <c r="U64" s="270"/>
      <c r="V64" s="270"/>
      <c r="W64" s="270"/>
      <c r="X64" s="270"/>
      <c r="Y64" s="272"/>
      <c r="Z64" s="130"/>
      <c r="AA64" s="246"/>
      <c r="AB64" s="246"/>
      <c r="AC64" s="246"/>
      <c r="AD64" s="246"/>
      <c r="AE64" s="246"/>
      <c r="AF64" s="246"/>
      <c r="AG64" s="246"/>
      <c r="AH64" s="246"/>
      <c r="AI64" s="246"/>
      <c r="AJ64" s="246"/>
      <c r="AK64" s="246"/>
      <c r="AL64" s="246"/>
      <c r="AM64" s="246"/>
      <c r="AN64" s="246"/>
      <c r="AO64" s="246"/>
      <c r="AP64" s="246"/>
      <c r="AQ64" s="246"/>
      <c r="AR64" s="246"/>
      <c r="AS64" s="246"/>
      <c r="AT64" s="246"/>
      <c r="AU64" s="246"/>
      <c r="AV64" s="246"/>
      <c r="AW64" s="246"/>
      <c r="AX64" s="246"/>
      <c r="AY64" s="250"/>
      <c r="AZ64" s="239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1:103" ht="16.2" thickBot="1" x14ac:dyDescent="0.35">
      <c r="A65" s="239"/>
      <c r="B65" s="244"/>
      <c r="C65" s="72"/>
      <c r="D65" s="72"/>
      <c r="E65" s="359" t="s">
        <v>107</v>
      </c>
      <c r="F65" s="360"/>
      <c r="G65" s="360"/>
      <c r="H65" s="360"/>
      <c r="I65" s="360"/>
      <c r="J65" s="360"/>
      <c r="K65" s="360"/>
      <c r="L65" s="360"/>
      <c r="M65" s="360"/>
      <c r="N65" s="360"/>
      <c r="O65" s="360"/>
      <c r="P65" s="360"/>
      <c r="Q65" s="360"/>
      <c r="R65" s="360"/>
      <c r="S65" s="360"/>
      <c r="T65" s="360"/>
      <c r="U65" s="360"/>
      <c r="V65" s="361"/>
      <c r="W65" s="362" t="str">
        <f>IF(O10&lt;2015,"-",IF(D32="-","-",SUM(W32:X62)))</f>
        <v>-</v>
      </c>
      <c r="X65" s="363"/>
      <c r="Y65" s="137"/>
      <c r="Z65" s="130"/>
      <c r="AA65" s="246"/>
      <c r="AB65" s="246"/>
      <c r="AC65" s="246"/>
      <c r="AD65" s="246"/>
      <c r="AE65" s="246"/>
      <c r="AF65" s="246"/>
      <c r="AG65" s="246"/>
      <c r="AH65" s="246"/>
      <c r="AI65" s="246"/>
      <c r="AJ65" s="246"/>
      <c r="AK65" s="246"/>
      <c r="AL65" s="246"/>
      <c r="AM65" s="246"/>
      <c r="AN65" s="246"/>
      <c r="AO65" s="246"/>
      <c r="AP65" s="246"/>
      <c r="AQ65" s="246"/>
      <c r="AR65" s="246"/>
      <c r="AS65" s="246"/>
      <c r="AT65" s="246"/>
      <c r="AU65" s="246"/>
      <c r="AV65" s="246"/>
      <c r="AW65" s="246"/>
      <c r="AX65" s="246"/>
      <c r="AY65" s="250"/>
      <c r="AZ65" s="239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1:103" ht="6" customHeight="1" thickBot="1" x14ac:dyDescent="0.35">
      <c r="A66" s="239"/>
      <c r="B66" s="244"/>
      <c r="C66" s="72"/>
      <c r="D66" s="364"/>
      <c r="E66" s="365"/>
      <c r="F66" s="365"/>
      <c r="G66" s="365"/>
      <c r="H66" s="365"/>
      <c r="I66" s="365"/>
      <c r="J66" s="365"/>
      <c r="K66" s="365"/>
      <c r="L66" s="365"/>
      <c r="M66" s="365"/>
      <c r="N66" s="365"/>
      <c r="O66" s="365"/>
      <c r="P66" s="365"/>
      <c r="Q66" s="365"/>
      <c r="R66" s="365"/>
      <c r="S66" s="365"/>
      <c r="T66" s="365"/>
      <c r="U66" s="365"/>
      <c r="V66" s="365"/>
      <c r="W66" s="365"/>
      <c r="X66" s="365"/>
      <c r="Y66" s="366"/>
      <c r="Z66" s="130"/>
      <c r="AA66" s="246"/>
      <c r="AB66" s="246"/>
      <c r="AC66" s="246"/>
      <c r="AD66" s="246"/>
      <c r="AE66" s="246"/>
      <c r="AF66" s="246"/>
      <c r="AG66" s="246"/>
      <c r="AH66" s="246"/>
      <c r="AI66" s="246"/>
      <c r="AJ66" s="246"/>
      <c r="AK66" s="246"/>
      <c r="AL66" s="246"/>
      <c r="AM66" s="246"/>
      <c r="AN66" s="246"/>
      <c r="AO66" s="246"/>
      <c r="AP66" s="246"/>
      <c r="AQ66" s="246"/>
      <c r="AR66" s="246"/>
      <c r="AS66" s="246"/>
      <c r="AT66" s="246"/>
      <c r="AU66" s="246"/>
      <c r="AV66" s="246"/>
      <c r="AW66" s="246"/>
      <c r="AX66" s="246"/>
      <c r="AY66" s="250"/>
      <c r="AZ66" s="239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1:103" ht="15" thickBot="1" x14ac:dyDescent="0.35">
      <c r="A67" s="239"/>
      <c r="B67" s="244"/>
      <c r="C67" s="72"/>
      <c r="D67" s="56"/>
      <c r="E67" s="56"/>
      <c r="F67" s="56"/>
      <c r="G67" s="82"/>
      <c r="H67" s="82"/>
      <c r="I67" s="82"/>
      <c r="J67" s="82"/>
      <c r="K67" s="82"/>
      <c r="L67" s="82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73"/>
      <c r="AA67" s="246"/>
      <c r="AB67" s="246"/>
      <c r="AC67" s="246"/>
      <c r="AD67" s="246"/>
      <c r="AE67" s="246"/>
      <c r="AF67" s="246"/>
      <c r="AG67" s="246"/>
      <c r="AH67" s="246"/>
      <c r="AI67" s="246"/>
      <c r="AJ67" s="246"/>
      <c r="AK67" s="246"/>
      <c r="AL67" s="246"/>
      <c r="AM67" s="246"/>
      <c r="AN67" s="246"/>
      <c r="AO67" s="246"/>
      <c r="AP67" s="246"/>
      <c r="AQ67" s="246"/>
      <c r="AR67" s="246"/>
      <c r="AS67" s="246"/>
      <c r="AT67" s="246"/>
      <c r="AU67" s="246"/>
      <c r="AV67" s="246"/>
      <c r="AW67" s="246"/>
      <c r="AX67" s="246"/>
      <c r="AY67" s="250"/>
      <c r="AZ67" s="239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1:103" ht="15.6" x14ac:dyDescent="0.3">
      <c r="A68" s="239"/>
      <c r="B68" s="244"/>
      <c r="C68" s="72"/>
      <c r="D68" s="56"/>
      <c r="E68" s="56"/>
      <c r="F68" s="56"/>
      <c r="G68" s="286"/>
      <c r="H68" s="286"/>
      <c r="I68" s="286"/>
      <c r="J68" s="286"/>
      <c r="K68" s="286"/>
      <c r="L68" s="286"/>
      <c r="M68" s="56"/>
      <c r="N68" s="56"/>
      <c r="O68" s="59"/>
      <c r="P68" s="202" t="s">
        <v>96</v>
      </c>
      <c r="Q68" s="202"/>
      <c r="R68" s="202"/>
      <c r="S68" s="367" t="str">
        <f>IF(AND(OR(L10="",L10=0,),OR(O10="",O10=0),BL32=1,BL14=1,M18=0,BL19=1),"-",(IF(OR(O10&lt;2015,L10&lt;0,L10&gt;12),"Alterar o item 1",IF(AND(OR(L10&lt;=0,L10="",O10&lt;=0,O10=""),BL32=1,BL19=1),"Falta resp. os itens 1, 2 e 5",IF(AND(OR(L10&lt;=0,L10="",O10&lt;=0,O10=""),BL32=2,BL14=1,BL19=1),"Falta resp. os itens 1, 3 e 5",IF(AND(OR(L10&lt;=0,L10="",O10&lt;=0,O10=""),BL32=1,OR(BL19=2,BL19=3)),"Falta resp. os itens 1 e 2",IF(AND(OR(L10&lt;=0,L10="",O10&lt;=0,O10=""),BL32=2,BL14=1,OR(BL19=2,BL19=3)),"Falta resp. os itens 1 e 3",IF(AND(OR(L10&lt;=0,L10="",O10&lt;=0,O10=""),BL32=2,OR(BL14=2,BL14=3),BL19=1),"Falta resp. os itens 1 e 5",IF(AND(OR(L10&lt;=0,L10="",O10&lt;=0,O10=""),BL32=3,BL19=1),"Falta resp. os itens 1 e 5",IF(AND(BL32=1,OR(BL14=2,BL14=3),BL19=1),"Falta resp. os itens 2 e 5",IF(AND(L10&gt;0,O10&gt;0,BL32=1,BL19=1),"Falta resp. os itens 2 e 5",IF(AND(BL32=2,BL14=1,BL19=1),"Falta resp. os itens 3 e 5",IF(AND(OR(L10&lt;=0,L10="",O10&lt;=0,O10=""),BL32=2,OR(BL14=2,BL14=3),OR(BL19=2,BL19=3)),"Falta resp. o item 1",IF(AND(OR(L10&lt;=0,L10="",O10&lt;=0,O10=""),BL32=3,OR(BL19=2,BL19=3)),"Falta resp. o item 1",IF(AND(BL32=1,OR(BL14=2,BL14=3),OR(BL19=2,BL19=3)),"Falta responder o item 2",IF(AND(L10&gt;0,O10&gt;0,BL32=1,OR(BL19=2,BL19=3)),"Falta resp. o item 2",IF(AND(BL32=2,BL14=1),"Falta responder o item 3",IF(OR(AND(BL32=2,BL14=2,BL19=1),AND(BL32=2,BL14=3,BL19=1),AND(BL32=3,BL14=1,BL19=1),AND(BL32=3,BL14=2,BL19=1),AND(BL32=3,BL14=3,BL19=1)),"Falta responder o item 5",IF(AND(L10&gt;0,O10&gt;0,OR(BL32=3,AND(BL32=2,OR(BL14=2,BL14=3))),OR(M18="",M18&lt;=0),OR(BL19=2,BL19=3),SUM(M32:S62)&lt;=0),"Falta resp. o item 4, ou 6, ou ambos",IF(AND(BL32=2,BL14=2,W65&lt;=BB96),W65*0.00137%,IF(AND(BL32=3,BL14=1),W65*0.0082%,IF(AND(BL32=2,BL14=2,W65&gt;BB96),W65*0.0041%,IF(AND(BL32=3,BL14=2),W65*0.0082%,IF(AND(BL32=2,BL14=3),W65*0.0041%,IF(AND(BL32=3,BL14=3),W65*0.0082%)))))))))))))))))))))))))</f>
        <v>-</v>
      </c>
      <c r="T68" s="367"/>
      <c r="U68" s="138"/>
      <c r="V68" s="56"/>
      <c r="W68" s="56"/>
      <c r="X68" s="56"/>
      <c r="Y68" s="56"/>
      <c r="Z68" s="73"/>
      <c r="AA68" s="246"/>
      <c r="AB68" s="246"/>
      <c r="AC68" s="246"/>
      <c r="AD68" s="246"/>
      <c r="AE68" s="246"/>
      <c r="AF68" s="246"/>
      <c r="AG68" s="246"/>
      <c r="AH68" s="246"/>
      <c r="AI68" s="246"/>
      <c r="AJ68" s="246"/>
      <c r="AK68" s="246"/>
      <c r="AL68" s="246"/>
      <c r="AM68" s="246"/>
      <c r="AN68" s="246"/>
      <c r="AO68" s="246"/>
      <c r="AP68" s="246"/>
      <c r="AQ68" s="246"/>
      <c r="AR68" s="246"/>
      <c r="AS68" s="246"/>
      <c r="AT68" s="246"/>
      <c r="AU68" s="246"/>
      <c r="AV68" s="246"/>
      <c r="AW68" s="246"/>
      <c r="AX68" s="246"/>
      <c r="AY68" s="250"/>
      <c r="AZ68" s="239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1:103" ht="15.6" x14ac:dyDescent="0.3">
      <c r="A69" s="239"/>
      <c r="B69" s="244"/>
      <c r="C69" s="72"/>
      <c r="D69" s="56"/>
      <c r="E69" s="56"/>
      <c r="F69" s="56"/>
      <c r="G69" s="286"/>
      <c r="H69" s="286"/>
      <c r="I69" s="286"/>
      <c r="J69" s="286"/>
      <c r="K69" s="286"/>
      <c r="L69" s="286"/>
      <c r="M69" s="56"/>
      <c r="N69" s="56"/>
      <c r="O69" s="58"/>
      <c r="P69" s="350" t="s">
        <v>98</v>
      </c>
      <c r="Q69" s="351"/>
      <c r="R69" s="351"/>
      <c r="S69" s="351"/>
      <c r="T69" s="203" t="str">
        <f>BB101</f>
        <v>-</v>
      </c>
      <c r="U69" s="139"/>
      <c r="V69" s="56"/>
      <c r="W69" s="56"/>
      <c r="X69" s="56"/>
      <c r="Y69" s="56"/>
      <c r="Z69" s="73"/>
      <c r="AA69" s="246"/>
      <c r="AB69" s="246"/>
      <c r="AC69" s="246"/>
      <c r="AD69" s="246"/>
      <c r="AE69" s="246"/>
      <c r="AF69" s="246"/>
      <c r="AG69" s="246"/>
      <c r="AH69" s="246"/>
      <c r="AI69" s="246"/>
      <c r="AJ69" s="246"/>
      <c r="AK69" s="246"/>
      <c r="AL69" s="246"/>
      <c r="AM69" s="246"/>
      <c r="AN69" s="246"/>
      <c r="AO69" s="246"/>
      <c r="AP69" s="246"/>
      <c r="AQ69" s="246"/>
      <c r="AR69" s="246"/>
      <c r="AS69" s="246"/>
      <c r="AT69" s="246"/>
      <c r="AU69" s="246"/>
      <c r="AV69" s="246"/>
      <c r="AW69" s="246"/>
      <c r="AX69" s="246"/>
      <c r="AY69" s="250"/>
      <c r="AZ69" s="239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1:103" ht="4.5" customHeight="1" x14ac:dyDescent="0.3">
      <c r="A70" s="239"/>
      <c r="B70" s="244"/>
      <c r="C70" s="72"/>
      <c r="D70" s="56"/>
      <c r="E70" s="56"/>
      <c r="F70" s="56"/>
      <c r="G70" s="82"/>
      <c r="H70" s="82"/>
      <c r="I70" s="82"/>
      <c r="J70" s="82"/>
      <c r="K70" s="82"/>
      <c r="L70" s="82"/>
      <c r="M70" s="56"/>
      <c r="N70" s="56"/>
      <c r="O70" s="58"/>
      <c r="P70" s="204"/>
      <c r="Q70" s="205"/>
      <c r="R70" s="205"/>
      <c r="S70" s="205"/>
      <c r="T70" s="206"/>
      <c r="U70" s="139"/>
      <c r="V70" s="56"/>
      <c r="W70" s="56"/>
      <c r="X70" s="56"/>
      <c r="Y70" s="56"/>
      <c r="Z70" s="73"/>
      <c r="AA70" s="246"/>
      <c r="AB70" s="246"/>
      <c r="AC70" s="246"/>
      <c r="AD70" s="246"/>
      <c r="AE70" s="246"/>
      <c r="AF70" s="246"/>
      <c r="AG70" s="246"/>
      <c r="AH70" s="246"/>
      <c r="AI70" s="246"/>
      <c r="AJ70" s="246"/>
      <c r="AK70" s="246"/>
      <c r="AL70" s="246"/>
      <c r="AM70" s="246"/>
      <c r="AN70" s="246"/>
      <c r="AO70" s="246"/>
      <c r="AP70" s="246"/>
      <c r="AQ70" s="246"/>
      <c r="AR70" s="246"/>
      <c r="AS70" s="246"/>
      <c r="AT70" s="246"/>
      <c r="AU70" s="246"/>
      <c r="AV70" s="246"/>
      <c r="AW70" s="246"/>
      <c r="AX70" s="246"/>
      <c r="AY70" s="250"/>
      <c r="AZ70" s="239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1:103" ht="15.6" x14ac:dyDescent="0.3">
      <c r="A71" s="239"/>
      <c r="B71" s="244"/>
      <c r="C71" s="72"/>
      <c r="D71" s="56"/>
      <c r="E71" s="56"/>
      <c r="F71" s="56"/>
      <c r="G71" s="286"/>
      <c r="H71" s="286"/>
      <c r="I71" s="286"/>
      <c r="J71" s="286"/>
      <c r="K71" s="286"/>
      <c r="L71" s="286"/>
      <c r="M71" s="56"/>
      <c r="N71" s="56"/>
      <c r="O71" s="58"/>
      <c r="P71" s="352" t="str">
        <f>IF(T71&lt;10,"IOF a Pagar*:","IOF a Pagar:")</f>
        <v>IOF a Pagar:</v>
      </c>
      <c r="Q71" s="352"/>
      <c r="R71" s="352"/>
      <c r="S71" s="352"/>
      <c r="T71" s="207" t="str">
        <f>IF(SUM(P68:T69)=0,"-",SUM(P68:T69))</f>
        <v>-</v>
      </c>
      <c r="U71" s="140"/>
      <c r="V71" s="92"/>
      <c r="W71" s="92"/>
      <c r="X71" s="56"/>
      <c r="Y71" s="56"/>
      <c r="Z71" s="73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46"/>
      <c r="AN71" s="246"/>
      <c r="AO71" s="246"/>
      <c r="AP71" s="246"/>
      <c r="AQ71" s="246"/>
      <c r="AR71" s="246"/>
      <c r="AS71" s="246"/>
      <c r="AT71" s="246"/>
      <c r="AU71" s="246"/>
      <c r="AV71" s="246"/>
      <c r="AW71" s="246"/>
      <c r="AX71" s="246"/>
      <c r="AY71" s="250"/>
      <c r="AZ71" s="239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1:103" ht="4.5" customHeight="1" x14ac:dyDescent="0.3">
      <c r="A72" s="239"/>
      <c r="B72" s="244"/>
      <c r="C72" s="72"/>
      <c r="D72" s="56"/>
      <c r="E72" s="56"/>
      <c r="F72" s="56"/>
      <c r="G72" s="82"/>
      <c r="H72" s="82"/>
      <c r="I72" s="82"/>
      <c r="J72" s="82"/>
      <c r="K72" s="82"/>
      <c r="L72" s="82"/>
      <c r="M72" s="56"/>
      <c r="N72" s="56"/>
      <c r="O72" s="58"/>
      <c r="P72" s="208"/>
      <c r="Q72" s="208"/>
      <c r="R72" s="208"/>
      <c r="S72" s="208"/>
      <c r="T72" s="209"/>
      <c r="U72" s="140"/>
      <c r="V72" s="92"/>
      <c r="W72" s="92"/>
      <c r="X72" s="56"/>
      <c r="Y72" s="56"/>
      <c r="Z72" s="73"/>
      <c r="AA72" s="246"/>
      <c r="AB72" s="246"/>
      <c r="AC72" s="246"/>
      <c r="AD72" s="246"/>
      <c r="AE72" s="246"/>
      <c r="AF72" s="246"/>
      <c r="AG72" s="246"/>
      <c r="AH72" s="246"/>
      <c r="AI72" s="246"/>
      <c r="AJ72" s="246"/>
      <c r="AK72" s="246"/>
      <c r="AL72" s="246"/>
      <c r="AM72" s="246"/>
      <c r="AN72" s="246"/>
      <c r="AO72" s="246"/>
      <c r="AP72" s="246"/>
      <c r="AQ72" s="246"/>
      <c r="AR72" s="246"/>
      <c r="AS72" s="246"/>
      <c r="AT72" s="246"/>
      <c r="AU72" s="246"/>
      <c r="AV72" s="246"/>
      <c r="AW72" s="246"/>
      <c r="AX72" s="246"/>
      <c r="AY72" s="250"/>
      <c r="AZ72" s="239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1:103" ht="15" customHeight="1" x14ac:dyDescent="0.3">
      <c r="A73" s="239"/>
      <c r="B73" s="244"/>
      <c r="C73" s="72"/>
      <c r="D73" s="56"/>
      <c r="E73" s="56"/>
      <c r="F73" s="56"/>
      <c r="G73" s="82"/>
      <c r="H73" s="82"/>
      <c r="I73" s="82"/>
      <c r="J73" s="82"/>
      <c r="K73" s="82"/>
      <c r="L73" s="82"/>
      <c r="M73" s="56"/>
      <c r="N73" s="56"/>
      <c r="O73" s="58"/>
      <c r="P73" s="353" t="s">
        <v>108</v>
      </c>
      <c r="Q73" s="354"/>
      <c r="R73" s="354"/>
      <c r="S73" s="354"/>
      <c r="T73" s="355" t="str">
        <f>CG87</f>
        <v>-</v>
      </c>
      <c r="U73" s="142"/>
      <c r="V73" s="92"/>
      <c r="W73" s="92"/>
      <c r="X73" s="56"/>
      <c r="Y73" s="56"/>
      <c r="Z73" s="73"/>
      <c r="AA73" s="246"/>
      <c r="AB73" s="246"/>
      <c r="AC73" s="246"/>
      <c r="AD73" s="246"/>
      <c r="AE73" s="246"/>
      <c r="AF73" s="246"/>
      <c r="AG73" s="246"/>
      <c r="AH73" s="246"/>
      <c r="AI73" s="246"/>
      <c r="AJ73" s="246"/>
      <c r="AK73" s="246"/>
      <c r="AL73" s="246"/>
      <c r="AM73" s="246"/>
      <c r="AN73" s="246"/>
      <c r="AO73" s="246"/>
      <c r="AP73" s="246"/>
      <c r="AQ73" s="246"/>
      <c r="AR73" s="246"/>
      <c r="AS73" s="246"/>
      <c r="AT73" s="246"/>
      <c r="AU73" s="246"/>
      <c r="AV73" s="246"/>
      <c r="AW73" s="246"/>
      <c r="AX73" s="246"/>
      <c r="AY73" s="250"/>
      <c r="AZ73" s="239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 t="s">
        <v>109</v>
      </c>
    </row>
    <row r="74" spans="1:103" x14ac:dyDescent="0.3">
      <c r="A74" s="239"/>
      <c r="B74" s="244"/>
      <c r="C74" s="72"/>
      <c r="D74" s="56"/>
      <c r="E74" s="56"/>
      <c r="F74" s="56"/>
      <c r="G74" s="82"/>
      <c r="H74" s="82"/>
      <c r="I74" s="82"/>
      <c r="J74" s="82"/>
      <c r="K74" s="82"/>
      <c r="L74" s="82"/>
      <c r="M74" s="56"/>
      <c r="N74" s="56"/>
      <c r="O74" s="58"/>
      <c r="P74" s="354"/>
      <c r="Q74" s="354"/>
      <c r="R74" s="354"/>
      <c r="S74" s="354"/>
      <c r="T74" s="355"/>
      <c r="U74" s="142"/>
      <c r="V74" s="92"/>
      <c r="W74" s="92"/>
      <c r="X74" s="56"/>
      <c r="Y74" s="56"/>
      <c r="Z74" s="73"/>
      <c r="AA74" s="246"/>
      <c r="AB74" s="246"/>
      <c r="AC74" s="246"/>
      <c r="AD74" s="246"/>
      <c r="AE74" s="246"/>
      <c r="AF74" s="246"/>
      <c r="AG74" s="246"/>
      <c r="AH74" s="246"/>
      <c r="AI74" s="246"/>
      <c r="AJ74" s="246"/>
      <c r="AK74" s="246"/>
      <c r="AL74" s="246"/>
      <c r="AM74" s="246"/>
      <c r="AN74" s="246"/>
      <c r="AO74" s="246"/>
      <c r="AP74" s="246"/>
      <c r="AQ74" s="246"/>
      <c r="AR74" s="246"/>
      <c r="AS74" s="246"/>
      <c r="AT74" s="246"/>
      <c r="AU74" s="246"/>
      <c r="AV74" s="246"/>
      <c r="AW74" s="246"/>
      <c r="AX74" s="246"/>
      <c r="AY74" s="250"/>
      <c r="AZ74" s="239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196">
        <f>IF(AM15&lt;=365,AM15,365)</f>
        <v>0</v>
      </c>
    </row>
    <row r="75" spans="1:103" ht="5.25" customHeight="1" thickBot="1" x14ac:dyDescent="0.35">
      <c r="A75" s="239"/>
      <c r="B75" s="244"/>
      <c r="C75" s="72"/>
      <c r="D75" s="56"/>
      <c r="E75" s="56"/>
      <c r="F75" s="56"/>
      <c r="G75" s="82"/>
      <c r="H75" s="82"/>
      <c r="I75" s="82"/>
      <c r="J75" s="82"/>
      <c r="K75" s="82"/>
      <c r="L75" s="82"/>
      <c r="M75" s="56"/>
      <c r="N75" s="56"/>
      <c r="O75" s="60"/>
      <c r="P75" s="143"/>
      <c r="Q75" s="143"/>
      <c r="R75" s="143"/>
      <c r="S75" s="143"/>
      <c r="T75" s="144"/>
      <c r="U75" s="145"/>
      <c r="V75" s="92"/>
      <c r="W75" s="92"/>
      <c r="X75" s="56"/>
      <c r="Y75" s="56"/>
      <c r="Z75" s="73"/>
      <c r="AA75" s="246"/>
      <c r="AB75" s="246"/>
      <c r="AC75" s="246"/>
      <c r="AD75" s="246"/>
      <c r="AE75" s="246"/>
      <c r="AF75" s="246"/>
      <c r="AG75" s="246"/>
      <c r="AH75" s="246"/>
      <c r="AI75" s="246"/>
      <c r="AJ75" s="246"/>
      <c r="AK75" s="246"/>
      <c r="AL75" s="246"/>
      <c r="AM75" s="246"/>
      <c r="AN75" s="246"/>
      <c r="AO75" s="246"/>
      <c r="AP75" s="246"/>
      <c r="AQ75" s="246"/>
      <c r="AR75" s="246"/>
      <c r="AS75" s="246"/>
      <c r="AT75" s="246"/>
      <c r="AU75" s="246"/>
      <c r="AV75" s="246"/>
      <c r="AW75" s="246"/>
      <c r="AX75" s="246"/>
      <c r="AY75" s="250"/>
      <c r="AZ75" s="239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1:103" ht="5.25" customHeight="1" x14ac:dyDescent="0.3">
      <c r="A76" s="239"/>
      <c r="B76" s="244"/>
      <c r="C76" s="72"/>
      <c r="D76" s="56"/>
      <c r="E76" s="56"/>
      <c r="F76" s="56"/>
      <c r="G76" s="82"/>
      <c r="H76" s="82"/>
      <c r="I76" s="82"/>
      <c r="J76" s="82"/>
      <c r="K76" s="82"/>
      <c r="L76" s="82"/>
      <c r="M76" s="56"/>
      <c r="N76" s="56"/>
      <c r="O76" s="56"/>
      <c r="P76" s="105"/>
      <c r="Q76" s="105"/>
      <c r="R76" s="105"/>
      <c r="S76" s="105"/>
      <c r="T76" s="141"/>
      <c r="U76" s="141"/>
      <c r="V76" s="92"/>
      <c r="W76" s="92"/>
      <c r="X76" s="56"/>
      <c r="Y76" s="56"/>
      <c r="Z76" s="73"/>
      <c r="AA76" s="246"/>
      <c r="AB76" s="246"/>
      <c r="AC76" s="246"/>
      <c r="AD76" s="246"/>
      <c r="AE76" s="246"/>
      <c r="AF76" s="246"/>
      <c r="AG76" s="246"/>
      <c r="AH76" s="246"/>
      <c r="AI76" s="246"/>
      <c r="AJ76" s="246"/>
      <c r="AK76" s="246"/>
      <c r="AL76" s="246"/>
      <c r="AM76" s="246"/>
      <c r="AN76" s="246"/>
      <c r="AO76" s="246"/>
      <c r="AP76" s="246"/>
      <c r="AQ76" s="246"/>
      <c r="AR76" s="246"/>
      <c r="AS76" s="246"/>
      <c r="AT76" s="246"/>
      <c r="AU76" s="246"/>
      <c r="AV76" s="246"/>
      <c r="AW76" s="246"/>
      <c r="AX76" s="246"/>
      <c r="AY76" s="250"/>
      <c r="AZ76" s="239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CB76" s="193"/>
      <c r="CC76" s="193"/>
      <c r="CD76" s="193"/>
      <c r="CE76" s="193"/>
    </row>
    <row r="77" spans="1:103" ht="15" customHeight="1" x14ac:dyDescent="0.3">
      <c r="A77" s="239"/>
      <c r="B77" s="244"/>
      <c r="C77" s="72"/>
      <c r="D77" s="56"/>
      <c r="E77" s="56"/>
      <c r="F77" s="56"/>
      <c r="G77" s="286"/>
      <c r="H77" s="286"/>
      <c r="I77" s="286"/>
      <c r="J77" s="286"/>
      <c r="K77" s="286"/>
      <c r="L77" s="286"/>
      <c r="M77" s="56"/>
      <c r="N77" s="56"/>
      <c r="O77" s="368" t="str">
        <f>IF(T71="-","",IF(P71="IOF a Pagar*:","*Lembramos que é vedado a utilização de documento de arrecadação de receitas federais (DARF) para o pagamento de tributos e contribuições de valor inferior a R$ 10,00, conforme descrito no art. 68 da Lei nº 9.430, de 27 de dezembro de 1996.",IF(AND(T71&gt;=10,BL32=2),"O imposto deverá ser recolhido utilizando o documento de arrecadação de receitas federais (DARF), sob o código 1150 (Mutuário pessoa jurídica).",IF(AND(T71&gt;=10,BL32=3),"O imposto deverá ser recolhido utilizando o documento de arrecadação de receitas federais (DARF), sob o código 7893 (Mutuário pessoa física)."))))</f>
        <v/>
      </c>
      <c r="P77" s="368"/>
      <c r="Q77" s="368"/>
      <c r="R77" s="368"/>
      <c r="S77" s="368"/>
      <c r="T77" s="368"/>
      <c r="U77" s="368"/>
      <c r="V77" s="56"/>
      <c r="W77" s="56"/>
      <c r="X77" s="56"/>
      <c r="Y77" s="56"/>
      <c r="Z77" s="73"/>
      <c r="AA77" s="246"/>
      <c r="AB77" s="246"/>
      <c r="AC77" s="246"/>
      <c r="AD77" s="246"/>
      <c r="AE77" s="246"/>
      <c r="AF77" s="246"/>
      <c r="AG77" s="246"/>
      <c r="AH77" s="246"/>
      <c r="AI77" s="246"/>
      <c r="AJ77" s="246"/>
      <c r="AK77" s="246"/>
      <c r="AL77" s="246"/>
      <c r="AM77" s="246"/>
      <c r="AN77" s="246"/>
      <c r="AO77" s="246"/>
      <c r="AP77" s="246"/>
      <c r="AQ77" s="246"/>
      <c r="AR77" s="246"/>
      <c r="AS77" s="246"/>
      <c r="AT77" s="246"/>
      <c r="AU77" s="246"/>
      <c r="AV77" s="246"/>
      <c r="AW77" s="246"/>
      <c r="AX77" s="246"/>
      <c r="AY77" s="250"/>
      <c r="AZ77" s="239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CB77" s="193"/>
      <c r="CC77" s="193"/>
      <c r="CD77" s="193"/>
      <c r="CE77" s="193"/>
      <c r="CG77" s="146" t="e">
        <f>IF(AND(D60="-",D61="-",D62="-"),D59+11,IF(AND(D61="-",D62="-"),D60+11,IF(D62="-",D61+10,D62+11)))</f>
        <v>#VALUE!</v>
      </c>
      <c r="CH77" s="66" t="e">
        <f>TEXT(CG77,"DDDD")</f>
        <v>#VALUE!</v>
      </c>
      <c r="CI77" s="147" t="e">
        <f t="shared" ref="CI77:CI83" si="7">IF(AND(OR(CH77="Segunda-Feira",CH77="Terça-Feira",CH77="Quarta-Feira",CH77="Quinta-feira",CH77="Sexta-Feira"),CJ77="não",CK77="Não",CL77="não",CL77="não",CM77="não",CN77="não",CO77="não",CP77="não",CQ77="não",CR77="não",CS77="não",CT77="não",CU77="não",CV77="não",CW77="não",CX77="não",CY77="Não"),"Dia útil","Final de Semana/Feriado")</f>
        <v>#VALUE!</v>
      </c>
      <c r="CJ77" s="66" t="e">
        <f t="shared" ref="CJ77:CJ83" si="8">IF(OR(CG77=$CJ$96,CG77=$CJ$97,CG77=$CJ$98,CG77=$CJ$99,CG77=$CJ$100,CG77=$CJ$101,CG77=$CJ$102,CG77=$CJ$103,CG77=$CJ$104,CG77=$CJ$105,CG77=$CJ$106),"Sim","Não")</f>
        <v>#VALUE!</v>
      </c>
      <c r="CK77" s="66" t="e">
        <f t="shared" ref="CK77:CK83" si="9">IF(OR(CG77=$CK$96,CG77=$CK$97,CG77=$CK$98,CG77=$CK$99,CG77=$CK$100,CG77=$CK$101,CG77=$CK$102,CG77=$CK$103,CG77=$CK$104,CG77=$CK$105,CG77=$CK$106),"Sim","Não")</f>
        <v>#VALUE!</v>
      </c>
      <c r="CL77" s="66" t="e">
        <f t="shared" ref="CL77:CL83" si="10">IF(OR(CG77=$CL$96,CG77=$CL$97,CG77=$CL$98,CG77=$CL$99,CG77=$CL$100,CG77=$CL$101,CG77=$CL$102,CG77=$CL$103,CG77=$CL$104,CG77=$CL$105,CG77=$CL$106),"Sim","Não")</f>
        <v>#VALUE!</v>
      </c>
      <c r="CM77" s="66" t="e">
        <f t="shared" ref="CM77:CM83" si="11">IF(OR(CG77=$CM$96,CG77=$CM$97,CG77=$CM$98,CG77=$CM$99,CG77=$CM$100,CG77=$CM$101,CG77=$CM$102,CG77=$CM$103,CG77=$CM$104,CG77=$CM$105,CG77=$CM$106),"Sim","Não")</f>
        <v>#VALUE!</v>
      </c>
      <c r="CN77" s="66" t="e">
        <f t="shared" ref="CN77:CN83" si="12">IF(OR(CG77=$CN$96,CG77=$CN$97,CG77=$CN$98,CG77=$CN$99,CG77=$CN$100,CG77=$CN$101,CG77=$CN$102,CG77=$CN$103,CG77=$CN$104,CG77=$CN$105,CG77=$CN$106),"Sim","Não")</f>
        <v>#VALUE!</v>
      </c>
      <c r="CO77" s="66" t="e">
        <f t="shared" ref="CO77:CO83" si="13">IF(OR(CG77=$CO$96,CG77=$CO$97,CG77=$CO$98,CG77=$CO$99,CG77=$CO$100,CG77=$CO$101,CG77=$CO$102,CG77=$CO$103,CG77=$CO$104,CG77=$CO$105,CG77=$CO$106),"Sim","Não")</f>
        <v>#VALUE!</v>
      </c>
      <c r="CP77" s="66" t="e">
        <f t="shared" ref="CP77:CP83" si="14">IF(OR(CG77=$CP$96,CG77=$CP$97,CG77=$CP$98,CG77=$CP$99,CG77=$CP$100,CG77=$CP$101,CG77=$CP$102,CG77=$CP$103,CG77=$CP$104,CG77=$CP$105,CG77=$CP$106),"Sim","Não")</f>
        <v>#VALUE!</v>
      </c>
      <c r="CQ77" s="66" t="e">
        <f t="shared" ref="CQ77:CQ83" si="15">IF(OR(CG77=$CQ$96,CG77=$CQ$97,CG77=$CQ$98,CG77=$CQ$99,CG77=$CQ$100,CG77=$CQ$101,CG77=$CQ$102,CG77=$CQ$103,CG77=$CQ$104,CG77=$CQ$105,CG77=$CQ$106),"Sim","Não")</f>
        <v>#VALUE!</v>
      </c>
      <c r="CR77" s="66" t="e">
        <f t="shared" ref="CR77:CR83" si="16">IF(OR(CG77=$CR$96,CG77=$CR$97,CG77=$CR$98,CG77=$CR$99,CG77=$CR$100,CG77=$CR$101,CG77=$CR$102,CG77=$CR$103,CG77=$CR$104,CG77=$CR$105,CG77=$CR$106),"Sim","Não")</f>
        <v>#VALUE!</v>
      </c>
      <c r="CS77" s="66" t="e">
        <f t="shared" ref="CS77:CS83" si="17">IF(OR(CG77=$CS$96,CG77=$CS$97,CG77=$CS$98,CG77=$CS$99,CG77=$CS$100,CG77=$CS$101,CG77=$CS$102,CG77=$CS$103,CG77=$CS$104,CG77=$CS$105,CG77=$CS$106),"Sim","Não")</f>
        <v>#VALUE!</v>
      </c>
      <c r="CT77" s="66" t="e">
        <f t="shared" ref="CT77:CT83" si="18">IF(OR(CG77=$CT$96,CG77=$CT$97,CG77=$CT$98,CG77=$CT$99,CG77=$CT$100,CG77=$CT$101,CG77=$CT$102,CG77=$CT$103,CG77=$CT$104,CG77=$CT$105,CG77=$CT$106),"Sim","Não")</f>
        <v>#VALUE!</v>
      </c>
      <c r="CU77" s="66" t="e">
        <f t="shared" ref="CU77:CU83" si="19">IF(OR(CG77=$CU$96,CG77=$CU$97,CG77=$CU$98,CG77=$CU$99,CG77=$CU$100,CG77=$CU$101,CG77=$CU$102,CG77=$CU$103,CG77=$CU$104,CG77=$CU$105,CG77=$CU$106),"Sim","Não")</f>
        <v>#VALUE!</v>
      </c>
      <c r="CV77" s="66" t="e">
        <f t="shared" ref="CV77:CV83" si="20">IF(OR(CG77=$CV$96,CG77=$CV$97,CG77=$CV$98,CG77=$CV$99,CG77=$CV$100,CG77=$CV$101,CG77=$CV$102,CG77=$CV$103,CG77=$CV$104,CG77=$CV$105,CG77=$CV$106),"Sim","Não")</f>
        <v>#VALUE!</v>
      </c>
      <c r="CW77" s="66" t="e">
        <f t="shared" ref="CW77:CW83" si="21">IF(OR(CG77=$CW$96,CG77=$CW$97,CG77=$CW$98,CG77=$CW$99,CG77=$CW$100,CG77=$CW$101,CG77=$CW$102,CG77=$CW$103,CG77=$CW$104,CG77=$CW$105,CG77=$CW$106),"Sim","Não")</f>
        <v>#VALUE!</v>
      </c>
      <c r="CX77" s="66" t="e">
        <f t="shared" ref="CX77:CX83" si="22">IF(OR(CG77=$CX$96,CG77=$CX$97,CG77=$CX$98,CG77=$CX$99,CG77=$CX$100,CG77=$CX$101,CG77=$CX$102,CG77=$CX$103,CG77=$CX$104,CG77=$CX$105,CG77=$CX$106),"Sim","Não")</f>
        <v>#VALUE!</v>
      </c>
      <c r="CY77" s="66" t="e">
        <f t="shared" ref="CY77:CY83" si="23">IF(OR(CG77=$CY$96,CG77=$CY$97,CG77=$CY$98,CG77=$CY$99,CG77=$CY$100,CG77=$CY$101,CG77=$CY$102,CG77=$CY$103,CG77=$CY$104,CG77=$CY$105,CG77=$CY$106),"Sim","Não")</f>
        <v>#VALUE!</v>
      </c>
    </row>
    <row r="78" spans="1:103" x14ac:dyDescent="0.3">
      <c r="A78" s="239"/>
      <c r="B78" s="244"/>
      <c r="C78" s="72"/>
      <c r="D78" s="56"/>
      <c r="E78" s="56"/>
      <c r="F78" s="56"/>
      <c r="G78" s="82"/>
      <c r="H78" s="82"/>
      <c r="I78" s="82"/>
      <c r="J78" s="82"/>
      <c r="K78" s="82"/>
      <c r="L78" s="82"/>
      <c r="M78" s="56"/>
      <c r="N78" s="56"/>
      <c r="O78" s="368"/>
      <c r="P78" s="368"/>
      <c r="Q78" s="368"/>
      <c r="R78" s="368"/>
      <c r="S78" s="368"/>
      <c r="T78" s="368"/>
      <c r="U78" s="368"/>
      <c r="V78" s="56"/>
      <c r="W78" s="56"/>
      <c r="X78" s="56"/>
      <c r="Y78" s="56"/>
      <c r="Z78" s="73"/>
      <c r="AA78" s="246"/>
      <c r="AB78" s="246"/>
      <c r="AC78" s="246"/>
      <c r="AD78" s="246"/>
      <c r="AE78" s="246"/>
      <c r="AF78" s="246"/>
      <c r="AG78" s="246"/>
      <c r="AH78" s="246"/>
      <c r="AI78" s="246"/>
      <c r="AJ78" s="246"/>
      <c r="AK78" s="246"/>
      <c r="AL78" s="246"/>
      <c r="AM78" s="246"/>
      <c r="AN78" s="246"/>
      <c r="AO78" s="246"/>
      <c r="AP78" s="246"/>
      <c r="AQ78" s="246"/>
      <c r="AR78" s="246"/>
      <c r="AS78" s="246"/>
      <c r="AT78" s="246"/>
      <c r="AU78" s="246"/>
      <c r="AV78" s="246"/>
      <c r="AW78" s="246"/>
      <c r="AX78" s="246"/>
      <c r="AY78" s="250"/>
      <c r="AZ78" s="239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 t="s">
        <v>88</v>
      </c>
      <c r="CB78" s="193"/>
      <c r="CC78" s="193"/>
      <c r="CD78" s="193"/>
      <c r="CE78" s="193"/>
      <c r="CG78" s="146" t="e">
        <f t="shared" ref="CG78:CG83" si="24">CG77+1</f>
        <v>#VALUE!</v>
      </c>
      <c r="CH78" s="66" t="e">
        <f t="shared" ref="CH78:CH83" si="25">TEXT(CG78,"DDDD")</f>
        <v>#VALUE!</v>
      </c>
      <c r="CI78" s="147" t="e">
        <f t="shared" si="7"/>
        <v>#VALUE!</v>
      </c>
      <c r="CJ78" s="66" t="e">
        <f t="shared" si="8"/>
        <v>#VALUE!</v>
      </c>
      <c r="CK78" s="66" t="e">
        <f t="shared" si="9"/>
        <v>#VALUE!</v>
      </c>
      <c r="CL78" s="66" t="e">
        <f t="shared" si="10"/>
        <v>#VALUE!</v>
      </c>
      <c r="CM78" s="66" t="e">
        <f t="shared" si="11"/>
        <v>#VALUE!</v>
      </c>
      <c r="CN78" s="66" t="e">
        <f t="shared" si="12"/>
        <v>#VALUE!</v>
      </c>
      <c r="CO78" s="66" t="e">
        <f t="shared" si="13"/>
        <v>#VALUE!</v>
      </c>
      <c r="CP78" s="66" t="e">
        <f t="shared" si="14"/>
        <v>#VALUE!</v>
      </c>
      <c r="CQ78" s="66" t="e">
        <f t="shared" si="15"/>
        <v>#VALUE!</v>
      </c>
      <c r="CR78" s="66" t="e">
        <f t="shared" si="16"/>
        <v>#VALUE!</v>
      </c>
      <c r="CS78" s="66" t="e">
        <f t="shared" si="17"/>
        <v>#VALUE!</v>
      </c>
      <c r="CT78" s="66" t="e">
        <f t="shared" si="18"/>
        <v>#VALUE!</v>
      </c>
      <c r="CU78" s="66" t="e">
        <f t="shared" si="19"/>
        <v>#VALUE!</v>
      </c>
      <c r="CV78" s="66" t="e">
        <f t="shared" si="20"/>
        <v>#VALUE!</v>
      </c>
      <c r="CW78" s="66" t="e">
        <f t="shared" si="21"/>
        <v>#VALUE!</v>
      </c>
      <c r="CX78" s="66" t="e">
        <f t="shared" si="22"/>
        <v>#VALUE!</v>
      </c>
      <c r="CY78" s="66" t="e">
        <f t="shared" si="23"/>
        <v>#VALUE!</v>
      </c>
    </row>
    <row r="79" spans="1:103" x14ac:dyDescent="0.3">
      <c r="A79" s="239"/>
      <c r="B79" s="244"/>
      <c r="C79" s="72"/>
      <c r="D79" s="56"/>
      <c r="E79" s="56"/>
      <c r="F79" s="56"/>
      <c r="G79" s="82"/>
      <c r="H79" s="82"/>
      <c r="I79" s="82"/>
      <c r="J79" s="82"/>
      <c r="K79" s="82"/>
      <c r="L79" s="82"/>
      <c r="M79" s="56"/>
      <c r="N79" s="56"/>
      <c r="O79" s="368"/>
      <c r="P79" s="368"/>
      <c r="Q79" s="368"/>
      <c r="R79" s="368"/>
      <c r="S79" s="368"/>
      <c r="T79" s="368"/>
      <c r="U79" s="368"/>
      <c r="V79" s="56"/>
      <c r="W79" s="56"/>
      <c r="X79" s="56"/>
      <c r="Y79" s="56"/>
      <c r="Z79" s="73"/>
      <c r="AA79" s="246"/>
      <c r="AB79" s="246"/>
      <c r="AC79" s="246"/>
      <c r="AD79" s="246"/>
      <c r="AE79" s="246"/>
      <c r="AF79" s="246"/>
      <c r="AG79" s="246"/>
      <c r="AH79" s="246"/>
      <c r="AI79" s="246"/>
      <c r="AJ79" s="246"/>
      <c r="AK79" s="246"/>
      <c r="AL79" s="246"/>
      <c r="AM79" s="246"/>
      <c r="AN79" s="246"/>
      <c r="AO79" s="246"/>
      <c r="AP79" s="246"/>
      <c r="AQ79" s="246"/>
      <c r="AR79" s="246"/>
      <c r="AS79" s="246"/>
      <c r="AT79" s="246"/>
      <c r="AU79" s="246"/>
      <c r="AV79" s="246"/>
      <c r="AW79" s="246"/>
      <c r="AX79" s="246"/>
      <c r="AY79" s="250"/>
      <c r="AZ79" s="239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 t="s">
        <v>89</v>
      </c>
      <c r="CB79" s="193"/>
      <c r="CC79" s="193"/>
      <c r="CD79" s="193"/>
      <c r="CE79" s="193"/>
      <c r="CG79" s="146" t="e">
        <f t="shared" si="24"/>
        <v>#VALUE!</v>
      </c>
      <c r="CH79" s="66" t="e">
        <f t="shared" si="25"/>
        <v>#VALUE!</v>
      </c>
      <c r="CI79" s="147" t="e">
        <f t="shared" si="7"/>
        <v>#VALUE!</v>
      </c>
      <c r="CJ79" s="66" t="e">
        <f t="shared" si="8"/>
        <v>#VALUE!</v>
      </c>
      <c r="CK79" s="66" t="e">
        <f t="shared" si="9"/>
        <v>#VALUE!</v>
      </c>
      <c r="CL79" s="66" t="e">
        <f t="shared" si="10"/>
        <v>#VALUE!</v>
      </c>
      <c r="CM79" s="66" t="e">
        <f t="shared" si="11"/>
        <v>#VALUE!</v>
      </c>
      <c r="CN79" s="66" t="e">
        <f t="shared" si="12"/>
        <v>#VALUE!</v>
      </c>
      <c r="CO79" s="66" t="e">
        <f t="shared" si="13"/>
        <v>#VALUE!</v>
      </c>
      <c r="CP79" s="66" t="e">
        <f t="shared" si="14"/>
        <v>#VALUE!</v>
      </c>
      <c r="CQ79" s="66" t="e">
        <f t="shared" si="15"/>
        <v>#VALUE!</v>
      </c>
      <c r="CR79" s="66" t="e">
        <f t="shared" si="16"/>
        <v>#VALUE!</v>
      </c>
      <c r="CS79" s="66" t="e">
        <f t="shared" si="17"/>
        <v>#VALUE!</v>
      </c>
      <c r="CT79" s="66" t="e">
        <f t="shared" si="18"/>
        <v>#VALUE!</v>
      </c>
      <c r="CU79" s="66" t="e">
        <f t="shared" si="19"/>
        <v>#VALUE!</v>
      </c>
      <c r="CV79" s="66" t="e">
        <f t="shared" si="20"/>
        <v>#VALUE!</v>
      </c>
      <c r="CW79" s="66" t="e">
        <f t="shared" si="21"/>
        <v>#VALUE!</v>
      </c>
      <c r="CX79" s="66" t="e">
        <f t="shared" si="22"/>
        <v>#VALUE!</v>
      </c>
      <c r="CY79" s="66" t="e">
        <f t="shared" si="23"/>
        <v>#VALUE!</v>
      </c>
    </row>
    <row r="80" spans="1:103" x14ac:dyDescent="0.3">
      <c r="A80" s="239"/>
      <c r="B80" s="244"/>
      <c r="C80" s="72"/>
      <c r="D80" s="56"/>
      <c r="E80" s="56"/>
      <c r="F80" s="56"/>
      <c r="G80" s="82"/>
      <c r="H80" s="82"/>
      <c r="I80" s="82"/>
      <c r="J80" s="82"/>
      <c r="K80" s="82"/>
      <c r="L80" s="82"/>
      <c r="M80" s="56"/>
      <c r="N80" s="56"/>
      <c r="O80" s="368"/>
      <c r="P80" s="368"/>
      <c r="Q80" s="368"/>
      <c r="R80" s="368"/>
      <c r="S80" s="368"/>
      <c r="T80" s="368"/>
      <c r="U80" s="368"/>
      <c r="V80" s="56"/>
      <c r="W80" s="56"/>
      <c r="X80" s="56"/>
      <c r="Y80" s="56"/>
      <c r="Z80" s="73"/>
      <c r="AA80" s="246"/>
      <c r="AB80" s="246"/>
      <c r="AC80" s="246"/>
      <c r="AD80" s="246"/>
      <c r="AE80" s="246"/>
      <c r="AF80" s="246"/>
      <c r="AG80" s="246"/>
      <c r="AH80" s="246"/>
      <c r="AI80" s="246"/>
      <c r="AJ80" s="246"/>
      <c r="AK80" s="246"/>
      <c r="AL80" s="246"/>
      <c r="AM80" s="246"/>
      <c r="AN80" s="246"/>
      <c r="AO80" s="246"/>
      <c r="AP80" s="246"/>
      <c r="AQ80" s="246"/>
      <c r="AR80" s="246"/>
      <c r="AS80" s="246"/>
      <c r="AT80" s="246"/>
      <c r="AU80" s="246"/>
      <c r="AV80" s="246"/>
      <c r="AW80" s="246"/>
      <c r="AX80" s="246"/>
      <c r="AY80" s="250"/>
      <c r="AZ80" s="239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194">
        <v>1</v>
      </c>
      <c r="CB80" s="193"/>
      <c r="CC80" s="193"/>
      <c r="CD80" s="193"/>
      <c r="CE80" s="193"/>
      <c r="CG80" s="146" t="e">
        <f t="shared" si="24"/>
        <v>#VALUE!</v>
      </c>
      <c r="CH80" s="66" t="e">
        <f t="shared" si="25"/>
        <v>#VALUE!</v>
      </c>
      <c r="CI80" s="147" t="e">
        <f t="shared" si="7"/>
        <v>#VALUE!</v>
      </c>
      <c r="CJ80" s="66" t="e">
        <f t="shared" si="8"/>
        <v>#VALUE!</v>
      </c>
      <c r="CK80" s="66" t="e">
        <f t="shared" si="9"/>
        <v>#VALUE!</v>
      </c>
      <c r="CL80" s="66" t="e">
        <f t="shared" si="10"/>
        <v>#VALUE!</v>
      </c>
      <c r="CM80" s="66" t="e">
        <f t="shared" si="11"/>
        <v>#VALUE!</v>
      </c>
      <c r="CN80" s="66" t="e">
        <f t="shared" si="12"/>
        <v>#VALUE!</v>
      </c>
      <c r="CO80" s="66" t="e">
        <f t="shared" si="13"/>
        <v>#VALUE!</v>
      </c>
      <c r="CP80" s="66" t="e">
        <f t="shared" si="14"/>
        <v>#VALUE!</v>
      </c>
      <c r="CQ80" s="66" t="e">
        <f t="shared" si="15"/>
        <v>#VALUE!</v>
      </c>
      <c r="CR80" s="66" t="e">
        <f t="shared" si="16"/>
        <v>#VALUE!</v>
      </c>
      <c r="CS80" s="66" t="e">
        <f t="shared" si="17"/>
        <v>#VALUE!</v>
      </c>
      <c r="CT80" s="66" t="e">
        <f t="shared" si="18"/>
        <v>#VALUE!</v>
      </c>
      <c r="CU80" s="66" t="e">
        <f t="shared" si="19"/>
        <v>#VALUE!</v>
      </c>
      <c r="CV80" s="66" t="e">
        <f t="shared" si="20"/>
        <v>#VALUE!</v>
      </c>
      <c r="CW80" s="66" t="e">
        <f t="shared" si="21"/>
        <v>#VALUE!</v>
      </c>
      <c r="CX80" s="66" t="e">
        <f t="shared" si="22"/>
        <v>#VALUE!</v>
      </c>
      <c r="CY80" s="66" t="e">
        <f t="shared" si="23"/>
        <v>#VALUE!</v>
      </c>
    </row>
    <row r="81" spans="1:223" x14ac:dyDescent="0.3">
      <c r="A81" s="239"/>
      <c r="B81" s="244"/>
      <c r="C81" s="72"/>
      <c r="D81" s="56"/>
      <c r="E81" s="56"/>
      <c r="F81" s="56"/>
      <c r="G81" s="82"/>
      <c r="H81" s="82"/>
      <c r="I81" s="82"/>
      <c r="J81" s="82"/>
      <c r="K81" s="82"/>
      <c r="L81" s="82"/>
      <c r="M81" s="56"/>
      <c r="N81" s="56"/>
      <c r="O81" s="368"/>
      <c r="P81" s="368"/>
      <c r="Q81" s="368"/>
      <c r="R81" s="368"/>
      <c r="S81" s="368"/>
      <c r="T81" s="368"/>
      <c r="U81" s="368"/>
      <c r="V81" s="56"/>
      <c r="W81" s="56"/>
      <c r="X81" s="56"/>
      <c r="Y81" s="56"/>
      <c r="Z81" s="73"/>
      <c r="AA81" s="246"/>
      <c r="AB81" s="246"/>
      <c r="AC81" s="246"/>
      <c r="AD81" s="246"/>
      <c r="AE81" s="246"/>
      <c r="AF81" s="246"/>
      <c r="AG81" s="246"/>
      <c r="AH81" s="246"/>
      <c r="AI81" s="246"/>
      <c r="AJ81" s="246"/>
      <c r="AK81" s="246"/>
      <c r="AL81" s="246"/>
      <c r="AM81" s="246"/>
      <c r="AN81" s="246"/>
      <c r="AO81" s="246"/>
      <c r="AP81" s="246"/>
      <c r="AQ81" s="246"/>
      <c r="AR81" s="246"/>
      <c r="AS81" s="246"/>
      <c r="AT81" s="246"/>
      <c r="AU81" s="246"/>
      <c r="AV81" s="246"/>
      <c r="AW81" s="246"/>
      <c r="AX81" s="246"/>
      <c r="AY81" s="250"/>
      <c r="AZ81" s="239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CB81" s="193"/>
      <c r="CC81" s="193"/>
      <c r="CD81" s="193"/>
      <c r="CE81" s="193"/>
      <c r="CG81" s="146" t="e">
        <f t="shared" si="24"/>
        <v>#VALUE!</v>
      </c>
      <c r="CH81" s="66" t="e">
        <f t="shared" si="25"/>
        <v>#VALUE!</v>
      </c>
      <c r="CI81" s="147" t="e">
        <f t="shared" si="7"/>
        <v>#VALUE!</v>
      </c>
      <c r="CJ81" s="66" t="e">
        <f t="shared" si="8"/>
        <v>#VALUE!</v>
      </c>
      <c r="CK81" s="66" t="e">
        <f t="shared" si="9"/>
        <v>#VALUE!</v>
      </c>
      <c r="CL81" s="66" t="e">
        <f t="shared" si="10"/>
        <v>#VALUE!</v>
      </c>
      <c r="CM81" s="66" t="e">
        <f t="shared" si="11"/>
        <v>#VALUE!</v>
      </c>
      <c r="CN81" s="66" t="e">
        <f t="shared" si="12"/>
        <v>#VALUE!</v>
      </c>
      <c r="CO81" s="66" t="e">
        <f t="shared" si="13"/>
        <v>#VALUE!</v>
      </c>
      <c r="CP81" s="66" t="e">
        <f t="shared" si="14"/>
        <v>#VALUE!</v>
      </c>
      <c r="CQ81" s="66" t="e">
        <f t="shared" si="15"/>
        <v>#VALUE!</v>
      </c>
      <c r="CR81" s="66" t="e">
        <f t="shared" si="16"/>
        <v>#VALUE!</v>
      </c>
      <c r="CS81" s="66" t="e">
        <f t="shared" si="17"/>
        <v>#VALUE!</v>
      </c>
      <c r="CT81" s="66" t="e">
        <f t="shared" si="18"/>
        <v>#VALUE!</v>
      </c>
      <c r="CU81" s="66" t="e">
        <f t="shared" si="19"/>
        <v>#VALUE!</v>
      </c>
      <c r="CV81" s="66" t="e">
        <f t="shared" si="20"/>
        <v>#VALUE!</v>
      </c>
      <c r="CW81" s="66" t="e">
        <f t="shared" si="21"/>
        <v>#VALUE!</v>
      </c>
      <c r="CX81" s="66" t="e">
        <f t="shared" si="22"/>
        <v>#VALUE!</v>
      </c>
      <c r="CY81" s="66" t="e">
        <f t="shared" si="23"/>
        <v>#VALUE!</v>
      </c>
    </row>
    <row r="82" spans="1:223" ht="15" thickBot="1" x14ac:dyDescent="0.35">
      <c r="A82" s="239"/>
      <c r="B82" s="244"/>
      <c r="C82" s="74"/>
      <c r="D82" s="75"/>
      <c r="E82" s="75"/>
      <c r="F82" s="75"/>
      <c r="G82" s="86"/>
      <c r="H82" s="86"/>
      <c r="I82" s="86"/>
      <c r="J82" s="86"/>
      <c r="K82" s="86"/>
      <c r="L82" s="86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6"/>
      <c r="AA82" s="246"/>
      <c r="AB82" s="246"/>
      <c r="AC82" s="246"/>
      <c r="AD82" s="246"/>
      <c r="AE82" s="246"/>
      <c r="AF82" s="246"/>
      <c r="AG82" s="246"/>
      <c r="AH82" s="246"/>
      <c r="AI82" s="246"/>
      <c r="AJ82" s="246"/>
      <c r="AK82" s="246"/>
      <c r="AL82" s="246"/>
      <c r="AM82" s="246"/>
      <c r="AN82" s="246"/>
      <c r="AO82" s="246"/>
      <c r="AP82" s="246"/>
      <c r="AQ82" s="246"/>
      <c r="AR82" s="246"/>
      <c r="AS82" s="246"/>
      <c r="AT82" s="246"/>
      <c r="AU82" s="246"/>
      <c r="AV82" s="246"/>
      <c r="AW82" s="246"/>
      <c r="AX82" s="246"/>
      <c r="AY82" s="250"/>
      <c r="AZ82" s="239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CB82" s="193"/>
      <c r="CC82" s="193"/>
      <c r="CD82" s="193"/>
      <c r="CE82" s="193"/>
      <c r="CG82" s="146" t="e">
        <f t="shared" si="24"/>
        <v>#VALUE!</v>
      </c>
      <c r="CH82" s="66" t="e">
        <f t="shared" si="25"/>
        <v>#VALUE!</v>
      </c>
      <c r="CI82" s="147" t="e">
        <f t="shared" si="7"/>
        <v>#VALUE!</v>
      </c>
      <c r="CJ82" s="66" t="e">
        <f t="shared" si="8"/>
        <v>#VALUE!</v>
      </c>
      <c r="CK82" s="66" t="e">
        <f t="shared" si="9"/>
        <v>#VALUE!</v>
      </c>
      <c r="CL82" s="66" t="e">
        <f t="shared" si="10"/>
        <v>#VALUE!</v>
      </c>
      <c r="CM82" s="66" t="e">
        <f t="shared" si="11"/>
        <v>#VALUE!</v>
      </c>
      <c r="CN82" s="66" t="e">
        <f t="shared" si="12"/>
        <v>#VALUE!</v>
      </c>
      <c r="CO82" s="66" t="e">
        <f t="shared" si="13"/>
        <v>#VALUE!</v>
      </c>
      <c r="CP82" s="66" t="e">
        <f t="shared" si="14"/>
        <v>#VALUE!</v>
      </c>
      <c r="CQ82" s="66" t="e">
        <f t="shared" si="15"/>
        <v>#VALUE!</v>
      </c>
      <c r="CR82" s="66" t="e">
        <f t="shared" si="16"/>
        <v>#VALUE!</v>
      </c>
      <c r="CS82" s="66" t="e">
        <f t="shared" si="17"/>
        <v>#VALUE!</v>
      </c>
      <c r="CT82" s="66" t="e">
        <f t="shared" si="18"/>
        <v>#VALUE!</v>
      </c>
      <c r="CU82" s="66" t="e">
        <f t="shared" si="19"/>
        <v>#VALUE!</v>
      </c>
      <c r="CV82" s="66" t="e">
        <f t="shared" si="20"/>
        <v>#VALUE!</v>
      </c>
      <c r="CW82" s="66" t="e">
        <f t="shared" si="21"/>
        <v>#VALUE!</v>
      </c>
      <c r="CX82" s="66" t="e">
        <f t="shared" si="22"/>
        <v>#VALUE!</v>
      </c>
      <c r="CY82" s="66" t="e">
        <f t="shared" si="23"/>
        <v>#VALUE!</v>
      </c>
    </row>
    <row r="83" spans="1:223" ht="15" thickBot="1" x14ac:dyDescent="0.35">
      <c r="A83" s="239"/>
      <c r="B83" s="245"/>
      <c r="C83" s="252"/>
      <c r="D83" s="252"/>
      <c r="E83" s="252"/>
      <c r="F83" s="252"/>
      <c r="G83" s="369"/>
      <c r="H83" s="369"/>
      <c r="I83" s="369"/>
      <c r="J83" s="369"/>
      <c r="K83" s="369"/>
      <c r="L83" s="369"/>
      <c r="M83" s="252"/>
      <c r="N83" s="252"/>
      <c r="O83" s="252"/>
      <c r="P83" s="252"/>
      <c r="Q83" s="252"/>
      <c r="R83" s="252"/>
      <c r="S83" s="252"/>
      <c r="T83" s="252"/>
      <c r="U83" s="252"/>
      <c r="V83" s="252"/>
      <c r="W83" s="252"/>
      <c r="X83" s="252"/>
      <c r="Y83" s="252"/>
      <c r="Z83" s="252"/>
      <c r="AA83" s="252"/>
      <c r="AB83" s="252"/>
      <c r="AC83" s="252"/>
      <c r="AD83" s="252"/>
      <c r="AE83" s="252"/>
      <c r="AF83" s="252"/>
      <c r="AG83" s="252"/>
      <c r="AH83" s="252"/>
      <c r="AI83" s="252"/>
      <c r="AJ83" s="252"/>
      <c r="AK83" s="252"/>
      <c r="AL83" s="252"/>
      <c r="AM83" s="252"/>
      <c r="AN83" s="252"/>
      <c r="AO83" s="252"/>
      <c r="AP83" s="252"/>
      <c r="AQ83" s="252"/>
      <c r="AR83" s="252"/>
      <c r="AS83" s="252"/>
      <c r="AT83" s="252"/>
      <c r="AU83" s="252"/>
      <c r="AV83" s="252"/>
      <c r="AW83" s="252"/>
      <c r="AX83" s="252"/>
      <c r="AY83" s="251"/>
      <c r="AZ83" s="239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CB83" s="193"/>
      <c r="CC83" s="193"/>
      <c r="CD83" s="193"/>
      <c r="CE83" s="193"/>
      <c r="CG83" s="146" t="e">
        <f t="shared" si="24"/>
        <v>#VALUE!</v>
      </c>
      <c r="CH83" s="66" t="e">
        <f t="shared" si="25"/>
        <v>#VALUE!</v>
      </c>
      <c r="CI83" s="147" t="e">
        <f t="shared" si="7"/>
        <v>#VALUE!</v>
      </c>
      <c r="CJ83" s="66" t="e">
        <f t="shared" si="8"/>
        <v>#VALUE!</v>
      </c>
      <c r="CK83" s="66" t="e">
        <f t="shared" si="9"/>
        <v>#VALUE!</v>
      </c>
      <c r="CL83" s="66" t="e">
        <f t="shared" si="10"/>
        <v>#VALUE!</v>
      </c>
      <c r="CM83" s="66" t="e">
        <f t="shared" si="11"/>
        <v>#VALUE!</v>
      </c>
      <c r="CN83" s="66" t="e">
        <f t="shared" si="12"/>
        <v>#VALUE!</v>
      </c>
      <c r="CO83" s="66" t="e">
        <f t="shared" si="13"/>
        <v>#VALUE!</v>
      </c>
      <c r="CP83" s="66" t="e">
        <f t="shared" si="14"/>
        <v>#VALUE!</v>
      </c>
      <c r="CQ83" s="66" t="e">
        <f t="shared" si="15"/>
        <v>#VALUE!</v>
      </c>
      <c r="CR83" s="66" t="e">
        <f t="shared" si="16"/>
        <v>#VALUE!</v>
      </c>
      <c r="CS83" s="66" t="e">
        <f t="shared" si="17"/>
        <v>#VALUE!</v>
      </c>
      <c r="CT83" s="66" t="e">
        <f t="shared" si="18"/>
        <v>#VALUE!</v>
      </c>
      <c r="CU83" s="66" t="e">
        <f t="shared" si="19"/>
        <v>#VALUE!</v>
      </c>
      <c r="CV83" s="66" t="e">
        <f t="shared" si="20"/>
        <v>#VALUE!</v>
      </c>
      <c r="CW83" s="66" t="e">
        <f t="shared" si="21"/>
        <v>#VALUE!</v>
      </c>
      <c r="CX83" s="66" t="e">
        <f t="shared" si="22"/>
        <v>#VALUE!</v>
      </c>
      <c r="CY83" s="66" t="e">
        <f t="shared" si="23"/>
        <v>#VALUE!</v>
      </c>
    </row>
    <row r="84" spans="1:223" s="64" customFormat="1" x14ac:dyDescent="0.3">
      <c r="A84" s="239"/>
      <c r="B84" s="239"/>
      <c r="C84" s="239"/>
      <c r="D84" s="239"/>
      <c r="E84" s="239"/>
      <c r="F84" s="239"/>
      <c r="G84" s="239"/>
      <c r="H84" s="239"/>
      <c r="I84" s="239"/>
      <c r="J84" s="239"/>
      <c r="K84" s="239"/>
      <c r="L84" s="239"/>
      <c r="M84" s="239"/>
      <c r="N84" s="239"/>
      <c r="O84" s="239"/>
      <c r="P84" s="239"/>
      <c r="Q84" s="239"/>
      <c r="R84" s="239"/>
      <c r="S84" s="239"/>
      <c r="T84" s="239"/>
      <c r="U84" s="239"/>
      <c r="V84" s="239"/>
      <c r="W84" s="239"/>
      <c r="X84" s="239"/>
      <c r="Y84" s="239"/>
      <c r="Z84" s="239"/>
      <c r="AA84" s="239"/>
      <c r="AB84" s="239"/>
      <c r="AC84" s="239"/>
      <c r="AD84" s="239"/>
      <c r="AE84" s="239"/>
      <c r="AF84" s="239"/>
      <c r="AG84" s="239"/>
      <c r="AH84" s="239"/>
      <c r="AI84" s="239"/>
      <c r="AJ84" s="239"/>
      <c r="AK84" s="239"/>
      <c r="AL84" s="239"/>
      <c r="AM84" s="239"/>
      <c r="AN84" s="239"/>
      <c r="AO84" s="239"/>
      <c r="AP84" s="239"/>
      <c r="AQ84" s="239"/>
      <c r="AR84" s="239"/>
      <c r="AS84" s="239"/>
      <c r="AT84" s="239"/>
      <c r="AU84" s="239"/>
      <c r="AV84" s="239"/>
      <c r="AW84" s="239"/>
      <c r="AX84" s="239"/>
      <c r="AY84" s="239"/>
      <c r="AZ84" s="239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6"/>
      <c r="BN84" s="66"/>
      <c r="BO84" s="66"/>
      <c r="BP84" s="66"/>
      <c r="BQ84" s="66"/>
      <c r="BR84" s="66"/>
      <c r="BS84" s="66"/>
      <c r="BT84" s="66"/>
      <c r="BU84" s="66"/>
      <c r="BV84" s="66"/>
      <c r="BW84" s="66"/>
      <c r="BX84" s="66"/>
      <c r="BY84" s="66"/>
      <c r="BZ84" s="66"/>
      <c r="CA84" s="66"/>
      <c r="CB84" s="193"/>
      <c r="CC84" s="193"/>
      <c r="CD84" s="193"/>
      <c r="CE84" s="193"/>
      <c r="CF84" s="435"/>
      <c r="CG84" s="66"/>
      <c r="CH84" s="66"/>
      <c r="CI84" s="147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  <c r="CY84" s="66"/>
      <c r="CZ84" s="66"/>
      <c r="DA84" s="66"/>
      <c r="DB84" s="66"/>
      <c r="DC84" s="66"/>
      <c r="DD84" s="66"/>
      <c r="DE84" s="66"/>
      <c r="DF84" s="66"/>
      <c r="DG84" s="66"/>
      <c r="DH84" s="66"/>
      <c r="DI84" s="66"/>
      <c r="DJ84" s="66"/>
      <c r="DK84" s="66"/>
      <c r="DL84" s="66"/>
      <c r="DM84" s="66"/>
      <c r="DN84" s="66"/>
      <c r="DO84" s="66"/>
      <c r="DP84" s="66"/>
      <c r="HN84" s="68"/>
      <c r="HO84" s="68"/>
    </row>
    <row r="85" spans="1:223" s="64" customFormat="1" hidden="1" x14ac:dyDescent="0.3">
      <c r="A85" s="239"/>
      <c r="B85" s="239"/>
      <c r="C85" s="239"/>
      <c r="D85" s="239"/>
      <c r="E85" s="239"/>
      <c r="F85" s="239"/>
      <c r="G85" s="239"/>
      <c r="H85" s="239"/>
      <c r="I85" s="239"/>
      <c r="J85" s="239"/>
      <c r="K85" s="239"/>
      <c r="L85" s="239"/>
      <c r="M85" s="239"/>
      <c r="N85" s="239"/>
      <c r="O85" s="239"/>
      <c r="P85" s="239"/>
      <c r="Q85" s="239"/>
      <c r="R85" s="239"/>
      <c r="S85" s="239"/>
      <c r="T85" s="239"/>
      <c r="U85" s="239"/>
      <c r="V85" s="239"/>
      <c r="W85" s="239"/>
      <c r="X85" s="239"/>
      <c r="Y85" s="239"/>
      <c r="Z85" s="239"/>
      <c r="AA85" s="239"/>
      <c r="AB85" s="239"/>
      <c r="AC85" s="239"/>
      <c r="AD85" s="239"/>
      <c r="AE85" s="239"/>
      <c r="AF85" s="239"/>
      <c r="AG85" s="239"/>
      <c r="AH85" s="239"/>
      <c r="AI85" s="239"/>
      <c r="AJ85" s="239"/>
      <c r="AK85" s="239"/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39"/>
      <c r="AY85" s="239"/>
      <c r="AZ85" s="239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6"/>
      <c r="BN85" s="66"/>
      <c r="BO85" s="66"/>
      <c r="BP85" s="66"/>
      <c r="BQ85" s="66"/>
      <c r="BR85" s="66"/>
      <c r="BS85" s="66"/>
      <c r="BT85" s="66"/>
      <c r="BU85" s="66"/>
      <c r="BV85" s="66"/>
      <c r="BW85" s="66"/>
      <c r="BX85" s="66"/>
      <c r="BY85" s="66"/>
      <c r="BZ85" s="66"/>
      <c r="CA85" s="66"/>
      <c r="CB85" s="193"/>
      <c r="CC85" s="193"/>
      <c r="CD85" s="193"/>
      <c r="CE85" s="193"/>
      <c r="CF85" s="435"/>
      <c r="CG85" s="66" t="s">
        <v>110</v>
      </c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  <c r="CY85" s="66"/>
      <c r="CZ85" s="66"/>
      <c r="DA85" s="66"/>
      <c r="DB85" s="66"/>
      <c r="DC85" s="66"/>
      <c r="DD85" s="66"/>
      <c r="DE85" s="66"/>
      <c r="DF85" s="66"/>
      <c r="DG85" s="66"/>
      <c r="DH85" s="66"/>
      <c r="DI85" s="66"/>
      <c r="DJ85" s="66"/>
      <c r="DK85" s="66"/>
      <c r="DL85" s="66"/>
      <c r="DM85" s="66"/>
      <c r="DN85" s="66"/>
      <c r="DO85" s="66"/>
      <c r="DP85" s="66"/>
      <c r="HN85" s="68"/>
      <c r="HO85" s="68"/>
    </row>
    <row r="86" spans="1:223" s="64" customFormat="1" hidden="1" x14ac:dyDescent="0.3">
      <c r="B86" s="68"/>
      <c r="C86" s="68"/>
      <c r="D86" s="68"/>
      <c r="E86" s="68"/>
      <c r="F86" s="68"/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E86" s="148"/>
      <c r="AF86" s="148"/>
      <c r="AG86" s="151"/>
      <c r="AH86" s="151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6"/>
      <c r="BN86" s="66"/>
      <c r="BO86" s="66"/>
      <c r="BP86" s="66"/>
      <c r="BQ86" s="66"/>
      <c r="BR86" s="66"/>
      <c r="BS86" s="66"/>
      <c r="BT86" s="66"/>
      <c r="BU86" s="66"/>
      <c r="BV86" s="66"/>
      <c r="BW86" s="66"/>
      <c r="BX86" s="66"/>
      <c r="BY86" s="66"/>
      <c r="BZ86" s="66"/>
      <c r="CA86" s="66"/>
      <c r="CB86" s="193"/>
      <c r="CC86" s="193"/>
      <c r="CD86" s="193"/>
      <c r="CE86" s="193"/>
      <c r="CF86" s="435"/>
      <c r="CG86" s="14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  <c r="CY86" s="66"/>
      <c r="CZ86" s="66"/>
      <c r="DA86" s="66"/>
      <c r="DB86" s="66"/>
      <c r="DC86" s="66"/>
      <c r="DD86" s="66"/>
      <c r="DE86" s="66"/>
      <c r="DF86" s="66"/>
      <c r="DG86" s="66"/>
      <c r="DH86" s="66"/>
      <c r="DI86" s="66"/>
      <c r="DJ86" s="66"/>
      <c r="DK86" s="66"/>
      <c r="DL86" s="66"/>
      <c r="DM86" s="66"/>
      <c r="DN86" s="66"/>
      <c r="DO86" s="66"/>
      <c r="DP86" s="66"/>
      <c r="HN86" s="68"/>
      <c r="HO86" s="68"/>
    </row>
    <row r="87" spans="1:223" s="64" customFormat="1" ht="15" hidden="1" customHeight="1" x14ac:dyDescent="0.3">
      <c r="B87" s="68"/>
      <c r="C87" s="68"/>
      <c r="D87" s="68"/>
      <c r="E87" s="68"/>
      <c r="F87" s="68"/>
      <c r="I87" s="148"/>
      <c r="J87" s="148"/>
      <c r="K87" s="148"/>
      <c r="L87" s="14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E87" s="149"/>
      <c r="AF87" s="149"/>
      <c r="AG87" s="150"/>
      <c r="AH87" s="150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6"/>
      <c r="BN87" s="66"/>
      <c r="BO87" s="66"/>
      <c r="BP87" s="66"/>
      <c r="BQ87" s="66"/>
      <c r="BR87" s="66"/>
      <c r="BS87" s="66"/>
      <c r="BT87" s="66"/>
      <c r="BU87" s="66"/>
      <c r="BV87" s="66"/>
      <c r="BW87" s="66"/>
      <c r="BX87" s="66"/>
      <c r="BY87" s="66"/>
      <c r="BZ87" s="66"/>
      <c r="CA87" s="66"/>
      <c r="CB87" s="193"/>
      <c r="CC87" s="193"/>
      <c r="CD87" s="193"/>
      <c r="CE87" s="193"/>
      <c r="CF87" s="435"/>
      <c r="CG87" s="146" t="str">
        <f>IF(OR(L10="",L10=0,L10&gt;12,O10="",O10=0,O10&lt;2015),"-",IF(T71="-","-",IF(P71="IOF a Pagar*:","-",IF(AND(CI77="dia útil",CI78="dia útil",CI79="dia útil"),CG79,IF(AND(CI77="Final de semana/feriado",CI78="Final de semana/feriado",CI79="dia útil",CI80="dia útil",CI81="Final de semana/feriado",CI82="dia útil"),CG82,IF(OR(AND(CI77="Final de semana/feriado",CI78="dia útil",CI79="dia útil",CI80="dia útil"),AND(CI77="Dia útil",CI78="final de semana/feriado",CI79="dia útil",CI80="dia útil"),AND(CI77="dia útil",CI78="dia útil",CI79="final de semana/feriado",CI80="dia útil"),AND(CI77="dia útil",CI78="dia útil",CI79="dia útil",CI80="Final de semana/feriado")),CG80,IF(OR(AND(CI77="final de semana/feriado",CI78="final de semana/feriado",CI79="dia útil",CI80="dia útil",CI81="dia útil"),AND(CI77="dia útil",CI78="final de semana/feriado",CI79="final de semana/feriado",CI80="dia útil",CI81="dia útil"),AND(CI77="dia útil",CI78="dia útil",CI79="final de semana/feriado",CI80="final de semana/feriado",CI81="dia útil"),AND(CI77="Final de semana/feriado",CI78="dia útil",CI79="final de semana/feriado",CI80="dia útil",CI81="dia útil"),AND(CI77="Final de semana/feriado",CI78="dia útil",CI79="dia útil",CI80="final de semana/feriado",CI81="dia útil"),AND(CI77="dia útil",CI78="final de semana/feriado",CI79="dia útil",CI80="final de semana/feriado",CI81="dia útil")),CG81,IF(OR(AND(CI77="final de semana/feriado",CI78="final de semana/feriado",CI79="final de semana/feriado",CI80="dia útil",CI81="dia útil",CI82="dia útil"),AND(CI77="dia útil",CI78="final de semana/feriado",CI79="final de semana/feriado",CI80="final de semana/feriado",CI81="dia útil",CI82="dia útil"),AND(CI77="dia útil",CI78="dia útil",CI79="final de semana/feriado",CI80="final de semana/feriado",CI81="final de semana/feriado",CI82="dia útil"),AND(CI77="Final de semana/feriado",CI78="dia útil",CI79="final de semana/feriado",CI80="final de semana/feriado",CI81="dia útil",CI82="dia útil"),AND(CI77="Final de semana/feriado",CI78="dia útil",CI79="dia útil",CI80="final de semana/feriado",CI81="final de semana/feriado",CI82="dia útil"),AND(CI77="final de semana/feriado",CI78="dia útil",CI79="final de semana/feriado",CI80="dia útil",CI81="final de semana/feriado",CI82="dia útil")),CG82,IF(OR(AND(CI77="final de semana/feriado",CI78="final de semana/feriado",CI79="final de semana/feriado",CI80="final de semana/feriado",CI81="dia útil",CI82="dia útil",CI83="dia útil"),AND(CI77="dia útil",CI78="final de semana/feriado",CI79="final de semana/feriado",CI80="final de semana/feriado",CI81="final de semana/feriado",CI82="dia útil",CI83="dia útil"),AND(CI77="dia útil",CI78="dia útil",CI79="final de semana/feriado",CI80="final de semana/feriado",CI81="final de semana/feriado",CI82="final de semana/feriado",CI83="dia útil"),AND(CI77="Final de semana/feriado",CI78="dia útil",CI79="final de semana/feriado",CI80="final de semana/feriado",CI81="final de semana/feriado",CI82="dia útil",CI83="dia útil"),AND(CI77="Final de semana/feriado",CI78="dia útil",CI79="dia útil",CI80="final de semana/feriado",CI81="final de semana/feriado",CI82="final de semana/feriado",CI83="dia útil"),AND(CI77="final de semana/feriado",CI78="dia útil",CI79="final de semana/feriado",CI80="dia útil",CI81="final de semana/feriado",CI82="final de semana/feriado",CI83="dia útil"),AND(CI77="dia útil",CI78="final de semana/feriado",CI79="dia útil",CI80="final de semana/feriado",CI81="final de semana/feriado",CI82="final de semana/feriado",CI83="dia útil")),CG83)))))))))</f>
        <v>-</v>
      </c>
      <c r="CH87" s="66"/>
      <c r="CI87" s="14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  <c r="CY87" s="66"/>
      <c r="CZ87" s="66"/>
      <c r="DA87" s="66"/>
      <c r="DB87" s="66"/>
      <c r="DC87" s="66"/>
      <c r="DD87" s="66"/>
      <c r="DE87" s="66"/>
      <c r="DF87" s="66"/>
      <c r="DG87" s="66"/>
      <c r="DH87" s="66"/>
      <c r="DI87" s="66"/>
      <c r="DJ87" s="66"/>
      <c r="DK87" s="66"/>
      <c r="DL87" s="66"/>
      <c r="DM87" s="66"/>
      <c r="DN87" s="66"/>
      <c r="DO87" s="66"/>
      <c r="DP87" s="66"/>
      <c r="DQ87" s="66"/>
      <c r="DR87" s="66"/>
      <c r="DS87" s="66"/>
      <c r="DT87" s="66"/>
      <c r="DU87" s="66"/>
      <c r="DV87" s="66"/>
      <c r="DW87" s="66"/>
      <c r="DX87" s="66"/>
      <c r="DY87" s="66"/>
      <c r="DZ87" s="66"/>
      <c r="EA87" s="66"/>
      <c r="EB87" s="66"/>
      <c r="EC87" s="66"/>
      <c r="ED87" s="66"/>
      <c r="EE87" s="66"/>
      <c r="HN87" s="68"/>
      <c r="HO87" s="68"/>
    </row>
    <row r="88" spans="1:223" s="64" customFormat="1" hidden="1" x14ac:dyDescent="0.3">
      <c r="B88" s="68"/>
      <c r="C88" s="68"/>
      <c r="D88" s="68"/>
      <c r="E88" s="68"/>
      <c r="F88" s="68"/>
      <c r="I88" s="149"/>
      <c r="J88" s="149"/>
      <c r="K88" s="149"/>
      <c r="L88" s="149"/>
      <c r="M88" s="149"/>
      <c r="N88" s="149"/>
      <c r="O88" s="149"/>
      <c r="P88" s="149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E88" s="148"/>
      <c r="AF88" s="148"/>
      <c r="AG88" s="151"/>
      <c r="AH88" s="151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193"/>
      <c r="CC88" s="193"/>
      <c r="CD88" s="193"/>
      <c r="CE88" s="193"/>
      <c r="CF88" s="435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  <c r="DS88" s="66"/>
      <c r="DT88" s="66"/>
      <c r="DU88" s="66"/>
      <c r="DV88" s="66"/>
      <c r="DW88" s="66"/>
      <c r="DX88" s="66"/>
      <c r="DY88" s="66"/>
      <c r="DZ88" s="66"/>
      <c r="EA88" s="66"/>
      <c r="EB88" s="66"/>
      <c r="EC88" s="66"/>
      <c r="ED88" s="66"/>
      <c r="EE88" s="66"/>
      <c r="HN88" s="68"/>
      <c r="HO88" s="68"/>
    </row>
    <row r="89" spans="1:223" s="64" customFormat="1" ht="15" hidden="1" customHeight="1" x14ac:dyDescent="0.3">
      <c r="B89" s="68"/>
      <c r="C89" s="68"/>
      <c r="D89" s="68"/>
      <c r="E89" s="68"/>
      <c r="F89" s="68"/>
      <c r="I89" s="148"/>
      <c r="J89" s="148"/>
      <c r="K89" s="148"/>
      <c r="L89" s="148"/>
      <c r="M89" s="148"/>
      <c r="N89" s="68"/>
      <c r="O89" s="152"/>
      <c r="P89" s="152"/>
      <c r="Q89" s="152"/>
      <c r="R89" s="152"/>
      <c r="S89" s="152"/>
      <c r="T89" s="152"/>
      <c r="U89" s="152"/>
      <c r="V89" s="152"/>
      <c r="W89" s="152"/>
      <c r="X89" s="152"/>
      <c r="Y89" s="153"/>
      <c r="Z89" s="68"/>
      <c r="AA89" s="68"/>
      <c r="AB89" s="68"/>
      <c r="AC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7"/>
      <c r="BB89" s="67" t="s">
        <v>111</v>
      </c>
      <c r="BC89" s="67"/>
      <c r="BD89" s="67"/>
      <c r="BE89" s="67"/>
      <c r="BF89" s="67"/>
      <c r="BG89" s="67"/>
      <c r="BH89" s="67"/>
      <c r="BI89" s="67" t="s">
        <v>112</v>
      </c>
      <c r="BJ89" s="67"/>
      <c r="BK89" s="67"/>
      <c r="BL89" s="67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193"/>
      <c r="CC89" s="193"/>
      <c r="CD89" s="193"/>
      <c r="CE89" s="193"/>
      <c r="CF89" s="435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  <c r="DS89" s="66"/>
      <c r="DT89" s="66"/>
      <c r="DU89" s="66"/>
      <c r="DV89" s="66"/>
      <c r="DW89" s="66"/>
      <c r="DX89" s="66"/>
      <c r="DY89" s="66"/>
      <c r="DZ89" s="66"/>
      <c r="EA89" s="66"/>
      <c r="EB89" s="66"/>
      <c r="EC89" s="66"/>
      <c r="ED89" s="66"/>
      <c r="EE89" s="66"/>
      <c r="HN89" s="68"/>
      <c r="HO89" s="68"/>
    </row>
    <row r="90" spans="1:223" s="64" customFormat="1" hidden="1" x14ac:dyDescent="0.3">
      <c r="B90" s="68"/>
      <c r="C90" s="68"/>
      <c r="D90" s="68"/>
      <c r="E90" s="68"/>
      <c r="F90" s="68"/>
      <c r="I90" s="148"/>
      <c r="J90" s="148"/>
      <c r="K90" s="148"/>
      <c r="L90" s="148"/>
      <c r="M90" s="68"/>
      <c r="N90" s="152"/>
      <c r="O90" s="152"/>
      <c r="P90" s="152"/>
      <c r="Q90" s="152"/>
      <c r="R90" s="152"/>
      <c r="S90" s="152"/>
      <c r="T90" s="152"/>
      <c r="U90" s="152"/>
      <c r="V90" s="152"/>
      <c r="W90" s="152"/>
      <c r="X90" s="152"/>
      <c r="Y90" s="153"/>
      <c r="Z90" s="68"/>
      <c r="AA90" s="68"/>
      <c r="AB90" s="68"/>
      <c r="AC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7"/>
      <c r="BB90" s="154" t="s">
        <v>113</v>
      </c>
      <c r="BC90" s="154"/>
      <c r="BD90" s="67"/>
      <c r="BE90" s="67"/>
      <c r="BF90" s="67"/>
      <c r="BG90" s="67"/>
      <c r="BH90" s="67"/>
      <c r="BI90" s="154" t="s">
        <v>114</v>
      </c>
      <c r="BJ90" s="67"/>
      <c r="BK90" s="67"/>
      <c r="BL90" s="67"/>
      <c r="BM90" s="66"/>
      <c r="BN90" s="66"/>
      <c r="BO90" s="66"/>
      <c r="BP90" s="66"/>
      <c r="BQ90" s="66"/>
      <c r="BR90" s="66"/>
      <c r="BS90" s="66"/>
      <c r="BT90" s="66"/>
      <c r="BU90" s="66"/>
      <c r="BV90" s="66"/>
      <c r="BW90" s="66"/>
      <c r="BX90" s="66"/>
      <c r="BY90" s="66"/>
      <c r="BZ90" s="66"/>
      <c r="CA90" s="66"/>
      <c r="CB90" s="193"/>
      <c r="CC90" s="193"/>
      <c r="CD90" s="193"/>
      <c r="CE90" s="193"/>
      <c r="CF90" s="435"/>
      <c r="CG90" s="66"/>
      <c r="CH90" s="66"/>
      <c r="CI90" s="14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CY90" s="66"/>
      <c r="CZ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6"/>
      <c r="DV90" s="66"/>
      <c r="DW90" s="66"/>
      <c r="DX90" s="66"/>
      <c r="DY90" s="66"/>
      <c r="DZ90" s="66"/>
      <c r="EA90" s="66"/>
      <c r="EB90" s="66"/>
      <c r="EC90" s="66"/>
      <c r="ED90" s="66"/>
      <c r="EE90" s="66"/>
      <c r="HN90" s="68"/>
      <c r="HO90" s="68"/>
    </row>
    <row r="91" spans="1:223" s="64" customFormat="1" hidden="1" x14ac:dyDescent="0.3">
      <c r="B91" s="68"/>
      <c r="C91" s="68"/>
      <c r="D91" s="68"/>
      <c r="E91" s="68"/>
      <c r="F91" s="68"/>
      <c r="I91" s="149"/>
      <c r="J91" s="149"/>
      <c r="K91" s="149"/>
      <c r="L91" s="149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7"/>
      <c r="BB91" s="197" t="b">
        <f>IF(BL32=2,W65*0.0041%)</f>
        <v>0</v>
      </c>
      <c r="BC91" s="197"/>
      <c r="BD91" s="67"/>
      <c r="BE91" s="67"/>
      <c r="BF91" s="67"/>
      <c r="BG91" s="67"/>
      <c r="BH91" s="67"/>
      <c r="BI91" s="197" t="b">
        <f>IF(BL54=2,AJ10*(0.0041%*AM15))</f>
        <v>0</v>
      </c>
      <c r="BJ91" s="67"/>
      <c r="BK91" s="67"/>
      <c r="BL91" s="67"/>
      <c r="BM91" s="66"/>
      <c r="BN91" s="66"/>
      <c r="BO91" s="66"/>
      <c r="BP91" s="66"/>
      <c r="BQ91" s="66"/>
      <c r="BR91" s="66"/>
      <c r="BS91" s="66"/>
      <c r="BT91" s="66"/>
      <c r="BU91" s="66"/>
      <c r="BV91" s="66"/>
      <c r="BW91" s="66"/>
      <c r="BX91" s="66"/>
      <c r="BY91" s="66"/>
      <c r="BZ91" s="66"/>
      <c r="CA91" s="66"/>
      <c r="CB91" s="193"/>
      <c r="CC91" s="193"/>
      <c r="CD91" s="193"/>
      <c r="CE91" s="193"/>
      <c r="CF91" s="435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CY91" s="66"/>
      <c r="CZ91" s="66"/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/>
      <c r="DL91" s="66"/>
      <c r="DM91" s="66"/>
      <c r="DN91" s="66"/>
      <c r="DO91" s="66"/>
      <c r="DP91" s="66"/>
      <c r="DQ91" s="66"/>
      <c r="DR91" s="66"/>
      <c r="DS91" s="66"/>
      <c r="DT91" s="66"/>
      <c r="DU91" s="66"/>
      <c r="DV91" s="66"/>
      <c r="DW91" s="66"/>
      <c r="DX91" s="66"/>
      <c r="DY91" s="66"/>
      <c r="DZ91" s="66"/>
      <c r="EA91" s="66"/>
      <c r="EB91" s="66"/>
      <c r="EC91" s="66"/>
      <c r="ED91" s="66"/>
      <c r="EE91" s="66"/>
      <c r="HN91" s="68"/>
      <c r="HO91" s="68"/>
    </row>
    <row r="92" spans="1:223" s="64" customFormat="1" ht="15" hidden="1" customHeight="1" x14ac:dyDescent="0.3">
      <c r="B92" s="68"/>
      <c r="C92" s="68"/>
      <c r="D92" s="68"/>
      <c r="E92" s="68"/>
      <c r="F92" s="68"/>
      <c r="I92" s="149"/>
      <c r="J92" s="149"/>
      <c r="K92" s="149"/>
      <c r="L92" s="149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7"/>
      <c r="BB92" s="154" t="s">
        <v>115</v>
      </c>
      <c r="BC92" s="154"/>
      <c r="BD92" s="67"/>
      <c r="BE92" s="67"/>
      <c r="BF92" s="67"/>
      <c r="BG92" s="67"/>
      <c r="BH92" s="67"/>
      <c r="BI92" s="154" t="s">
        <v>116</v>
      </c>
      <c r="BJ92" s="67"/>
      <c r="BK92" s="67"/>
      <c r="BL92" s="67"/>
      <c r="BM92" s="66"/>
      <c r="BN92" s="66"/>
      <c r="BO92" s="66"/>
      <c r="BP92" s="66"/>
      <c r="BQ92" s="66"/>
      <c r="BR92" s="66"/>
      <c r="BS92" s="66"/>
      <c r="BT92" s="66"/>
      <c r="BU92" s="66"/>
      <c r="BV92" s="66"/>
      <c r="BW92" s="66"/>
      <c r="BX92" s="66"/>
      <c r="BY92" s="66"/>
      <c r="BZ92" s="66"/>
      <c r="CA92" s="66"/>
      <c r="CB92" s="193"/>
      <c r="CC92" s="193"/>
      <c r="CD92" s="193"/>
      <c r="CE92" s="193"/>
      <c r="CF92" s="435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CY92" s="66"/>
      <c r="CZ92" s="66"/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66"/>
      <c r="DS92" s="66"/>
      <c r="DT92" s="66"/>
      <c r="DU92" s="66"/>
      <c r="DV92" s="66"/>
      <c r="DW92" s="66"/>
      <c r="DX92" s="66"/>
      <c r="DY92" s="66"/>
      <c r="DZ92" s="66"/>
      <c r="EA92" s="66"/>
      <c r="EB92" s="66"/>
      <c r="EC92" s="66"/>
      <c r="ED92" s="66"/>
      <c r="EE92" s="66"/>
      <c r="HN92" s="68"/>
      <c r="HO92" s="68"/>
    </row>
    <row r="93" spans="1:223" s="64" customFormat="1" hidden="1" x14ac:dyDescent="0.3">
      <c r="B93" s="68"/>
      <c r="C93" s="68"/>
      <c r="D93" s="68"/>
      <c r="E93" s="68"/>
      <c r="F93" s="68"/>
      <c r="I93" s="148"/>
      <c r="J93" s="148"/>
      <c r="K93" s="148"/>
      <c r="L93" s="14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E93" s="149"/>
      <c r="AF93" s="149"/>
      <c r="AG93" s="149"/>
      <c r="AH93" s="149"/>
      <c r="AI93" s="149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7"/>
      <c r="BB93" s="197" t="b">
        <f>IF(BL32=3,W65*0.0082%)</f>
        <v>0</v>
      </c>
      <c r="BC93" s="197"/>
      <c r="BD93" s="67"/>
      <c r="BE93" s="67"/>
      <c r="BF93" s="67"/>
      <c r="BG93" s="67"/>
      <c r="BH93" s="67"/>
      <c r="BI93" s="197" t="b">
        <f>IF(BL54=3,AJ10*(0.0082%*AM15))</f>
        <v>0</v>
      </c>
      <c r="BJ93" s="67"/>
      <c r="BK93" s="67"/>
      <c r="BL93" s="67"/>
      <c r="BM93" s="66"/>
      <c r="BN93" s="66"/>
      <c r="BO93" s="66"/>
      <c r="BP93" s="66"/>
      <c r="BQ93" s="66"/>
      <c r="BR93" s="66"/>
      <c r="BS93" s="66"/>
      <c r="BT93" s="66"/>
      <c r="BU93" s="66"/>
      <c r="BV93" s="66"/>
      <c r="BW93" s="66"/>
      <c r="BX93" s="66"/>
      <c r="BY93" s="66"/>
      <c r="BZ93" s="66"/>
      <c r="CA93" s="66"/>
      <c r="CB93" s="193"/>
      <c r="CC93" s="193"/>
      <c r="CD93" s="193"/>
      <c r="CE93" s="193"/>
      <c r="CF93" s="435"/>
      <c r="CG93" s="66"/>
      <c r="CH93" s="66"/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CY93" s="66"/>
      <c r="CZ93" s="66"/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/>
      <c r="DL93" s="66"/>
      <c r="DM93" s="66"/>
      <c r="DN93" s="66"/>
      <c r="DO93" s="66"/>
      <c r="DP93" s="66"/>
      <c r="DQ93" s="66"/>
      <c r="DR93" s="66"/>
      <c r="DS93" s="66"/>
      <c r="DT93" s="66"/>
      <c r="DU93" s="66"/>
      <c r="DV93" s="66"/>
      <c r="DW93" s="66"/>
      <c r="DX93" s="66"/>
      <c r="DY93" s="66"/>
      <c r="DZ93" s="66"/>
      <c r="EA93" s="66"/>
      <c r="EB93" s="66"/>
      <c r="EC93" s="66"/>
      <c r="ED93" s="66"/>
      <c r="EE93" s="66"/>
      <c r="HN93" s="68"/>
      <c r="HO93" s="68"/>
    </row>
    <row r="94" spans="1:223" s="64" customFormat="1" ht="15" hidden="1" customHeight="1" x14ac:dyDescent="0.3">
      <c r="B94" s="68"/>
      <c r="C94" s="68"/>
      <c r="D94" s="68"/>
      <c r="E94" s="68"/>
      <c r="F94" s="68"/>
      <c r="I94" s="149"/>
      <c r="J94" s="149"/>
      <c r="K94" s="149"/>
      <c r="L94" s="149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154"/>
      <c r="BB94" s="154" t="s">
        <v>117</v>
      </c>
      <c r="BC94" s="154"/>
      <c r="BD94" s="67"/>
      <c r="BE94" s="67"/>
      <c r="BF94" s="67"/>
      <c r="BG94" s="67"/>
      <c r="BH94" s="67"/>
      <c r="BI94" s="79" t="s">
        <v>118</v>
      </c>
      <c r="BJ94" s="67"/>
      <c r="BK94" s="67"/>
      <c r="BL94" s="67"/>
      <c r="BM94" s="66"/>
      <c r="BN94" s="66"/>
      <c r="BO94" s="66"/>
      <c r="BP94" s="66"/>
      <c r="BQ94" s="66"/>
      <c r="BR94" s="66"/>
      <c r="BS94" s="66"/>
      <c r="BT94" s="66"/>
      <c r="BU94" s="66"/>
      <c r="BV94" s="66"/>
      <c r="BW94" s="66"/>
      <c r="BX94" s="66"/>
      <c r="BY94" s="66"/>
      <c r="BZ94" s="66"/>
      <c r="CA94" s="66"/>
      <c r="CB94" s="193"/>
      <c r="CC94" s="193"/>
      <c r="CD94" s="193"/>
      <c r="CE94" s="193"/>
      <c r="CF94" s="435"/>
      <c r="CG94" s="66"/>
      <c r="CH94" s="66"/>
      <c r="CI94" s="66"/>
      <c r="CJ94" s="66"/>
      <c r="CK94" s="66"/>
      <c r="CL94" s="66"/>
      <c r="CM94" s="66"/>
      <c r="CN94" s="66"/>
      <c r="CO94" s="66"/>
      <c r="CP94" s="66"/>
      <c r="CQ94" s="66"/>
      <c r="CR94" s="66"/>
      <c r="CS94" s="66"/>
      <c r="CT94" s="66"/>
      <c r="CU94" s="66"/>
      <c r="CV94" s="66"/>
      <c r="CW94" s="66"/>
      <c r="CX94" s="66"/>
      <c r="CY94" s="66"/>
      <c r="CZ94" s="66"/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  <c r="DS94" s="66"/>
      <c r="DT94" s="66"/>
      <c r="DU94" s="66"/>
      <c r="DV94" s="66"/>
      <c r="DW94" s="66"/>
      <c r="DX94" s="66"/>
      <c r="DY94" s="66"/>
      <c r="DZ94" s="66"/>
      <c r="EA94" s="66"/>
      <c r="EB94" s="66"/>
      <c r="EC94" s="66"/>
      <c r="ED94" s="66"/>
      <c r="EE94" s="66"/>
      <c r="EF94" s="193"/>
      <c r="EG94" s="193"/>
      <c r="EH94" s="193"/>
      <c r="EI94" s="193"/>
      <c r="EJ94" s="193"/>
      <c r="EK94" s="193"/>
      <c r="EL94" s="193"/>
      <c r="EM94" s="193"/>
      <c r="EN94" s="193"/>
      <c r="EO94" s="193"/>
      <c r="EP94" s="193"/>
      <c r="EQ94" s="193"/>
      <c r="ER94" s="193"/>
      <c r="HN94" s="68"/>
      <c r="HO94" s="68"/>
    </row>
    <row r="95" spans="1:223" s="64" customFormat="1" ht="15" hidden="1" customHeight="1" x14ac:dyDescent="0.3">
      <c r="B95" s="68"/>
      <c r="C95" s="68"/>
      <c r="D95" s="68"/>
      <c r="E95" s="68"/>
      <c r="F95" s="68"/>
      <c r="I95" s="155"/>
      <c r="J95" s="155"/>
      <c r="K95" s="155"/>
      <c r="L95" s="155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7"/>
      <c r="BB95" s="197" t="b">
        <f>IF(OR(AND(BL14=2,W65&lt;=30000),AND(BL14=3,W65&lt;=30000)),W65*0.00137%,IF(AND(BL14=2,W65&gt;30000,BL32=2),W65*0.0041%,IF(AND(BL14=2,W65&gt;30000,BL32=3),W65*0.0082%)))</f>
        <v>0</v>
      </c>
      <c r="BC95" s="370" t="s">
        <v>119</v>
      </c>
      <c r="BD95" s="370"/>
      <c r="BE95" s="370"/>
      <c r="BF95" s="370"/>
      <c r="BG95" s="370"/>
      <c r="BH95" s="198"/>
      <c r="BI95" s="78" t="b">
        <f>IF(AND(AJ10&lt;=30000,BL59=2,BL54=2),AJ10*(AM15*0.00137%),IF(AND(AJ10&lt;=30000,BL59=2,BL54=3),AJ10*(AM15*0.00137%)))</f>
        <v>0</v>
      </c>
      <c r="BJ95" s="199"/>
      <c r="BK95" s="199"/>
      <c r="BL95" s="199"/>
      <c r="BM95" s="66"/>
      <c r="BN95" s="66"/>
      <c r="BO95" s="66"/>
      <c r="BP95" s="66"/>
      <c r="BQ95" s="66"/>
      <c r="BR95" s="66"/>
      <c r="BS95" s="66"/>
      <c r="BT95" s="66"/>
      <c r="BU95" s="66"/>
      <c r="BV95" s="66"/>
      <c r="BW95" s="66"/>
      <c r="BX95" s="66"/>
      <c r="BY95" s="66"/>
      <c r="BZ95" s="66"/>
      <c r="CA95" s="66"/>
      <c r="CB95" s="193"/>
      <c r="CC95" s="193"/>
      <c r="CD95" s="193"/>
      <c r="CE95" s="193"/>
      <c r="CF95" s="435"/>
      <c r="CG95" s="156">
        <f>AR10</f>
        <v>0</v>
      </c>
      <c r="CH95" s="156">
        <f>AT10</f>
        <v>0</v>
      </c>
      <c r="CI95" s="156">
        <f>AV10</f>
        <v>0</v>
      </c>
      <c r="CJ95" s="66"/>
      <c r="CK95" s="66"/>
      <c r="CL95" s="66"/>
      <c r="CM95" s="66"/>
      <c r="CN95" s="66"/>
      <c r="CO95" s="66"/>
      <c r="CP95" s="66"/>
      <c r="CQ95" s="66"/>
      <c r="CR95" s="66"/>
      <c r="CS95" s="66"/>
      <c r="CT95" s="66"/>
      <c r="CU95" s="66"/>
      <c r="CV95" s="66"/>
      <c r="CW95" s="66"/>
      <c r="CX95" s="66"/>
      <c r="CY95" s="66"/>
      <c r="CZ95" s="66"/>
      <c r="DA95" s="66"/>
      <c r="DB95" s="66"/>
      <c r="DC95" s="66"/>
      <c r="DD95" s="66"/>
      <c r="DE95" s="66"/>
      <c r="DF95" s="66"/>
      <c r="DG95" s="66"/>
      <c r="DH95" s="66"/>
      <c r="DI95" s="66"/>
      <c r="DJ95" s="66"/>
      <c r="DK95" s="66"/>
      <c r="DL95" s="66"/>
      <c r="DM95" s="66"/>
      <c r="DN95" s="66"/>
      <c r="DO95" s="66"/>
      <c r="DP95" s="66"/>
      <c r="DQ95" s="66"/>
      <c r="DR95" s="66"/>
      <c r="DS95" s="66"/>
      <c r="DT95" s="66"/>
      <c r="DU95" s="66"/>
      <c r="DV95" s="66"/>
      <c r="DW95" s="66"/>
      <c r="DX95" s="66"/>
      <c r="DY95" s="66"/>
      <c r="DZ95" s="66"/>
      <c r="EA95" s="66"/>
      <c r="EB95" s="66"/>
      <c r="EC95" s="66"/>
      <c r="ED95" s="66"/>
      <c r="EE95" s="66"/>
      <c r="EF95" s="193"/>
      <c r="EG95" s="193"/>
      <c r="EH95" s="193"/>
      <c r="EI95" s="193"/>
      <c r="EJ95" s="193"/>
      <c r="EK95" s="193"/>
      <c r="EL95" s="193"/>
      <c r="EM95" s="193"/>
      <c r="EN95" s="193"/>
      <c r="EO95" s="193"/>
      <c r="EP95" s="193"/>
      <c r="EQ95" s="193"/>
      <c r="ER95" s="193"/>
      <c r="HN95" s="68"/>
      <c r="HO95" s="68"/>
    </row>
    <row r="96" spans="1:223" s="64" customFormat="1" ht="15" hidden="1" customHeight="1" x14ac:dyDescent="0.3">
      <c r="B96" s="68"/>
      <c r="C96" s="68"/>
      <c r="D96" s="68"/>
      <c r="E96" s="68"/>
      <c r="F96" s="68"/>
      <c r="I96" s="149"/>
      <c r="J96" s="149"/>
      <c r="K96" s="149"/>
      <c r="L96" s="149"/>
      <c r="M96" s="149"/>
      <c r="N96" s="68"/>
      <c r="O96" s="68"/>
      <c r="P96" s="68"/>
      <c r="Q96" s="157"/>
      <c r="R96" s="157"/>
      <c r="S96" s="157"/>
      <c r="T96" s="157"/>
      <c r="U96" s="157"/>
      <c r="V96" s="157"/>
      <c r="W96" s="157"/>
      <c r="X96" s="157"/>
      <c r="Y96" s="158"/>
      <c r="Z96" s="68"/>
      <c r="AA96" s="68"/>
      <c r="AB96" s="68"/>
      <c r="AC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7"/>
      <c r="BB96" s="197">
        <v>30000</v>
      </c>
      <c r="BC96" s="370"/>
      <c r="BD96" s="370"/>
      <c r="BE96" s="370"/>
      <c r="BF96" s="370"/>
      <c r="BG96" s="370"/>
      <c r="BH96" s="198"/>
      <c r="BI96" s="78">
        <v>30000</v>
      </c>
      <c r="BJ96" s="199"/>
      <c r="BK96" s="199"/>
      <c r="BL96" s="199"/>
      <c r="BM96" s="66"/>
      <c r="BN96" s="66"/>
      <c r="BO96" s="66"/>
      <c r="BP96" s="66"/>
      <c r="BQ96" s="66"/>
      <c r="BR96" s="66"/>
      <c r="BS96" s="66"/>
      <c r="BT96" s="66"/>
      <c r="BU96" s="66"/>
      <c r="BV96" s="66"/>
      <c r="BW96" s="66"/>
      <c r="BX96" s="66"/>
      <c r="BY96" s="66"/>
      <c r="BZ96" s="66"/>
      <c r="CA96" s="66"/>
      <c r="CB96" s="193"/>
      <c r="CC96" s="193"/>
      <c r="CD96" s="193"/>
      <c r="CE96" s="193"/>
      <c r="CF96" s="435"/>
      <c r="CG96" s="66"/>
      <c r="CH96" s="66"/>
      <c r="CI96" s="66" t="s">
        <v>120</v>
      </c>
      <c r="CJ96" s="146">
        <f>DATE($CJ$123,1,1)</f>
        <v>1</v>
      </c>
      <c r="CK96" s="146">
        <f>DATE($CJ$123+1,1,1)</f>
        <v>367</v>
      </c>
      <c r="CL96" s="146">
        <f>DATE($CJ$123+2,1,1)</f>
        <v>732</v>
      </c>
      <c r="CM96" s="146">
        <f>DATE($CJ$123+3,1,1)</f>
        <v>1097</v>
      </c>
      <c r="CN96" s="146">
        <f>DATE($CJ$123+4,1,1)</f>
        <v>1462</v>
      </c>
      <c r="CO96" s="146">
        <f>DATE($CJ$123+5,1,1)</f>
        <v>1828</v>
      </c>
      <c r="CP96" s="146">
        <f>DATE($CJ$123+6,1,1)</f>
        <v>2193</v>
      </c>
      <c r="CQ96" s="146">
        <f>DATE($CJ$123+7,1,1)</f>
        <v>2558</v>
      </c>
      <c r="CR96" s="146">
        <f>DATE($CJ$123+8,1,1)</f>
        <v>2923</v>
      </c>
      <c r="CS96" s="146">
        <f>DATE($CJ$123+9,1,1)</f>
        <v>3289</v>
      </c>
      <c r="CT96" s="146">
        <f>DATE($CJ$123+10,1,1)</f>
        <v>3654</v>
      </c>
      <c r="CU96" s="146">
        <f>DATE($CJ$123+11,1,1)</f>
        <v>4019</v>
      </c>
      <c r="CV96" s="146">
        <f>DATE($CJ$123+12,1,1)</f>
        <v>4384</v>
      </c>
      <c r="CW96" s="146">
        <f>DATE($CJ$123+13,1,1)</f>
        <v>4750</v>
      </c>
      <c r="CX96" s="146">
        <f>DATE($CJ$123+14,1,1)</f>
        <v>5115</v>
      </c>
      <c r="CY96" s="146">
        <f>DATE($CJ$123+15,1,1)</f>
        <v>5480</v>
      </c>
      <c r="CZ96" s="66"/>
      <c r="DA96" s="66"/>
      <c r="DB96" s="66"/>
      <c r="DC96" s="66"/>
      <c r="DD96" s="66">
        <v>2015</v>
      </c>
      <c r="DE96" s="66">
        <v>2016</v>
      </c>
      <c r="DF96" s="66">
        <v>2017</v>
      </c>
      <c r="DG96" s="66">
        <v>2018</v>
      </c>
      <c r="DH96" s="66">
        <v>2019</v>
      </c>
      <c r="DI96" s="66">
        <v>2020</v>
      </c>
      <c r="DJ96" s="66">
        <v>2021</v>
      </c>
      <c r="DK96" s="66">
        <v>2022</v>
      </c>
      <c r="DL96" s="66">
        <v>2023</v>
      </c>
      <c r="DM96" s="66">
        <v>2024</v>
      </c>
      <c r="DN96" s="66">
        <v>2025</v>
      </c>
      <c r="DO96" s="66">
        <v>2026</v>
      </c>
      <c r="DP96" s="66">
        <v>2027</v>
      </c>
      <c r="DQ96" s="66">
        <v>2028</v>
      </c>
      <c r="DR96" s="66">
        <v>2029</v>
      </c>
      <c r="DS96" s="66">
        <v>2030</v>
      </c>
      <c r="DT96" s="66">
        <v>2031</v>
      </c>
      <c r="DU96" s="66">
        <v>2032</v>
      </c>
      <c r="DV96" s="66">
        <v>2033</v>
      </c>
      <c r="DW96" s="66">
        <v>2034</v>
      </c>
      <c r="DX96" s="66">
        <v>2035</v>
      </c>
      <c r="DY96" s="66">
        <v>2036</v>
      </c>
      <c r="DZ96" s="66">
        <v>2037</v>
      </c>
      <c r="EA96" s="66">
        <v>2038</v>
      </c>
      <c r="EB96" s="66">
        <v>2039</v>
      </c>
      <c r="EC96" s="66">
        <v>2040</v>
      </c>
      <c r="ED96" s="66"/>
      <c r="EE96" s="66"/>
      <c r="EF96" s="193"/>
      <c r="EG96" s="193"/>
      <c r="EH96" s="193"/>
      <c r="EI96" s="193"/>
      <c r="EJ96" s="193"/>
      <c r="EK96" s="193"/>
      <c r="EL96" s="193"/>
      <c r="EM96" s="193"/>
      <c r="EN96" s="193"/>
      <c r="EO96" s="193"/>
      <c r="EP96" s="193"/>
      <c r="EQ96" s="193"/>
      <c r="ER96" s="193"/>
      <c r="HN96" s="68"/>
      <c r="HO96" s="68"/>
    </row>
    <row r="97" spans="2:259" s="64" customFormat="1" hidden="1" x14ac:dyDescent="0.3">
      <c r="B97" s="68"/>
      <c r="C97" s="68"/>
      <c r="D97" s="68"/>
      <c r="E97" s="68"/>
      <c r="F97" s="68"/>
      <c r="I97" s="149"/>
      <c r="J97" s="149"/>
      <c r="K97" s="149"/>
      <c r="L97" s="149"/>
      <c r="M97" s="68"/>
      <c r="N97" s="68"/>
      <c r="O97" s="68"/>
      <c r="P97" s="157"/>
      <c r="Q97" s="157"/>
      <c r="R97" s="157"/>
      <c r="S97" s="157"/>
      <c r="T97" s="157"/>
      <c r="U97" s="157"/>
      <c r="V97" s="157"/>
      <c r="W97" s="157"/>
      <c r="X97" s="157"/>
      <c r="Y97" s="15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7"/>
      <c r="BB97" s="154"/>
      <c r="BC97" s="198"/>
      <c r="BD97" s="198"/>
      <c r="BE97" s="198"/>
      <c r="BF97" s="198"/>
      <c r="BG97" s="198"/>
      <c r="BH97" s="198"/>
      <c r="BI97" s="67"/>
      <c r="BJ97" s="67"/>
      <c r="BK97" s="67"/>
      <c r="BL97" s="67"/>
      <c r="BM97" s="66"/>
      <c r="BN97" s="66"/>
      <c r="BO97" s="66"/>
      <c r="BP97" s="66"/>
      <c r="BQ97" s="66"/>
      <c r="BR97" s="66"/>
      <c r="BS97" s="66"/>
      <c r="BT97" s="66"/>
      <c r="BU97" s="66"/>
      <c r="BV97" s="66"/>
      <c r="BW97" s="66"/>
      <c r="BX97" s="66"/>
      <c r="BY97" s="66"/>
      <c r="BZ97" s="66"/>
      <c r="CA97" s="66"/>
      <c r="CB97" s="193"/>
      <c r="CC97" s="193"/>
      <c r="CD97" s="193"/>
      <c r="CE97" s="193"/>
      <c r="CF97" s="436"/>
      <c r="CG97" s="156"/>
      <c r="CH97" s="156"/>
      <c r="CI97" s="156" t="s">
        <v>121</v>
      </c>
      <c r="CJ97" s="146" t="b">
        <f t="shared" ref="CJ97:CY97" si="26">IF(YEAR(CJ96)=$DD$96,$DD$97,IF(YEAR(CJ96)=$DE$96,$DE$97,IF(YEAR(CJ96)=$DF$96,$DF$97,IF(YEAR(CJ96)=$DG$96,$DG$97,IF(YEAR(CJ96)=$DH$96,$DH$97,IF(YEAR(CJ96)=$DI$96,$DI$97,IF(YEAR(CJ96)=$DJ$96,$DJ$97,IF(YEAR(CJ96)=$DK$96,$DK$97,IF(YEAR(CJ96)=$DL$96,$DL$97,IF(YEAR(CJ96)=$DM$96,$DM$97,IF(YEAR(CJ96)=$DN$96,$DN$97,IF(YEAR(CJ96)=$DO$96,$DO$97,IF(YEAR(CJ96)=$DP$96,$DP$97,IF(YEAR(CJ96)=$DQ$96,$DQ$97,IF(YEAR(CJ96)=$DR$96,$DR$97,IF(YEAR(CJ96)=$DS$96,$DS$97,IF(YEAR(CJ96)=$DT$96,$DT$97,IF(YEAR(CJ96)=$DU$96,$DU$97,IF(YEAR(CJ96)=$DV$96,$DV$97,IF(YEAR(CJ96)=$DW$96,$DW$97,IF(YEAR(CJ96)=$DX$96,$DX$97,IF(YEAR(CJ96)=$DY$96,$DY$97,IF(YEAR(CJ96)=$DZ$96,$DZ$97,IF(YEAR(CJ96)=$EA$96,$EA$97,IF(YEAR(CJ96)=$EB$96,$EB$97,IF(YEAR(CJ96)=$EC$96,$EC$97))))))))))))))))))))))))))</f>
        <v>0</v>
      </c>
      <c r="CK97" s="146" t="b">
        <f t="shared" si="26"/>
        <v>0</v>
      </c>
      <c r="CL97" s="146" t="b">
        <f t="shared" si="26"/>
        <v>0</v>
      </c>
      <c r="CM97" s="146" t="b">
        <f t="shared" si="26"/>
        <v>0</v>
      </c>
      <c r="CN97" s="146" t="b">
        <f t="shared" si="26"/>
        <v>0</v>
      </c>
      <c r="CO97" s="146" t="b">
        <f t="shared" si="26"/>
        <v>0</v>
      </c>
      <c r="CP97" s="146" t="b">
        <f t="shared" si="26"/>
        <v>0</v>
      </c>
      <c r="CQ97" s="146" t="b">
        <f t="shared" si="26"/>
        <v>0</v>
      </c>
      <c r="CR97" s="146" t="b">
        <f t="shared" si="26"/>
        <v>0</v>
      </c>
      <c r="CS97" s="146" t="b">
        <f t="shared" si="26"/>
        <v>0</v>
      </c>
      <c r="CT97" s="146" t="b">
        <f t="shared" si="26"/>
        <v>0</v>
      </c>
      <c r="CU97" s="146" t="b">
        <f t="shared" si="26"/>
        <v>0</v>
      </c>
      <c r="CV97" s="146" t="b">
        <f t="shared" si="26"/>
        <v>0</v>
      </c>
      <c r="CW97" s="146" t="b">
        <f t="shared" si="26"/>
        <v>0</v>
      </c>
      <c r="CX97" s="146" t="b">
        <f t="shared" si="26"/>
        <v>0</v>
      </c>
      <c r="CY97" s="146" t="b">
        <f t="shared" si="26"/>
        <v>0</v>
      </c>
      <c r="CZ97" s="66"/>
      <c r="DA97" s="66"/>
      <c r="DB97" s="66"/>
      <c r="DC97" s="156" t="s">
        <v>121</v>
      </c>
      <c r="DD97" s="146">
        <v>42052</v>
      </c>
      <c r="DE97" s="146">
        <v>42409</v>
      </c>
      <c r="DF97" s="146">
        <v>42794</v>
      </c>
      <c r="DG97" s="146">
        <v>43144</v>
      </c>
      <c r="DH97" s="146">
        <v>43529</v>
      </c>
      <c r="DI97" s="146">
        <v>43886</v>
      </c>
      <c r="DJ97" s="146">
        <v>44243</v>
      </c>
      <c r="DK97" s="146">
        <v>44621</v>
      </c>
      <c r="DL97" s="146">
        <v>44978</v>
      </c>
      <c r="DM97" s="146">
        <v>45335</v>
      </c>
      <c r="DN97" s="146">
        <v>45720</v>
      </c>
      <c r="DO97" s="146">
        <v>46070</v>
      </c>
      <c r="DP97" s="146">
        <v>46427</v>
      </c>
      <c r="DQ97" s="146">
        <v>46812</v>
      </c>
      <c r="DR97" s="146">
        <v>47162</v>
      </c>
      <c r="DS97" s="146">
        <v>47547</v>
      </c>
      <c r="DT97" s="146">
        <v>47904</v>
      </c>
      <c r="DU97" s="146">
        <v>48254</v>
      </c>
      <c r="DV97" s="146">
        <v>48639</v>
      </c>
      <c r="DW97" s="146">
        <v>48996</v>
      </c>
      <c r="DX97" s="146">
        <v>49346</v>
      </c>
      <c r="DY97" s="146">
        <v>49731</v>
      </c>
      <c r="DZ97" s="146">
        <v>50088</v>
      </c>
      <c r="EA97" s="146">
        <v>50473</v>
      </c>
      <c r="EB97" s="146">
        <v>50823</v>
      </c>
      <c r="EC97" s="146">
        <v>51180</v>
      </c>
      <c r="ED97" s="66"/>
      <c r="EE97" s="66"/>
      <c r="EF97" s="193"/>
      <c r="EG97" s="193"/>
      <c r="EH97" s="193"/>
      <c r="EI97" s="193"/>
      <c r="EJ97" s="193"/>
      <c r="EK97" s="193"/>
      <c r="EL97" s="193"/>
      <c r="EM97" s="193"/>
      <c r="EN97" s="193"/>
      <c r="EO97" s="193"/>
      <c r="EP97" s="193"/>
      <c r="EQ97" s="193"/>
      <c r="ER97" s="193"/>
      <c r="HN97" s="68"/>
      <c r="HO97" s="68"/>
    </row>
    <row r="98" spans="2:259" s="64" customFormat="1" hidden="1" x14ac:dyDescent="0.3">
      <c r="B98" s="68"/>
      <c r="C98" s="68"/>
      <c r="D98" s="68"/>
      <c r="E98" s="68"/>
      <c r="F98" s="68"/>
      <c r="I98" s="149"/>
      <c r="J98" s="149"/>
      <c r="K98" s="149"/>
      <c r="L98" s="149"/>
      <c r="M98" s="68"/>
      <c r="N98" s="68"/>
      <c r="O98" s="68"/>
      <c r="P98" s="157"/>
      <c r="Q98" s="157"/>
      <c r="R98" s="157"/>
      <c r="S98" s="157"/>
      <c r="T98" s="157"/>
      <c r="U98" s="157"/>
      <c r="V98" s="157"/>
      <c r="W98" s="157"/>
      <c r="X98" s="157"/>
      <c r="Y98" s="15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7"/>
      <c r="BB98" s="154" t="s">
        <v>122</v>
      </c>
      <c r="BC98" s="154"/>
      <c r="BD98" s="67"/>
      <c r="BE98" s="67"/>
      <c r="BF98" s="67"/>
      <c r="BG98" s="67"/>
      <c r="BH98" s="67"/>
      <c r="BI98" s="154" t="s">
        <v>123</v>
      </c>
      <c r="BJ98" s="67"/>
      <c r="BK98" s="67"/>
      <c r="BL98" s="67"/>
      <c r="BM98" s="66"/>
      <c r="BN98" s="66"/>
      <c r="BO98" s="66"/>
      <c r="BP98" s="66"/>
      <c r="BQ98" s="66"/>
      <c r="BR98" s="66"/>
      <c r="BS98" s="66"/>
      <c r="BT98" s="66"/>
      <c r="BU98" s="66"/>
      <c r="BV98" s="66"/>
      <c r="BW98" s="66"/>
      <c r="BX98" s="66"/>
      <c r="BY98" s="66"/>
      <c r="BZ98" s="66"/>
      <c r="CA98" s="66"/>
      <c r="CB98" s="193"/>
      <c r="CC98" s="193"/>
      <c r="CD98" s="193"/>
      <c r="CE98" s="193"/>
      <c r="CF98" s="435"/>
      <c r="CG98" s="156"/>
      <c r="CH98" s="156"/>
      <c r="CI98" s="156" t="s">
        <v>124</v>
      </c>
      <c r="CJ98" s="146" t="b">
        <f t="shared" ref="CJ98:CY98" si="27">IF(YEAR(CJ96)=$DD$96,$DD$98,IF(YEAR(CJ96)=$DE$96,$DE$98,IF(YEAR(CJ96)=$DF$96,$DF$98,IF(YEAR(CJ96)=$DG$96,$DG$98,IF(YEAR(CJ96)=$DH$96,$DH$98,IF(YEAR(CJ96)=$DI$96,$DI$98,IF(YEAR(CJ96)=$DJ$96,$DJ$98,IF(YEAR(CJ96)=$DK$96,$DK$98,IF(YEAR(CJ96)=$DL$96,$DL$98,IF(YEAR(CJ96)=$DM$96,$DM$98,IF(YEAR(CJ96)=$DN$96,$DN$98,IF(YEAR(CJ96)=$DO$96,$DO$98,IF(YEAR(CJ96)=$DP$96,$DP$98,IF(YEAR(CJ96)=$DQ$96,$DQ$98,IF(YEAR(CJ96)=$DR$96,$DR$98,IF(YEAR(CJ96)=$DS$96,$DS$98,IF(YEAR(CJ96)=$DT$96,$DT$98,IF(YEAR(CJ96)=$DU$96,$DU$98,IF(YEAR(CJ96)=$DV$96,$DV$98,IF(YEAR(CJ96)=$DW$96,$DW$98,IF(YEAR(CJ96)=$DX$96,$DX$98,IF(YEAR(CJ96)=$DY$96,$DY$98,IF(YEAR(CJ96)=$DZ$96,$DZ$98,IF(YEAR(CJ96)=$EA$96,$EA$98,IF(YEAR(CJ96)=$EB$96,$EB$98,IF(YEAR(CJ96)=$EC$96,$EC$98))))))))))))))))))))))))))</f>
        <v>0</v>
      </c>
      <c r="CK98" s="146" t="b">
        <f t="shared" si="27"/>
        <v>0</v>
      </c>
      <c r="CL98" s="146" t="b">
        <f t="shared" si="27"/>
        <v>0</v>
      </c>
      <c r="CM98" s="146" t="b">
        <f t="shared" si="27"/>
        <v>0</v>
      </c>
      <c r="CN98" s="146" t="b">
        <f t="shared" si="27"/>
        <v>0</v>
      </c>
      <c r="CO98" s="146" t="b">
        <f t="shared" si="27"/>
        <v>0</v>
      </c>
      <c r="CP98" s="146" t="b">
        <f t="shared" si="27"/>
        <v>0</v>
      </c>
      <c r="CQ98" s="146" t="b">
        <f t="shared" si="27"/>
        <v>0</v>
      </c>
      <c r="CR98" s="146" t="b">
        <f t="shared" si="27"/>
        <v>0</v>
      </c>
      <c r="CS98" s="146" t="b">
        <f t="shared" si="27"/>
        <v>0</v>
      </c>
      <c r="CT98" s="146" t="b">
        <f t="shared" si="27"/>
        <v>0</v>
      </c>
      <c r="CU98" s="146" t="b">
        <f t="shared" si="27"/>
        <v>0</v>
      </c>
      <c r="CV98" s="146" t="b">
        <f t="shared" si="27"/>
        <v>0</v>
      </c>
      <c r="CW98" s="146" t="b">
        <f t="shared" si="27"/>
        <v>0</v>
      </c>
      <c r="CX98" s="146" t="b">
        <f t="shared" si="27"/>
        <v>0</v>
      </c>
      <c r="CY98" s="146" t="b">
        <f t="shared" si="27"/>
        <v>0</v>
      </c>
      <c r="CZ98" s="66"/>
      <c r="DA98" s="66"/>
      <c r="DB98" s="66"/>
      <c r="DC98" s="156" t="s">
        <v>124</v>
      </c>
      <c r="DD98" s="146">
        <v>42097</v>
      </c>
      <c r="DE98" s="146">
        <v>42454</v>
      </c>
      <c r="DF98" s="146">
        <v>42839</v>
      </c>
      <c r="DG98" s="146">
        <v>43189</v>
      </c>
      <c r="DH98" s="146">
        <v>43574</v>
      </c>
      <c r="DI98" s="146">
        <v>43931</v>
      </c>
      <c r="DJ98" s="146">
        <v>44288</v>
      </c>
      <c r="DK98" s="146">
        <v>44666</v>
      </c>
      <c r="DL98" s="146">
        <v>45023</v>
      </c>
      <c r="DM98" s="146">
        <v>45380</v>
      </c>
      <c r="DN98" s="146">
        <v>45765</v>
      </c>
      <c r="DO98" s="146">
        <v>46115</v>
      </c>
      <c r="DP98" s="146">
        <v>46472</v>
      </c>
      <c r="DQ98" s="146">
        <v>46857</v>
      </c>
      <c r="DR98" s="146">
        <v>47207</v>
      </c>
      <c r="DS98" s="146">
        <v>47561</v>
      </c>
      <c r="DT98" s="146">
        <v>47949</v>
      </c>
      <c r="DU98" s="146">
        <v>48299</v>
      </c>
      <c r="DV98" s="146">
        <v>48684</v>
      </c>
      <c r="DW98" s="146">
        <v>49041</v>
      </c>
      <c r="DX98" s="146">
        <v>49391</v>
      </c>
      <c r="DY98" s="146">
        <v>49776</v>
      </c>
      <c r="DZ98" s="146">
        <v>50133</v>
      </c>
      <c r="EA98" s="146">
        <v>50518</v>
      </c>
      <c r="EB98" s="146">
        <v>50868</v>
      </c>
      <c r="EC98" s="146">
        <v>51225</v>
      </c>
      <c r="ED98" s="66"/>
      <c r="EE98" s="66"/>
      <c r="EF98" s="193"/>
      <c r="EG98" s="193"/>
      <c r="EH98" s="193"/>
      <c r="EI98" s="193"/>
      <c r="EJ98" s="193"/>
      <c r="EK98" s="193"/>
      <c r="EL98" s="193"/>
      <c r="EM98" s="193"/>
      <c r="EN98" s="193"/>
      <c r="EO98" s="193"/>
      <c r="EP98" s="193"/>
      <c r="EQ98" s="193"/>
      <c r="ER98" s="193"/>
      <c r="HN98" s="68"/>
      <c r="HO98" s="68"/>
    </row>
    <row r="99" spans="2:259" s="64" customFormat="1" ht="15" hidden="1" customHeight="1" x14ac:dyDescent="0.3">
      <c r="B99" s="68"/>
      <c r="C99" s="68"/>
      <c r="D99" s="68"/>
      <c r="E99" s="68"/>
      <c r="F99" s="68"/>
      <c r="I99" s="149"/>
      <c r="J99" s="149"/>
      <c r="K99" s="149"/>
      <c r="L99" s="149"/>
      <c r="M99" s="68"/>
      <c r="N99" s="68"/>
      <c r="O99" s="68"/>
      <c r="P99" s="157"/>
      <c r="Q99" s="157"/>
      <c r="R99" s="157"/>
      <c r="S99" s="157"/>
      <c r="T99" s="157"/>
      <c r="U99" s="157"/>
      <c r="V99" s="157"/>
      <c r="W99" s="157"/>
      <c r="X99" s="157"/>
      <c r="Y99" s="15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7"/>
      <c r="BB99" s="197" t="str">
        <f>IF(OR(L10="",L10=0,O10="",O10=0),"-",IF(OR(O10&lt;2015,L10&gt;12),"Alterar o item 1",IF(AND(BL32=1,BL14=1,BL19=1),"Falta resp. os itens 2, 3 e 5",IF(AND(BL32=1,BL14=1,OR(BL19=2,BL19=3)),"Falta resp. os itens 2 e 3",IF(AND(BL32=1,OR(BL14=2,BL14=3),BL19=1),"Falta resp. os itens 2 e 5",IF(AND(BL32=2,BL14=1,BL19=1),"Falta resp. os itens 3 e 5",IF(AND(BL32=1,OR(BL14=2,BL14=3),OR(BL19=2,BL19=3)),"Falta responder o item 2",IF(AND(BL32=2,BL14=1),"Falta responder o item 3",IF(OR(AND(BL32=2,BL14=2,BL19=1),AND(BL32=2,BL14=3,BL19=1),AND(BL32=3,BL14=1,BL19=1),AND(BL32=3,BL14=2,BL19=1),AND(BL32=3,BL14=3,BL19=1)),"Falta responder o item 5",IF(AND(BL32=2,BL14=2,W65&lt;=BB96),W65*0.00137%,IF(AND(BL32=3,BL14=1),W65*0.0082%,IF(AND(BL32=2,BL14=2,W65&gt;BB96),W65*0.0041%,IF(AND(BL32=3,BL14=2),W65*0.0082%,IF(AND(BL32=2,BL14=3),W65*0.0041%,IF(AND(BL32=3,BL14=3),W65*0.0082%)))))))))))))))</f>
        <v>-</v>
      </c>
      <c r="BC99" s="197"/>
      <c r="BD99" s="67"/>
      <c r="BE99" s="67"/>
      <c r="BF99" s="67"/>
      <c r="BG99" s="67"/>
      <c r="BH99" s="67"/>
      <c r="BI99" s="78" t="str">
        <f>IF(AND(OR(AJ10=0,AJ10="",AJ10&lt;0),OR(AR10=0,AR10="",AR10&lt;0),OR(AT10=0,AT10="",AT10&lt;0),OR(AV10=0,AV10="",AV10&lt;0),BL80=1,BL54=1,BL59=1),"-",IF(OR(AV10&lt;2015,AND(AR10&gt;31,AT10=1),AND(AR10&gt;29,AT10=2,AV10=2016),AND(AR10&gt;29,AT10=2,AV10=2020),AND(AR10&gt;29,AT10=2,AV10=2024),AND(AR10&gt;29,AT10=2,AV10=2028),AND(AR10&gt;29,AT10=2,AV10=2032),AND(AR10&gt;29,AT10=2,AV10=2036),AND(AR10&gt;29,AT10=2,AV10=2040),AND(AR10&gt;28,AT10=2,AV10=2015),AND(AR10&gt;28,AT10=2,AV10&gt;=2017,AV10&lt;=2019),AND(AR10&gt;28,AT10=2,AV10&gt;=2021,AV10&lt;=2023),AND(AR10&gt;28,AT10=2,AV10&gt;=2025,AV10&lt;=2027),AND(AR10&gt;28,AT10=2,AV10&gt;=2029,AV10&lt;=2031),AND(AR10&gt;28,AT10=2,AV10&gt;=2033,AV10&lt;=2035),AND(AR10&gt;28,AT10=2,AV10&gt;=2037,AV10&lt;=2039),AND(AR10&gt;31,AT10=3),AND(AR10&gt;30,AT10=4),AND(AR10&gt;31,AT10=5),AND(AR10&gt;30,AT10=6),AND(AR10&gt;31,AT10=7),AND(AR10&gt;31,AT10=8),AND(AR10&gt;30,AT10=9),AND(AR10&gt;31,AT10=10),AND(AR10&gt;30,AT10=11),AND(AR10&gt;31,AT10=12)),"Alterar o item 1",IF(AND(BL80=1,BL54=1,BL59=1),"Falta resp. os itens 2, 4 e 5",IF(AND(BL80=1,BL54=1,OR(BL59=2,BL59=3)),"Falta resp. os itens 2 e 4",IF(AND(AJ10&gt;0,AR10&gt;0,AT10&gt;0,AV10&gt;0,BL80=1,AND(BL54=2,BL59=1)),"Falta resp. os itens 2 e 5",IF(AND(BL80=2,OR(AM15="",AM15=0,AM15&lt;0),BL54=1,BL59=1),"Falta resp. os itens 3, 4 e 5",IF(AND(BL80=2,OR(AM15="",AM15&lt;=0),BL54=1,OR(BL59=2,BL59=3)),"Falta resp. os itens 3 e 4",IF(AND(BL80=3,BL54=1,BL59=1),"Falta resp. os itens 4 e 5",IF(AND(BL80=2,AM15&gt;0,BL54=1,BL59=1),"Falta resp. os itens 4 e 5",IF(AND(BL80=2,OR(AM15="",AM15&lt;=0),BL54=2,BL59=1),"Falta resp. os itens 3 e 5",IF(AND(AJ10&gt;0,AR10&gt;0,AT10&gt;0,AV10&gt;0,BL80=1,BL54=3,BL59=1),"Falta resp. o item 2 ",IF(AND(BL80=1,OR(BL54=2,BL54=3),OR(BL59=2,BL59=3)),"Falta resp. o item 2",IF(AND(BL80=2,AM15=0),"Falta responder o item 3",IF(AND(BL80=2,AM15=""),"Falta responder o item 3",IF(AND(OR(BL80=2,BL80=3),BL54=1,OR(BL59=2,BL59=3)),"Falta resp. o item 4",IF(AND(OR(BL80=2,BL80=3),BL54=2,BL59=1),"Falta resp. o item 5",IF(AND(AJ10="",AJ10&lt;=0,BL54=1,BL59=1,BL80=1),"",IF(AND(AJ10&lt;=BI96,BL59=2,BL54=2,BL80=2),AJ10*(BL74*0.00137%),IF(AND(AJ10&lt;=BI96,BL59=2,BL54=2,BL80=3),(AJ10*365)*0.00137%,IF(AND(AJ10&gt;BI96,BL59=2,BL54=2,BL80=2),AJ10*(BL74*0.0041%),IF(AND(AJ10&gt;BI96,BL59=2,BL54=2,BL80=3),(AJ10*365)*0.0041%,IF(AND(OR(AJ10&gt;BI96,AJ10&lt;BI96),OR(BL59=2,BL59=1),BL54=3,BL80=2),AJ10*(BL74*0.0082%),IF(AND(OR(AJ10&gt;BI96,AJ10&lt;BI96),OR(BL59=2,BL59=1),BL54=3,BL80=3),(AJ10*365)*0.0082%,IF(AND(BL59=3,BL54=2,BL80=2),AJ10*(BL74*0.0041%),IF(AND(BL59=3,BL54=2,BL80=3),(AJ10*365)*0.0041%,IF(AND(BL59=3,BL54=3,BL80=2),AJ10*(BL74*0.0082%),IF(AND(BL59=3,BL54=3,BL80=3),(AJ10*365)*0.0082%,IF(AND(BL59=1,BL54=3,BL80=3),(AJ10*365)*0.0082%))))))))))))))))))))))))))))</f>
        <v>-</v>
      </c>
      <c r="BJ99" s="67"/>
      <c r="BK99" s="67"/>
      <c r="BL99" s="67"/>
      <c r="BM99" s="66"/>
      <c r="BN99" s="66"/>
      <c r="BO99" s="66"/>
      <c r="BP99" s="66"/>
      <c r="BQ99" s="66"/>
      <c r="BR99" s="66"/>
      <c r="BS99" s="66"/>
      <c r="BT99" s="66"/>
      <c r="BU99" s="66"/>
      <c r="BV99" s="66"/>
      <c r="BW99" s="66"/>
      <c r="BX99" s="66"/>
      <c r="BY99" s="66"/>
      <c r="BZ99" s="66"/>
      <c r="CA99" s="66"/>
      <c r="CB99" s="193"/>
      <c r="CC99" s="193"/>
      <c r="CD99" s="193"/>
      <c r="CE99" s="193"/>
      <c r="CF99" s="435"/>
      <c r="CG99" s="156"/>
      <c r="CH99" s="156"/>
      <c r="CI99" s="156" t="s">
        <v>125</v>
      </c>
      <c r="CJ99" s="146">
        <f>DATE($CJ$123,4,21)</f>
        <v>112</v>
      </c>
      <c r="CK99" s="146">
        <f>DATE($CJ$123+1,4,21)</f>
        <v>477</v>
      </c>
      <c r="CL99" s="146">
        <f>DATE($CJ$123+2,4,21)</f>
        <v>842</v>
      </c>
      <c r="CM99" s="146">
        <f>DATE($CJ$123+3,4,21)</f>
        <v>1207</v>
      </c>
      <c r="CN99" s="146">
        <f>DATE($CJ$123+4,4,21)</f>
        <v>1573</v>
      </c>
      <c r="CO99" s="146">
        <f>DATE($CJ$123+5,4,21)</f>
        <v>1938</v>
      </c>
      <c r="CP99" s="146">
        <f>DATE($CJ$123+6,4,21)</f>
        <v>2303</v>
      </c>
      <c r="CQ99" s="146">
        <f>DATE($CJ$123+7,4,21)</f>
        <v>2668</v>
      </c>
      <c r="CR99" s="146">
        <f>DATE($CJ$123+8,4,21)</f>
        <v>3034</v>
      </c>
      <c r="CS99" s="146">
        <f>DATE($CJ$123+9,4,21)</f>
        <v>3399</v>
      </c>
      <c r="CT99" s="146">
        <f>DATE($CJ$123+10,4,21)</f>
        <v>3764</v>
      </c>
      <c r="CU99" s="146">
        <f>DATE($CJ$123+11,4,21)</f>
        <v>4129</v>
      </c>
      <c r="CV99" s="146">
        <f>DATE($CJ$123+12,4,21)</f>
        <v>4495</v>
      </c>
      <c r="CW99" s="146">
        <f>DATE($CJ$123+13,4,21)</f>
        <v>4860</v>
      </c>
      <c r="CX99" s="146">
        <f>DATE($CJ$123+14,4,21)</f>
        <v>5225</v>
      </c>
      <c r="CY99" s="146">
        <f>DATE($CJ$123+15,4,21)</f>
        <v>5590</v>
      </c>
      <c r="CZ99" s="66"/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/>
      <c r="DL99" s="66"/>
      <c r="DM99" s="66"/>
      <c r="DN99" s="66"/>
      <c r="DO99" s="66"/>
      <c r="DP99" s="66"/>
      <c r="DQ99" s="66"/>
      <c r="DR99" s="66"/>
      <c r="DS99" s="66"/>
      <c r="DT99" s="66"/>
      <c r="DU99" s="66"/>
      <c r="DV99" s="66"/>
      <c r="DW99" s="66"/>
      <c r="DX99" s="66"/>
      <c r="DY99" s="66"/>
      <c r="DZ99" s="66"/>
      <c r="EA99" s="66"/>
      <c r="EB99" s="66"/>
      <c r="EC99" s="66"/>
      <c r="ED99" s="66"/>
      <c r="EE99" s="66"/>
      <c r="EF99" s="193"/>
      <c r="EG99" s="193"/>
      <c r="EH99" s="193"/>
      <c r="EI99" s="193"/>
      <c r="EJ99" s="193"/>
      <c r="EK99" s="193"/>
      <c r="EL99" s="193"/>
      <c r="EM99" s="193"/>
      <c r="EN99" s="193"/>
      <c r="EO99" s="193"/>
      <c r="EP99" s="193"/>
      <c r="EQ99" s="193"/>
      <c r="ER99" s="193"/>
      <c r="HN99" s="68"/>
      <c r="HO99" s="68"/>
    </row>
    <row r="100" spans="2:259" s="64" customFormat="1" hidden="1" x14ac:dyDescent="0.3">
      <c r="B100" s="68"/>
      <c r="C100" s="68"/>
      <c r="D100" s="68"/>
      <c r="E100" s="68"/>
      <c r="F100" s="68"/>
      <c r="I100" s="149"/>
      <c r="J100" s="149"/>
      <c r="K100" s="149"/>
      <c r="L100" s="149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7"/>
      <c r="BB100" s="154" t="s">
        <v>126</v>
      </c>
      <c r="BC100" s="154"/>
      <c r="BD100" s="67"/>
      <c r="BE100" s="67"/>
      <c r="BF100" s="67"/>
      <c r="BG100" s="67"/>
      <c r="BH100" s="67"/>
      <c r="BI100" s="67" t="s">
        <v>126</v>
      </c>
      <c r="BJ100" s="67"/>
      <c r="BK100" s="67"/>
      <c r="BL100" s="67"/>
      <c r="BM100" s="66"/>
      <c r="BN100" s="66"/>
      <c r="BO100" s="66"/>
      <c r="BP100" s="66"/>
      <c r="BQ100" s="66"/>
      <c r="BR100" s="66"/>
      <c r="BS100" s="66"/>
      <c r="BT100" s="66"/>
      <c r="BU100" s="66"/>
      <c r="BV100" s="66"/>
      <c r="BW100" s="66"/>
      <c r="BX100" s="66"/>
      <c r="BY100" s="66"/>
      <c r="BZ100" s="66"/>
      <c r="CA100" s="66"/>
      <c r="CB100" s="201"/>
      <c r="CC100" s="193"/>
      <c r="CD100" s="193"/>
      <c r="CE100" s="193"/>
      <c r="CF100" s="435"/>
      <c r="CG100" s="156"/>
      <c r="CH100" s="156"/>
      <c r="CI100" s="156" t="s">
        <v>127</v>
      </c>
      <c r="CJ100" s="146">
        <f>DATE($CJ$123,5,1)</f>
        <v>122</v>
      </c>
      <c r="CK100" s="146">
        <f>DATE($CJ$123+1,5,1)</f>
        <v>487</v>
      </c>
      <c r="CL100" s="146">
        <f>DATE($CJ$123+2,5,1)</f>
        <v>852</v>
      </c>
      <c r="CM100" s="146">
        <f>DATE($CJ$123+3,5,1)</f>
        <v>1217</v>
      </c>
      <c r="CN100" s="146">
        <f>DATE($CJ$123+4,5,1)</f>
        <v>1583</v>
      </c>
      <c r="CO100" s="146">
        <f>DATE($CJ$123+5,5,1)</f>
        <v>1948</v>
      </c>
      <c r="CP100" s="146">
        <f>DATE($CJ$123+6,5,1)</f>
        <v>2313</v>
      </c>
      <c r="CQ100" s="146">
        <f>DATE($CJ$123+7,5,1)</f>
        <v>2678</v>
      </c>
      <c r="CR100" s="146">
        <f>DATE($CJ$123+8,5,1)</f>
        <v>3044</v>
      </c>
      <c r="CS100" s="146">
        <f>DATE($CJ$123+9,5,1)</f>
        <v>3409</v>
      </c>
      <c r="CT100" s="146">
        <f>DATE($CJ$123+10,5,1)</f>
        <v>3774</v>
      </c>
      <c r="CU100" s="146">
        <f>DATE($CJ$123+11,5,1)</f>
        <v>4139</v>
      </c>
      <c r="CV100" s="146">
        <f>DATE($CJ$123+12,5,1)</f>
        <v>4505</v>
      </c>
      <c r="CW100" s="146">
        <f>DATE($CJ$123+13,5,1)</f>
        <v>4870</v>
      </c>
      <c r="CX100" s="146">
        <f>DATE($CJ$123+14,5,1)</f>
        <v>5235</v>
      </c>
      <c r="CY100" s="146">
        <f>DATE($CJ$123+15,5,1)</f>
        <v>5600</v>
      </c>
      <c r="CZ100" s="66"/>
      <c r="DA100" s="66"/>
      <c r="DB100" s="66"/>
      <c r="DC100" s="159"/>
      <c r="DD100" s="66"/>
      <c r="DE100" s="66"/>
      <c r="DF100" s="66"/>
      <c r="DG100" s="66"/>
      <c r="DH100" s="66"/>
      <c r="DI100" s="66"/>
      <c r="DJ100" s="66"/>
      <c r="DK100" s="66"/>
      <c r="DL100" s="66"/>
      <c r="DM100" s="66"/>
      <c r="DN100" s="66"/>
      <c r="DO100" s="66"/>
      <c r="DP100" s="66"/>
      <c r="DQ100" s="66"/>
      <c r="DR100" s="66"/>
      <c r="DS100" s="66"/>
      <c r="DT100" s="66"/>
      <c r="DU100" s="66"/>
      <c r="DV100" s="66"/>
      <c r="DW100" s="66"/>
      <c r="DX100" s="66"/>
      <c r="DY100" s="66"/>
      <c r="DZ100" s="66"/>
      <c r="EA100" s="66"/>
      <c r="EB100" s="66"/>
      <c r="EC100" s="66"/>
      <c r="ED100" s="66"/>
      <c r="EE100" s="66"/>
      <c r="EF100" s="193"/>
      <c r="EG100" s="193"/>
      <c r="EH100" s="193"/>
      <c r="EI100" s="193"/>
      <c r="EJ100" s="193"/>
      <c r="EK100" s="193"/>
      <c r="EL100" s="193"/>
      <c r="EM100" s="193"/>
      <c r="EN100" s="193"/>
      <c r="EO100" s="193"/>
      <c r="EP100" s="193"/>
      <c r="EQ100" s="193"/>
      <c r="ER100" s="193"/>
      <c r="HN100" s="68"/>
      <c r="HO100" s="68"/>
    </row>
    <row r="101" spans="2:259" s="64" customFormat="1" ht="15" hidden="1" customHeight="1" x14ac:dyDescent="0.3">
      <c r="B101" s="68"/>
      <c r="C101" s="68"/>
      <c r="D101" s="68"/>
      <c r="E101" s="68"/>
      <c r="F101" s="68"/>
      <c r="I101" s="149"/>
      <c r="J101" s="149"/>
      <c r="K101" s="149"/>
      <c r="L101" s="149"/>
      <c r="M101" s="149"/>
      <c r="N101" s="68"/>
      <c r="O101" s="68"/>
      <c r="P101" s="68"/>
      <c r="Q101" s="160"/>
      <c r="R101" s="160"/>
      <c r="S101" s="160"/>
      <c r="T101" s="160"/>
      <c r="U101" s="160"/>
      <c r="V101" s="160"/>
      <c r="W101" s="160"/>
      <c r="X101" s="160"/>
      <c r="Y101" s="161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7"/>
      <c r="BB101" s="197" t="str">
        <f>IF(AND(OR(L10="",L10=0,),OR(O10="",O10=0),BL32=1,BL14=1,M18=0,BL19=1),"-",IF(OR(O10&lt;2015,L10&lt;0,L10&gt;12),"Alterar o item 1",IF(AND(OR(L10&lt;=0,L10="",O10&lt;=0,O10=""),BL32=1,BL19=1),"Falta resp. os itens 1, 2 e 5",IF(AND(OR(L10&lt;=0,L10="",O10&lt;=0,O10=""),BL32=2,BL14=1,BL19=1),"Falta resp. os itens 1, 3 e 5",IF(AND(OR(L10&lt;=0,L10="",O10&lt;=0,O10=""),BL32=1,OR(BL19=2,BL19=3)),"Falta resp. os itens 1 e 2",IF(AND(OR(L10&lt;=0,L10="",O10&lt;=0,O10=""),BL32=2,BL14=1,OR(BL19=2,BL19=3)),"Falta resp. os itens 1 e 3",IF(AND(OR(L10&lt;=0,L10="",O10&lt;=0,O10=""),BL32=2,OR(BL14=2,BL14=3),BL19=1),"Falta resp. os itens 1 e 5",IF(AND(OR(L10&lt;=0,L10="",O10&lt;=0,O10=""),BL32=3,BL19=1),"Falta resp. os itens 1 e 5",IF(AND(BL32=1,OR(BL14=2,BL14=3),BL19=1),"Falta resp. os itens 2 e 5",IF(AND(L10&gt;0,O10&gt;0,BL32=1,BL19=1),"Falta resp. os itens 2 e 5",IF(AND(BL32=2,BL14=1,BL19=1),"Falta resp. os itens 3 e 5",IF(AND(OR(L10&lt;=0,L10="",O10&lt;=0,O10=""),BL32=2,OR(BL14=2,BL14=3),OR(BL19=2,BL19=3)),"Falta resp. o item 1",IF(AND(OR(L10&lt;=0,L10="",O10&lt;=0,O10=""),BL32=3,OR(BL19=2,BL19=3)),"Falta resp. o item 1",IF(AND(BL32=1,OR(BL14=2,BL14=3),OR(BL19=2,BL19=3)),"Falta responder o item 2",IF(AND(L10&gt;0,O10&gt;0,BL32=1,OR(BL19=2,BL19=3)),"Falta resp. o item 2",IF(AND(BL32=2,BL14=1),"Falta responder o item 3",IF(OR(AND(BL32=2,BL14=2,BL19=1),AND(BL32=2,BL14=3,BL19=1),AND(BL32=3,BL14=1,BL19=1),AND(BL32=3,BL14=2,BL19=1),AND(BL32=3,BL14=3,BL19=1)),"Falta responder o item 5",IF(AND(L10&gt;0,O10&gt;0,OR(BL32=3,AND(BL32=2,OR(BL14=2,BL14=3))),OR(M18="",M18&lt;=0),OR(BL19=2,BL19=3),SUM(M32:S62)&lt;=0),"Falta resp. o item 4, ou 6, ou ambos",IF(AND(BL19=2,OR(L10=1,L10=3,L10=5,L10=7,L10=8,L10=10,L10=12)),SUM(M32:S62)*0.38%,IF(AND(BL19=2,L10=2,OR(O10=2016,O10=2020,O10=2024,O10=2028,O10=2032,O10=2036,O10=2040)),SUM(M32:S60)*0.38%,IF(AND(BL19=2,L10=2,O10=2015),SUM(M32:S59)*0.38%,IF(AND(BL19=2,L10=2,O10&gt;=2017,O10&lt;=2019),SUM(M32:S59)*0.38%,IF(AND(BL19=2,L10=2,O10&gt;=2021,O10&lt;=2023),SUM(M32:S59)*0.38%,IF(AND(BL19=2,L10=2,O10&gt;=2025,O10&lt;=2027),SUM(M32:S59)*0.38%,IF(AND(BL19=2,L10=2,O10&gt;=2029,O10&lt;=2031),SUM(M32:S59)*0.38%,IF(AND(BL19=2,L10=2,O10&gt;=2033,O10&lt;=2035),SUM(M32:S59)*0.38%,IF(AND(BL19=2,L10=2,O10&gt;=2037,O10&lt;=2039),SUM(M32:S59)*0.38%,IF(AND(BL19=2,OR(L10=4,L10=6,L10=9,L10=11)),SUM(M32:S61)*0.38%,IF(AND(BL19=3,OR(L10=1,L10=3,L10=5,L10=7,L10=8,L10=10,L10=12)),SUM(M32:S62)*0.38%,IF(AND(BL19=3,L10=2,OR(O10=2016,O10=2020,O10=2024,O10=2028,O10=2032,O10=2036,O10=2040)),SUM(M32:S60)*0.38%,IF(AND(BL19=3,L10=2,O10=2015),SUM(M32:S59)*0.38%,IF(AND(BL19=3,L10=2,O10&gt;=2017,O10&lt;=2019),SUM(M32:S59)*0.38%,IF(AND(BL19=3,L10=2,O10&gt;=2021,O10&lt;=2023),SUM(M32:S59)*0.38%,IF(AND(BL19=3,L10=2,O10&gt;=2025,O10&lt;=2027),SUM(M32:S59)*0.38%,IF(AND(BL19=3,L10=2,O10&gt;=2029,O10&lt;=2031),SUM(M32:S59)*0.38%,IF(AND(BL19=3,L10=2,O10&gt;=2033,O10&lt;=2035),SUM(M32:S59)*0.38%,IF(AND(BL19=3,L10=2,O10&gt;=2037,O10&lt;=2039),SUM(M32:S59)*0.38%,IF(AND(BL19=3,OR(L10=4,L10=6,L10=9,L10=11)),SUM(M32:S61)*0.38%))))))))))))))))))))))))))))))))))))))</f>
        <v>-</v>
      </c>
      <c r="BC101" s="197"/>
      <c r="BD101" s="67"/>
      <c r="BE101" s="67"/>
      <c r="BF101" s="67"/>
      <c r="BG101" s="67"/>
      <c r="BH101" s="67"/>
      <c r="BI101" s="78" t="str">
        <f>IF(AND(OR(AJ10=0,AJ10="",AJ10&lt;0),OR(AR10=0,AR10="",AR10&lt;0),OR(AT10=0,AT10="",AT10&lt;0),OR(AV10=0,AV10="",AV10&lt;0),BL80=1,BL54=1,BL59=1),"-",IF(OR(AV10&lt;2015,AND(AR10&gt;31,AT10=1),AND(AR10&gt;29,AT10=2,AV10=2016),AND(AR10&gt;29,AT10=2,AV10=2020),AND(AR10&gt;29,AT10=2,AV10=2024),AND(AR10&gt;29,AT10=2,AV10=2028),AND(AR10&gt;29,AT10=2,AV10=2032),AND(AR10&gt;29,AT10=2,AV10=2036),AND(AR10&gt;29,AT10=2,AV10=2040),AND(AR10&gt;28,AT10=2,AV10=2015),AND(AR10&gt;28,AT10=2,AV10&gt;=2017,AV10&lt;=2019),AND(AR10&gt;28,AT10=2,AV10&gt;=2021,AV10&lt;=2023),AND(AR10&gt;28,AT10=2,AV10&gt;=2025,AV10&lt;=2027),AND(AR10&gt;28,AT10=2,AV10&gt;=2029,AV10&lt;=2031),AND(AR10&gt;28,AT10=2,AV10&gt;=2033,AV10&lt;=2035),AND(AR10&gt;28,AT10=2,AV10&gt;=2037,AV10&lt;=2039),AND(AR10&gt;31,AT10=3),AND(AR10&gt;30,AT10=4),AND(AR10&gt;31,AT10=5),AND(AR10&gt;30,AT10=6),AND(AR10&gt;31,AT10=7),AND(AR10&gt;31,AT10=8),AND(AR10&gt;30,AT10=9),AND(AR10&gt;31,AT10=10),AND(AR10&gt;30,AT10=11),AND(AR10&gt;31,AT10=12)),"Alterar o item 1",IF(AND(OR(AJ10="",AJ10&lt;=AR10="",AR10&lt;=0,AT10="",AT10&lt;=0,AV10="",AV10&lt;=0),BL80=1,BL54=1),"Falta resp. os itens 1, 2 e 4",IF(AND(OR(AJ10="",AJ10&lt;=AR10="",AR10&lt;=0,AT10="",AT10&lt;=0,AV10="",AV10&lt;=0),BL80=1,BL54=2,BL59=1),"Falta resp. os itens 1, 2 e 5",IF(AND(OR(AJ10="",AJ10&lt;=AR10="",AR10&lt;=0,AT10="",AT10&lt;=0,AV10="",AV10&lt;=0),BL80=2,OR(AM15="",AM15&lt;=0),BL54=1),"Falta resp. o item 1, 3 e 4",IF(AND(OR(AJ10="",AJ10&lt;=AR10="",AR10&lt;=0,AT10="",AT10&lt;=0,AV10="",AV10&lt;=0),BL80=2,OR(AM15&lt;=0,AM15=""),BL54=2,BL59=1),"Falta resp. os itens 1, 3 e 5",IF(AND(OR(AJ10="",AJ10&lt;=AR10="",AR10&lt;=0,AT10="",AT10&lt;=0,AV10="",AV10&lt;=0),BL80=2,AM15&gt;0,BL54=1,BL59=1),"Falta resp. os itens 1, 4 e 5",IF(AND(OR(AJ10="",AJ10&lt;=AR10="",AR10&lt;=0,AT10="",AT10&lt;=0,AV10="",AV10&lt;=0),BL80=1,BL54=3),"Falta resp. os itens 1 e 2",IF(AND(OR(AJ10="",AJ10&lt;=AR10="",AR10&lt;=0,AT10="",AT10&lt;=0,AV10="",AV10&lt;=0),BL80=1,OR(AM15&gt;=0,AM15=""),BL54=2,OR(BL59=2,BL59=3)),"Falta resp. os itens 1 e 2",IF(AND(OR(AJ10="",AJ10&lt;=AR10="",AR10&lt;=0,AT10="",AT10&lt;=0,AV10="",AV10&lt;=0),BL80=1,BL54=3),"Falta resp. os itens 1 e 2",IF(AND(OR(AJ10="",AJ10&lt;=AR10="",AR10&lt;=0,AT10="",AT10&lt;=0,AV10="",AV10&lt;=0),BL80=2,OR(AM15=0,AM15=""),BL54=2,OR(BL59=2,BL59=3)),"Falta resp. os itens 1 e 3",IF(AND(OR(AJ10="",AJ10&lt;=AR10="",AR10&lt;=0,AT10="",AT10&lt;=0,AV10="",AV10&lt;=0),BL80=2,OR(AM15="",AM15&lt;=0),BL54=3),"Falta resp. os itens 1 e 3",IF(AND(OR(AJ10="",AJ10&lt;=AR10="",AR10&lt;=0,AT10="",AT10&lt;=0,AV10="",AV10&lt;=0),OR(BL80=3,AND(BL80=2,AM15&gt;0)),BL54=1),"Falta resp. os itens 1 e 4",IF(AND(OR(AJ10="",AJ10&lt;=AR10="",AR10&lt;=0,AT10="",AT10&lt;=0,AV10="",AV10&lt;=0),BL80=3,BL54=2,BL59=1),"Falta resp. os itens 1 e 5",IF(AND(OR(AJ10="",AJ10&lt;=AR10="",AR10&lt;=0,AT10="",AT10&lt;=0,AV10="",AV10&lt;=0),BL80=2,AM15&gt;0,BL54=2,BL59=1),"Falta resp. os itens 1 e 5",IF(AND(OR(AJ10&gt;0,AR10&gt;0,AT10&gt;0,AV10&gt;0),BL80=1,BL54=1),"Falta resp. os itens 2 e 4",IF(AND(OR(AJ10&gt;0,AR10&gt;0,AT10&gt;0,AV10&gt;0),BL80=1,BL54=2,BL59=1),"Falta resp. os itens 2 e 5",IF(AND(OR(AJ10&gt;0,AR10&gt;0,AT10&gt;0,AV10&gt;0),BL80=2,OR(AM15&lt;=0,AM15=""),BL54=1),"Falta resp. os itens 3 e 4",IF(AND(OR(AJ10&gt;0,AR10&gt;0,AT10&gt;0,AV10&gt;0),BL80=2,OR(AM15&lt;=0,AM15=""),BL54=2,BL59=1),"Falta resp. os itens 3 e 5",IF(AND(OR(AJ10="",AJ10&lt;=AR10="",AR10&lt;=0,AT10="",AT10&lt;=0,AV10="",AV10&lt;=0),BL80=2,AM15&gt;0,BL54=2,OR(BL59=2,BL59=3)),"Falta resp. o item 1",IF(AND(OR(AJ10="",AJ10&lt;=AR10="",AR10&lt;=0,AT10="",AT10&lt;=0,AV10="",AV10&lt;=0),BL80=3,BL54=3),"Falta resp. o item 1",IF(AND(OR(AJ10="",AJ10&lt;=AR10="",AR10&lt;=0,AT10="",AT10&lt;=0,AV10="",AV10&lt;=0),BL80=2,AM15&gt;0,BL54=3),"Falta resp. o item 1",IF(AND(OR(AJ10="",AJ10&lt;=AR10="",AR10&lt;=0,AT10="",AT10&lt;=0,AV10="",AV10&lt;=0),BL80=3,BL54=2,OR(BL59=2,BL59=3)),"Falta resp. o item 1",IF(AND(OR(AJ10&gt;0,AR10&gt;0,AT10&gt;0,AV10&gt;0),BL80=1,AND(BL54=2,OR(BL59=2,BL59=3))),"Falta resp. o item 2",IF(AND(OR(AJ10&gt;0,AR10&gt;0,AT10&gt;0,AV10&gt;0),BL80=1,BL54=3),"Falta resp. o item 2",IF(AND(OR(AJ10&gt;0,AR10&gt;0,AT10&gt;0,AV10&gt;0),BL80=2,OR(AM15&lt;=0,AM15=""),BL54=2,OR(BL59=2,BL59=3)),"Falta resp. o item 3",IF(AND(OR(AJ10&gt;0,AR10&gt;0,AT10&gt;0,AV10&gt;0),BL80=2,OR(AM15&lt;=0,AM15=""),BL54=3),"Falta resp. o item 3",IF(AND(OR(AJ10&gt;0,AR10&gt;0,AT10&gt;0,AV10&gt;0),BL80=3,BL54=1),"Falta resp. o item 4",IF(AND(OR(AJ10&gt;0,AR10&gt;0,AT10&gt;0,AV10&gt;0),BL80=2,AM15&gt;0,BL54=1),"Falta resp. o item 4",IF(AND(OR(AJ10&gt;0,AR10&gt;0,AT10&gt;0,AV10&gt;0),BL80=2,AM15&gt;0,BL54=2,BL59=1),"Falta resp. o item 5",IF(AND(AJ10="",BL54=1,BL59=1,BL80=1),"",IF(AJ10=0,0,AJ10*0.38%))))))))))))))))))))))))))))))))</f>
        <v>-</v>
      </c>
      <c r="BJ101" s="67"/>
      <c r="BK101" s="67"/>
      <c r="BL101" s="67"/>
      <c r="BM101" s="66"/>
      <c r="BN101" s="66"/>
      <c r="BO101" s="66"/>
      <c r="BP101" s="66"/>
      <c r="BQ101" s="66"/>
      <c r="BR101" s="66"/>
      <c r="BS101" s="66"/>
      <c r="BT101" s="66"/>
      <c r="BU101" s="66"/>
      <c r="BV101" s="66"/>
      <c r="BW101" s="66"/>
      <c r="BX101" s="66"/>
      <c r="BY101" s="66"/>
      <c r="BZ101" s="66"/>
      <c r="CA101" s="66"/>
      <c r="CB101" s="193"/>
      <c r="CC101" s="193"/>
      <c r="CD101" s="193"/>
      <c r="CE101" s="193"/>
      <c r="CF101" s="435"/>
      <c r="CG101" s="66"/>
      <c r="CH101" s="159"/>
      <c r="CI101" s="159" t="s">
        <v>128</v>
      </c>
      <c r="CJ101" s="146" t="b">
        <f t="shared" ref="CJ101:CY101" si="28">IF(YEAR(CJ96)=$DD$96,$DD$101,IF(YEAR(CJ96)=$DE$96,$DE$101,IF(YEAR(CJ96)=$DF$96,$DF$101,IF(YEAR(CJ96)=$DG$96,$DG$101,IF(YEAR(CJ96)=$DH$96,$DH$101,IF(YEAR(CJ96)=$DI$96,$DI$101,IF(YEAR(CJ96)=$DJ$96,$DJ$101,IF(YEAR(CJ96)=$DK$96,$DK$101,IF(YEAR(CJ96)=$DL$96,$DL$101,IF(YEAR(CJ96)=$DM$96,$DM$101,IF(YEAR(CJ96)=$DN$96,$DN$101,IF(YEAR(CJ96)=$DO$96,$DO$101,IF(YEAR(CJ96)=$DP$96,$DP$101,IF(YEAR(CJ96)=$DQ$96,$DQ$101,IF(YEAR(CJ96)=$DR$96,$DR$101,IF(YEAR(CJ96)=$DS$96,$DS$101,IF(YEAR(CJ96)=$DT$96,$DT$101,IF(YEAR(CJ96)=$DU$96,$DU$101,IF(YEAR(CJ96)=$DV$96,$DV$101,IF(YEAR(CJ96)=$DW$96,$DW$101,IF(YEAR(CJ96)=$DX$96,$DX$101,IF(YEAR(CJ96)=$DY$96,$DY$101,IF(YEAR(CJ96)=$DZ$96,$DZ$101,IF(YEAR(CJ96)=$EA$96,$EA$101,IF(YEAR(CJ96)=$EB$96,$EB$101,IF(YEAR(CJ96)=$EC$96,$EC$101))))))))))))))))))))))))))</f>
        <v>0</v>
      </c>
      <c r="CK101" s="146" t="b">
        <f t="shared" si="28"/>
        <v>0</v>
      </c>
      <c r="CL101" s="146" t="b">
        <f t="shared" si="28"/>
        <v>0</v>
      </c>
      <c r="CM101" s="146" t="b">
        <f t="shared" si="28"/>
        <v>0</v>
      </c>
      <c r="CN101" s="146" t="b">
        <f t="shared" si="28"/>
        <v>0</v>
      </c>
      <c r="CO101" s="146" t="b">
        <f t="shared" si="28"/>
        <v>0</v>
      </c>
      <c r="CP101" s="146" t="b">
        <f t="shared" si="28"/>
        <v>0</v>
      </c>
      <c r="CQ101" s="146" t="b">
        <f t="shared" si="28"/>
        <v>0</v>
      </c>
      <c r="CR101" s="146" t="b">
        <f t="shared" si="28"/>
        <v>0</v>
      </c>
      <c r="CS101" s="146" t="b">
        <f t="shared" si="28"/>
        <v>0</v>
      </c>
      <c r="CT101" s="146" t="b">
        <f t="shared" si="28"/>
        <v>0</v>
      </c>
      <c r="CU101" s="146" t="b">
        <f t="shared" si="28"/>
        <v>0</v>
      </c>
      <c r="CV101" s="146" t="b">
        <f t="shared" si="28"/>
        <v>0</v>
      </c>
      <c r="CW101" s="146" t="b">
        <f t="shared" si="28"/>
        <v>0</v>
      </c>
      <c r="CX101" s="146" t="b">
        <f t="shared" si="28"/>
        <v>0</v>
      </c>
      <c r="CY101" s="146" t="b">
        <f t="shared" si="28"/>
        <v>0</v>
      </c>
      <c r="CZ101" s="66"/>
      <c r="DA101" s="66"/>
      <c r="DB101" s="66"/>
      <c r="DC101" s="159" t="s">
        <v>128</v>
      </c>
      <c r="DD101" s="146">
        <v>42159</v>
      </c>
      <c r="DE101" s="146">
        <v>42516</v>
      </c>
      <c r="DF101" s="146">
        <v>42901</v>
      </c>
      <c r="DG101" s="146">
        <v>43251</v>
      </c>
      <c r="DH101" s="146">
        <v>43636</v>
      </c>
      <c r="DI101" s="146">
        <v>43993</v>
      </c>
      <c r="DJ101" s="146">
        <v>44350</v>
      </c>
      <c r="DK101" s="146">
        <v>44728</v>
      </c>
      <c r="DL101" s="146">
        <v>45085</v>
      </c>
      <c r="DM101" s="146">
        <v>45442</v>
      </c>
      <c r="DN101" s="146">
        <v>45827</v>
      </c>
      <c r="DO101" s="146">
        <v>46177</v>
      </c>
      <c r="DP101" s="146">
        <v>46534</v>
      </c>
      <c r="DQ101" s="146">
        <v>46919</v>
      </c>
      <c r="DR101" s="146">
        <v>47269</v>
      </c>
      <c r="DS101" s="146">
        <v>47654</v>
      </c>
      <c r="DT101" s="146">
        <v>48011</v>
      </c>
      <c r="DU101" s="146">
        <v>48361</v>
      </c>
      <c r="DV101" s="146">
        <v>48746</v>
      </c>
      <c r="DW101" s="146">
        <v>49103</v>
      </c>
      <c r="DX101" s="146">
        <v>49453</v>
      </c>
      <c r="DY101" s="146">
        <v>49838</v>
      </c>
      <c r="DZ101" s="146">
        <v>50195</v>
      </c>
      <c r="EA101" s="146">
        <v>50580</v>
      </c>
      <c r="EB101" s="146">
        <v>50930</v>
      </c>
      <c r="EC101" s="146">
        <v>51287</v>
      </c>
      <c r="ED101" s="66"/>
      <c r="EE101" s="66"/>
      <c r="EF101" s="193"/>
      <c r="EG101" s="193"/>
      <c r="EH101" s="193"/>
      <c r="EI101" s="193"/>
      <c r="EJ101" s="193"/>
      <c r="EK101" s="193"/>
      <c r="EL101" s="193"/>
      <c r="EM101" s="193"/>
      <c r="EN101" s="193"/>
      <c r="EO101" s="193"/>
      <c r="EP101" s="193"/>
      <c r="EQ101" s="193"/>
      <c r="ER101" s="193"/>
      <c r="HB101" s="68"/>
      <c r="HC101" s="68"/>
      <c r="HD101" s="68"/>
      <c r="HE101" s="68"/>
      <c r="HF101" s="68"/>
      <c r="HG101" s="68"/>
      <c r="HH101" s="68"/>
      <c r="HI101" s="68"/>
      <c r="HJ101" s="68"/>
      <c r="HK101" s="68"/>
      <c r="HL101" s="68"/>
      <c r="HM101" s="68"/>
      <c r="HN101" s="68"/>
      <c r="HO101" s="68"/>
      <c r="HP101" s="68"/>
      <c r="HQ101" s="68"/>
      <c r="HR101" s="68"/>
      <c r="HS101" s="68"/>
      <c r="HT101" s="68"/>
      <c r="HU101" s="68"/>
      <c r="HV101" s="68"/>
      <c r="HW101" s="68"/>
      <c r="HX101" s="68"/>
      <c r="HY101" s="68"/>
      <c r="HZ101" s="68"/>
      <c r="IA101" s="68"/>
      <c r="IB101" s="68"/>
      <c r="IC101" s="68"/>
      <c r="ID101" s="68"/>
      <c r="IE101" s="68"/>
      <c r="IF101" s="68"/>
      <c r="IG101" s="68"/>
      <c r="IH101" s="68"/>
      <c r="II101" s="68"/>
      <c r="IJ101" s="68"/>
      <c r="IK101" s="68"/>
      <c r="IL101" s="68"/>
      <c r="IM101" s="68"/>
      <c r="IN101" s="68"/>
      <c r="IO101" s="68"/>
      <c r="IP101" s="68"/>
      <c r="IQ101" s="68"/>
      <c r="IR101" s="68"/>
      <c r="IS101" s="68"/>
      <c r="IT101" s="68"/>
      <c r="IU101" s="68"/>
      <c r="IV101" s="68"/>
      <c r="IW101" s="68"/>
      <c r="IX101" s="68"/>
      <c r="IY101" s="68"/>
    </row>
    <row r="102" spans="2:259" s="64" customFormat="1" ht="15" hidden="1" customHeight="1" x14ac:dyDescent="0.35">
      <c r="B102" s="68"/>
      <c r="C102" s="68"/>
      <c r="D102" s="68"/>
      <c r="E102" s="68"/>
      <c r="F102" s="68"/>
      <c r="G102" s="162"/>
      <c r="H102" s="162"/>
      <c r="I102" s="162"/>
      <c r="J102" s="162"/>
      <c r="K102" s="162"/>
      <c r="L102" s="162"/>
      <c r="M102" s="68"/>
      <c r="N102" s="68"/>
      <c r="O102" s="68"/>
      <c r="P102" s="160"/>
      <c r="Q102" s="160"/>
      <c r="R102" s="160"/>
      <c r="S102" s="160"/>
      <c r="T102" s="160"/>
      <c r="U102" s="160"/>
      <c r="V102" s="160"/>
      <c r="W102" s="160"/>
      <c r="X102" s="160"/>
      <c r="Y102" s="161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7"/>
      <c r="BB102" s="370" t="s">
        <v>129</v>
      </c>
      <c r="BC102" s="370"/>
      <c r="BD102" s="370"/>
      <c r="BE102" s="370"/>
      <c r="BF102" s="370"/>
      <c r="BG102" s="200"/>
      <c r="BH102" s="200"/>
      <c r="BI102" s="67"/>
      <c r="BJ102" s="200"/>
      <c r="BK102" s="200"/>
      <c r="BL102" s="67"/>
      <c r="BM102" s="66"/>
      <c r="BN102" s="66"/>
      <c r="BO102" s="66"/>
      <c r="BP102" s="66"/>
      <c r="BQ102" s="66"/>
      <c r="BR102" s="66"/>
      <c r="BS102" s="66"/>
      <c r="BT102" s="66"/>
      <c r="BU102" s="66"/>
      <c r="BV102" s="66"/>
      <c r="BW102" s="66"/>
      <c r="BX102" s="66"/>
      <c r="BY102" s="66"/>
      <c r="BZ102" s="66"/>
      <c r="CA102" s="66"/>
      <c r="CB102" s="201"/>
      <c r="CC102" s="193"/>
      <c r="CD102" s="193"/>
      <c r="CE102" s="193"/>
      <c r="CF102" s="435"/>
      <c r="CG102" s="66"/>
      <c r="CH102" s="66"/>
      <c r="CI102" s="66" t="s">
        <v>130</v>
      </c>
      <c r="CJ102" s="146">
        <f>DATE($CJ$123,9,7)</f>
        <v>251</v>
      </c>
      <c r="CK102" s="146">
        <f>DATE($CJ$123+1,9,7)</f>
        <v>616</v>
      </c>
      <c r="CL102" s="146">
        <f>DATE($CJ$123+2,9,7)</f>
        <v>981</v>
      </c>
      <c r="CM102" s="146">
        <f>DATE($CJ$123+3,9,7)</f>
        <v>1346</v>
      </c>
      <c r="CN102" s="146">
        <f>DATE($CJ$123+4,9,7)</f>
        <v>1712</v>
      </c>
      <c r="CO102" s="146">
        <f>DATE($CJ$123+5,9,7)</f>
        <v>2077</v>
      </c>
      <c r="CP102" s="146">
        <f>DATE($CJ$123+6,9,7)</f>
        <v>2442</v>
      </c>
      <c r="CQ102" s="146">
        <f>DATE($CJ$123+7,9,7)</f>
        <v>2807</v>
      </c>
      <c r="CR102" s="146">
        <f>DATE($CJ$123+8,9,7)</f>
        <v>3173</v>
      </c>
      <c r="CS102" s="146">
        <f>DATE($CJ$123+9,9,7)</f>
        <v>3538</v>
      </c>
      <c r="CT102" s="146">
        <f>DATE($CJ$123+10,9,7)</f>
        <v>3903</v>
      </c>
      <c r="CU102" s="146">
        <f>DATE($CJ$123+11,9,7)</f>
        <v>4268</v>
      </c>
      <c r="CV102" s="146">
        <f>DATE($CJ$123+12,9,7)</f>
        <v>4634</v>
      </c>
      <c r="CW102" s="146">
        <f>DATE($CJ$123+13,9,7)</f>
        <v>4999</v>
      </c>
      <c r="CX102" s="146">
        <f>DATE($CJ$123+14,9,7)</f>
        <v>5364</v>
      </c>
      <c r="CY102" s="146">
        <f>DATE($CJ$123+15,9,7)</f>
        <v>5729</v>
      </c>
      <c r="CZ102" s="66"/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/>
      <c r="DL102" s="66"/>
      <c r="DM102" s="66"/>
      <c r="DN102" s="66"/>
      <c r="DO102" s="66"/>
      <c r="DP102" s="66"/>
      <c r="DQ102" s="66"/>
      <c r="DR102" s="66"/>
      <c r="DS102" s="66"/>
      <c r="DT102" s="66"/>
      <c r="DU102" s="66"/>
      <c r="DV102" s="66"/>
      <c r="DW102" s="66"/>
      <c r="DX102" s="66"/>
      <c r="DY102" s="66"/>
      <c r="DZ102" s="66"/>
      <c r="EA102" s="66"/>
      <c r="EB102" s="66"/>
      <c r="EC102" s="66"/>
      <c r="ED102" s="66"/>
      <c r="EE102" s="66"/>
      <c r="EF102" s="193"/>
      <c r="EG102" s="193"/>
      <c r="EH102" s="193"/>
      <c r="EI102" s="193"/>
      <c r="EJ102" s="193"/>
      <c r="EK102" s="193"/>
      <c r="EL102" s="193"/>
      <c r="EM102" s="193"/>
      <c r="EN102" s="193"/>
      <c r="EO102" s="193"/>
      <c r="EP102" s="193"/>
      <c r="EQ102" s="193"/>
      <c r="ER102" s="193"/>
      <c r="HB102" s="68"/>
      <c r="HC102" s="371"/>
      <c r="HD102" s="371"/>
      <c r="HE102" s="371"/>
      <c r="HF102" s="371"/>
      <c r="HG102" s="371"/>
      <c r="HH102" s="371"/>
      <c r="HI102" s="371"/>
      <c r="HJ102" s="371"/>
      <c r="HK102" s="371"/>
      <c r="HL102" s="371"/>
      <c r="HM102" s="371"/>
      <c r="HN102" s="371"/>
      <c r="HO102" s="371"/>
      <c r="HP102" s="371"/>
      <c r="HQ102" s="371"/>
      <c r="HR102" s="371"/>
      <c r="HS102" s="371"/>
      <c r="HT102" s="371"/>
      <c r="HU102" s="371"/>
      <c r="HV102" s="371"/>
      <c r="HW102" s="371"/>
      <c r="HX102" s="371"/>
      <c r="HY102" s="371"/>
      <c r="HZ102" s="371"/>
      <c r="IA102" s="371"/>
      <c r="IB102" s="371"/>
      <c r="IC102" s="371"/>
      <c r="ID102" s="371"/>
      <c r="IE102" s="371"/>
      <c r="IF102" s="371"/>
      <c r="IG102" s="371"/>
      <c r="IH102" s="371"/>
      <c r="II102" s="371"/>
      <c r="IJ102" s="371"/>
      <c r="IK102" s="371"/>
      <c r="IL102" s="371"/>
      <c r="IM102" s="371"/>
      <c r="IN102" s="371"/>
      <c r="IO102" s="371"/>
      <c r="IP102" s="371"/>
      <c r="IQ102" s="371"/>
      <c r="IR102" s="371"/>
      <c r="IS102" s="371"/>
      <c r="IT102" s="371"/>
      <c r="IU102" s="371"/>
      <c r="IV102" s="371"/>
      <c r="IW102" s="371"/>
      <c r="IX102" s="371"/>
      <c r="IY102" s="210"/>
    </row>
    <row r="103" spans="2:259" s="64" customFormat="1" ht="11.25" hidden="1" customHeight="1" x14ac:dyDescent="0.3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160"/>
      <c r="Q103" s="160"/>
      <c r="R103" s="160"/>
      <c r="S103" s="160"/>
      <c r="T103" s="160"/>
      <c r="U103" s="160"/>
      <c r="V103" s="160"/>
      <c r="W103" s="160"/>
      <c r="X103" s="160"/>
      <c r="Y103" s="161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7"/>
      <c r="BB103" s="370"/>
      <c r="BC103" s="370"/>
      <c r="BD103" s="370"/>
      <c r="BE103" s="370"/>
      <c r="BF103" s="370"/>
      <c r="BG103" s="200"/>
      <c r="BH103" s="200"/>
      <c r="BI103" s="67"/>
      <c r="BJ103" s="200"/>
      <c r="BK103" s="200"/>
      <c r="BL103" s="67"/>
      <c r="BM103" s="66"/>
      <c r="BN103" s="66"/>
      <c r="BO103" s="66"/>
      <c r="BP103" s="66"/>
      <c r="BQ103" s="66"/>
      <c r="BR103" s="66"/>
      <c r="BS103" s="66"/>
      <c r="BT103" s="66"/>
      <c r="BU103" s="66"/>
      <c r="BV103" s="66"/>
      <c r="BW103" s="66"/>
      <c r="BX103" s="66"/>
      <c r="BY103" s="66"/>
      <c r="BZ103" s="66"/>
      <c r="CA103" s="66"/>
      <c r="CB103" s="372"/>
      <c r="CC103" s="372"/>
      <c r="CD103" s="372"/>
      <c r="CE103" s="372"/>
      <c r="CF103" s="372"/>
      <c r="CG103" s="66"/>
      <c r="CH103" s="66"/>
      <c r="CI103" s="66" t="s">
        <v>131</v>
      </c>
      <c r="CJ103" s="146">
        <f>DATE($CJ$123,10,12)</f>
        <v>286</v>
      </c>
      <c r="CK103" s="146">
        <f>DATE($CJ$123+1,10,12)</f>
        <v>651</v>
      </c>
      <c r="CL103" s="146">
        <f>DATE($CJ$123+2,10,12)</f>
        <v>1016</v>
      </c>
      <c r="CM103" s="146">
        <f>DATE($CJ$123+3,10,12)</f>
        <v>1381</v>
      </c>
      <c r="CN103" s="146">
        <f>DATE($CJ$123+4,10,12)</f>
        <v>1747</v>
      </c>
      <c r="CO103" s="146">
        <f>DATE($CJ$123+5,10,12)</f>
        <v>2112</v>
      </c>
      <c r="CP103" s="146">
        <f>DATE($CJ$123+6,10,12)</f>
        <v>2477</v>
      </c>
      <c r="CQ103" s="146">
        <f>DATE($CJ$123+7,10,12)</f>
        <v>2842</v>
      </c>
      <c r="CR103" s="146">
        <f>DATE($CJ$123+8,10,12)</f>
        <v>3208</v>
      </c>
      <c r="CS103" s="146">
        <f>DATE($CJ$123+9,10,12)</f>
        <v>3573</v>
      </c>
      <c r="CT103" s="146">
        <f>DATE($CJ$123+10,10,12)</f>
        <v>3938</v>
      </c>
      <c r="CU103" s="146">
        <f>DATE($CJ$123+11,10,12)</f>
        <v>4303</v>
      </c>
      <c r="CV103" s="146">
        <f>DATE($CJ$123+12,10,12)</f>
        <v>4669</v>
      </c>
      <c r="CW103" s="146">
        <f>DATE($CJ$123+13,10,12)</f>
        <v>5034</v>
      </c>
      <c r="CX103" s="146">
        <f>DATE($CJ$123+14,10,12)</f>
        <v>5399</v>
      </c>
      <c r="CY103" s="146">
        <f>DATE($CJ$123+15,10,12)</f>
        <v>5764</v>
      </c>
      <c r="CZ103" s="66"/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/>
      <c r="DL103" s="66"/>
      <c r="DM103" s="66"/>
      <c r="DN103" s="66"/>
      <c r="DO103" s="66"/>
      <c r="DP103" s="66"/>
      <c r="DQ103" s="66"/>
      <c r="DR103" s="66"/>
      <c r="DS103" s="66"/>
      <c r="DT103" s="66"/>
      <c r="DU103" s="66"/>
      <c r="DV103" s="66"/>
      <c r="DW103" s="66"/>
      <c r="DX103" s="66"/>
      <c r="DY103" s="66"/>
      <c r="DZ103" s="66"/>
      <c r="EA103" s="66"/>
      <c r="EB103" s="66"/>
      <c r="EC103" s="66"/>
      <c r="ED103" s="66"/>
      <c r="EE103" s="66"/>
      <c r="EF103" s="193"/>
      <c r="EG103" s="193"/>
      <c r="EH103" s="193"/>
      <c r="EI103" s="193"/>
      <c r="EJ103" s="193"/>
      <c r="EK103" s="193"/>
      <c r="EL103" s="193"/>
      <c r="EM103" s="193"/>
      <c r="EN103" s="193"/>
      <c r="EO103" s="193"/>
      <c r="EP103" s="193"/>
      <c r="EQ103" s="193"/>
      <c r="ER103" s="193"/>
      <c r="HB103" s="68"/>
      <c r="HC103" s="68"/>
      <c r="HD103" s="68"/>
      <c r="HE103" s="68"/>
      <c r="HF103" s="68"/>
      <c r="HG103" s="165"/>
      <c r="HH103" s="165"/>
      <c r="HI103" s="165"/>
      <c r="HJ103" s="165"/>
      <c r="HK103" s="165"/>
      <c r="HL103" s="165"/>
      <c r="HM103" s="165"/>
      <c r="HN103" s="165"/>
      <c r="HO103" s="165"/>
      <c r="HP103" s="165"/>
      <c r="HQ103" s="165"/>
      <c r="HR103" s="165"/>
      <c r="HS103" s="165"/>
      <c r="HT103" s="165"/>
      <c r="HU103" s="165"/>
      <c r="HV103" s="165"/>
      <c r="HW103" s="165"/>
      <c r="HX103" s="165"/>
      <c r="HY103" s="165"/>
      <c r="HZ103" s="165"/>
      <c r="IA103" s="165"/>
      <c r="IB103" s="165"/>
      <c r="IC103" s="165"/>
      <c r="ID103" s="165"/>
      <c r="IE103" s="165"/>
      <c r="IF103" s="165"/>
      <c r="IG103" s="165"/>
      <c r="IH103" s="165"/>
      <c r="II103" s="165"/>
      <c r="IJ103" s="165"/>
      <c r="IK103" s="165"/>
      <c r="IL103" s="165"/>
      <c r="IM103" s="165"/>
      <c r="IN103" s="165"/>
      <c r="IO103" s="165"/>
      <c r="IP103" s="165"/>
      <c r="IQ103" s="165"/>
      <c r="IR103" s="165"/>
      <c r="IS103" s="165"/>
      <c r="IT103" s="165"/>
      <c r="IU103" s="165"/>
      <c r="IV103" s="165"/>
      <c r="IW103" s="165"/>
      <c r="IX103" s="165"/>
      <c r="IY103" s="210"/>
    </row>
    <row r="104" spans="2:259" s="64" customFormat="1" hidden="1" x14ac:dyDescent="0.3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160"/>
      <c r="Q104" s="160"/>
      <c r="R104" s="160"/>
      <c r="S104" s="160"/>
      <c r="T104" s="160"/>
      <c r="U104" s="160"/>
      <c r="V104" s="160"/>
      <c r="W104" s="160"/>
      <c r="X104" s="160"/>
      <c r="Y104" s="161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7"/>
      <c r="BB104" s="370"/>
      <c r="BC104" s="370"/>
      <c r="BD104" s="370"/>
      <c r="BE104" s="370"/>
      <c r="BF104" s="370"/>
      <c r="BG104" s="200"/>
      <c r="BH104" s="200"/>
      <c r="BI104" s="67"/>
      <c r="BJ104" s="200"/>
      <c r="BK104" s="200"/>
      <c r="BL104" s="67"/>
      <c r="BM104" s="66"/>
      <c r="BN104" s="66"/>
      <c r="BO104" s="66"/>
      <c r="BP104" s="66"/>
      <c r="BQ104" s="66"/>
      <c r="BR104" s="66"/>
      <c r="BS104" s="66"/>
      <c r="BT104" s="66"/>
      <c r="BU104" s="66"/>
      <c r="BV104" s="66"/>
      <c r="BW104" s="66"/>
      <c r="BX104" s="66"/>
      <c r="BY104" s="66"/>
      <c r="BZ104" s="66"/>
      <c r="CA104" s="66"/>
      <c r="CB104" s="193"/>
      <c r="CC104" s="193"/>
      <c r="CD104" s="193"/>
      <c r="CE104" s="193"/>
      <c r="CF104" s="435"/>
      <c r="CG104" s="66"/>
      <c r="CH104" s="66"/>
      <c r="CI104" s="66" t="s">
        <v>132</v>
      </c>
      <c r="CJ104" s="146">
        <f>DATE($CJ$123,11,2)</f>
        <v>307</v>
      </c>
      <c r="CK104" s="146">
        <f>DATE($CJ$123+1,11,2)</f>
        <v>672</v>
      </c>
      <c r="CL104" s="146">
        <f>DATE($CJ$123+2,11,2)</f>
        <v>1037</v>
      </c>
      <c r="CM104" s="146">
        <f>DATE($CJ$123+3,11,2)</f>
        <v>1402</v>
      </c>
      <c r="CN104" s="146">
        <f>DATE($CJ$123+4,11,2)</f>
        <v>1768</v>
      </c>
      <c r="CO104" s="146">
        <f>DATE($CJ$123+5,11,2)</f>
        <v>2133</v>
      </c>
      <c r="CP104" s="146">
        <f>DATE($CJ$123+6,11,2)</f>
        <v>2498</v>
      </c>
      <c r="CQ104" s="146">
        <f>DATE($CJ$123+7,11,2)</f>
        <v>2863</v>
      </c>
      <c r="CR104" s="146">
        <f>DATE($CJ$123+8,11,2)</f>
        <v>3229</v>
      </c>
      <c r="CS104" s="146">
        <f>DATE($CJ$123+9,11,2)</f>
        <v>3594</v>
      </c>
      <c r="CT104" s="146">
        <f>DATE($CJ$123+10,11,2)</f>
        <v>3959</v>
      </c>
      <c r="CU104" s="146">
        <f>DATE($CJ$123+11,11,2)</f>
        <v>4324</v>
      </c>
      <c r="CV104" s="146">
        <f>DATE($CJ$123+12,11,2)</f>
        <v>4690</v>
      </c>
      <c r="CW104" s="146">
        <f>DATE($CJ$123+13,11,2)</f>
        <v>5055</v>
      </c>
      <c r="CX104" s="146">
        <f>DATE($CJ$123+14,11,2)</f>
        <v>5420</v>
      </c>
      <c r="CY104" s="146">
        <f>DATE($CJ$123+15,11,2)</f>
        <v>5785</v>
      </c>
      <c r="CZ104" s="66"/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/>
      <c r="DL104" s="66"/>
      <c r="DM104" s="66"/>
      <c r="DN104" s="66"/>
      <c r="DO104" s="66"/>
      <c r="DP104" s="66"/>
      <c r="DQ104" s="66"/>
      <c r="DR104" s="66"/>
      <c r="DS104" s="66"/>
      <c r="DT104" s="66"/>
      <c r="DU104" s="66"/>
      <c r="DV104" s="66"/>
      <c r="DW104" s="66"/>
      <c r="DX104" s="66"/>
      <c r="DY104" s="66"/>
      <c r="DZ104" s="66"/>
      <c r="EA104" s="66"/>
      <c r="EB104" s="66"/>
      <c r="EC104" s="66"/>
      <c r="ED104" s="66"/>
      <c r="EE104" s="66"/>
      <c r="EF104" s="193"/>
      <c r="EG104" s="193"/>
      <c r="EH104" s="193"/>
      <c r="EI104" s="193"/>
      <c r="EJ104" s="193"/>
      <c r="EK104" s="193"/>
      <c r="EL104" s="193"/>
      <c r="EM104" s="193"/>
      <c r="EN104" s="193"/>
      <c r="EO104" s="193"/>
      <c r="EP104" s="193"/>
      <c r="EQ104" s="193"/>
      <c r="ER104" s="193"/>
      <c r="HB104" s="68"/>
      <c r="HC104" s="373"/>
      <c r="HD104" s="373"/>
      <c r="HE104" s="373"/>
      <c r="HF104" s="373"/>
      <c r="HG104" s="373"/>
      <c r="HH104" s="373"/>
      <c r="HI104" s="373"/>
      <c r="HJ104" s="373"/>
      <c r="HK104" s="373"/>
      <c r="HL104" s="373"/>
      <c r="HM104" s="373"/>
      <c r="HN104" s="373"/>
      <c r="HO104" s="373"/>
      <c r="HP104" s="373"/>
      <c r="HQ104" s="373"/>
      <c r="HR104" s="373"/>
      <c r="HS104" s="373"/>
      <c r="HT104" s="373"/>
      <c r="HU104" s="373"/>
      <c r="HV104" s="373"/>
      <c r="HW104" s="373"/>
      <c r="HX104" s="373"/>
      <c r="HY104" s="373"/>
      <c r="HZ104" s="373"/>
      <c r="IA104" s="68"/>
      <c r="IB104" s="68"/>
      <c r="IC104" s="68"/>
      <c r="ID104" s="374"/>
      <c r="IE104" s="374"/>
      <c r="IF104" s="374"/>
      <c r="IG104" s="374"/>
      <c r="IH104" s="374"/>
      <c r="II104" s="374"/>
      <c r="IJ104" s="374"/>
      <c r="IK104" s="374"/>
      <c r="IL104" s="374"/>
      <c r="IM104" s="374"/>
      <c r="IN104" s="374"/>
      <c r="IO104" s="374"/>
      <c r="IP104" s="374"/>
      <c r="IQ104" s="374"/>
      <c r="IR104" s="374"/>
      <c r="IS104" s="374"/>
      <c r="IT104" s="374"/>
      <c r="IU104" s="374"/>
      <c r="IV104" s="374"/>
      <c r="IW104" s="374"/>
      <c r="IX104" s="374"/>
      <c r="IY104" s="68"/>
    </row>
    <row r="105" spans="2:259" s="64" customFormat="1" ht="15.6" hidden="1" x14ac:dyDescent="0.3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  <c r="AV105" s="68"/>
      <c r="AW105" s="68"/>
      <c r="AX105" s="68"/>
      <c r="AY105" s="68"/>
      <c r="AZ105" s="68"/>
      <c r="BA105" s="67"/>
      <c r="BB105" s="370"/>
      <c r="BC105" s="370"/>
      <c r="BD105" s="370"/>
      <c r="BE105" s="370"/>
      <c r="BF105" s="370"/>
      <c r="BG105" s="200"/>
      <c r="BH105" s="200"/>
      <c r="BI105" s="67"/>
      <c r="BJ105" s="200"/>
      <c r="BK105" s="200"/>
      <c r="BL105" s="67"/>
      <c r="BM105" s="66"/>
      <c r="BN105" s="66"/>
      <c r="BO105" s="66"/>
      <c r="BP105" s="66"/>
      <c r="BQ105" s="66"/>
      <c r="BR105" s="66"/>
      <c r="BS105" s="66"/>
      <c r="BT105" s="66"/>
      <c r="BU105" s="66"/>
      <c r="BV105" s="66"/>
      <c r="BW105" s="66"/>
      <c r="BX105" s="66"/>
      <c r="BY105" s="66"/>
      <c r="BZ105" s="66"/>
      <c r="CA105" s="66"/>
      <c r="CB105" s="193"/>
      <c r="CC105" s="193"/>
      <c r="CD105" s="193"/>
      <c r="CE105" s="193"/>
      <c r="CF105" s="435"/>
      <c r="CG105" s="66"/>
      <c r="CH105" s="66"/>
      <c r="CI105" s="66" t="s">
        <v>133</v>
      </c>
      <c r="CJ105" s="146">
        <f>DATE($CJ$123,11,15)</f>
        <v>320</v>
      </c>
      <c r="CK105" s="146">
        <f>DATE($CJ$123+1,11,15)</f>
        <v>685</v>
      </c>
      <c r="CL105" s="146">
        <f>DATE($CJ$123+2,11,15)</f>
        <v>1050</v>
      </c>
      <c r="CM105" s="146">
        <f>DATE($CJ$123+3,11,15)</f>
        <v>1415</v>
      </c>
      <c r="CN105" s="146">
        <f>DATE($CJ$123+4,11,15)</f>
        <v>1781</v>
      </c>
      <c r="CO105" s="146">
        <f>DATE($CJ$123+5,11,15)</f>
        <v>2146</v>
      </c>
      <c r="CP105" s="146">
        <f>DATE($CJ$123+6,11,15)</f>
        <v>2511</v>
      </c>
      <c r="CQ105" s="146">
        <f>DATE($CJ$123+7,11,15)</f>
        <v>2876</v>
      </c>
      <c r="CR105" s="146">
        <f>DATE($CJ$123+8,11,15)</f>
        <v>3242</v>
      </c>
      <c r="CS105" s="146">
        <f>DATE($CJ$123+9,11,15)</f>
        <v>3607</v>
      </c>
      <c r="CT105" s="146">
        <f>DATE($CJ$123+10,11,15)</f>
        <v>3972</v>
      </c>
      <c r="CU105" s="146">
        <f>DATE($CJ$123+11,11,15)</f>
        <v>4337</v>
      </c>
      <c r="CV105" s="146">
        <f>DATE($CJ$123+12,11,15)</f>
        <v>4703</v>
      </c>
      <c r="CW105" s="146">
        <f>DATE($CJ$123+13,11,15)</f>
        <v>5068</v>
      </c>
      <c r="CX105" s="146">
        <f>DATE($CJ$123+14,11,15)</f>
        <v>5433</v>
      </c>
      <c r="CY105" s="146">
        <f>DATE($CJ$123+15,11,15)</f>
        <v>5798</v>
      </c>
      <c r="CZ105" s="66"/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/>
      <c r="DL105" s="66"/>
      <c r="DM105" s="66"/>
      <c r="DN105" s="66"/>
      <c r="DO105" s="66"/>
      <c r="DP105" s="66"/>
      <c r="DQ105" s="66"/>
      <c r="DR105" s="66"/>
      <c r="DS105" s="66"/>
      <c r="DT105" s="66"/>
      <c r="DU105" s="66"/>
      <c r="DV105" s="66"/>
      <c r="DW105" s="66"/>
      <c r="DX105" s="66"/>
      <c r="DY105" s="66"/>
      <c r="DZ105" s="66"/>
      <c r="EA105" s="66"/>
      <c r="EB105" s="66"/>
      <c r="EC105" s="66"/>
      <c r="ED105" s="66"/>
      <c r="EE105" s="66"/>
      <c r="EF105" s="193"/>
      <c r="EG105" s="193"/>
      <c r="EH105" s="193"/>
      <c r="EI105" s="193"/>
      <c r="EJ105" s="193"/>
      <c r="EK105" s="193"/>
      <c r="EL105" s="193"/>
      <c r="EM105" s="193"/>
      <c r="EN105" s="193"/>
      <c r="EO105" s="193"/>
      <c r="EP105" s="193"/>
      <c r="EQ105" s="193"/>
      <c r="ER105" s="193"/>
      <c r="HB105" s="68"/>
      <c r="HC105" s="68"/>
      <c r="HD105" s="375"/>
      <c r="HE105" s="375"/>
      <c r="HF105" s="375"/>
      <c r="HG105" s="375"/>
      <c r="HH105" s="375"/>
      <c r="HI105" s="375"/>
      <c r="HJ105" s="375"/>
      <c r="HK105" s="375"/>
      <c r="HL105" s="375"/>
      <c r="HM105" s="375"/>
      <c r="HN105" s="375"/>
      <c r="HO105" s="375"/>
      <c r="HP105" s="375"/>
      <c r="HQ105" s="375"/>
      <c r="HR105" s="375"/>
      <c r="HS105" s="375"/>
      <c r="HT105" s="375"/>
      <c r="HU105" s="375"/>
      <c r="HV105" s="375"/>
      <c r="HW105" s="375"/>
      <c r="HX105" s="375"/>
      <c r="HY105" s="375"/>
      <c r="HZ105" s="211"/>
      <c r="IA105" s="68"/>
      <c r="IB105" s="68"/>
      <c r="IC105" s="68"/>
      <c r="ID105" s="375"/>
      <c r="IE105" s="375"/>
      <c r="IF105" s="375"/>
      <c r="IG105" s="375"/>
      <c r="IH105" s="375"/>
      <c r="II105" s="375"/>
      <c r="IJ105" s="375"/>
      <c r="IK105" s="375"/>
      <c r="IL105" s="375"/>
      <c r="IM105" s="375"/>
      <c r="IN105" s="375"/>
      <c r="IO105" s="375"/>
      <c r="IP105" s="375"/>
      <c r="IQ105" s="375"/>
      <c r="IR105" s="375"/>
      <c r="IS105" s="375"/>
      <c r="IT105" s="375"/>
      <c r="IU105" s="375"/>
      <c r="IV105" s="375"/>
      <c r="IW105" s="375"/>
      <c r="IX105" s="211"/>
      <c r="IY105" s="68"/>
    </row>
    <row r="106" spans="2:259" s="64" customFormat="1" ht="15.6" hidden="1" x14ac:dyDescent="0.3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  <c r="AV106" s="68"/>
      <c r="AW106" s="68"/>
      <c r="AX106" s="68"/>
      <c r="AY106" s="68"/>
      <c r="AZ106" s="68"/>
      <c r="BA106" s="67"/>
      <c r="BB106" s="154"/>
      <c r="BC106" s="154"/>
      <c r="BD106" s="67"/>
      <c r="BE106" s="67"/>
      <c r="BF106" s="67"/>
      <c r="BG106" s="67"/>
      <c r="BH106" s="67"/>
      <c r="BI106" s="67"/>
      <c r="BJ106" s="67"/>
      <c r="BK106" s="67"/>
      <c r="BL106" s="67"/>
      <c r="BM106" s="66"/>
      <c r="BN106" s="66"/>
      <c r="BO106" s="66"/>
      <c r="BP106" s="66"/>
      <c r="BQ106" s="66"/>
      <c r="BR106" s="66"/>
      <c r="BS106" s="66"/>
      <c r="BT106" s="66"/>
      <c r="BU106" s="66"/>
      <c r="BV106" s="66"/>
      <c r="BW106" s="66"/>
      <c r="BX106" s="66"/>
      <c r="BY106" s="66"/>
      <c r="BZ106" s="66"/>
      <c r="CA106" s="66"/>
      <c r="CB106" s="201"/>
      <c r="CC106" s="193"/>
      <c r="CD106" s="193"/>
      <c r="CE106" s="193"/>
      <c r="CF106" s="435"/>
      <c r="CG106" s="66"/>
      <c r="CH106" s="66"/>
      <c r="CI106" s="66" t="s">
        <v>134</v>
      </c>
      <c r="CJ106" s="146">
        <f>DATE($CJ$123,12,25)</f>
        <v>360</v>
      </c>
      <c r="CK106" s="146">
        <f>DATE($CJ$123+1,12,25)</f>
        <v>725</v>
      </c>
      <c r="CL106" s="146">
        <f>DATE($CJ$123+2,12,25)</f>
        <v>1090</v>
      </c>
      <c r="CM106" s="146">
        <f>DATE($CJ$123+3,12,25)</f>
        <v>1455</v>
      </c>
      <c r="CN106" s="146">
        <f>DATE($CJ$123+4,12,25)</f>
        <v>1821</v>
      </c>
      <c r="CO106" s="146">
        <f>DATE($CJ$123+5,12,25)</f>
        <v>2186</v>
      </c>
      <c r="CP106" s="146">
        <f>DATE($CJ$123+6,12,25)</f>
        <v>2551</v>
      </c>
      <c r="CQ106" s="146">
        <f>DATE($CJ$123+7,12,25)</f>
        <v>2916</v>
      </c>
      <c r="CR106" s="146">
        <f>DATE($CJ$123+8,12,25)</f>
        <v>3282</v>
      </c>
      <c r="CS106" s="146">
        <f>DATE($CJ$123+9,12,25)</f>
        <v>3647</v>
      </c>
      <c r="CT106" s="146">
        <f>DATE($CJ$123+10,12,25)</f>
        <v>4012</v>
      </c>
      <c r="CU106" s="146">
        <f>DATE($CJ$123+11,12,25)</f>
        <v>4377</v>
      </c>
      <c r="CV106" s="146">
        <f>DATE($CJ$123+12,12,25)</f>
        <v>4743</v>
      </c>
      <c r="CW106" s="146">
        <f>DATE($CJ$123+13,12,25)</f>
        <v>5108</v>
      </c>
      <c r="CX106" s="146">
        <f>DATE($CJ$123+14,12,25)</f>
        <v>5473</v>
      </c>
      <c r="CY106" s="146">
        <f>DATE($CJ$123+15,12,25)</f>
        <v>5838</v>
      </c>
      <c r="CZ106" s="66"/>
      <c r="DA106" s="66"/>
      <c r="DB106" s="66"/>
      <c r="DC106" s="66"/>
      <c r="DD106" s="66"/>
      <c r="DE106" s="66"/>
      <c r="DF106" s="66"/>
      <c r="DG106" s="66"/>
      <c r="DH106" s="66"/>
      <c r="DI106" s="66"/>
      <c r="DJ106" s="66"/>
      <c r="DK106" s="66"/>
      <c r="DL106" s="66"/>
      <c r="DM106" s="66"/>
      <c r="DN106" s="66"/>
      <c r="DO106" s="66"/>
      <c r="DP106" s="66"/>
      <c r="DQ106" s="66"/>
      <c r="DR106" s="66"/>
      <c r="DS106" s="66"/>
      <c r="DT106" s="66"/>
      <c r="DU106" s="66"/>
      <c r="DV106" s="66"/>
      <c r="DW106" s="66"/>
      <c r="DX106" s="66"/>
      <c r="DY106" s="66"/>
      <c r="DZ106" s="66"/>
      <c r="EA106" s="66"/>
      <c r="EB106" s="66"/>
      <c r="EC106" s="66"/>
      <c r="ED106" s="66"/>
      <c r="EE106" s="66"/>
      <c r="EF106" s="193"/>
      <c r="EG106" s="193"/>
      <c r="EH106" s="193"/>
      <c r="EI106" s="193"/>
      <c r="EJ106" s="193"/>
      <c r="EK106" s="193"/>
      <c r="EL106" s="193"/>
      <c r="EM106" s="193"/>
      <c r="EN106" s="193"/>
      <c r="EO106" s="193"/>
      <c r="EP106" s="193"/>
      <c r="EQ106" s="193"/>
      <c r="ER106" s="193"/>
      <c r="HB106" s="68"/>
      <c r="HC106" s="68"/>
      <c r="HD106" s="68"/>
      <c r="HE106" s="68"/>
      <c r="HF106" s="68"/>
      <c r="HG106" s="68"/>
      <c r="HH106" s="68"/>
      <c r="HI106" s="68"/>
      <c r="HJ106" s="68"/>
      <c r="HK106" s="68"/>
      <c r="HL106" s="68"/>
      <c r="HM106" s="68"/>
      <c r="HN106" s="68"/>
      <c r="HO106" s="68"/>
      <c r="HP106" s="68"/>
      <c r="HQ106" s="68"/>
      <c r="HR106" s="68"/>
      <c r="HS106" s="68"/>
      <c r="HT106" s="68"/>
      <c r="HU106" s="68"/>
      <c r="HV106" s="68"/>
      <c r="HW106" s="68"/>
      <c r="HX106" s="68"/>
      <c r="HY106" s="68"/>
      <c r="HZ106" s="68"/>
      <c r="IA106" s="68"/>
      <c r="IB106" s="68"/>
      <c r="IC106" s="68"/>
      <c r="ID106" s="211"/>
      <c r="IE106" s="211"/>
      <c r="IF106" s="211"/>
      <c r="IG106" s="211"/>
      <c r="IH106" s="211"/>
      <c r="II106" s="211"/>
      <c r="IJ106" s="211"/>
      <c r="IK106" s="211"/>
      <c r="IL106" s="211"/>
      <c r="IM106" s="211"/>
      <c r="IN106" s="211"/>
      <c r="IO106" s="211"/>
      <c r="IP106" s="211"/>
      <c r="IQ106" s="211"/>
      <c r="IR106" s="211"/>
      <c r="IS106" s="211"/>
      <c r="IT106" s="211"/>
      <c r="IU106" s="211"/>
      <c r="IV106" s="211"/>
      <c r="IW106" s="211"/>
      <c r="IX106" s="211"/>
      <c r="IY106" s="68"/>
    </row>
    <row r="107" spans="2:259" s="64" customFormat="1" ht="15" hidden="1" customHeight="1" x14ac:dyDescent="0.3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  <c r="AV107" s="68"/>
      <c r="AW107" s="68"/>
      <c r="AX107" s="68"/>
      <c r="AY107" s="68"/>
      <c r="AZ107" s="68"/>
      <c r="BA107" s="67"/>
      <c r="BB107" s="370" t="s">
        <v>135</v>
      </c>
      <c r="BC107" s="370"/>
      <c r="BD107" s="370"/>
      <c r="BE107" s="370"/>
      <c r="BF107" s="370"/>
      <c r="BG107" s="200"/>
      <c r="BH107" s="200"/>
      <c r="BI107" s="199"/>
      <c r="BJ107" s="67"/>
      <c r="BK107" s="67"/>
      <c r="BL107" s="67"/>
      <c r="BM107" s="66"/>
      <c r="BN107" s="66"/>
      <c r="BO107" s="66"/>
      <c r="BP107" s="66"/>
      <c r="BQ107" s="66"/>
      <c r="BR107" s="66"/>
      <c r="BS107" s="66"/>
      <c r="BT107" s="66"/>
      <c r="BU107" s="66"/>
      <c r="BV107" s="66"/>
      <c r="BW107" s="66"/>
      <c r="BX107" s="66"/>
      <c r="BY107" s="66"/>
      <c r="BZ107" s="66"/>
      <c r="CA107" s="66"/>
      <c r="CB107" s="193"/>
      <c r="CC107" s="193"/>
      <c r="CD107" s="193"/>
      <c r="CE107" s="193"/>
      <c r="CF107" s="435"/>
      <c r="CG107" s="80" t="s">
        <v>136</v>
      </c>
      <c r="CH107" s="80" t="s">
        <v>137</v>
      </c>
      <c r="CI107" s="80" t="s">
        <v>73</v>
      </c>
      <c r="CJ107" s="382" t="s">
        <v>138</v>
      </c>
      <c r="CK107" s="382"/>
      <c r="CL107" s="382"/>
      <c r="CM107" s="382"/>
      <c r="CN107" s="382"/>
      <c r="CO107" s="382"/>
      <c r="CP107" s="382"/>
      <c r="CQ107" s="382"/>
      <c r="CR107" s="382"/>
      <c r="CS107" s="382"/>
      <c r="CT107" s="382"/>
      <c r="CU107" s="382"/>
      <c r="CV107" s="382"/>
      <c r="CW107" s="382"/>
      <c r="CX107" s="382"/>
      <c r="CY107" s="382"/>
      <c r="CZ107" s="66"/>
      <c r="DA107" s="66"/>
      <c r="DB107" s="66"/>
      <c r="DC107" s="66"/>
      <c r="DD107" s="66"/>
      <c r="DE107" s="66"/>
      <c r="DF107" s="66"/>
      <c r="DG107" s="66"/>
      <c r="DH107" s="66"/>
      <c r="DI107" s="66"/>
      <c r="DJ107" s="66"/>
      <c r="DK107" s="66"/>
      <c r="DL107" s="66"/>
      <c r="DM107" s="66"/>
      <c r="DN107" s="66"/>
      <c r="DO107" s="66"/>
      <c r="DP107" s="66"/>
      <c r="DQ107" s="66"/>
      <c r="DR107" s="66"/>
      <c r="DS107" s="66"/>
      <c r="DT107" s="66"/>
      <c r="DU107" s="66"/>
      <c r="DV107" s="66"/>
      <c r="DW107" s="66"/>
      <c r="DX107" s="66"/>
      <c r="DY107" s="66"/>
      <c r="DZ107" s="66"/>
      <c r="EA107" s="66"/>
      <c r="EB107" s="66"/>
      <c r="EC107" s="66"/>
      <c r="ED107" s="66"/>
      <c r="EE107" s="66"/>
      <c r="EF107" s="193"/>
      <c r="EG107" s="193"/>
      <c r="EH107" s="193"/>
      <c r="EI107" s="193"/>
      <c r="EJ107" s="193"/>
      <c r="EK107" s="193"/>
      <c r="EL107" s="193"/>
      <c r="EM107" s="193"/>
      <c r="EN107" s="193"/>
      <c r="EO107" s="193"/>
      <c r="EP107" s="193"/>
      <c r="EQ107" s="193"/>
      <c r="ER107" s="193"/>
      <c r="HB107" s="68"/>
      <c r="HC107" s="68"/>
      <c r="HD107" s="68"/>
      <c r="HE107" s="68"/>
      <c r="HF107" s="68"/>
      <c r="HG107" s="68"/>
      <c r="HH107" s="68"/>
      <c r="HI107" s="68"/>
      <c r="HJ107" s="68"/>
      <c r="HK107" s="68"/>
      <c r="HL107" s="212"/>
      <c r="HM107" s="213"/>
      <c r="HN107" s="213"/>
      <c r="HO107" s="213"/>
      <c r="HP107" s="212"/>
      <c r="HQ107" s="212"/>
      <c r="HR107" s="214"/>
      <c r="HS107" s="68"/>
      <c r="HT107" s="68"/>
      <c r="HU107" s="68"/>
      <c r="HV107" s="68"/>
      <c r="HW107" s="68"/>
      <c r="HX107" s="68"/>
      <c r="HY107" s="68"/>
      <c r="HZ107" s="68"/>
      <c r="IA107" s="68"/>
      <c r="IB107" s="68"/>
      <c r="IC107" s="68"/>
      <c r="ID107" s="211"/>
      <c r="IE107" s="211"/>
      <c r="IF107" s="211"/>
      <c r="IG107" s="211"/>
      <c r="IH107" s="211"/>
      <c r="II107" s="211"/>
      <c r="IJ107" s="211"/>
      <c r="IK107" s="211"/>
      <c r="IL107" s="211"/>
      <c r="IM107" s="211"/>
      <c r="IN107" s="211"/>
      <c r="IO107" s="211"/>
      <c r="IP107" s="211"/>
      <c r="IQ107" s="211"/>
      <c r="IR107" s="211"/>
      <c r="IS107" s="211"/>
      <c r="IT107" s="211"/>
      <c r="IU107" s="211"/>
      <c r="IV107" s="211"/>
      <c r="IW107" s="211"/>
      <c r="IX107" s="211"/>
      <c r="IY107" s="68"/>
    </row>
    <row r="108" spans="2:259" s="64" customFormat="1" hidden="1" x14ac:dyDescent="0.3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  <c r="AV108" s="68"/>
      <c r="AW108" s="68"/>
      <c r="AX108" s="68"/>
      <c r="AY108" s="68"/>
      <c r="AZ108" s="68"/>
      <c r="BA108" s="67"/>
      <c r="BB108" s="370"/>
      <c r="BC108" s="370"/>
      <c r="BD108" s="370"/>
      <c r="BE108" s="370"/>
      <c r="BF108" s="370"/>
      <c r="BG108" s="200"/>
      <c r="BH108" s="200"/>
      <c r="BI108" s="199"/>
      <c r="BJ108" s="67"/>
      <c r="BK108" s="67"/>
      <c r="BL108" s="67"/>
      <c r="BM108" s="66"/>
      <c r="BN108" s="66"/>
      <c r="BO108" s="66"/>
      <c r="BP108" s="66"/>
      <c r="BQ108" s="66"/>
      <c r="BR108" s="66"/>
      <c r="BS108" s="66"/>
      <c r="BT108" s="66"/>
      <c r="BU108" s="66"/>
      <c r="BV108" s="66"/>
      <c r="BW108" s="66"/>
      <c r="BX108" s="66"/>
      <c r="BY108" s="66"/>
      <c r="BZ108" s="66"/>
      <c r="CA108" s="66"/>
      <c r="CB108" s="201"/>
      <c r="CC108" s="193"/>
      <c r="CD108" s="193"/>
      <c r="CE108" s="193"/>
      <c r="CF108" s="435"/>
      <c r="CG108" s="164" t="str">
        <f>IF(OR(CG95=0,CH95=0,CI95=0),"",IF(DATE(CI95,CH95,CG95)&lt;=DATE(AV10,AT10,10),DATE(AV10,AT10,11),IF(AND(DATE(CI95,CH95,CG95)&gt;DATE(AV10,AT10,10),DATE(CI95,CH95,CG95)&lt;=DATE(CI95,CH95,20)),DATE(CI95,CH95,21),IF(AND(DATE(CI95,CH95,CG95)&gt;DATE(AV10,AT10,20),DATE(CI95,CH95,CG95)&lt;=DATE(CI95,CH95,29),CH95=2),DATE(CI95,CH95+1,1),IF(AND(DATE(CI95,CH95,CG95)&gt;DATE(AV10,AT10,20),DATE(CI95,CH95,CG95)&lt;=DATE(CI95,CH95,30),OR(CH95=4,CH95=6,CH95=9,CH95=11)),DATE(CI95,CH95+1,1),IF(AND(DATE(CI95,CH95,CG95)&gt;DATE(AV10,AT10,20),DATE(CI95,CH95,CG95)&lt;=DATE(CI95,CH95,31),OR(CH95=1,CH95=3,CH95=5,CH95=7,CH95=8,CH95=10,CH95=12)),DATE(CI95,CH95+1,1)))))))</f>
        <v/>
      </c>
      <c r="CH108" s="80" t="str">
        <f>TEXT(CG108,"DDDD")</f>
        <v/>
      </c>
      <c r="CI108" s="147" t="str">
        <f t="shared" ref="CI108:CI115" si="29">IF(AND(OR(CH108="Segunda-Feira",CH108="Terça-Feira",CH108="Quarta-Feira",CH108="Quinta-feira",CH108="Sexta-Feira"),CJ108="não",CK108="Não",CL108="não",CL108="não",CM108="não",CN108="não",CO108="não",CP108="não",CQ108="não",CR108="não",CS108="não",CT108="não",CU108="não",CV108="não",CW108="não",CX108="não",CY108="Não"),"Dia útil","Final de Semana/Feriado")</f>
        <v>Final de Semana/Feriado</v>
      </c>
      <c r="CJ108" s="66" t="str">
        <f t="shared" ref="CJ108:CJ115" si="30">IF(OR(CG108=$CJ$96,CG108=$CJ$97,CG108=$CJ$98,CG108=$CJ$99,CG108=$CJ$100,CG108=$CJ$101,CG108=$CJ$102,CG108=$CJ$103,CG108=$CJ$104,CG108=$CJ$105,CG108=$CJ$106),"Sim","Não")</f>
        <v>Não</v>
      </c>
      <c r="CK108" s="66" t="str">
        <f t="shared" ref="CK108:CK115" si="31">IF(OR(CG108=$CK$96,CG108=$CK$97,CG108=$CK$98,CG108=$CK$99,CG108=$CK$100,CG108=$CK$101,CG108=$CK$102,CG108=$CK$103,CG108=$CK$104,CG108=$CK$105,CG108=$CK$106),"Sim","Não")</f>
        <v>Não</v>
      </c>
      <c r="CL108" s="66" t="str">
        <f t="shared" ref="CL108:CL115" si="32">IF(OR(CG108=$CL$96,CG108=$CL$97,CG108=$CL$98,CG108=$CL$99,CG108=$CL$100,CG108=$CL$101,CG108=$CL$102,CG108=$CL$103,CG108=$CL$104,CG108=$CL$105,CG108=$CL$106),"Sim","Não")</f>
        <v>Não</v>
      </c>
      <c r="CM108" s="66" t="str">
        <f t="shared" ref="CM108:CM115" si="33">IF(OR(CG108=$CM$96,CG108=$CM$97,CG108=$CM$98,CG108=$CM$99,CG108=$CM$100,CG108=$CM$101,CG108=$CM$102,CG108=$CM$103,CG108=$CM$104,CG108=$CM$105,CG108=$CM$106),"Sim","Não")</f>
        <v>Não</v>
      </c>
      <c r="CN108" s="66" t="str">
        <f t="shared" ref="CN108:CN115" si="34">IF(OR(CG108=$CN$96,CG108=$CN$97,CG108=$CN$98,CG108=$CN$99,CG108=$CN$100,CG108=$CN$101,CG108=$CN$102,CG108=$CN$103,CG108=$CN$104,CG108=$CN$105,CG108=$CN$106),"Sim","Não")</f>
        <v>Não</v>
      </c>
      <c r="CO108" s="66" t="str">
        <f t="shared" ref="CO108:CO115" si="35">IF(OR(CG108=$CO$96,CG108=$CO$97,CG108=$CO$98,CG108=$CO$99,CG108=$CO$100,CG108=$CO$101,CG108=$CO$102,CG108=$CO$103,CG108=$CO$104,CG108=$CO$105,CG108=$CO$106),"Sim","Não")</f>
        <v>Não</v>
      </c>
      <c r="CP108" s="66" t="str">
        <f t="shared" ref="CP108:CP115" si="36">IF(OR(CG108=$CP$96,CG108=$CP$97,CG108=$CP$98,CG108=$CP$99,CG108=$CP$100,CG108=$CP$101,CG108=$CP$102,CG108=$CP$103,CG108=$CP$104,CG108=$CP$105,CG108=$CP$106),"Sim","Não")</f>
        <v>Não</v>
      </c>
      <c r="CQ108" s="66" t="str">
        <f t="shared" ref="CQ108:CQ115" si="37">IF(OR(CG108=$CQ$96,CG108=$CQ$97,CG108=$CQ$98,CG108=$CQ$99,CG108=$CQ$100,CG108=$CQ$101,CG108=$CQ$102,CG108=$CQ$103,CG108=$CQ$104,CG108=$CQ$105,CG108=$CQ$106),"Sim","Não")</f>
        <v>Não</v>
      </c>
      <c r="CR108" s="66" t="str">
        <f t="shared" ref="CR108:CR115" si="38">IF(OR(CG108=$CR$96,CG108=$CR$97,CG108=$CR$98,CG108=$CR$99,CG108=$CR$100,CG108=$CR$101,CG108=$CR$102,CG108=$CR$103,CG108=$CR$104,CG108=$CR$105,CG108=$CR$106),"Sim","Não")</f>
        <v>Não</v>
      </c>
      <c r="CS108" s="66" t="str">
        <f t="shared" ref="CS108:CS115" si="39">IF(OR(CG108=$CS$96,CG108=$CS$97,CG108=$CS$98,CG108=$CS$99,CG108=$CS$100,CG108=$CS$101,CG108=$CS$102,CG108=$CS$103,CG108=$CS$104,CG108=$CS$105,CG108=$CS$106),"Sim","Não")</f>
        <v>Não</v>
      </c>
      <c r="CT108" s="66" t="str">
        <f t="shared" ref="CT108:CT115" si="40">IF(OR(CG108=$CT$96,CG108=$CT$97,CG108=$CT$98,CG108=$CT$99,CG108=$CT$100,CG108=$CT$101,CG108=$CT$102,CG108=$CT$103,CG108=$CT$104,CG108=$CT$105,CG108=$CT$106),"Sim","Não")</f>
        <v>Não</v>
      </c>
      <c r="CU108" s="66" t="str">
        <f t="shared" ref="CU108:CU115" si="41">IF(OR(CG108=$CU$96,CG108=$CU$97,CG108=$CU$98,CG108=$CU$99,CG108=$CU$100,CG108=$CU$101,CG108=$CU$102,CG108=$CU$103,CG108=$CU$104,CG108=$CU$105,CG108=$CU$106),"Sim","Não")</f>
        <v>Não</v>
      </c>
      <c r="CV108" s="66" t="str">
        <f t="shared" ref="CV108:CV115" si="42">IF(OR(CG108=$CV$96,CG108=$CV$97,CG108=$CV$98,CG108=$CV$99,CG108=$CV$100,CG108=$CV$101,CG108=$CV$102,CG108=$CV$103,CG108=$CV$104,CG108=$CV$105,CG108=$CV$106),"Sim","Não")</f>
        <v>Não</v>
      </c>
      <c r="CW108" s="66" t="str">
        <f t="shared" ref="CW108:CW115" si="43">IF(OR(CG108=$CW$96,CG108=$CW$97,CG108=$CW$98,CG108=$CW$99,CG108=$CW$100,CG108=$CW$101,CG108=$CW$102,CG108=$CW$103,CG108=$CW$104,CG108=$CW$105,CG108=$CW$106),"Sim","Não")</f>
        <v>Não</v>
      </c>
      <c r="CX108" s="66" t="str">
        <f t="shared" ref="CX108:CX115" si="44">IF(OR(CG108=$CX$96,CG108=$CX$97,CG108=$CX$98,CG108=$CX$99,CG108=$CX$100,CG108=$CX$101,CG108=$CX$102,CG108=$CX$103,CG108=$CX$104,CG108=$CX$105,CG108=$CX$106),"Sim","Não")</f>
        <v>Não</v>
      </c>
      <c r="CY108" s="66" t="str">
        <f t="shared" ref="CY108:CY115" si="45">IF(OR(CG108=$CY$96,CG108=$CY$97,CG108=$CY$98,CG108=$CY$99,CG108=$CY$100,CG108=$CY$101,CG108=$CY$102,CG108=$CY$103,CG108=$CY$104,CG108=$CY$105,CG108=$CY$106),"Sim","Não")</f>
        <v>Não</v>
      </c>
      <c r="CZ108" s="66"/>
      <c r="DA108" s="66"/>
      <c r="DB108" s="66"/>
      <c r="DC108" s="66"/>
      <c r="DD108" s="66"/>
      <c r="DE108" s="66"/>
      <c r="DF108" s="66"/>
      <c r="DG108" s="66"/>
      <c r="DH108" s="66"/>
      <c r="DI108" s="66"/>
      <c r="DJ108" s="66"/>
      <c r="DK108" s="66"/>
      <c r="DL108" s="66"/>
      <c r="DM108" s="66"/>
      <c r="DN108" s="66"/>
      <c r="DO108" s="66"/>
      <c r="DP108" s="66"/>
      <c r="DQ108" s="66"/>
      <c r="DR108" s="66"/>
      <c r="DS108" s="66"/>
      <c r="DT108" s="66"/>
      <c r="DU108" s="66"/>
      <c r="DV108" s="66"/>
      <c r="DW108" s="66"/>
      <c r="DX108" s="66"/>
      <c r="DY108" s="66"/>
      <c r="DZ108" s="66"/>
      <c r="EA108" s="66"/>
      <c r="EB108" s="66"/>
      <c r="EC108" s="66"/>
      <c r="ED108" s="66"/>
      <c r="EE108" s="66"/>
      <c r="EF108" s="193"/>
      <c r="EG108" s="193"/>
      <c r="EH108" s="193"/>
      <c r="EI108" s="193"/>
      <c r="EJ108" s="193"/>
      <c r="EK108" s="193"/>
      <c r="EL108" s="193"/>
      <c r="EM108" s="193"/>
      <c r="EN108" s="193"/>
      <c r="EO108" s="193"/>
      <c r="EP108" s="193"/>
      <c r="EQ108" s="193"/>
      <c r="ER108" s="193"/>
      <c r="HB108" s="68"/>
      <c r="HC108" s="68"/>
      <c r="HD108" s="68"/>
      <c r="HE108" s="68"/>
      <c r="HF108" s="68"/>
      <c r="HG108" s="68"/>
      <c r="HH108" s="68"/>
      <c r="HI108" s="68"/>
      <c r="HJ108" s="68"/>
      <c r="HK108" s="383"/>
      <c r="HL108" s="383"/>
      <c r="HM108" s="383"/>
      <c r="HN108" s="383"/>
      <c r="HO108" s="383"/>
      <c r="HP108" s="383"/>
      <c r="HQ108" s="383"/>
      <c r="HR108" s="384"/>
      <c r="HS108" s="384"/>
      <c r="HT108" s="384"/>
      <c r="HU108" s="384"/>
      <c r="HV108" s="384"/>
      <c r="HW108" s="384"/>
      <c r="HX108" s="384"/>
      <c r="HY108" s="68"/>
      <c r="HZ108" s="68"/>
      <c r="IA108" s="68"/>
      <c r="IB108" s="68"/>
      <c r="IC108" s="68"/>
      <c r="ID108" s="68"/>
      <c r="IE108" s="68"/>
      <c r="IF108" s="68"/>
      <c r="IG108" s="68"/>
      <c r="IH108" s="68"/>
      <c r="II108" s="68"/>
      <c r="IJ108" s="68"/>
      <c r="IK108" s="68"/>
      <c r="IL108" s="68"/>
      <c r="IM108" s="68"/>
      <c r="IN108" s="68"/>
      <c r="IO108" s="68"/>
      <c r="IP108" s="68"/>
      <c r="IQ108" s="68"/>
      <c r="IR108" s="68"/>
      <c r="IS108" s="68"/>
      <c r="IT108" s="68"/>
      <c r="IU108" s="68"/>
      <c r="IV108" s="68"/>
      <c r="IW108" s="68"/>
      <c r="IX108" s="68"/>
      <c r="IY108" s="68"/>
    </row>
    <row r="109" spans="2:259" s="64" customFormat="1" hidden="1" x14ac:dyDescent="0.3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  <c r="AV109" s="68"/>
      <c r="AW109" s="68"/>
      <c r="AX109" s="68"/>
      <c r="AY109" s="68"/>
      <c r="AZ109" s="68"/>
      <c r="BA109" s="67"/>
      <c r="BB109" s="370"/>
      <c r="BC109" s="370"/>
      <c r="BD109" s="370"/>
      <c r="BE109" s="370"/>
      <c r="BF109" s="370"/>
      <c r="BG109" s="200"/>
      <c r="BH109" s="200"/>
      <c r="BI109" s="67"/>
      <c r="BJ109" s="67"/>
      <c r="BK109" s="67"/>
      <c r="BL109" s="67"/>
      <c r="BM109" s="66"/>
      <c r="BN109" s="66"/>
      <c r="BO109" s="66"/>
      <c r="BP109" s="66"/>
      <c r="BQ109" s="66"/>
      <c r="BR109" s="66"/>
      <c r="BS109" s="66"/>
      <c r="BT109" s="66"/>
      <c r="BU109" s="66"/>
      <c r="BV109" s="66"/>
      <c r="BW109" s="66"/>
      <c r="BX109" s="66"/>
      <c r="BY109" s="66"/>
      <c r="BZ109" s="66"/>
      <c r="CA109" s="66"/>
      <c r="CB109" s="193"/>
      <c r="CC109" s="193"/>
      <c r="CD109" s="193"/>
      <c r="CE109" s="193"/>
      <c r="CF109" s="435"/>
      <c r="CG109" s="164" t="e">
        <f>CG108+1</f>
        <v>#VALUE!</v>
      </c>
      <c r="CH109" s="80" t="e">
        <f>TEXT(CG109,"DDDD")</f>
        <v>#VALUE!</v>
      </c>
      <c r="CI109" s="147" t="e">
        <f t="shared" si="29"/>
        <v>#VALUE!</v>
      </c>
      <c r="CJ109" s="66" t="e">
        <f t="shared" si="30"/>
        <v>#VALUE!</v>
      </c>
      <c r="CK109" s="66" t="e">
        <f t="shared" si="31"/>
        <v>#VALUE!</v>
      </c>
      <c r="CL109" s="66" t="e">
        <f t="shared" si="32"/>
        <v>#VALUE!</v>
      </c>
      <c r="CM109" s="66" t="e">
        <f t="shared" si="33"/>
        <v>#VALUE!</v>
      </c>
      <c r="CN109" s="66" t="e">
        <f t="shared" si="34"/>
        <v>#VALUE!</v>
      </c>
      <c r="CO109" s="66" t="e">
        <f t="shared" si="35"/>
        <v>#VALUE!</v>
      </c>
      <c r="CP109" s="66" t="e">
        <f t="shared" si="36"/>
        <v>#VALUE!</v>
      </c>
      <c r="CQ109" s="66" t="e">
        <f t="shared" si="37"/>
        <v>#VALUE!</v>
      </c>
      <c r="CR109" s="66" t="e">
        <f t="shared" si="38"/>
        <v>#VALUE!</v>
      </c>
      <c r="CS109" s="66" t="e">
        <f t="shared" si="39"/>
        <v>#VALUE!</v>
      </c>
      <c r="CT109" s="66" t="e">
        <f t="shared" si="40"/>
        <v>#VALUE!</v>
      </c>
      <c r="CU109" s="66" t="e">
        <f t="shared" si="41"/>
        <v>#VALUE!</v>
      </c>
      <c r="CV109" s="66" t="e">
        <f t="shared" si="42"/>
        <v>#VALUE!</v>
      </c>
      <c r="CW109" s="66" t="e">
        <f t="shared" si="43"/>
        <v>#VALUE!</v>
      </c>
      <c r="CX109" s="66" t="e">
        <f t="shared" si="44"/>
        <v>#VALUE!</v>
      </c>
      <c r="CY109" s="66" t="e">
        <f t="shared" si="45"/>
        <v>#VALUE!</v>
      </c>
      <c r="CZ109" s="66"/>
      <c r="DA109" s="66"/>
      <c r="DB109" s="66"/>
      <c r="DC109" s="66"/>
      <c r="DD109" s="66"/>
      <c r="DE109" s="66"/>
      <c r="DF109" s="66"/>
      <c r="DG109" s="66"/>
      <c r="DH109" s="66"/>
      <c r="DI109" s="66"/>
      <c r="DJ109" s="66"/>
      <c r="DK109" s="66"/>
      <c r="DL109" s="66"/>
      <c r="DM109" s="66"/>
      <c r="DN109" s="66"/>
      <c r="DO109" s="66"/>
      <c r="DP109" s="66"/>
      <c r="DQ109" s="66"/>
      <c r="DR109" s="66"/>
      <c r="DS109" s="66"/>
      <c r="DT109" s="66"/>
      <c r="DU109" s="66"/>
      <c r="DV109" s="66"/>
      <c r="DW109" s="66"/>
      <c r="DX109" s="66"/>
      <c r="DY109" s="66"/>
      <c r="DZ109" s="66"/>
      <c r="EA109" s="66"/>
      <c r="EB109" s="66"/>
      <c r="EC109" s="66"/>
      <c r="ED109" s="66"/>
      <c r="EE109" s="66"/>
      <c r="EF109" s="193"/>
      <c r="EG109" s="193"/>
      <c r="EH109" s="193"/>
      <c r="EI109" s="193"/>
      <c r="EJ109" s="193"/>
      <c r="EK109" s="193"/>
      <c r="EL109" s="193"/>
      <c r="EM109" s="193"/>
      <c r="EN109" s="193"/>
      <c r="EO109" s="193"/>
      <c r="EP109" s="193"/>
      <c r="EQ109" s="193"/>
      <c r="ER109" s="193"/>
      <c r="HB109" s="68"/>
      <c r="HC109" s="68"/>
      <c r="HD109" s="379"/>
      <c r="HE109" s="379"/>
      <c r="HF109" s="379"/>
      <c r="HG109" s="379"/>
      <c r="HH109" s="379"/>
      <c r="HI109" s="379"/>
      <c r="HJ109" s="379"/>
      <c r="HK109" s="215"/>
      <c r="HL109" s="385"/>
      <c r="HM109" s="385"/>
      <c r="HN109" s="216"/>
      <c r="HO109" s="386"/>
      <c r="HP109" s="386"/>
      <c r="HQ109" s="217"/>
      <c r="HR109" s="384"/>
      <c r="HS109" s="384"/>
      <c r="HT109" s="384"/>
      <c r="HU109" s="384"/>
      <c r="HV109" s="384"/>
      <c r="HW109" s="384"/>
      <c r="HX109" s="384"/>
      <c r="HY109" s="68"/>
      <c r="HZ109" s="68"/>
      <c r="IA109" s="68"/>
      <c r="IB109" s="68"/>
      <c r="IC109" s="68"/>
      <c r="ID109" s="379"/>
      <c r="IE109" s="379"/>
      <c r="IF109" s="379"/>
      <c r="IG109" s="379"/>
      <c r="IH109" s="379"/>
      <c r="II109" s="379"/>
      <c r="IJ109" s="387"/>
      <c r="IK109" s="387"/>
      <c r="IL109" s="387"/>
      <c r="IM109" s="218"/>
      <c r="IN109" s="376"/>
      <c r="IO109" s="376"/>
      <c r="IP109" s="376"/>
      <c r="IQ109" s="219"/>
      <c r="IR109" s="220"/>
      <c r="IS109" s="219"/>
      <c r="IT109" s="220"/>
      <c r="IU109" s="219"/>
      <c r="IV109" s="220"/>
      <c r="IW109" s="219"/>
      <c r="IX109" s="219"/>
      <c r="IY109" s="68"/>
    </row>
    <row r="110" spans="2:259" s="64" customFormat="1" hidden="1" x14ac:dyDescent="0.3"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  <c r="AV110" s="68"/>
      <c r="AW110" s="68"/>
      <c r="AX110" s="68"/>
      <c r="AY110" s="68"/>
      <c r="AZ110" s="68"/>
      <c r="BA110" s="67"/>
      <c r="BB110" s="370"/>
      <c r="BC110" s="370"/>
      <c r="BD110" s="370"/>
      <c r="BE110" s="370"/>
      <c r="BF110" s="370"/>
      <c r="BG110" s="67"/>
      <c r="BH110" s="67"/>
      <c r="BI110" s="67"/>
      <c r="BJ110" s="67"/>
      <c r="BK110" s="67"/>
      <c r="BL110" s="67"/>
      <c r="BM110" s="66"/>
      <c r="BN110" s="66"/>
      <c r="BO110" s="66"/>
      <c r="BP110" s="66"/>
      <c r="BQ110" s="66"/>
      <c r="BR110" s="66"/>
      <c r="BS110" s="66"/>
      <c r="BT110" s="66"/>
      <c r="BU110" s="66"/>
      <c r="BV110" s="66"/>
      <c r="BW110" s="66"/>
      <c r="BX110" s="66"/>
      <c r="BY110" s="66"/>
      <c r="BZ110" s="66"/>
      <c r="CA110" s="66"/>
      <c r="CB110" s="193"/>
      <c r="CC110" s="193"/>
      <c r="CD110" s="193"/>
      <c r="CE110" s="193"/>
      <c r="CF110" s="435"/>
      <c r="CG110" s="164" t="e">
        <f t="shared" ref="CG110:CG115" si="46">CG109+1</f>
        <v>#VALUE!</v>
      </c>
      <c r="CH110" s="80" t="e">
        <f t="shared" ref="CH110:CH115" si="47">TEXT(CG110,"DDDD")</f>
        <v>#VALUE!</v>
      </c>
      <c r="CI110" s="147" t="e">
        <f t="shared" si="29"/>
        <v>#VALUE!</v>
      </c>
      <c r="CJ110" s="66" t="e">
        <f t="shared" si="30"/>
        <v>#VALUE!</v>
      </c>
      <c r="CK110" s="66" t="e">
        <f t="shared" si="31"/>
        <v>#VALUE!</v>
      </c>
      <c r="CL110" s="66" t="e">
        <f t="shared" si="32"/>
        <v>#VALUE!</v>
      </c>
      <c r="CM110" s="66" t="e">
        <f t="shared" si="33"/>
        <v>#VALUE!</v>
      </c>
      <c r="CN110" s="66" t="e">
        <f t="shared" si="34"/>
        <v>#VALUE!</v>
      </c>
      <c r="CO110" s="66" t="e">
        <f t="shared" si="35"/>
        <v>#VALUE!</v>
      </c>
      <c r="CP110" s="66" t="e">
        <f t="shared" si="36"/>
        <v>#VALUE!</v>
      </c>
      <c r="CQ110" s="66" t="e">
        <f t="shared" si="37"/>
        <v>#VALUE!</v>
      </c>
      <c r="CR110" s="66" t="e">
        <f t="shared" si="38"/>
        <v>#VALUE!</v>
      </c>
      <c r="CS110" s="66" t="e">
        <f t="shared" si="39"/>
        <v>#VALUE!</v>
      </c>
      <c r="CT110" s="66" t="e">
        <f t="shared" si="40"/>
        <v>#VALUE!</v>
      </c>
      <c r="CU110" s="66" t="e">
        <f t="shared" si="41"/>
        <v>#VALUE!</v>
      </c>
      <c r="CV110" s="66" t="e">
        <f t="shared" si="42"/>
        <v>#VALUE!</v>
      </c>
      <c r="CW110" s="66" t="e">
        <f t="shared" si="43"/>
        <v>#VALUE!</v>
      </c>
      <c r="CX110" s="66" t="e">
        <f t="shared" si="44"/>
        <v>#VALUE!</v>
      </c>
      <c r="CY110" s="66" t="e">
        <f t="shared" si="45"/>
        <v>#VALUE!</v>
      </c>
      <c r="CZ110" s="66"/>
      <c r="DA110" s="66"/>
      <c r="DB110" s="66"/>
      <c r="DC110" s="66"/>
      <c r="DD110" s="66"/>
      <c r="DE110" s="66"/>
      <c r="DF110" s="66"/>
      <c r="DG110" s="66"/>
      <c r="DH110" s="66"/>
      <c r="DI110" s="66"/>
      <c r="DJ110" s="66"/>
      <c r="DK110" s="66"/>
      <c r="DL110" s="66"/>
      <c r="DM110" s="66"/>
      <c r="DN110" s="66"/>
      <c r="DO110" s="66"/>
      <c r="DP110" s="66"/>
      <c r="DQ110" s="66"/>
      <c r="DR110" s="66"/>
      <c r="DS110" s="66"/>
      <c r="DT110" s="66"/>
      <c r="DU110" s="66"/>
      <c r="DV110" s="66"/>
      <c r="DW110" s="66"/>
      <c r="DX110" s="66"/>
      <c r="DY110" s="66"/>
      <c r="DZ110" s="66"/>
      <c r="EA110" s="66"/>
      <c r="EB110" s="66"/>
      <c r="EC110" s="66"/>
      <c r="ED110" s="66"/>
      <c r="EE110" s="66"/>
      <c r="EF110" s="193"/>
      <c r="EG110" s="193"/>
      <c r="EH110" s="193"/>
      <c r="EI110" s="193"/>
      <c r="EJ110" s="193"/>
      <c r="EK110" s="193"/>
      <c r="EL110" s="193"/>
      <c r="EM110" s="193"/>
      <c r="EN110" s="193"/>
      <c r="EO110" s="193"/>
      <c r="EP110" s="193"/>
      <c r="EQ110" s="193"/>
      <c r="ER110" s="193"/>
      <c r="HB110" s="68"/>
      <c r="HC110" s="68"/>
      <c r="HD110" s="68"/>
      <c r="HE110" s="68"/>
      <c r="HF110" s="68"/>
      <c r="HG110" s="215"/>
      <c r="HH110" s="215"/>
      <c r="HI110" s="215"/>
      <c r="HJ110" s="215"/>
      <c r="HK110" s="377"/>
      <c r="HL110" s="377"/>
      <c r="HM110" s="377"/>
      <c r="HN110" s="377"/>
      <c r="HO110" s="377"/>
      <c r="HP110" s="377"/>
      <c r="HQ110" s="377"/>
      <c r="HR110" s="384"/>
      <c r="HS110" s="384"/>
      <c r="HT110" s="384"/>
      <c r="HU110" s="384"/>
      <c r="HV110" s="384"/>
      <c r="HW110" s="384"/>
      <c r="HX110" s="384"/>
      <c r="HY110" s="68"/>
      <c r="HZ110" s="68"/>
      <c r="IA110" s="68"/>
      <c r="IB110" s="68"/>
      <c r="IC110" s="68"/>
      <c r="ID110" s="215"/>
      <c r="IE110" s="215"/>
      <c r="IF110" s="215"/>
      <c r="IG110" s="215"/>
      <c r="IH110" s="215"/>
      <c r="II110" s="215"/>
      <c r="IJ110" s="215"/>
      <c r="IK110" s="215"/>
      <c r="IL110" s="218"/>
      <c r="IM110" s="218"/>
      <c r="IN110" s="218"/>
      <c r="IO110" s="218"/>
      <c r="IP110" s="218"/>
      <c r="IQ110" s="219"/>
      <c r="IR110" s="219"/>
      <c r="IS110" s="219"/>
      <c r="IT110" s="219"/>
      <c r="IU110" s="219"/>
      <c r="IV110" s="219"/>
      <c r="IW110" s="219"/>
      <c r="IX110" s="219"/>
      <c r="IY110" s="68"/>
    </row>
    <row r="111" spans="2:259" s="64" customFormat="1" hidden="1" x14ac:dyDescent="0.3"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  <c r="AV111" s="68"/>
      <c r="AW111" s="68"/>
      <c r="AX111" s="68"/>
      <c r="AY111" s="68"/>
      <c r="AZ111" s="68"/>
      <c r="BA111" s="67"/>
      <c r="BB111" s="370"/>
      <c r="BC111" s="370"/>
      <c r="BD111" s="370"/>
      <c r="BE111" s="370"/>
      <c r="BF111" s="370"/>
      <c r="BG111" s="67"/>
      <c r="BH111" s="67"/>
      <c r="BI111" s="67"/>
      <c r="BJ111" s="67"/>
      <c r="BK111" s="67"/>
      <c r="BL111" s="67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193"/>
      <c r="CC111" s="193"/>
      <c r="CD111" s="193"/>
      <c r="CE111" s="193"/>
      <c r="CF111" s="435"/>
      <c r="CG111" s="164" t="e">
        <f t="shared" si="46"/>
        <v>#VALUE!</v>
      </c>
      <c r="CH111" s="80" t="e">
        <f t="shared" si="47"/>
        <v>#VALUE!</v>
      </c>
      <c r="CI111" s="147" t="e">
        <f t="shared" si="29"/>
        <v>#VALUE!</v>
      </c>
      <c r="CJ111" s="66" t="e">
        <f t="shared" si="30"/>
        <v>#VALUE!</v>
      </c>
      <c r="CK111" s="66" t="e">
        <f t="shared" si="31"/>
        <v>#VALUE!</v>
      </c>
      <c r="CL111" s="66" t="e">
        <f t="shared" si="32"/>
        <v>#VALUE!</v>
      </c>
      <c r="CM111" s="66" t="e">
        <f t="shared" si="33"/>
        <v>#VALUE!</v>
      </c>
      <c r="CN111" s="66" t="e">
        <f t="shared" si="34"/>
        <v>#VALUE!</v>
      </c>
      <c r="CO111" s="66" t="e">
        <f t="shared" si="35"/>
        <v>#VALUE!</v>
      </c>
      <c r="CP111" s="66" t="e">
        <f t="shared" si="36"/>
        <v>#VALUE!</v>
      </c>
      <c r="CQ111" s="66" t="e">
        <f t="shared" si="37"/>
        <v>#VALUE!</v>
      </c>
      <c r="CR111" s="66" t="e">
        <f t="shared" si="38"/>
        <v>#VALUE!</v>
      </c>
      <c r="CS111" s="66" t="e">
        <f t="shared" si="39"/>
        <v>#VALUE!</v>
      </c>
      <c r="CT111" s="66" t="e">
        <f t="shared" si="40"/>
        <v>#VALUE!</v>
      </c>
      <c r="CU111" s="66" t="e">
        <f t="shared" si="41"/>
        <v>#VALUE!</v>
      </c>
      <c r="CV111" s="66" t="e">
        <f t="shared" si="42"/>
        <v>#VALUE!</v>
      </c>
      <c r="CW111" s="66" t="e">
        <f t="shared" si="43"/>
        <v>#VALUE!</v>
      </c>
      <c r="CX111" s="66" t="e">
        <f t="shared" si="44"/>
        <v>#VALUE!</v>
      </c>
      <c r="CY111" s="66" t="e">
        <f t="shared" si="45"/>
        <v>#VALUE!</v>
      </c>
      <c r="CZ111" s="66"/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/>
      <c r="DL111" s="66"/>
      <c r="DM111" s="66"/>
      <c r="DN111" s="66"/>
      <c r="DO111" s="66"/>
      <c r="DP111" s="66"/>
      <c r="DQ111" s="66"/>
      <c r="DR111" s="66"/>
      <c r="DS111" s="66"/>
      <c r="DT111" s="66"/>
      <c r="DU111" s="66"/>
      <c r="DV111" s="66"/>
      <c r="DW111" s="66"/>
      <c r="DX111" s="66"/>
      <c r="DY111" s="66"/>
      <c r="DZ111" s="66"/>
      <c r="EA111" s="66"/>
      <c r="EB111" s="66"/>
      <c r="EC111" s="66"/>
      <c r="ED111" s="66"/>
      <c r="EE111" s="66"/>
      <c r="HB111" s="68"/>
      <c r="HC111" s="68"/>
      <c r="HD111" s="68"/>
      <c r="HE111" s="68"/>
      <c r="HF111" s="68"/>
      <c r="HG111" s="68"/>
      <c r="HH111" s="68"/>
      <c r="HI111" s="68"/>
      <c r="HJ111" s="68"/>
      <c r="HK111" s="68"/>
      <c r="HL111" s="68"/>
      <c r="HM111" s="68"/>
      <c r="HN111" s="68"/>
      <c r="HO111" s="68"/>
      <c r="HP111" s="68"/>
      <c r="HQ111" s="68"/>
      <c r="HR111" s="384"/>
      <c r="HS111" s="384"/>
      <c r="HT111" s="384"/>
      <c r="HU111" s="384"/>
      <c r="HV111" s="384"/>
      <c r="HW111" s="384"/>
      <c r="HX111" s="384"/>
      <c r="HY111" s="68"/>
      <c r="HZ111" s="68"/>
      <c r="IA111" s="68"/>
      <c r="IB111" s="68"/>
      <c r="IC111" s="68"/>
      <c r="ID111" s="378"/>
      <c r="IE111" s="378"/>
      <c r="IF111" s="378"/>
      <c r="IG111" s="378"/>
      <c r="IH111" s="378"/>
      <c r="II111" s="378"/>
      <c r="IJ111" s="378"/>
      <c r="IK111" s="378"/>
      <c r="IL111" s="378"/>
      <c r="IM111" s="378"/>
      <c r="IN111" s="378"/>
      <c r="IO111" s="378"/>
      <c r="IP111" s="378"/>
      <c r="IQ111" s="378"/>
      <c r="IR111" s="378"/>
      <c r="IS111" s="378"/>
      <c r="IT111" s="378"/>
      <c r="IU111" s="378"/>
      <c r="IV111" s="378"/>
      <c r="IW111" s="378"/>
      <c r="IX111" s="68"/>
      <c r="IY111" s="68"/>
    </row>
    <row r="112" spans="2:259" s="64" customFormat="1" hidden="1" x14ac:dyDescent="0.3"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  <c r="AV112" s="68"/>
      <c r="AW112" s="68"/>
      <c r="AX112" s="68"/>
      <c r="AY112" s="68"/>
      <c r="AZ112" s="68"/>
      <c r="BA112" s="68"/>
      <c r="BB112" s="154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6"/>
      <c r="BN112" s="66"/>
      <c r="BO112" s="66"/>
      <c r="BP112" s="66"/>
      <c r="BQ112" s="66"/>
      <c r="BR112" s="66"/>
      <c r="BS112" s="66"/>
      <c r="BT112" s="66"/>
      <c r="BU112" s="66"/>
      <c r="BV112" s="66"/>
      <c r="BW112" s="66"/>
      <c r="BX112" s="66"/>
      <c r="BY112" s="66"/>
      <c r="BZ112" s="66"/>
      <c r="CA112" s="66"/>
      <c r="CB112" s="201"/>
      <c r="CC112" s="193"/>
      <c r="CD112" s="193"/>
      <c r="CE112" s="193"/>
      <c r="CF112" s="435"/>
      <c r="CG112" s="164" t="e">
        <f t="shared" si="46"/>
        <v>#VALUE!</v>
      </c>
      <c r="CH112" s="80" t="e">
        <f t="shared" si="47"/>
        <v>#VALUE!</v>
      </c>
      <c r="CI112" s="147" t="e">
        <f t="shared" si="29"/>
        <v>#VALUE!</v>
      </c>
      <c r="CJ112" s="66" t="e">
        <f t="shared" si="30"/>
        <v>#VALUE!</v>
      </c>
      <c r="CK112" s="66" t="e">
        <f t="shared" si="31"/>
        <v>#VALUE!</v>
      </c>
      <c r="CL112" s="66" t="e">
        <f t="shared" si="32"/>
        <v>#VALUE!</v>
      </c>
      <c r="CM112" s="66" t="e">
        <f t="shared" si="33"/>
        <v>#VALUE!</v>
      </c>
      <c r="CN112" s="66" t="e">
        <f t="shared" si="34"/>
        <v>#VALUE!</v>
      </c>
      <c r="CO112" s="66" t="e">
        <f t="shared" si="35"/>
        <v>#VALUE!</v>
      </c>
      <c r="CP112" s="66" t="e">
        <f t="shared" si="36"/>
        <v>#VALUE!</v>
      </c>
      <c r="CQ112" s="66" t="e">
        <f t="shared" si="37"/>
        <v>#VALUE!</v>
      </c>
      <c r="CR112" s="66" t="e">
        <f t="shared" si="38"/>
        <v>#VALUE!</v>
      </c>
      <c r="CS112" s="66" t="e">
        <f t="shared" si="39"/>
        <v>#VALUE!</v>
      </c>
      <c r="CT112" s="66" t="e">
        <f t="shared" si="40"/>
        <v>#VALUE!</v>
      </c>
      <c r="CU112" s="66" t="e">
        <f t="shared" si="41"/>
        <v>#VALUE!</v>
      </c>
      <c r="CV112" s="66" t="e">
        <f t="shared" si="42"/>
        <v>#VALUE!</v>
      </c>
      <c r="CW112" s="66" t="e">
        <f t="shared" si="43"/>
        <v>#VALUE!</v>
      </c>
      <c r="CX112" s="66" t="e">
        <f t="shared" si="44"/>
        <v>#VALUE!</v>
      </c>
      <c r="CY112" s="66" t="e">
        <f t="shared" si="45"/>
        <v>#VALUE!</v>
      </c>
      <c r="CZ112" s="66"/>
      <c r="DA112" s="66"/>
      <c r="DB112" s="66"/>
      <c r="DC112" s="66"/>
      <c r="DD112" s="66"/>
      <c r="DE112" s="66"/>
      <c r="DF112" s="66"/>
      <c r="DG112" s="66"/>
      <c r="DH112" s="66"/>
      <c r="DI112" s="66"/>
      <c r="DJ112" s="66"/>
      <c r="DK112" s="66"/>
      <c r="DL112" s="66"/>
      <c r="DM112" s="66"/>
      <c r="DN112" s="66"/>
      <c r="DO112" s="66"/>
      <c r="DP112" s="66"/>
      <c r="DQ112" s="66"/>
      <c r="DR112" s="66"/>
      <c r="DS112" s="66"/>
      <c r="DT112" s="66"/>
      <c r="DU112" s="66"/>
      <c r="DV112" s="66"/>
      <c r="DW112" s="66"/>
      <c r="DX112" s="66"/>
      <c r="DY112" s="66"/>
      <c r="DZ112" s="66"/>
      <c r="EA112" s="66"/>
      <c r="EB112" s="66"/>
      <c r="EC112" s="66"/>
      <c r="ED112" s="66"/>
      <c r="EE112" s="66"/>
      <c r="HB112" s="68"/>
      <c r="HC112" s="68"/>
      <c r="HD112" s="379"/>
      <c r="HE112" s="379"/>
      <c r="HF112" s="379"/>
      <c r="HG112" s="379"/>
      <c r="HH112" s="379"/>
      <c r="HI112" s="379"/>
      <c r="HJ112" s="162"/>
      <c r="HK112" s="162"/>
      <c r="HL112" s="162"/>
      <c r="HM112" s="68"/>
      <c r="HN112" s="68"/>
      <c r="HO112" s="68"/>
      <c r="HP112" s="68"/>
      <c r="HQ112" s="68"/>
      <c r="HR112" s="68"/>
      <c r="HS112" s="68"/>
      <c r="HT112" s="68"/>
      <c r="HU112" s="68"/>
      <c r="HV112" s="68"/>
      <c r="HW112" s="68"/>
      <c r="HX112" s="68"/>
      <c r="HY112" s="68"/>
      <c r="HZ112" s="68"/>
      <c r="IA112" s="68"/>
      <c r="IB112" s="68"/>
      <c r="IC112" s="68"/>
      <c r="ID112" s="380"/>
      <c r="IE112" s="380"/>
      <c r="IF112" s="380"/>
      <c r="IG112" s="380"/>
      <c r="IH112" s="380"/>
      <c r="II112" s="380"/>
      <c r="IJ112" s="380"/>
      <c r="IK112" s="380"/>
      <c r="IL112" s="380"/>
      <c r="IM112" s="380"/>
      <c r="IN112" s="380"/>
      <c r="IO112" s="380"/>
      <c r="IP112" s="380"/>
      <c r="IQ112" s="380"/>
      <c r="IR112" s="221"/>
      <c r="IS112" s="221"/>
      <c r="IT112" s="221"/>
      <c r="IU112" s="221"/>
      <c r="IV112" s="221"/>
      <c r="IW112" s="221"/>
      <c r="IX112" s="222"/>
      <c r="IY112" s="68"/>
    </row>
    <row r="113" spans="2:259" s="64" customFormat="1" hidden="1" x14ac:dyDescent="0.3"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  <c r="AV113" s="68"/>
      <c r="AW113" s="68"/>
      <c r="AX113" s="68"/>
      <c r="AY113" s="68"/>
      <c r="AZ113" s="68"/>
      <c r="BA113" s="68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6"/>
      <c r="BN113" s="66"/>
      <c r="BO113" s="66"/>
      <c r="BP113" s="66"/>
      <c r="BQ113" s="66"/>
      <c r="BR113" s="66"/>
      <c r="BS113" s="66"/>
      <c r="BT113" s="66"/>
      <c r="BU113" s="66"/>
      <c r="BV113" s="66"/>
      <c r="BW113" s="66"/>
      <c r="BX113" s="66"/>
      <c r="BY113" s="66"/>
      <c r="BZ113" s="66"/>
      <c r="CA113" s="66"/>
      <c r="CB113" s="193"/>
      <c r="CC113" s="193"/>
      <c r="CD113" s="193"/>
      <c r="CE113" s="193"/>
      <c r="CF113" s="435"/>
      <c r="CG113" s="164" t="e">
        <f t="shared" si="46"/>
        <v>#VALUE!</v>
      </c>
      <c r="CH113" s="80" t="e">
        <f t="shared" si="47"/>
        <v>#VALUE!</v>
      </c>
      <c r="CI113" s="147" t="e">
        <f t="shared" si="29"/>
        <v>#VALUE!</v>
      </c>
      <c r="CJ113" s="66" t="e">
        <f t="shared" si="30"/>
        <v>#VALUE!</v>
      </c>
      <c r="CK113" s="66" t="e">
        <f t="shared" si="31"/>
        <v>#VALUE!</v>
      </c>
      <c r="CL113" s="66" t="e">
        <f t="shared" si="32"/>
        <v>#VALUE!</v>
      </c>
      <c r="CM113" s="66" t="e">
        <f t="shared" si="33"/>
        <v>#VALUE!</v>
      </c>
      <c r="CN113" s="66" t="e">
        <f t="shared" si="34"/>
        <v>#VALUE!</v>
      </c>
      <c r="CO113" s="66" t="e">
        <f t="shared" si="35"/>
        <v>#VALUE!</v>
      </c>
      <c r="CP113" s="66" t="e">
        <f t="shared" si="36"/>
        <v>#VALUE!</v>
      </c>
      <c r="CQ113" s="66" t="e">
        <f t="shared" si="37"/>
        <v>#VALUE!</v>
      </c>
      <c r="CR113" s="66" t="e">
        <f t="shared" si="38"/>
        <v>#VALUE!</v>
      </c>
      <c r="CS113" s="66" t="e">
        <f t="shared" si="39"/>
        <v>#VALUE!</v>
      </c>
      <c r="CT113" s="66" t="e">
        <f t="shared" si="40"/>
        <v>#VALUE!</v>
      </c>
      <c r="CU113" s="66" t="e">
        <f t="shared" si="41"/>
        <v>#VALUE!</v>
      </c>
      <c r="CV113" s="66" t="e">
        <f t="shared" si="42"/>
        <v>#VALUE!</v>
      </c>
      <c r="CW113" s="66" t="e">
        <f t="shared" si="43"/>
        <v>#VALUE!</v>
      </c>
      <c r="CX113" s="66" t="e">
        <f t="shared" si="44"/>
        <v>#VALUE!</v>
      </c>
      <c r="CY113" s="66" t="e">
        <f t="shared" si="45"/>
        <v>#VALUE!</v>
      </c>
      <c r="CZ113" s="66"/>
      <c r="DA113" s="66"/>
      <c r="DB113" s="66"/>
      <c r="DC113" s="66"/>
      <c r="DD113" s="66"/>
      <c r="DE113" s="66"/>
      <c r="DF113" s="66"/>
      <c r="DG113" s="66"/>
      <c r="DH113" s="66"/>
      <c r="DI113" s="66"/>
      <c r="DJ113" s="66"/>
      <c r="DK113" s="66"/>
      <c r="DL113" s="66"/>
      <c r="DM113" s="66"/>
      <c r="DN113" s="66"/>
      <c r="DO113" s="66"/>
      <c r="DP113" s="66"/>
      <c r="DQ113" s="66"/>
      <c r="DR113" s="66"/>
      <c r="DS113" s="66"/>
      <c r="DT113" s="66"/>
      <c r="DU113" s="66"/>
      <c r="DV113" s="66"/>
      <c r="DW113" s="66"/>
      <c r="DX113" s="66"/>
      <c r="DY113" s="66"/>
      <c r="DZ113" s="66"/>
      <c r="EA113" s="66"/>
      <c r="EB113" s="66"/>
      <c r="EC113" s="66"/>
      <c r="ED113" s="66"/>
      <c r="EE113" s="66"/>
      <c r="HB113" s="68"/>
      <c r="HC113" s="68"/>
      <c r="HD113" s="381"/>
      <c r="HE113" s="381"/>
      <c r="HF113" s="381"/>
      <c r="HG113" s="381"/>
      <c r="HH113" s="381"/>
      <c r="HI113" s="381"/>
      <c r="HJ113" s="381"/>
      <c r="HK113" s="381"/>
      <c r="HL113" s="381"/>
      <c r="HM113" s="381"/>
      <c r="HN113" s="381"/>
      <c r="HO113" s="381"/>
      <c r="HP113" s="381"/>
      <c r="HQ113" s="381"/>
      <c r="HR113" s="381"/>
      <c r="HS113" s="381"/>
      <c r="HT113" s="381"/>
      <c r="HU113" s="381"/>
      <c r="HV113" s="381"/>
      <c r="HW113" s="381"/>
      <c r="HX113" s="381"/>
      <c r="HY113" s="223"/>
      <c r="HZ113" s="223"/>
      <c r="IA113" s="68"/>
      <c r="IB113" s="68"/>
      <c r="IC113" s="68"/>
      <c r="ID113" s="224"/>
      <c r="IE113" s="224"/>
      <c r="IF113" s="224"/>
      <c r="IG113" s="224"/>
      <c r="IH113" s="224"/>
      <c r="II113" s="224"/>
      <c r="IJ113" s="224"/>
      <c r="IK113" s="224"/>
      <c r="IL113" s="224"/>
      <c r="IM113" s="224"/>
      <c r="IN113" s="224"/>
      <c r="IO113" s="224"/>
      <c r="IP113" s="224"/>
      <c r="IQ113" s="224"/>
      <c r="IR113" s="224"/>
      <c r="IS113" s="224"/>
      <c r="IT113" s="224"/>
      <c r="IU113" s="224"/>
      <c r="IV113" s="224"/>
      <c r="IW113" s="224"/>
      <c r="IX113" s="224"/>
      <c r="IY113" s="68"/>
    </row>
    <row r="114" spans="2:259" s="64" customFormat="1" hidden="1" x14ac:dyDescent="0.3"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  <c r="AV114" s="68"/>
      <c r="AW114" s="68"/>
      <c r="AX114" s="68"/>
      <c r="AY114" s="68"/>
      <c r="AZ114" s="68"/>
      <c r="BA114" s="68"/>
      <c r="BB114" s="67"/>
      <c r="BC114" s="67"/>
      <c r="BD114" s="67"/>
      <c r="BE114" s="67"/>
      <c r="BF114" s="67"/>
      <c r="BG114" s="67"/>
      <c r="BH114" s="67"/>
      <c r="BI114" s="200"/>
      <c r="BJ114" s="67"/>
      <c r="BK114" s="67"/>
      <c r="BL114" s="67"/>
      <c r="BM114" s="66"/>
      <c r="BN114" s="66"/>
      <c r="BO114" s="66"/>
      <c r="BP114" s="66"/>
      <c r="BQ114" s="66"/>
      <c r="BR114" s="66"/>
      <c r="BS114" s="66"/>
      <c r="BT114" s="66"/>
      <c r="BU114" s="66"/>
      <c r="BV114" s="66"/>
      <c r="BW114" s="66"/>
      <c r="BX114" s="66"/>
      <c r="BY114" s="66"/>
      <c r="BZ114" s="66"/>
      <c r="CA114" s="66"/>
      <c r="CB114" s="193"/>
      <c r="CC114" s="193"/>
      <c r="CD114" s="193"/>
      <c r="CE114" s="193"/>
      <c r="CF114" s="435"/>
      <c r="CG114" s="164" t="e">
        <f t="shared" si="46"/>
        <v>#VALUE!</v>
      </c>
      <c r="CH114" s="80" t="e">
        <f t="shared" si="47"/>
        <v>#VALUE!</v>
      </c>
      <c r="CI114" s="147" t="e">
        <f t="shared" si="29"/>
        <v>#VALUE!</v>
      </c>
      <c r="CJ114" s="66" t="e">
        <f t="shared" si="30"/>
        <v>#VALUE!</v>
      </c>
      <c r="CK114" s="66" t="e">
        <f t="shared" si="31"/>
        <v>#VALUE!</v>
      </c>
      <c r="CL114" s="66" t="e">
        <f t="shared" si="32"/>
        <v>#VALUE!</v>
      </c>
      <c r="CM114" s="66" t="e">
        <f t="shared" si="33"/>
        <v>#VALUE!</v>
      </c>
      <c r="CN114" s="66" t="e">
        <f t="shared" si="34"/>
        <v>#VALUE!</v>
      </c>
      <c r="CO114" s="66" t="e">
        <f t="shared" si="35"/>
        <v>#VALUE!</v>
      </c>
      <c r="CP114" s="66" t="e">
        <f t="shared" si="36"/>
        <v>#VALUE!</v>
      </c>
      <c r="CQ114" s="66" t="e">
        <f t="shared" si="37"/>
        <v>#VALUE!</v>
      </c>
      <c r="CR114" s="66" t="e">
        <f t="shared" si="38"/>
        <v>#VALUE!</v>
      </c>
      <c r="CS114" s="66" t="e">
        <f t="shared" si="39"/>
        <v>#VALUE!</v>
      </c>
      <c r="CT114" s="66" t="e">
        <f t="shared" si="40"/>
        <v>#VALUE!</v>
      </c>
      <c r="CU114" s="66" t="e">
        <f t="shared" si="41"/>
        <v>#VALUE!</v>
      </c>
      <c r="CV114" s="66" t="e">
        <f t="shared" si="42"/>
        <v>#VALUE!</v>
      </c>
      <c r="CW114" s="66" t="e">
        <f t="shared" si="43"/>
        <v>#VALUE!</v>
      </c>
      <c r="CX114" s="66" t="e">
        <f t="shared" si="44"/>
        <v>#VALUE!</v>
      </c>
      <c r="CY114" s="66" t="e">
        <f t="shared" si="45"/>
        <v>#VALUE!</v>
      </c>
      <c r="CZ114" s="66"/>
      <c r="DA114" s="66"/>
      <c r="DB114" s="66"/>
      <c r="DC114" s="66"/>
      <c r="DD114" s="66"/>
      <c r="DE114" s="66"/>
      <c r="DF114" s="66"/>
      <c r="DG114" s="66"/>
      <c r="DH114" s="66"/>
      <c r="DI114" s="66"/>
      <c r="DJ114" s="66"/>
      <c r="DK114" s="66"/>
      <c r="DL114" s="66"/>
      <c r="DM114" s="66"/>
      <c r="DN114" s="66"/>
      <c r="DO114" s="66"/>
      <c r="DP114" s="66"/>
      <c r="DQ114" s="66"/>
      <c r="DR114" s="66"/>
      <c r="DS114" s="66"/>
      <c r="DT114" s="66"/>
      <c r="DU114" s="66"/>
      <c r="DV114" s="66"/>
      <c r="DW114" s="66"/>
      <c r="DX114" s="66"/>
      <c r="DY114" s="66"/>
      <c r="DZ114" s="66"/>
      <c r="EA114" s="66"/>
      <c r="EB114" s="66"/>
      <c r="EC114" s="66"/>
      <c r="ED114" s="66"/>
      <c r="EE114" s="66"/>
      <c r="HB114" s="68"/>
      <c r="HC114" s="68"/>
      <c r="HD114" s="68"/>
      <c r="HE114" s="68"/>
      <c r="HF114" s="68"/>
      <c r="HG114" s="383"/>
      <c r="HH114" s="383"/>
      <c r="HI114" s="383"/>
      <c r="HJ114" s="383"/>
      <c r="HK114" s="383"/>
      <c r="HL114" s="383"/>
      <c r="HM114" s="383"/>
      <c r="HN114" s="383"/>
      <c r="HO114" s="383"/>
      <c r="HP114" s="383"/>
      <c r="HQ114" s="383"/>
      <c r="HR114" s="383"/>
      <c r="HS114" s="383"/>
      <c r="HT114" s="383"/>
      <c r="HU114" s="383"/>
      <c r="HV114" s="383"/>
      <c r="HW114" s="383"/>
      <c r="HX114" s="383"/>
      <c r="HY114" s="162"/>
      <c r="HZ114" s="162"/>
      <c r="IA114" s="68"/>
      <c r="IB114" s="68"/>
      <c r="IC114" s="68"/>
      <c r="ID114" s="379"/>
      <c r="IE114" s="379"/>
      <c r="IF114" s="379"/>
      <c r="IG114" s="379"/>
      <c r="IH114" s="379"/>
      <c r="II114" s="379"/>
      <c r="IJ114" s="379"/>
      <c r="IK114" s="379"/>
      <c r="IL114" s="379"/>
      <c r="IM114" s="385"/>
      <c r="IN114" s="385"/>
      <c r="IO114" s="385"/>
      <c r="IP114" s="225"/>
      <c r="IQ114" s="225"/>
      <c r="IR114" s="225"/>
      <c r="IS114" s="225"/>
      <c r="IT114" s="225"/>
      <c r="IU114" s="225"/>
      <c r="IV114" s="225"/>
      <c r="IW114" s="225"/>
      <c r="IX114" s="225"/>
      <c r="IY114" s="68"/>
    </row>
    <row r="115" spans="2:259" s="64" customFormat="1" hidden="1" x14ac:dyDescent="0.3"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  <c r="AV115" s="68"/>
      <c r="AW115" s="68"/>
      <c r="AX115" s="68"/>
      <c r="AY115" s="68"/>
      <c r="AZ115" s="68"/>
      <c r="BA115" s="68"/>
      <c r="BB115" s="67"/>
      <c r="BC115" s="67"/>
      <c r="BD115" s="67"/>
      <c r="BE115" s="67"/>
      <c r="BF115" s="67"/>
      <c r="BG115" s="67"/>
      <c r="BH115" s="67"/>
      <c r="BI115" s="200"/>
      <c r="BJ115" s="67"/>
      <c r="BK115" s="67"/>
      <c r="BL115" s="67"/>
      <c r="BM115" s="66"/>
      <c r="BN115" s="66"/>
      <c r="BO115" s="66"/>
      <c r="BP115" s="66"/>
      <c r="BQ115" s="66"/>
      <c r="BR115" s="66"/>
      <c r="BS115" s="66"/>
      <c r="BT115" s="66"/>
      <c r="BU115" s="66"/>
      <c r="BV115" s="66"/>
      <c r="BW115" s="66"/>
      <c r="BX115" s="66"/>
      <c r="BY115" s="66"/>
      <c r="BZ115" s="66"/>
      <c r="CA115" s="66"/>
      <c r="CB115" s="193"/>
      <c r="CC115" s="193"/>
      <c r="CD115" s="193"/>
      <c r="CE115" s="193"/>
      <c r="CF115" s="435"/>
      <c r="CG115" s="164" t="e">
        <f t="shared" si="46"/>
        <v>#VALUE!</v>
      </c>
      <c r="CH115" s="80" t="e">
        <f t="shared" si="47"/>
        <v>#VALUE!</v>
      </c>
      <c r="CI115" s="147" t="e">
        <f t="shared" si="29"/>
        <v>#VALUE!</v>
      </c>
      <c r="CJ115" s="66" t="e">
        <f t="shared" si="30"/>
        <v>#VALUE!</v>
      </c>
      <c r="CK115" s="66" t="e">
        <f t="shared" si="31"/>
        <v>#VALUE!</v>
      </c>
      <c r="CL115" s="66" t="e">
        <f t="shared" si="32"/>
        <v>#VALUE!</v>
      </c>
      <c r="CM115" s="66" t="e">
        <f t="shared" si="33"/>
        <v>#VALUE!</v>
      </c>
      <c r="CN115" s="66" t="e">
        <f t="shared" si="34"/>
        <v>#VALUE!</v>
      </c>
      <c r="CO115" s="66" t="e">
        <f t="shared" si="35"/>
        <v>#VALUE!</v>
      </c>
      <c r="CP115" s="66" t="e">
        <f t="shared" si="36"/>
        <v>#VALUE!</v>
      </c>
      <c r="CQ115" s="66" t="e">
        <f t="shared" si="37"/>
        <v>#VALUE!</v>
      </c>
      <c r="CR115" s="66" t="e">
        <f t="shared" si="38"/>
        <v>#VALUE!</v>
      </c>
      <c r="CS115" s="66" t="e">
        <f t="shared" si="39"/>
        <v>#VALUE!</v>
      </c>
      <c r="CT115" s="66" t="e">
        <f t="shared" si="40"/>
        <v>#VALUE!</v>
      </c>
      <c r="CU115" s="66" t="e">
        <f t="shared" si="41"/>
        <v>#VALUE!</v>
      </c>
      <c r="CV115" s="66" t="e">
        <f t="shared" si="42"/>
        <v>#VALUE!</v>
      </c>
      <c r="CW115" s="66" t="e">
        <f t="shared" si="43"/>
        <v>#VALUE!</v>
      </c>
      <c r="CX115" s="66" t="e">
        <f t="shared" si="44"/>
        <v>#VALUE!</v>
      </c>
      <c r="CY115" s="66" t="e">
        <f t="shared" si="45"/>
        <v>#VALUE!</v>
      </c>
      <c r="CZ115" s="66"/>
      <c r="DA115" s="66"/>
      <c r="DB115" s="66"/>
      <c r="DC115" s="66"/>
      <c r="DD115" s="66"/>
      <c r="DE115" s="66"/>
      <c r="DF115" s="66"/>
      <c r="DG115" s="66"/>
      <c r="DH115" s="66"/>
      <c r="DI115" s="66"/>
      <c r="DJ115" s="66"/>
      <c r="DK115" s="66"/>
      <c r="DL115" s="66"/>
      <c r="DM115" s="66"/>
      <c r="DN115" s="66"/>
      <c r="DO115" s="66"/>
      <c r="DP115" s="66"/>
      <c r="DQ115" s="66"/>
      <c r="DR115" s="66"/>
      <c r="DS115" s="66"/>
      <c r="DT115" s="66"/>
      <c r="DU115" s="66"/>
      <c r="DV115" s="66"/>
      <c r="DW115" s="66"/>
      <c r="DX115" s="66"/>
      <c r="DY115" s="66"/>
      <c r="DZ115" s="66"/>
      <c r="EA115" s="66"/>
      <c r="EB115" s="66"/>
      <c r="EC115" s="66"/>
      <c r="ED115" s="66"/>
      <c r="EE115" s="66"/>
      <c r="HB115" s="68"/>
      <c r="HC115" s="68"/>
      <c r="HD115" s="379"/>
      <c r="HE115" s="379"/>
      <c r="HF115" s="379"/>
      <c r="HG115" s="379"/>
      <c r="HH115" s="379"/>
      <c r="HI115" s="379"/>
      <c r="HJ115" s="379"/>
      <c r="HK115" s="379"/>
      <c r="HL115" s="379"/>
      <c r="HM115" s="379"/>
      <c r="HN115" s="379"/>
      <c r="HO115" s="379"/>
      <c r="HP115" s="379"/>
      <c r="HQ115" s="379"/>
      <c r="HR115" s="379"/>
      <c r="HS115" s="379"/>
      <c r="HT115" s="379"/>
      <c r="HU115" s="379"/>
      <c r="HV115" s="379"/>
      <c r="HW115" s="379"/>
      <c r="HX115" s="379"/>
      <c r="HY115" s="379"/>
      <c r="HZ115" s="162"/>
      <c r="IA115" s="68"/>
      <c r="IB115" s="68"/>
      <c r="IC115" s="68"/>
      <c r="ID115" s="381"/>
      <c r="IE115" s="381"/>
      <c r="IF115" s="381"/>
      <c r="IG115" s="381"/>
      <c r="IH115" s="381"/>
      <c r="II115" s="381"/>
      <c r="IJ115" s="381"/>
      <c r="IK115" s="381"/>
      <c r="IL115" s="381"/>
      <c r="IM115" s="381"/>
      <c r="IN115" s="381"/>
      <c r="IO115" s="381"/>
      <c r="IP115" s="381"/>
      <c r="IQ115" s="381"/>
      <c r="IR115" s="223"/>
      <c r="IS115" s="223"/>
      <c r="IT115" s="223"/>
      <c r="IU115" s="223"/>
      <c r="IV115" s="223"/>
      <c r="IW115" s="223"/>
      <c r="IX115" s="225"/>
      <c r="IY115" s="68"/>
    </row>
    <row r="116" spans="2:259" s="64" customFormat="1" hidden="1" x14ac:dyDescent="0.3"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  <c r="AV116" s="68"/>
      <c r="AW116" s="68"/>
      <c r="AX116" s="68"/>
      <c r="AY116" s="68"/>
      <c r="AZ116" s="68"/>
      <c r="BA116" s="68"/>
      <c r="BB116" s="67"/>
      <c r="BC116" s="67"/>
      <c r="BD116" s="67"/>
      <c r="BE116" s="67"/>
      <c r="BF116" s="67"/>
      <c r="BG116" s="67"/>
      <c r="BH116" s="67"/>
      <c r="BI116" s="200"/>
      <c r="BJ116" s="67"/>
      <c r="BK116" s="67"/>
      <c r="BL116" s="67"/>
      <c r="BM116" s="66"/>
      <c r="BN116" s="66"/>
      <c r="BO116" s="66"/>
      <c r="BP116" s="66"/>
      <c r="BQ116" s="66"/>
      <c r="BR116" s="66"/>
      <c r="BS116" s="66"/>
      <c r="BT116" s="66"/>
      <c r="BU116" s="66"/>
      <c r="BV116" s="66"/>
      <c r="BW116" s="66"/>
      <c r="BX116" s="66"/>
      <c r="BY116" s="66"/>
      <c r="BZ116" s="66"/>
      <c r="CA116" s="66"/>
      <c r="CB116" s="193"/>
      <c r="CC116" s="193"/>
      <c r="CD116" s="193"/>
      <c r="CE116" s="193"/>
      <c r="CF116" s="435"/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  <c r="CV116" s="66"/>
      <c r="CW116" s="66"/>
      <c r="CX116" s="66"/>
      <c r="CY116" s="66"/>
      <c r="CZ116" s="66"/>
      <c r="DA116" s="66"/>
      <c r="DB116" s="66"/>
      <c r="DC116" s="66"/>
      <c r="DD116" s="66"/>
      <c r="DE116" s="66"/>
      <c r="DF116" s="66"/>
      <c r="DG116" s="66"/>
      <c r="DH116" s="66"/>
      <c r="DI116" s="66"/>
      <c r="DJ116" s="66"/>
      <c r="DK116" s="66"/>
      <c r="DL116" s="66"/>
      <c r="DM116" s="66"/>
      <c r="DN116" s="66"/>
      <c r="DO116" s="66"/>
      <c r="DP116" s="66"/>
      <c r="DQ116" s="66"/>
      <c r="DR116" s="66"/>
      <c r="DS116" s="66"/>
      <c r="DT116" s="66"/>
      <c r="DU116" s="66"/>
      <c r="DV116" s="66"/>
      <c r="DW116" s="66"/>
      <c r="DX116" s="66"/>
      <c r="DY116" s="66"/>
      <c r="DZ116" s="66"/>
      <c r="EA116" s="66"/>
      <c r="EB116" s="66"/>
      <c r="EC116" s="66"/>
      <c r="ED116" s="66"/>
      <c r="EE116" s="66"/>
      <c r="HB116" s="68"/>
      <c r="HC116" s="68"/>
      <c r="HD116" s="68"/>
      <c r="HE116" s="68"/>
      <c r="HF116" s="68"/>
      <c r="HG116" s="162"/>
      <c r="HH116" s="162"/>
      <c r="HI116" s="162"/>
      <c r="HJ116" s="162"/>
      <c r="HK116" s="162"/>
      <c r="HL116" s="162"/>
      <c r="HM116" s="162"/>
      <c r="HN116" s="162"/>
      <c r="HO116" s="162"/>
      <c r="HP116" s="162"/>
      <c r="HQ116" s="162"/>
      <c r="HR116" s="162"/>
      <c r="HS116" s="162"/>
      <c r="HT116" s="162"/>
      <c r="HU116" s="162"/>
      <c r="HV116" s="162"/>
      <c r="HW116" s="162"/>
      <c r="HX116" s="162"/>
      <c r="HY116" s="162"/>
      <c r="HZ116" s="162"/>
      <c r="IA116" s="68"/>
      <c r="IB116" s="68"/>
      <c r="IC116" s="68"/>
      <c r="ID116" s="68"/>
      <c r="IE116" s="68"/>
      <c r="IF116" s="68"/>
      <c r="IG116" s="68"/>
      <c r="IH116" s="68"/>
      <c r="II116" s="68"/>
      <c r="IJ116" s="68"/>
      <c r="IK116" s="68"/>
      <c r="IL116" s="68"/>
      <c r="IM116" s="68"/>
      <c r="IN116" s="68"/>
      <c r="IO116" s="68"/>
      <c r="IP116" s="68"/>
      <c r="IQ116" s="68"/>
      <c r="IR116" s="68"/>
      <c r="IS116" s="68"/>
      <c r="IT116" s="68"/>
      <c r="IU116" s="68"/>
      <c r="IV116" s="68"/>
      <c r="IW116" s="68"/>
      <c r="IX116" s="68"/>
      <c r="IY116" s="68"/>
    </row>
    <row r="117" spans="2:259" s="64" customFormat="1" hidden="1" x14ac:dyDescent="0.3"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7"/>
      <c r="BC117" s="67"/>
      <c r="BD117" s="67"/>
      <c r="BE117" s="67"/>
      <c r="BF117" s="67"/>
      <c r="BG117" s="67"/>
      <c r="BH117" s="67"/>
      <c r="BI117" s="200"/>
      <c r="BJ117" s="67"/>
      <c r="BK117" s="67"/>
      <c r="BL117" s="67"/>
      <c r="BM117" s="66"/>
      <c r="BN117" s="66"/>
      <c r="BO117" s="66"/>
      <c r="BP117" s="66"/>
      <c r="BQ117" s="66"/>
      <c r="BR117" s="66"/>
      <c r="BS117" s="66"/>
      <c r="BT117" s="66"/>
      <c r="BU117" s="66"/>
      <c r="BV117" s="66"/>
      <c r="BW117" s="66"/>
      <c r="BX117" s="66"/>
      <c r="BY117" s="66"/>
      <c r="BZ117" s="66"/>
      <c r="CA117" s="66"/>
      <c r="CB117" s="193"/>
      <c r="CC117" s="193"/>
      <c r="CD117" s="193"/>
      <c r="CE117" s="201"/>
      <c r="CF117" s="435"/>
      <c r="CG117" s="66" t="s">
        <v>139</v>
      </c>
      <c r="CH117" s="66"/>
      <c r="CI117" s="66"/>
      <c r="CJ117" s="66"/>
      <c r="CK117" s="66"/>
      <c r="CL117" s="66"/>
      <c r="CM117" s="66"/>
      <c r="CN117" s="66"/>
      <c r="CO117" s="66"/>
      <c r="CP117" s="66"/>
      <c r="CQ117" s="66"/>
      <c r="CR117" s="66"/>
      <c r="CS117" s="66"/>
      <c r="CT117" s="66"/>
      <c r="CU117" s="66"/>
      <c r="CV117" s="66"/>
      <c r="CW117" s="66"/>
      <c r="CX117" s="66"/>
      <c r="CY117" s="66"/>
      <c r="CZ117" s="66"/>
      <c r="DA117" s="66"/>
      <c r="DB117" s="66"/>
      <c r="DC117" s="66"/>
      <c r="DD117" s="66"/>
      <c r="DE117" s="66"/>
      <c r="DF117" s="66"/>
      <c r="DG117" s="66"/>
      <c r="DH117" s="66"/>
      <c r="DI117" s="66"/>
      <c r="DJ117" s="66"/>
      <c r="DK117" s="66"/>
      <c r="DL117" s="66"/>
      <c r="DM117" s="66"/>
      <c r="DN117" s="66"/>
      <c r="DO117" s="66"/>
      <c r="DP117" s="66"/>
      <c r="DQ117" s="66"/>
      <c r="DR117" s="66"/>
      <c r="DS117" s="66"/>
      <c r="DT117" s="66"/>
      <c r="DU117" s="66"/>
      <c r="DV117" s="66"/>
      <c r="DW117" s="66"/>
      <c r="DX117" s="66"/>
      <c r="DY117" s="66"/>
      <c r="DZ117" s="66"/>
      <c r="EA117" s="66"/>
      <c r="EB117" s="66"/>
      <c r="EC117" s="66"/>
      <c r="ED117" s="66"/>
      <c r="EE117" s="66"/>
      <c r="HB117" s="68"/>
      <c r="HC117" s="68"/>
      <c r="HD117" s="379"/>
      <c r="HE117" s="379"/>
      <c r="HF117" s="379"/>
      <c r="HG117" s="379"/>
      <c r="HH117" s="379"/>
      <c r="HI117" s="379"/>
      <c r="HJ117" s="379"/>
      <c r="HK117" s="379"/>
      <c r="HL117" s="379"/>
      <c r="HM117" s="392"/>
      <c r="HN117" s="392"/>
      <c r="HO117" s="392"/>
      <c r="HP117" s="392"/>
      <c r="HQ117" s="392"/>
      <c r="HR117" s="392"/>
      <c r="HS117" s="392"/>
      <c r="HT117" s="150"/>
      <c r="HU117" s="150"/>
      <c r="HV117" s="150"/>
      <c r="HW117" s="150"/>
      <c r="HX117" s="68"/>
      <c r="HY117" s="68"/>
      <c r="HZ117" s="162"/>
      <c r="IA117" s="68"/>
      <c r="IB117" s="68"/>
      <c r="IC117" s="68"/>
      <c r="ID117" s="215"/>
      <c r="IE117" s="68"/>
      <c r="IF117" s="68"/>
      <c r="IG117" s="68"/>
      <c r="IH117" s="68"/>
      <c r="II117" s="68"/>
      <c r="IJ117" s="68"/>
      <c r="IK117" s="68"/>
      <c r="IL117" s="68"/>
      <c r="IM117" s="68"/>
      <c r="IN117" s="68"/>
      <c r="IO117" s="68"/>
      <c r="IP117" s="68"/>
      <c r="IQ117" s="68"/>
      <c r="IR117" s="68"/>
      <c r="IS117" s="68"/>
      <c r="IT117" s="68"/>
      <c r="IU117" s="68"/>
      <c r="IV117" s="68"/>
      <c r="IW117" s="68"/>
      <c r="IX117" s="68"/>
      <c r="IY117" s="68"/>
    </row>
    <row r="118" spans="2:259" s="64" customFormat="1" hidden="1" x14ac:dyDescent="0.3"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  <c r="AV118" s="68"/>
      <c r="AW118" s="68"/>
      <c r="AX118" s="68"/>
      <c r="AY118" s="68"/>
      <c r="AZ118" s="68"/>
      <c r="BA118" s="68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6"/>
      <c r="BN118" s="66"/>
      <c r="BO118" s="66"/>
      <c r="BP118" s="66"/>
      <c r="BQ118" s="66"/>
      <c r="BR118" s="66"/>
      <c r="BS118" s="66"/>
      <c r="BT118" s="66"/>
      <c r="BU118" s="66"/>
      <c r="BV118" s="66"/>
      <c r="BW118" s="66"/>
      <c r="BX118" s="66"/>
      <c r="BY118" s="66"/>
      <c r="BZ118" s="66"/>
      <c r="CA118" s="66"/>
      <c r="CB118" s="193"/>
      <c r="CC118" s="193"/>
      <c r="CD118" s="193"/>
      <c r="CE118" s="193"/>
      <c r="CF118" s="435"/>
      <c r="CG118" s="146" t="str">
        <f>IF(OR(AR10="",AR10=0,AT10="",AT10=0,AT10&gt;12,AV10&lt;2015),"-",IF(AH27="IOF a Pagar*:","-",IF(AL27="-","-",IF(AND(CI108="dia útil",CI109="dia útil",CI110="dia útil"),CG110,IF(OR(AND(CI108="Final de semana/feriado",CI109="dia útil",CI110="dia útil",CI111="dia útil"),AND(CI108="Dia útil",CI109="final de semana/feriado",CI110="dia útil",CI111="dia útil"),AND(CI108="dia útil",CI109="dia útil",CI110="final de semana/feriado",CI111="dia útil"),AND(CI108="dia útil",CI109="dia útil",CI110="dia útil",CI111="Final de semana/feriado")),CG111,IF(OR(AND(CI108="final de semana/feriado",CI109="final de semana/feriado",CI110="dia útil",CI111="dia útil",CI112="dia útil"),AND(CI108="dia útil",CI109="final de semana/feriado",CI110="final de semana/feriado",CI111="dia útil",CI112="dia útil"),AND(CI108="dia útil",CI109="dia útil",CI110="final de semana/feriado",CI111="final de semana/feriado",CI112="dia útil"),AND(CI108="Final de semana/feriado",CI109="dia útil",CI110="final de semana/feriado",CI111="dia útil",CI112="dia útil"),AND(CI108="Final de semana/feriado",CI109="dia útil",CI110="dia útil",CI111="final de semana/feriado",CI112="dia útil"),AND(CI108="dia útil",CI109="final de semana/feriado",CI110="dia útil",CI111="final de semana/feriado",CI112="dia útil")),CG112,IF(OR(AND(CI108="final de semana/feriado",CI109="final de semana/feriado",CI110="final de semana/feriado",CI111="dia útil",CI112="dia útil",CI113="dia útil"),AND(CI108="dia útil",CI109="final de semana/feriado",CI110="final de semana/feriado",CI111="final de semana/feriado",CI112="dia útil",CI113="dia útil"),AND(CI108="dia útil",CI109="dia útil",CI110="final de semana/feriado",CI111="final de semana/feriado",CI112="final de semana/feriado",CI113="dia útil"),AND(CI108="Final de semana/feriado",CI109="dia útil",CI110="final de semana/feriado",CI111="final de semana/feriado",CI112="dia útil",CI113="dia útil"),AND(CI108="Final de semana/feriado",CI109="dia útil",CI110="dia útil",CI111="final de semana/feriado",CI112="final de semana/feriado",CI113="dia útil"),AND(CI108="final de semana/feriado",CI109="dia útil",CI110="final de semana/feriado",CI111="dia útil",CI112="final de semana/feriado",CI113="dia útil")),CG113,IF(OR(AND(CI108="final de semana/feriado",CI109="final de semana/feriado",CI110="final de semana/feriado",CI111="final de semana/feriado",CI112="dia útil",CI113="dia útil",CI114="dia útil"),AND(CI108="dia útil",CI109="final de semana/feriado",CI110="final de semana/feriado",CI111="final de semana/feriado",CI112="final de semana/feriado",CI113="dia útil",CI114="dia útil"),AND(CI108="dia útil",CI109="dia útil",CI110="final de semana/feriado",CI111="final de semana/feriado",CI112="final de semana/feriado",CI113="final de semana/feriado",CI114="dia útil"),AND(CI108="Final de semana/feriado",CI109="dia útil",CI110="final de semana/feriado",CI111="final de semana/feriado",CI112="final de semana/feriado",CI113="dia útil",CI114="dia útil"),AND(CI108="Final de semana/feriado",CI109="dia útil",CI110="dia útil",CI111="final de semana/feriado",CI112="final de semana/feriado",CI113="final de semana/feriado",CI114="dia útil"),AND(CI108="final de semana/feriado",CI109="dia útil",CI110="final de semana/feriado",CI111="dia útil",CI112="final de semana/feriado",CI113="final de semana/feriado",CI114="dia útil"),AND(CI108="dia útil",CI109="final de semana/feriado",CI110="dia útil",CI111="final de semana/feriado",CI112="final de semana/feriado",CI113="final de semana/feriado",CI114="dia útil")),CG114))))))))</f>
        <v>-</v>
      </c>
      <c r="CH118" s="66"/>
      <c r="CI118" s="66"/>
      <c r="CJ118" s="66"/>
      <c r="CK118" s="66"/>
      <c r="CL118" s="66"/>
      <c r="CM118" s="66"/>
      <c r="CN118" s="66"/>
      <c r="CO118" s="66"/>
      <c r="CP118" s="66"/>
      <c r="CQ118" s="66"/>
      <c r="CR118" s="66"/>
      <c r="CS118" s="66"/>
      <c r="CT118" s="66"/>
      <c r="CU118" s="66"/>
      <c r="CV118" s="66"/>
      <c r="CW118" s="66"/>
      <c r="CX118" s="66"/>
      <c r="CY118" s="66"/>
      <c r="CZ118" s="66"/>
      <c r="DA118" s="66"/>
      <c r="DB118" s="66"/>
      <c r="DC118" s="66"/>
      <c r="DD118" s="66"/>
      <c r="DE118" s="66"/>
      <c r="DF118" s="66"/>
      <c r="DG118" s="66"/>
      <c r="DH118" s="66"/>
      <c r="DI118" s="66"/>
      <c r="DJ118" s="66"/>
      <c r="DK118" s="66"/>
      <c r="DL118" s="66"/>
      <c r="DM118" s="66"/>
      <c r="DN118" s="66"/>
      <c r="DO118" s="66"/>
      <c r="DP118" s="66"/>
      <c r="DQ118" s="66"/>
      <c r="DR118" s="66"/>
      <c r="DS118" s="66"/>
      <c r="DT118" s="66"/>
      <c r="DU118" s="66"/>
      <c r="DV118" s="66"/>
      <c r="DW118" s="66"/>
      <c r="DX118" s="66"/>
      <c r="DY118" s="66"/>
      <c r="DZ118" s="66"/>
      <c r="EA118" s="66"/>
      <c r="EB118" s="66"/>
      <c r="EC118" s="66"/>
      <c r="ED118" s="66"/>
      <c r="EE118" s="66"/>
      <c r="HB118" s="68"/>
      <c r="HC118" s="68"/>
      <c r="HD118" s="388"/>
      <c r="HE118" s="388"/>
      <c r="HF118" s="388"/>
      <c r="HG118" s="388"/>
      <c r="HH118" s="388"/>
      <c r="HI118" s="388"/>
      <c r="HJ118" s="388"/>
      <c r="HK118" s="388"/>
      <c r="HL118" s="388"/>
      <c r="HM118" s="388"/>
      <c r="HN118" s="388"/>
      <c r="HO118" s="388"/>
      <c r="HP118" s="388"/>
      <c r="HQ118" s="388"/>
      <c r="HR118" s="388"/>
      <c r="HS118" s="388"/>
      <c r="HT118" s="388"/>
      <c r="HU118" s="388"/>
      <c r="HV118" s="388"/>
      <c r="HW118" s="388"/>
      <c r="HX118" s="388"/>
      <c r="HY118" s="388"/>
      <c r="HZ118" s="162"/>
      <c r="IA118" s="68"/>
      <c r="IB118" s="68"/>
      <c r="IC118" s="68"/>
      <c r="ID118" s="381"/>
      <c r="IE118" s="381"/>
      <c r="IF118" s="381"/>
      <c r="IG118" s="381"/>
      <c r="IH118" s="381"/>
      <c r="II118" s="381"/>
      <c r="IJ118" s="381"/>
      <c r="IK118" s="381"/>
      <c r="IL118" s="381"/>
      <c r="IM118" s="381"/>
      <c r="IN118" s="381"/>
      <c r="IO118" s="381"/>
      <c r="IP118" s="381"/>
      <c r="IQ118" s="381"/>
      <c r="IR118" s="223"/>
      <c r="IS118" s="223"/>
      <c r="IT118" s="223"/>
      <c r="IU118" s="223"/>
      <c r="IV118" s="223"/>
      <c r="IW118" s="223"/>
      <c r="IX118" s="223"/>
      <c r="IY118" s="68"/>
    </row>
    <row r="119" spans="2:259" s="64" customFormat="1" hidden="1" x14ac:dyDescent="0.3"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  <c r="AV119" s="68"/>
      <c r="AW119" s="68"/>
      <c r="AX119" s="68"/>
      <c r="AY119" s="68"/>
      <c r="AZ119" s="68"/>
      <c r="BA119" s="68"/>
      <c r="BB119" s="67"/>
      <c r="BC119" s="67"/>
      <c r="BD119" s="67"/>
      <c r="BE119" s="67"/>
      <c r="BF119" s="67"/>
      <c r="BG119" s="67"/>
      <c r="BH119" s="67"/>
      <c r="BI119" s="200"/>
      <c r="BJ119" s="67"/>
      <c r="BK119" s="67"/>
      <c r="BL119" s="67"/>
      <c r="BM119" s="66"/>
      <c r="BN119" s="66"/>
      <c r="BO119" s="66"/>
      <c r="BP119" s="66"/>
      <c r="BQ119" s="66"/>
      <c r="BR119" s="66"/>
      <c r="BS119" s="66"/>
      <c r="BT119" s="66"/>
      <c r="BU119" s="66"/>
      <c r="BV119" s="66"/>
      <c r="BW119" s="66"/>
      <c r="BX119" s="66"/>
      <c r="BY119" s="66"/>
      <c r="BZ119" s="66"/>
      <c r="CA119" s="66"/>
      <c r="CB119" s="193"/>
      <c r="CC119" s="193"/>
      <c r="CD119" s="193"/>
      <c r="CE119" s="193"/>
      <c r="CF119" s="435"/>
      <c r="CG119" s="66"/>
      <c r="CH119" s="66"/>
      <c r="CI119" s="66"/>
      <c r="CJ119" s="66"/>
      <c r="CK119" s="66"/>
      <c r="CL119" s="66"/>
      <c r="CM119" s="66"/>
      <c r="CN119" s="66"/>
      <c r="CO119" s="66"/>
      <c r="CP119" s="66"/>
      <c r="CQ119" s="66"/>
      <c r="CR119" s="66"/>
      <c r="CS119" s="66"/>
      <c r="CT119" s="66"/>
      <c r="CU119" s="66"/>
      <c r="CV119" s="66"/>
      <c r="CW119" s="66"/>
      <c r="CX119" s="66"/>
      <c r="CY119" s="66"/>
      <c r="CZ119" s="66"/>
      <c r="DA119" s="66"/>
      <c r="DB119" s="66"/>
      <c r="DC119" s="66"/>
      <c r="DD119" s="66"/>
      <c r="DE119" s="66"/>
      <c r="DF119" s="66"/>
      <c r="DG119" s="66"/>
      <c r="DH119" s="66"/>
      <c r="DI119" s="66"/>
      <c r="DJ119" s="66"/>
      <c r="DK119" s="66"/>
      <c r="DL119" s="66"/>
      <c r="DM119" s="66"/>
      <c r="DN119" s="66"/>
      <c r="DO119" s="66"/>
      <c r="DP119" s="66"/>
      <c r="DQ119" s="66"/>
      <c r="DR119" s="66"/>
      <c r="DS119" s="66"/>
      <c r="DT119" s="66"/>
      <c r="DU119" s="66"/>
      <c r="DV119" s="66"/>
      <c r="DW119" s="66"/>
      <c r="DX119" s="66"/>
      <c r="DY119" s="66"/>
      <c r="DZ119" s="66"/>
      <c r="EA119" s="66"/>
      <c r="EB119" s="66"/>
      <c r="EC119" s="66"/>
      <c r="ED119" s="66"/>
      <c r="EE119" s="66"/>
      <c r="HB119" s="68"/>
      <c r="HC119" s="68"/>
      <c r="HD119" s="68"/>
      <c r="HE119" s="68"/>
      <c r="HF119" s="68"/>
      <c r="HG119" s="226"/>
      <c r="HH119" s="226"/>
      <c r="HI119" s="226"/>
      <c r="HJ119" s="226"/>
      <c r="HK119" s="226"/>
      <c r="HL119" s="226"/>
      <c r="HM119" s="226"/>
      <c r="HN119" s="226"/>
      <c r="HO119" s="226"/>
      <c r="HP119" s="226"/>
      <c r="HQ119" s="226"/>
      <c r="HR119" s="226"/>
      <c r="HS119" s="226"/>
      <c r="HT119" s="226"/>
      <c r="HU119" s="226"/>
      <c r="HV119" s="226"/>
      <c r="HW119" s="226"/>
      <c r="HX119" s="226"/>
      <c r="HY119" s="226"/>
      <c r="HZ119" s="162"/>
      <c r="IA119" s="68"/>
      <c r="IB119" s="68"/>
      <c r="IC119" s="68"/>
      <c r="ID119" s="68"/>
      <c r="IE119" s="68"/>
      <c r="IF119" s="68"/>
      <c r="IG119" s="68"/>
      <c r="IH119" s="68"/>
      <c r="II119" s="68"/>
      <c r="IJ119" s="68"/>
      <c r="IK119" s="68"/>
      <c r="IL119" s="68"/>
      <c r="IM119" s="68"/>
      <c r="IN119" s="68"/>
      <c r="IO119" s="68"/>
      <c r="IP119" s="68"/>
      <c r="IQ119" s="68"/>
      <c r="IR119" s="68"/>
      <c r="IS119" s="68"/>
      <c r="IT119" s="68"/>
      <c r="IU119" s="68"/>
      <c r="IV119" s="68"/>
      <c r="IW119" s="68"/>
      <c r="IX119" s="68"/>
      <c r="IY119" s="68"/>
    </row>
    <row r="120" spans="2:259" s="64" customFormat="1" hidden="1" x14ac:dyDescent="0.3"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  <c r="AV120" s="68"/>
      <c r="AW120" s="68"/>
      <c r="AX120" s="68"/>
      <c r="AY120" s="68"/>
      <c r="AZ120" s="68"/>
      <c r="BA120" s="68"/>
      <c r="BB120" s="67"/>
      <c r="BC120" s="67"/>
      <c r="BD120" s="67"/>
      <c r="BE120" s="67"/>
      <c r="BF120" s="67"/>
      <c r="BG120" s="67"/>
      <c r="BH120" s="67"/>
      <c r="BI120" s="200"/>
      <c r="BJ120" s="67"/>
      <c r="BK120" s="67"/>
      <c r="BL120" s="67"/>
      <c r="BM120" s="66"/>
      <c r="BN120" s="66"/>
      <c r="BO120" s="66"/>
      <c r="BP120" s="66"/>
      <c r="BQ120" s="66"/>
      <c r="BR120" s="66"/>
      <c r="BS120" s="66"/>
      <c r="BT120" s="66"/>
      <c r="BU120" s="66"/>
      <c r="BV120" s="66"/>
      <c r="BW120" s="66"/>
      <c r="BX120" s="66"/>
      <c r="BY120" s="66"/>
      <c r="BZ120" s="66"/>
      <c r="CA120" s="66"/>
      <c r="CB120" s="193"/>
      <c r="CC120" s="193"/>
      <c r="CD120" s="193"/>
      <c r="CE120" s="193"/>
      <c r="CF120" s="435"/>
      <c r="CG120" s="66"/>
      <c r="CH120" s="66"/>
      <c r="CI120" s="66"/>
      <c r="CJ120" s="66"/>
      <c r="CK120" s="66"/>
      <c r="CL120" s="66"/>
      <c r="CM120" s="66"/>
      <c r="CN120" s="66"/>
      <c r="CO120" s="66"/>
      <c r="CP120" s="66"/>
      <c r="CQ120" s="66"/>
      <c r="CR120" s="66"/>
      <c r="CS120" s="66"/>
      <c r="CT120" s="66"/>
      <c r="CU120" s="66"/>
      <c r="CV120" s="66"/>
      <c r="CW120" s="66"/>
      <c r="CX120" s="66"/>
      <c r="CY120" s="66"/>
      <c r="CZ120" s="66"/>
      <c r="DA120" s="66"/>
      <c r="DB120" s="66"/>
      <c r="DC120" s="66"/>
      <c r="DD120" s="66"/>
      <c r="DE120" s="66"/>
      <c r="DF120" s="66"/>
      <c r="DG120" s="66"/>
      <c r="DH120" s="66"/>
      <c r="DI120" s="66"/>
      <c r="DJ120" s="66"/>
      <c r="DK120" s="66"/>
      <c r="DL120" s="66"/>
      <c r="DM120" s="66"/>
      <c r="DN120" s="66"/>
      <c r="DO120" s="66"/>
      <c r="DP120" s="66"/>
      <c r="DQ120" s="66"/>
      <c r="DR120" s="66"/>
      <c r="DS120" s="66"/>
      <c r="DT120" s="66"/>
      <c r="DU120" s="66"/>
      <c r="DV120" s="66"/>
      <c r="DW120" s="66"/>
      <c r="DX120" s="66"/>
      <c r="DY120" s="66"/>
      <c r="DZ120" s="66"/>
      <c r="EA120" s="66"/>
      <c r="EB120" s="66"/>
      <c r="EC120" s="66"/>
      <c r="ED120" s="66"/>
      <c r="EE120" s="66"/>
      <c r="HB120" s="68"/>
      <c r="HC120" s="68"/>
      <c r="HD120" s="389"/>
      <c r="HE120" s="389"/>
      <c r="HF120" s="389"/>
      <c r="HG120" s="389"/>
      <c r="HH120" s="389"/>
      <c r="HI120" s="389"/>
      <c r="HJ120" s="389"/>
      <c r="HK120" s="389"/>
      <c r="HL120" s="389"/>
      <c r="HM120" s="389"/>
      <c r="HN120" s="389"/>
      <c r="HO120" s="389"/>
      <c r="HP120" s="389"/>
      <c r="HQ120" s="389"/>
      <c r="HR120" s="389"/>
      <c r="HS120" s="389"/>
      <c r="HT120" s="389"/>
      <c r="HU120" s="389"/>
      <c r="HV120" s="389"/>
      <c r="HW120" s="389"/>
      <c r="HX120" s="389"/>
      <c r="HY120" s="227"/>
      <c r="HZ120" s="162"/>
      <c r="IA120" s="68"/>
      <c r="IB120" s="68"/>
      <c r="IC120" s="68"/>
      <c r="ID120" s="379"/>
      <c r="IE120" s="379"/>
      <c r="IF120" s="379"/>
      <c r="IG120" s="379"/>
      <c r="IH120" s="379"/>
      <c r="II120" s="379"/>
      <c r="IJ120" s="379"/>
      <c r="IK120" s="379"/>
      <c r="IL120" s="379"/>
      <c r="IM120" s="379"/>
      <c r="IN120" s="379"/>
      <c r="IO120" s="379"/>
      <c r="IP120" s="379"/>
      <c r="IQ120" s="379"/>
      <c r="IR120" s="215"/>
      <c r="IS120" s="215"/>
      <c r="IT120" s="215"/>
      <c r="IU120" s="215"/>
      <c r="IV120" s="215"/>
      <c r="IW120" s="215"/>
      <c r="IX120" s="68"/>
      <c r="IY120" s="68"/>
    </row>
    <row r="121" spans="2:259" s="64" customFormat="1" hidden="1" x14ac:dyDescent="0.3"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  <c r="AV121" s="68"/>
      <c r="AW121" s="68"/>
      <c r="AX121" s="68"/>
      <c r="AY121" s="68"/>
      <c r="AZ121" s="68"/>
      <c r="BA121" s="68"/>
      <c r="BB121" s="67"/>
      <c r="BC121" s="67"/>
      <c r="BD121" s="67"/>
      <c r="BE121" s="67"/>
      <c r="BF121" s="67"/>
      <c r="BG121" s="67"/>
      <c r="BH121" s="67"/>
      <c r="BI121" s="200"/>
      <c r="BJ121" s="67"/>
      <c r="BK121" s="67"/>
      <c r="BL121" s="67"/>
      <c r="BM121" s="66"/>
      <c r="BN121" s="66"/>
      <c r="BO121" s="66"/>
      <c r="BP121" s="66"/>
      <c r="BQ121" s="66"/>
      <c r="BR121" s="66"/>
      <c r="BS121" s="66"/>
      <c r="BT121" s="66"/>
      <c r="BU121" s="66"/>
      <c r="BV121" s="66"/>
      <c r="BW121" s="66"/>
      <c r="BX121" s="66"/>
      <c r="BY121" s="66"/>
      <c r="BZ121" s="66"/>
      <c r="CA121" s="66"/>
      <c r="CB121" s="193"/>
      <c r="CC121" s="193"/>
      <c r="CD121" s="193"/>
      <c r="CE121" s="193"/>
      <c r="CF121" s="435"/>
      <c r="CG121" s="66"/>
      <c r="CH121" s="66"/>
      <c r="CI121" s="66"/>
      <c r="CJ121" s="66"/>
      <c r="CK121" s="66"/>
      <c r="CL121" s="66"/>
      <c r="CM121" s="66"/>
      <c r="CN121" s="66"/>
      <c r="CO121" s="66"/>
      <c r="CP121" s="66"/>
      <c r="CQ121" s="66"/>
      <c r="CR121" s="66"/>
      <c r="CS121" s="66"/>
      <c r="CT121" s="66"/>
      <c r="CU121" s="66"/>
      <c r="CV121" s="66"/>
      <c r="CW121" s="66"/>
      <c r="CX121" s="66"/>
      <c r="CY121" s="66"/>
      <c r="CZ121" s="66"/>
      <c r="DA121" s="66"/>
      <c r="DB121" s="66"/>
      <c r="DC121" s="66"/>
      <c r="DD121" s="66"/>
      <c r="DE121" s="66"/>
      <c r="DF121" s="66"/>
      <c r="DG121" s="66"/>
      <c r="DH121" s="66"/>
      <c r="DI121" s="66"/>
      <c r="DJ121" s="66"/>
      <c r="DK121" s="66"/>
      <c r="DL121" s="66"/>
      <c r="DM121" s="66"/>
      <c r="DN121" s="66"/>
      <c r="DO121" s="66"/>
      <c r="DP121" s="66"/>
      <c r="DQ121" s="66"/>
      <c r="DR121" s="66"/>
      <c r="DS121" s="66"/>
      <c r="DT121" s="66"/>
      <c r="DU121" s="66"/>
      <c r="DV121" s="66"/>
      <c r="DW121" s="66"/>
      <c r="DX121" s="66"/>
      <c r="DY121" s="66"/>
      <c r="DZ121" s="66"/>
      <c r="EA121" s="66"/>
      <c r="EB121" s="66"/>
      <c r="EC121" s="66"/>
      <c r="ED121" s="66"/>
      <c r="EE121" s="66"/>
      <c r="HB121" s="68"/>
      <c r="HC121" s="68"/>
      <c r="HD121" s="389"/>
      <c r="HE121" s="389"/>
      <c r="HF121" s="389"/>
      <c r="HG121" s="389"/>
      <c r="HH121" s="389"/>
      <c r="HI121" s="389"/>
      <c r="HJ121" s="389"/>
      <c r="HK121" s="389"/>
      <c r="HL121" s="389"/>
      <c r="HM121" s="389"/>
      <c r="HN121" s="389"/>
      <c r="HO121" s="389"/>
      <c r="HP121" s="389"/>
      <c r="HQ121" s="389"/>
      <c r="HR121" s="389"/>
      <c r="HS121" s="389"/>
      <c r="HT121" s="389"/>
      <c r="HU121" s="389"/>
      <c r="HV121" s="389"/>
      <c r="HW121" s="389"/>
      <c r="HX121" s="389"/>
      <c r="HY121" s="227"/>
      <c r="HZ121" s="68"/>
      <c r="IA121" s="68"/>
      <c r="IB121" s="68"/>
      <c r="IC121" s="68"/>
      <c r="ID121" s="224"/>
      <c r="IE121" s="224"/>
      <c r="IF121" s="224"/>
      <c r="IG121" s="224"/>
      <c r="IH121" s="224"/>
      <c r="II121" s="224"/>
      <c r="IJ121" s="224"/>
      <c r="IK121" s="224"/>
      <c r="IL121" s="224"/>
      <c r="IM121" s="224"/>
      <c r="IN121" s="224"/>
      <c r="IO121" s="224"/>
      <c r="IP121" s="224"/>
      <c r="IQ121" s="224"/>
      <c r="IR121" s="224"/>
      <c r="IS121" s="224"/>
      <c r="IT121" s="224"/>
      <c r="IU121" s="224"/>
      <c r="IV121" s="224"/>
      <c r="IW121" s="224"/>
      <c r="IX121" s="224"/>
      <c r="IY121" s="68"/>
    </row>
    <row r="122" spans="2:259" s="64" customFormat="1" hidden="1" x14ac:dyDescent="0.3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  <c r="AV122" s="68"/>
      <c r="AW122" s="68"/>
      <c r="AX122" s="68"/>
      <c r="AY122" s="68"/>
      <c r="AZ122" s="68"/>
      <c r="BA122" s="68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  <c r="BM122" s="66"/>
      <c r="BN122" s="66"/>
      <c r="BO122" s="66"/>
      <c r="BP122" s="66"/>
      <c r="BQ122" s="66"/>
      <c r="BR122" s="66"/>
      <c r="BS122" s="66"/>
      <c r="BT122" s="66"/>
      <c r="BU122" s="66"/>
      <c r="BV122" s="66"/>
      <c r="BW122" s="66"/>
      <c r="BX122" s="66"/>
      <c r="BY122" s="66"/>
      <c r="BZ122" s="66"/>
      <c r="CA122" s="66"/>
      <c r="CB122" s="193"/>
      <c r="CC122" s="193"/>
      <c r="CD122" s="193"/>
      <c r="CE122" s="193"/>
      <c r="CF122" s="435"/>
      <c r="CG122" s="66"/>
      <c r="CH122" s="66"/>
      <c r="CI122" s="66"/>
      <c r="CJ122" s="66"/>
      <c r="CK122" s="66"/>
      <c r="CL122" s="66"/>
      <c r="CM122" s="66"/>
      <c r="CN122" s="66"/>
      <c r="CO122" s="66"/>
      <c r="CP122" s="66"/>
      <c r="CQ122" s="66"/>
      <c r="CR122" s="66"/>
      <c r="CS122" s="66"/>
      <c r="CT122" s="66"/>
      <c r="CU122" s="66"/>
      <c r="CV122" s="66"/>
      <c r="CW122" s="66"/>
      <c r="CX122" s="66"/>
      <c r="CY122" s="66"/>
      <c r="CZ122" s="66"/>
      <c r="DA122" s="66"/>
      <c r="DB122" s="66"/>
      <c r="DC122" s="66"/>
      <c r="DD122" s="66"/>
      <c r="DE122" s="66"/>
      <c r="DF122" s="66"/>
      <c r="DG122" s="66"/>
      <c r="DH122" s="66"/>
      <c r="DI122" s="66"/>
      <c r="DJ122" s="66"/>
      <c r="DK122" s="66"/>
      <c r="DL122" s="66"/>
      <c r="DM122" s="66"/>
      <c r="DN122" s="66"/>
      <c r="DO122" s="66"/>
      <c r="DP122" s="66"/>
      <c r="DQ122" s="66"/>
      <c r="DR122" s="66"/>
      <c r="DS122" s="66"/>
      <c r="DT122" s="66"/>
      <c r="DU122" s="66"/>
      <c r="DV122" s="66"/>
      <c r="DW122" s="66"/>
      <c r="DX122" s="66"/>
      <c r="DY122" s="66"/>
      <c r="DZ122" s="66"/>
      <c r="EA122" s="66"/>
      <c r="EB122" s="66"/>
      <c r="EC122" s="66"/>
      <c r="ED122" s="66"/>
      <c r="EE122" s="66"/>
      <c r="HB122" s="68"/>
      <c r="HC122" s="68"/>
      <c r="HD122" s="389"/>
      <c r="HE122" s="389"/>
      <c r="HF122" s="389"/>
      <c r="HG122" s="389"/>
      <c r="HH122" s="389"/>
      <c r="HI122" s="389"/>
      <c r="HJ122" s="389"/>
      <c r="HK122" s="389"/>
      <c r="HL122" s="389"/>
      <c r="HM122" s="389"/>
      <c r="HN122" s="389"/>
      <c r="HO122" s="389"/>
      <c r="HP122" s="389"/>
      <c r="HQ122" s="389"/>
      <c r="HR122" s="389"/>
      <c r="HS122" s="389"/>
      <c r="HT122" s="389"/>
      <c r="HU122" s="389"/>
      <c r="HV122" s="389"/>
      <c r="HW122" s="389"/>
      <c r="HX122" s="389"/>
      <c r="HY122" s="227"/>
      <c r="HZ122" s="223"/>
      <c r="IA122" s="68"/>
      <c r="IB122" s="68"/>
      <c r="IC122" s="68"/>
      <c r="ID122" s="68"/>
      <c r="IE122" s="68"/>
      <c r="IF122" s="68"/>
      <c r="IG122" s="68"/>
      <c r="IH122" s="68"/>
      <c r="II122" s="68"/>
      <c r="IJ122" s="68"/>
      <c r="IK122" s="68"/>
      <c r="IL122" s="68"/>
      <c r="IM122" s="68"/>
      <c r="IN122" s="68"/>
      <c r="IO122" s="68"/>
      <c r="IP122" s="68"/>
      <c r="IQ122" s="68"/>
      <c r="IR122" s="68"/>
      <c r="IS122" s="68"/>
      <c r="IT122" s="68"/>
      <c r="IU122" s="68"/>
      <c r="IV122" s="68"/>
      <c r="IW122" s="68"/>
      <c r="IX122" s="68"/>
      <c r="IY122" s="68"/>
    </row>
    <row r="123" spans="2:259" s="64" customFormat="1" hidden="1" x14ac:dyDescent="0.3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  <c r="BM123" s="66"/>
      <c r="BN123" s="66"/>
      <c r="BO123" s="66"/>
      <c r="BP123" s="66"/>
      <c r="BQ123" s="66"/>
      <c r="BR123" s="66"/>
      <c r="BS123" s="66"/>
      <c r="BT123" s="66"/>
      <c r="BU123" s="66"/>
      <c r="BV123" s="66"/>
      <c r="BW123" s="66"/>
      <c r="BX123" s="66"/>
      <c r="BY123" s="66"/>
      <c r="BZ123" s="66"/>
      <c r="CA123" s="66"/>
      <c r="CB123" s="193"/>
      <c r="CC123" s="193"/>
      <c r="CD123" s="193"/>
      <c r="CE123" s="193"/>
      <c r="CF123" s="435"/>
      <c r="CG123" s="66"/>
      <c r="CH123" s="66"/>
      <c r="CI123" s="66"/>
      <c r="CJ123" s="156">
        <f>O10</f>
        <v>0</v>
      </c>
      <c r="CK123" s="66"/>
      <c r="CL123" s="66"/>
      <c r="CM123" s="66"/>
      <c r="CN123" s="66"/>
      <c r="CO123" s="66"/>
      <c r="CP123" s="66"/>
      <c r="CQ123" s="66"/>
      <c r="CR123" s="66"/>
      <c r="CS123" s="66"/>
      <c r="CT123" s="66"/>
      <c r="CU123" s="66"/>
      <c r="CV123" s="66"/>
      <c r="CW123" s="66"/>
      <c r="CX123" s="66"/>
      <c r="CY123" s="66"/>
      <c r="CZ123" s="66"/>
      <c r="DA123" s="66"/>
      <c r="DB123" s="66"/>
      <c r="DC123" s="66"/>
      <c r="DD123" s="66"/>
      <c r="DE123" s="66"/>
      <c r="DF123" s="66"/>
      <c r="DG123" s="66"/>
      <c r="DH123" s="66"/>
      <c r="DI123" s="66"/>
      <c r="DJ123" s="66"/>
      <c r="DK123" s="66"/>
      <c r="DL123" s="66"/>
      <c r="DM123" s="66"/>
      <c r="DN123" s="66"/>
      <c r="DO123" s="66"/>
      <c r="DP123" s="66"/>
      <c r="DQ123" s="66"/>
      <c r="DR123" s="66"/>
      <c r="DS123" s="66"/>
      <c r="DT123" s="66"/>
      <c r="DU123" s="66"/>
      <c r="DV123" s="66"/>
      <c r="DW123" s="66"/>
      <c r="DX123" s="66"/>
      <c r="DY123" s="66"/>
      <c r="DZ123" s="66"/>
      <c r="EA123" s="66"/>
      <c r="EB123" s="66"/>
      <c r="EC123" s="66"/>
      <c r="ED123" s="66"/>
      <c r="EE123" s="66"/>
      <c r="HB123" s="68"/>
      <c r="HC123" s="68"/>
      <c r="HD123" s="228"/>
      <c r="HE123" s="228"/>
      <c r="HF123" s="228"/>
      <c r="HG123" s="228"/>
      <c r="HH123" s="228"/>
      <c r="HI123" s="228"/>
      <c r="HJ123" s="228"/>
      <c r="HK123" s="228"/>
      <c r="HL123" s="228"/>
      <c r="HM123" s="228"/>
      <c r="HN123" s="228"/>
      <c r="HO123" s="228"/>
      <c r="HP123" s="228"/>
      <c r="HQ123" s="228"/>
      <c r="HR123" s="228"/>
      <c r="HS123" s="228"/>
      <c r="HT123" s="228"/>
      <c r="HU123" s="228"/>
      <c r="HV123" s="228"/>
      <c r="HW123" s="228"/>
      <c r="HX123" s="228"/>
      <c r="HY123" s="227"/>
      <c r="HZ123" s="223"/>
      <c r="IA123" s="68"/>
      <c r="IB123" s="68"/>
      <c r="IC123" s="68"/>
      <c r="ID123" s="68"/>
      <c r="IE123" s="68"/>
      <c r="IF123" s="68"/>
      <c r="IG123" s="68"/>
      <c r="IH123" s="390"/>
      <c r="II123" s="390"/>
      <c r="IJ123" s="390"/>
      <c r="IK123" s="390"/>
      <c r="IL123" s="391"/>
      <c r="IM123" s="391"/>
      <c r="IN123" s="391"/>
      <c r="IO123" s="229"/>
      <c r="IP123" s="229"/>
      <c r="IQ123" s="68"/>
      <c r="IR123" s="68"/>
      <c r="IS123" s="68"/>
      <c r="IT123" s="68"/>
      <c r="IU123" s="68"/>
      <c r="IV123" s="68"/>
      <c r="IW123" s="68"/>
      <c r="IX123" s="68"/>
      <c r="IY123" s="68"/>
    </row>
    <row r="124" spans="2:259" s="64" customFormat="1" hidden="1" x14ac:dyDescent="0.3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  <c r="AV124" s="68"/>
      <c r="AW124" s="68"/>
      <c r="AX124" s="68"/>
      <c r="AY124" s="68"/>
      <c r="AZ124" s="68"/>
      <c r="BA124" s="68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  <c r="BM124" s="66"/>
      <c r="BN124" s="66"/>
      <c r="BO124" s="66"/>
      <c r="BP124" s="66"/>
      <c r="BQ124" s="66"/>
      <c r="BR124" s="66"/>
      <c r="BS124" s="66"/>
      <c r="BT124" s="66"/>
      <c r="BU124" s="66"/>
      <c r="BV124" s="66"/>
      <c r="BW124" s="66"/>
      <c r="BX124" s="66"/>
      <c r="BY124" s="66"/>
      <c r="BZ124" s="66"/>
      <c r="CA124" s="66"/>
      <c r="CB124" s="193"/>
      <c r="CC124" s="193"/>
      <c r="CD124" s="193"/>
      <c r="CE124" s="193"/>
      <c r="CF124" s="435"/>
      <c r="CG124" s="66"/>
      <c r="CH124" s="66"/>
      <c r="CI124" s="66"/>
      <c r="CJ124" s="66"/>
      <c r="CK124" s="66"/>
      <c r="CL124" s="66"/>
      <c r="CM124" s="66"/>
      <c r="CN124" s="66"/>
      <c r="CO124" s="66"/>
      <c r="CP124" s="66"/>
      <c r="CQ124" s="66"/>
      <c r="CR124" s="66"/>
      <c r="CS124" s="66"/>
      <c r="CT124" s="66"/>
      <c r="CU124" s="66"/>
      <c r="CV124" s="66"/>
      <c r="CW124" s="66"/>
      <c r="CX124" s="66"/>
      <c r="CY124" s="66"/>
      <c r="CZ124" s="66"/>
      <c r="DA124" s="66"/>
      <c r="DB124" s="66"/>
      <c r="DC124" s="66"/>
      <c r="DD124" s="66"/>
      <c r="DE124" s="66"/>
      <c r="DF124" s="66"/>
      <c r="DG124" s="66"/>
      <c r="DH124" s="66"/>
      <c r="DI124" s="66"/>
      <c r="DJ124" s="66"/>
      <c r="DK124" s="66"/>
      <c r="DL124" s="66"/>
      <c r="DM124" s="66"/>
      <c r="DN124" s="66"/>
      <c r="DO124" s="66"/>
      <c r="DP124" s="66"/>
      <c r="DQ124" s="66"/>
      <c r="DR124" s="66"/>
      <c r="DS124" s="66"/>
      <c r="DT124" s="66"/>
      <c r="DU124" s="66"/>
      <c r="DV124" s="66"/>
      <c r="DW124" s="66"/>
      <c r="DX124" s="66"/>
      <c r="DY124" s="66"/>
      <c r="DZ124" s="66"/>
      <c r="EA124" s="66"/>
      <c r="EB124" s="66"/>
      <c r="EC124" s="66"/>
      <c r="ED124" s="66"/>
      <c r="EE124" s="66"/>
      <c r="HB124" s="68"/>
      <c r="HC124" s="68"/>
      <c r="HD124" s="394"/>
      <c r="HE124" s="394"/>
      <c r="HF124" s="394"/>
      <c r="HG124" s="394"/>
      <c r="HH124" s="394"/>
      <c r="HI124" s="394"/>
      <c r="HJ124" s="394"/>
      <c r="HK124" s="394"/>
      <c r="HL124" s="394"/>
      <c r="HM124" s="394"/>
      <c r="HN124" s="394"/>
      <c r="HO124" s="394"/>
      <c r="HP124" s="394"/>
      <c r="HQ124" s="394"/>
      <c r="HR124" s="394"/>
      <c r="HS124" s="394"/>
      <c r="HT124" s="394"/>
      <c r="HU124" s="394"/>
      <c r="HV124" s="394"/>
      <c r="HW124" s="394"/>
      <c r="HX124" s="394"/>
      <c r="HY124" s="394"/>
      <c r="HZ124" s="223"/>
      <c r="IA124" s="68"/>
      <c r="IB124" s="68"/>
      <c r="IC124" s="68"/>
      <c r="ID124" s="68"/>
      <c r="IE124" s="68"/>
      <c r="IF124" s="68"/>
      <c r="IG124" s="68"/>
      <c r="IH124" s="390"/>
      <c r="II124" s="390"/>
      <c r="IJ124" s="390"/>
      <c r="IK124" s="390"/>
      <c r="IL124" s="391"/>
      <c r="IM124" s="391"/>
      <c r="IN124" s="391"/>
      <c r="IO124" s="229"/>
      <c r="IP124" s="229"/>
      <c r="IQ124" s="68"/>
      <c r="IR124" s="68"/>
      <c r="IS124" s="68"/>
      <c r="IT124" s="68"/>
      <c r="IU124" s="68"/>
      <c r="IV124" s="68"/>
      <c r="IW124" s="68"/>
      <c r="IX124" s="68"/>
      <c r="IY124" s="68"/>
    </row>
    <row r="125" spans="2:259" s="64" customFormat="1" ht="4.5" hidden="1" customHeight="1" x14ac:dyDescent="0.3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  <c r="BM125" s="66"/>
      <c r="BN125" s="66"/>
      <c r="BO125" s="66"/>
      <c r="BP125" s="66"/>
      <c r="BQ125" s="66"/>
      <c r="BR125" s="66"/>
      <c r="BS125" s="66"/>
      <c r="BT125" s="66"/>
      <c r="BU125" s="66"/>
      <c r="BV125" s="66"/>
      <c r="BW125" s="66"/>
      <c r="BX125" s="66"/>
      <c r="BY125" s="66"/>
      <c r="BZ125" s="66"/>
      <c r="CA125" s="66"/>
      <c r="CB125" s="66"/>
      <c r="CC125" s="66"/>
      <c r="CD125" s="66"/>
      <c r="CE125" s="66"/>
      <c r="CF125" s="435"/>
      <c r="CG125" s="66"/>
      <c r="CH125" s="66"/>
      <c r="CI125" s="66"/>
      <c r="CJ125" s="66"/>
      <c r="CK125" s="66"/>
      <c r="CL125" s="66"/>
      <c r="CM125" s="66"/>
      <c r="CN125" s="66"/>
      <c r="CO125" s="66"/>
      <c r="CP125" s="66"/>
      <c r="CQ125" s="66"/>
      <c r="CR125" s="66"/>
      <c r="CS125" s="66"/>
      <c r="CT125" s="66"/>
      <c r="CU125" s="66"/>
      <c r="CV125" s="66"/>
      <c r="CW125" s="66"/>
      <c r="CX125" s="66"/>
      <c r="CY125" s="66"/>
      <c r="CZ125" s="66"/>
      <c r="DA125" s="66"/>
      <c r="DB125" s="66"/>
      <c r="DC125" s="66"/>
      <c r="DD125" s="66"/>
      <c r="DE125" s="66"/>
      <c r="DF125" s="66"/>
      <c r="DG125" s="66"/>
      <c r="DH125" s="66"/>
      <c r="DI125" s="66"/>
      <c r="DJ125" s="66"/>
      <c r="DK125" s="66"/>
      <c r="DL125" s="66"/>
      <c r="DM125" s="66"/>
      <c r="DN125" s="66"/>
      <c r="DO125" s="66"/>
      <c r="DP125" s="66"/>
      <c r="HB125" s="68"/>
      <c r="HC125" s="68"/>
      <c r="HD125" s="68"/>
      <c r="HE125" s="68"/>
      <c r="HF125" s="68"/>
      <c r="HG125" s="162"/>
      <c r="HH125" s="162"/>
      <c r="HI125" s="162"/>
      <c r="HJ125" s="162"/>
      <c r="HK125" s="162"/>
      <c r="HL125" s="162"/>
      <c r="HM125" s="162"/>
      <c r="HN125" s="162"/>
      <c r="HO125" s="162"/>
      <c r="HP125" s="162"/>
      <c r="HQ125" s="162"/>
      <c r="HR125" s="162"/>
      <c r="HS125" s="162"/>
      <c r="HT125" s="162"/>
      <c r="HU125" s="162"/>
      <c r="HV125" s="162"/>
      <c r="HW125" s="162"/>
      <c r="HX125" s="162"/>
      <c r="HY125" s="162"/>
      <c r="HZ125" s="226"/>
      <c r="IA125" s="68"/>
      <c r="IB125" s="68"/>
      <c r="IC125" s="68"/>
      <c r="ID125" s="68"/>
      <c r="IE125" s="68"/>
      <c r="IF125" s="68"/>
      <c r="IG125" s="68"/>
      <c r="IH125" s="150"/>
      <c r="II125" s="150"/>
      <c r="IJ125" s="150"/>
      <c r="IK125" s="150"/>
      <c r="IL125" s="391"/>
      <c r="IM125" s="391"/>
      <c r="IN125" s="229"/>
      <c r="IO125" s="229"/>
      <c r="IP125" s="229"/>
      <c r="IQ125" s="68"/>
      <c r="IR125" s="68"/>
      <c r="IS125" s="68"/>
      <c r="IT125" s="68"/>
      <c r="IU125" s="68"/>
      <c r="IV125" s="68"/>
      <c r="IW125" s="68"/>
      <c r="IX125" s="68"/>
      <c r="IY125" s="68"/>
    </row>
    <row r="126" spans="2:259" s="64" customFormat="1" hidden="1" x14ac:dyDescent="0.3"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  <c r="AV126" s="68"/>
      <c r="AW126" s="68"/>
      <c r="AX126" s="68"/>
      <c r="AY126" s="68"/>
      <c r="AZ126" s="68"/>
      <c r="BA126" s="68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6"/>
      <c r="CF126" s="435"/>
      <c r="CG126" s="66"/>
      <c r="CH126" s="66"/>
      <c r="CI126" s="66"/>
      <c r="CJ126" s="146"/>
      <c r="CK126" s="66"/>
      <c r="CL126" s="66"/>
      <c r="CM126" s="66"/>
      <c r="CN126" s="66"/>
      <c r="CO126" s="66"/>
      <c r="CP126" s="66"/>
      <c r="CQ126" s="66"/>
      <c r="CR126" s="66"/>
      <c r="CS126" s="66"/>
      <c r="CT126" s="66"/>
      <c r="CU126" s="66"/>
      <c r="CV126" s="66"/>
      <c r="CW126" s="66"/>
      <c r="CX126" s="66"/>
      <c r="CY126" s="66"/>
      <c r="CZ126" s="66"/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/>
      <c r="DL126" s="66"/>
      <c r="DM126" s="66"/>
      <c r="DN126" s="66"/>
      <c r="DO126" s="66"/>
      <c r="DP126" s="66"/>
      <c r="HB126" s="68"/>
      <c r="HC126" s="68"/>
      <c r="HD126" s="395"/>
      <c r="HE126" s="396"/>
      <c r="HF126" s="396"/>
      <c r="HG126" s="396"/>
      <c r="HH126" s="396"/>
      <c r="HI126" s="396"/>
      <c r="HJ126" s="396"/>
      <c r="HK126" s="396"/>
      <c r="HL126" s="396"/>
      <c r="HM126" s="395"/>
      <c r="HN126" s="396"/>
      <c r="HO126" s="396"/>
      <c r="HP126" s="396"/>
      <c r="HQ126" s="396"/>
      <c r="HR126" s="396"/>
      <c r="HS126" s="396"/>
      <c r="HT126" s="395"/>
      <c r="HU126" s="396"/>
      <c r="HV126" s="396"/>
      <c r="HW126" s="395"/>
      <c r="HX126" s="396"/>
      <c r="HY126" s="396"/>
      <c r="HZ126" s="212"/>
      <c r="IA126" s="68"/>
      <c r="IB126" s="68"/>
      <c r="IC126" s="68"/>
      <c r="ID126" s="68"/>
      <c r="IE126" s="68"/>
      <c r="IF126" s="213"/>
      <c r="IG126" s="213"/>
      <c r="IH126" s="379"/>
      <c r="II126" s="379"/>
      <c r="IJ126" s="379"/>
      <c r="IK126" s="379"/>
      <c r="IL126" s="397"/>
      <c r="IM126" s="397"/>
      <c r="IN126" s="397"/>
      <c r="IO126" s="230"/>
      <c r="IP126" s="230"/>
      <c r="IQ126" s="68"/>
      <c r="IR126" s="68"/>
      <c r="IS126" s="68"/>
      <c r="IT126" s="68"/>
      <c r="IU126" s="68"/>
      <c r="IV126" s="68"/>
      <c r="IW126" s="68"/>
      <c r="IX126" s="68"/>
      <c r="IY126" s="68"/>
    </row>
    <row r="127" spans="2:259" s="64" customFormat="1" ht="4.5" hidden="1" customHeight="1" x14ac:dyDescent="0.3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  <c r="AV127" s="68"/>
      <c r="AW127" s="68"/>
      <c r="AX127" s="68"/>
      <c r="AY127" s="68"/>
      <c r="AZ127" s="68"/>
      <c r="BA127" s="68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  <c r="BM127" s="66"/>
      <c r="BN127" s="66"/>
      <c r="BO127" s="66"/>
      <c r="BP127" s="66"/>
      <c r="BQ127" s="66"/>
      <c r="BR127" s="66"/>
      <c r="BS127" s="66"/>
      <c r="BT127" s="66"/>
      <c r="BU127" s="66"/>
      <c r="BV127" s="66"/>
      <c r="BW127" s="66"/>
      <c r="BX127" s="66"/>
      <c r="BY127" s="66"/>
      <c r="BZ127" s="66"/>
      <c r="CA127" s="66"/>
      <c r="CB127" s="66"/>
      <c r="CC127" s="66"/>
      <c r="CD127" s="66"/>
      <c r="CE127" s="66"/>
      <c r="CF127" s="435"/>
      <c r="CG127" s="66"/>
      <c r="CH127" s="66"/>
      <c r="CI127" s="66"/>
      <c r="CJ127" s="66"/>
      <c r="CK127" s="66"/>
      <c r="CL127" s="66"/>
      <c r="CM127" s="66"/>
      <c r="CN127" s="66"/>
      <c r="CO127" s="66"/>
      <c r="CP127" s="66"/>
      <c r="CQ127" s="66"/>
      <c r="CR127" s="66"/>
      <c r="CS127" s="66"/>
      <c r="CT127" s="66"/>
      <c r="CU127" s="66"/>
      <c r="CV127" s="66"/>
      <c r="CW127" s="66"/>
      <c r="CX127" s="66"/>
      <c r="CY127" s="66"/>
      <c r="CZ127" s="66"/>
      <c r="DA127" s="66"/>
      <c r="DB127" s="66"/>
      <c r="DC127" s="66"/>
      <c r="DD127" s="66"/>
      <c r="DE127" s="66"/>
      <c r="DF127" s="66"/>
      <c r="DG127" s="66"/>
      <c r="DH127" s="66"/>
      <c r="DI127" s="66"/>
      <c r="DJ127" s="66"/>
      <c r="DK127" s="66"/>
      <c r="DL127" s="66"/>
      <c r="DM127" s="66"/>
      <c r="DN127" s="66"/>
      <c r="DO127" s="66"/>
      <c r="DP127" s="66"/>
      <c r="HB127" s="68"/>
      <c r="HC127" s="68"/>
      <c r="HD127" s="396"/>
      <c r="HE127" s="396"/>
      <c r="HF127" s="396"/>
      <c r="HG127" s="396"/>
      <c r="HH127" s="396"/>
      <c r="HI127" s="396"/>
      <c r="HJ127" s="396"/>
      <c r="HK127" s="396"/>
      <c r="HL127" s="396"/>
      <c r="HM127" s="396"/>
      <c r="HN127" s="396"/>
      <c r="HO127" s="396"/>
      <c r="HP127" s="396"/>
      <c r="HQ127" s="396"/>
      <c r="HR127" s="396"/>
      <c r="HS127" s="396"/>
      <c r="HT127" s="396"/>
      <c r="HU127" s="396"/>
      <c r="HV127" s="396"/>
      <c r="HW127" s="396"/>
      <c r="HX127" s="396"/>
      <c r="HY127" s="396"/>
      <c r="HZ127" s="212"/>
      <c r="IA127" s="68"/>
      <c r="IB127" s="68"/>
      <c r="IC127" s="68"/>
      <c r="ID127" s="68"/>
      <c r="IE127" s="68"/>
      <c r="IF127" s="68"/>
      <c r="IG127" s="68"/>
      <c r="IH127" s="68"/>
      <c r="II127" s="68"/>
      <c r="IJ127" s="68"/>
      <c r="IK127" s="68"/>
      <c r="IL127" s="68"/>
      <c r="IM127" s="68"/>
      <c r="IN127" s="68"/>
      <c r="IO127" s="68"/>
      <c r="IP127" s="68"/>
      <c r="IQ127" s="68"/>
      <c r="IR127" s="68"/>
      <c r="IS127" s="68"/>
      <c r="IT127" s="68"/>
      <c r="IU127" s="68"/>
      <c r="IV127" s="68"/>
      <c r="IW127" s="68"/>
      <c r="IX127" s="68"/>
      <c r="IY127" s="68"/>
    </row>
    <row r="128" spans="2:259" s="64" customFormat="1" hidden="1" x14ac:dyDescent="0.3"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  <c r="AV128" s="68"/>
      <c r="AW128" s="68"/>
      <c r="AX128" s="68"/>
      <c r="AY128" s="68"/>
      <c r="AZ128" s="68"/>
      <c r="BA128" s="68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  <c r="BM128" s="66"/>
      <c r="BN128" s="66"/>
      <c r="BO128" s="66"/>
      <c r="BP128" s="66"/>
      <c r="BQ128" s="66"/>
      <c r="BR128" s="66"/>
      <c r="BS128" s="66"/>
      <c r="BT128" s="66"/>
      <c r="BU128" s="66"/>
      <c r="BV128" s="66"/>
      <c r="BW128" s="66"/>
      <c r="BX128" s="66"/>
      <c r="BY128" s="66"/>
      <c r="BZ128" s="66"/>
      <c r="CA128" s="66"/>
      <c r="CB128" s="66"/>
      <c r="CC128" s="66"/>
      <c r="CD128" s="66"/>
      <c r="CE128" s="66"/>
      <c r="CF128" s="435"/>
      <c r="CG128" s="66"/>
      <c r="CH128" s="66"/>
      <c r="CI128" s="66"/>
      <c r="CJ128" s="146"/>
      <c r="CK128" s="66"/>
      <c r="CL128" s="66"/>
      <c r="CM128" s="66"/>
      <c r="CN128" s="66"/>
      <c r="CO128" s="66"/>
      <c r="CP128" s="66"/>
      <c r="CQ128" s="66"/>
      <c r="CR128" s="66"/>
      <c r="CS128" s="66"/>
      <c r="CT128" s="66"/>
      <c r="CU128" s="66"/>
      <c r="CV128" s="66"/>
      <c r="CW128" s="66"/>
      <c r="CX128" s="66"/>
      <c r="CY128" s="66"/>
      <c r="CZ128" s="66"/>
      <c r="DA128" s="66"/>
      <c r="DB128" s="66"/>
      <c r="DC128" s="66"/>
      <c r="DD128" s="66"/>
      <c r="DE128" s="66"/>
      <c r="DF128" s="66"/>
      <c r="DG128" s="66"/>
      <c r="DH128" s="66"/>
      <c r="DI128" s="66"/>
      <c r="DJ128" s="66"/>
      <c r="DK128" s="66"/>
      <c r="DL128" s="66"/>
      <c r="DM128" s="66"/>
      <c r="DN128" s="66"/>
      <c r="DO128" s="66"/>
      <c r="DP128" s="66"/>
      <c r="HB128" s="68"/>
      <c r="HC128" s="68"/>
      <c r="HD128" s="396"/>
      <c r="HE128" s="396"/>
      <c r="HF128" s="396"/>
      <c r="HG128" s="396"/>
      <c r="HH128" s="396"/>
      <c r="HI128" s="396"/>
      <c r="HJ128" s="396"/>
      <c r="HK128" s="396"/>
      <c r="HL128" s="396"/>
      <c r="HM128" s="396"/>
      <c r="HN128" s="396"/>
      <c r="HO128" s="396"/>
      <c r="HP128" s="396"/>
      <c r="HQ128" s="396"/>
      <c r="HR128" s="396"/>
      <c r="HS128" s="396"/>
      <c r="HT128" s="396"/>
      <c r="HU128" s="396"/>
      <c r="HV128" s="396"/>
      <c r="HW128" s="396"/>
      <c r="HX128" s="396"/>
      <c r="HY128" s="396"/>
      <c r="HZ128" s="212"/>
      <c r="IA128" s="68"/>
      <c r="IB128" s="68"/>
      <c r="IC128" s="68"/>
      <c r="ID128" s="68"/>
      <c r="IE128" s="68"/>
      <c r="IF128" s="68"/>
      <c r="IG128" s="68"/>
      <c r="IH128" s="401"/>
      <c r="II128" s="401"/>
      <c r="IJ128" s="401"/>
      <c r="IK128" s="401"/>
      <c r="IL128" s="403"/>
      <c r="IM128" s="404"/>
      <c r="IN128" s="404"/>
      <c r="IO128" s="68"/>
      <c r="IP128" s="68"/>
      <c r="IQ128" s="68"/>
      <c r="IR128" s="68"/>
      <c r="IS128" s="68"/>
      <c r="IT128" s="68"/>
      <c r="IU128" s="68"/>
      <c r="IV128" s="68"/>
      <c r="IW128" s="68"/>
      <c r="IX128" s="68"/>
      <c r="IY128" s="68"/>
    </row>
    <row r="129" spans="2:259" s="64" customFormat="1" hidden="1" x14ac:dyDescent="0.3"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  <c r="AV129" s="68"/>
      <c r="AW129" s="68"/>
      <c r="AX129" s="68"/>
      <c r="AY129" s="68"/>
      <c r="AZ129" s="68"/>
      <c r="BA129" s="68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  <c r="BM129" s="66"/>
      <c r="BN129" s="66"/>
      <c r="BO129" s="66"/>
      <c r="BP129" s="66"/>
      <c r="BQ129" s="66"/>
      <c r="BR129" s="66"/>
      <c r="BS129" s="66"/>
      <c r="BT129" s="66"/>
      <c r="BU129" s="66"/>
      <c r="BV129" s="66"/>
      <c r="BW129" s="66"/>
      <c r="BX129" s="66"/>
      <c r="BY129" s="66"/>
      <c r="BZ129" s="66"/>
      <c r="CA129" s="66"/>
      <c r="CB129" s="66"/>
      <c r="CC129" s="66"/>
      <c r="CD129" s="66"/>
      <c r="CE129" s="66"/>
      <c r="CF129" s="435"/>
      <c r="CG129" s="66"/>
      <c r="CH129" s="66"/>
      <c r="CI129" s="66"/>
      <c r="CJ129" s="66"/>
      <c r="CK129" s="66"/>
      <c r="CL129" s="66"/>
      <c r="CM129" s="66"/>
      <c r="CN129" s="66"/>
      <c r="CO129" s="66"/>
      <c r="CP129" s="66"/>
      <c r="CQ129" s="66"/>
      <c r="CR129" s="66"/>
      <c r="CS129" s="66"/>
      <c r="CT129" s="66"/>
      <c r="CU129" s="66"/>
      <c r="CV129" s="66"/>
      <c r="CW129" s="66"/>
      <c r="CX129" s="66"/>
      <c r="CY129" s="66"/>
      <c r="CZ129" s="66"/>
      <c r="DA129" s="66"/>
      <c r="DB129" s="66"/>
      <c r="DC129" s="66"/>
      <c r="DD129" s="66"/>
      <c r="DE129" s="66"/>
      <c r="DF129" s="66"/>
      <c r="DG129" s="66"/>
      <c r="DH129" s="66"/>
      <c r="DI129" s="66"/>
      <c r="DJ129" s="66"/>
      <c r="DK129" s="66"/>
      <c r="DL129" s="66"/>
      <c r="DM129" s="66"/>
      <c r="DN129" s="66"/>
      <c r="DO129" s="66"/>
      <c r="DP129" s="66"/>
      <c r="HB129" s="68"/>
      <c r="HC129" s="68"/>
      <c r="HD129" s="396"/>
      <c r="HE129" s="396"/>
      <c r="HF129" s="396"/>
      <c r="HG129" s="396"/>
      <c r="HH129" s="396"/>
      <c r="HI129" s="396"/>
      <c r="HJ129" s="396"/>
      <c r="HK129" s="396"/>
      <c r="HL129" s="396"/>
      <c r="HM129" s="396"/>
      <c r="HN129" s="396"/>
      <c r="HO129" s="396"/>
      <c r="HP129" s="396"/>
      <c r="HQ129" s="396"/>
      <c r="HR129" s="396"/>
      <c r="HS129" s="396"/>
      <c r="HT129" s="396"/>
      <c r="HU129" s="396"/>
      <c r="HV129" s="396"/>
      <c r="HW129" s="396"/>
      <c r="HX129" s="396"/>
      <c r="HY129" s="396"/>
      <c r="HZ129" s="212"/>
      <c r="IA129" s="68"/>
      <c r="IB129" s="68"/>
      <c r="IC129" s="68"/>
      <c r="ID129" s="68"/>
      <c r="IE129" s="68"/>
      <c r="IF129" s="68"/>
      <c r="IG129" s="68"/>
      <c r="IH129" s="401"/>
      <c r="II129" s="401"/>
      <c r="IJ129" s="401"/>
      <c r="IK129" s="401"/>
      <c r="IL129" s="404"/>
      <c r="IM129" s="404"/>
      <c r="IN129" s="404"/>
      <c r="IO129" s="68"/>
      <c r="IP129" s="68"/>
      <c r="IQ129" s="68"/>
      <c r="IR129" s="68"/>
      <c r="IS129" s="68"/>
      <c r="IT129" s="68"/>
      <c r="IU129" s="68"/>
      <c r="IV129" s="68"/>
      <c r="IW129" s="68"/>
      <c r="IX129" s="68"/>
      <c r="IY129" s="68"/>
    </row>
    <row r="130" spans="2:259" s="64" customFormat="1" ht="6" hidden="1" customHeight="1" x14ac:dyDescent="0.3"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  <c r="AV130" s="68"/>
      <c r="AW130" s="68"/>
      <c r="AX130" s="68"/>
      <c r="AY130" s="68"/>
      <c r="AZ130" s="68"/>
      <c r="BA130" s="68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  <c r="BM130" s="66"/>
      <c r="BN130" s="66"/>
      <c r="BO130" s="66"/>
      <c r="BP130" s="66"/>
      <c r="BQ130" s="66"/>
      <c r="BR130" s="66"/>
      <c r="BS130" s="66"/>
      <c r="BT130" s="66"/>
      <c r="BU130" s="66"/>
      <c r="BV130" s="66"/>
      <c r="BW130" s="66"/>
      <c r="BX130" s="66"/>
      <c r="BY130" s="66"/>
      <c r="BZ130" s="66"/>
      <c r="CA130" s="66"/>
      <c r="CB130" s="66"/>
      <c r="CC130" s="66"/>
      <c r="CD130" s="66"/>
      <c r="CE130" s="66"/>
      <c r="CF130" s="435"/>
      <c r="CG130" s="66"/>
      <c r="CH130" s="66"/>
      <c r="CI130" s="66"/>
      <c r="CJ130" s="66"/>
      <c r="CK130" s="66"/>
      <c r="CL130" s="66"/>
      <c r="CM130" s="66"/>
      <c r="CN130" s="66"/>
      <c r="CO130" s="66"/>
      <c r="CP130" s="66"/>
      <c r="CQ130" s="66"/>
      <c r="CR130" s="66"/>
      <c r="CS130" s="66"/>
      <c r="CT130" s="66"/>
      <c r="CU130" s="66"/>
      <c r="CV130" s="66"/>
      <c r="CW130" s="66"/>
      <c r="CX130" s="66"/>
      <c r="CY130" s="66"/>
      <c r="CZ130" s="66"/>
      <c r="DA130" s="66"/>
      <c r="DB130" s="66"/>
      <c r="DC130" s="66"/>
      <c r="DD130" s="66"/>
      <c r="DE130" s="66"/>
      <c r="DF130" s="66"/>
      <c r="DG130" s="66"/>
      <c r="DH130" s="66"/>
      <c r="DI130" s="66"/>
      <c r="DJ130" s="66"/>
      <c r="DK130" s="66"/>
      <c r="DL130" s="66"/>
      <c r="DM130" s="66"/>
      <c r="DN130" s="66"/>
      <c r="DO130" s="66"/>
      <c r="DP130" s="66"/>
      <c r="HB130" s="68"/>
      <c r="HC130" s="68"/>
      <c r="HD130" s="383"/>
      <c r="HE130" s="383"/>
      <c r="HF130" s="383"/>
      <c r="HG130" s="383"/>
      <c r="HH130" s="383"/>
      <c r="HI130" s="383"/>
      <c r="HJ130" s="383"/>
      <c r="HK130" s="383"/>
      <c r="HL130" s="383"/>
      <c r="HM130" s="377"/>
      <c r="HN130" s="377"/>
      <c r="HO130" s="377"/>
      <c r="HP130" s="377"/>
      <c r="HQ130" s="377"/>
      <c r="HR130" s="377"/>
      <c r="HS130" s="377"/>
      <c r="HT130" s="377"/>
      <c r="HU130" s="377"/>
      <c r="HV130" s="377"/>
      <c r="HW130" s="393"/>
      <c r="HX130" s="393"/>
      <c r="HY130" s="393"/>
      <c r="HZ130" s="212"/>
      <c r="IA130" s="68"/>
      <c r="IB130" s="68"/>
      <c r="IC130" s="68"/>
      <c r="ID130" s="68"/>
      <c r="IE130" s="68"/>
      <c r="IF130" s="68"/>
      <c r="IG130" s="68"/>
      <c r="IH130" s="68"/>
      <c r="II130" s="68"/>
      <c r="IJ130" s="68"/>
      <c r="IK130" s="68"/>
      <c r="IL130" s="68"/>
      <c r="IM130" s="68"/>
      <c r="IN130" s="68"/>
      <c r="IO130" s="68"/>
      <c r="IP130" s="68"/>
      <c r="IQ130" s="68"/>
      <c r="IR130" s="68"/>
      <c r="IS130" s="68"/>
      <c r="IT130" s="68"/>
      <c r="IU130" s="68"/>
      <c r="IV130" s="68"/>
      <c r="IW130" s="68"/>
      <c r="IX130" s="68"/>
      <c r="IY130" s="68"/>
    </row>
    <row r="131" spans="2:259" s="64" customFormat="1" hidden="1" x14ac:dyDescent="0.3"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  <c r="AV131" s="68"/>
      <c r="AW131" s="68"/>
      <c r="AX131" s="68"/>
      <c r="AY131" s="68"/>
      <c r="AZ131" s="68"/>
      <c r="BA131" s="68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  <c r="BM131" s="66"/>
      <c r="BN131" s="66"/>
      <c r="BO131" s="66"/>
      <c r="BP131" s="66"/>
      <c r="BQ131" s="66"/>
      <c r="BR131" s="66"/>
      <c r="BS131" s="66"/>
      <c r="BT131" s="66"/>
      <c r="BU131" s="66"/>
      <c r="BV131" s="66"/>
      <c r="BW131" s="66"/>
      <c r="BX131" s="66"/>
      <c r="BY131" s="66"/>
      <c r="BZ131" s="66"/>
      <c r="CA131" s="66"/>
      <c r="CB131" s="66"/>
      <c r="CC131" s="66"/>
      <c r="CD131" s="66"/>
      <c r="CE131" s="66"/>
      <c r="CF131" s="435"/>
      <c r="CG131" s="66"/>
      <c r="CH131" s="66"/>
      <c r="CI131" s="66"/>
      <c r="CJ131" s="66"/>
      <c r="CK131" s="66"/>
      <c r="CL131" s="66"/>
      <c r="CM131" s="66"/>
      <c r="CN131" s="66"/>
      <c r="CO131" s="66"/>
      <c r="CP131" s="66"/>
      <c r="CQ131" s="66"/>
      <c r="CR131" s="66"/>
      <c r="CS131" s="66"/>
      <c r="CT131" s="66"/>
      <c r="CU131" s="66"/>
      <c r="CV131" s="66"/>
      <c r="CW131" s="66"/>
      <c r="CX131" s="66"/>
      <c r="CY131" s="66"/>
      <c r="CZ131" s="66"/>
      <c r="DA131" s="66"/>
      <c r="DB131" s="66"/>
      <c r="DC131" s="66"/>
      <c r="DD131" s="66"/>
      <c r="DE131" s="66"/>
      <c r="DF131" s="66"/>
      <c r="DG131" s="66"/>
      <c r="DH131" s="66"/>
      <c r="DI131" s="66"/>
      <c r="DJ131" s="66"/>
      <c r="DK131" s="66"/>
      <c r="DL131" s="66"/>
      <c r="DM131" s="66"/>
      <c r="DN131" s="66"/>
      <c r="DO131" s="66"/>
      <c r="DP131" s="66"/>
      <c r="HB131" s="68"/>
      <c r="HC131" s="68"/>
      <c r="HD131" s="398"/>
      <c r="HE131" s="398"/>
      <c r="HF131" s="398"/>
      <c r="HG131" s="398"/>
      <c r="HH131" s="398"/>
      <c r="HI131" s="398"/>
      <c r="HJ131" s="398"/>
      <c r="HK131" s="398"/>
      <c r="HL131" s="398"/>
      <c r="HM131" s="399"/>
      <c r="HN131" s="399"/>
      <c r="HO131" s="399"/>
      <c r="HP131" s="399"/>
      <c r="HQ131" s="399"/>
      <c r="HR131" s="399"/>
      <c r="HS131" s="399"/>
      <c r="HT131" s="399"/>
      <c r="HU131" s="399"/>
      <c r="HV131" s="399"/>
      <c r="HW131" s="400"/>
      <c r="HX131" s="400"/>
      <c r="HY131" s="400"/>
      <c r="HZ131" s="229"/>
      <c r="IA131" s="68"/>
      <c r="IB131" s="68"/>
      <c r="IC131" s="68"/>
      <c r="ID131" s="68"/>
      <c r="IE131" s="68"/>
      <c r="IF131" s="68"/>
      <c r="IG131" s="68"/>
      <c r="IH131" s="68"/>
      <c r="II131" s="68"/>
      <c r="IJ131" s="68"/>
      <c r="IK131" s="68"/>
      <c r="IL131" s="68"/>
      <c r="IM131" s="68"/>
      <c r="IN131" s="68"/>
      <c r="IO131" s="68"/>
      <c r="IP131" s="68"/>
      <c r="IQ131" s="68"/>
      <c r="IR131" s="68"/>
      <c r="IS131" s="68"/>
      <c r="IT131" s="68"/>
      <c r="IU131" s="68"/>
      <c r="IV131" s="68"/>
      <c r="IW131" s="68"/>
      <c r="IX131" s="68"/>
      <c r="IY131" s="68"/>
    </row>
    <row r="132" spans="2:259" s="64" customFormat="1" hidden="1" x14ac:dyDescent="0.3"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  <c r="AV132" s="68"/>
      <c r="AW132" s="68"/>
      <c r="AX132" s="68"/>
      <c r="AY132" s="68"/>
      <c r="AZ132" s="68"/>
      <c r="BA132" s="68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  <c r="BM132" s="66"/>
      <c r="BN132" s="66"/>
      <c r="BO132" s="66"/>
      <c r="BP132" s="66"/>
      <c r="BQ132" s="66"/>
      <c r="BR132" s="66"/>
      <c r="BS132" s="66"/>
      <c r="BT132" s="66"/>
      <c r="BU132" s="66"/>
      <c r="BV132" s="66"/>
      <c r="BW132" s="66"/>
      <c r="BX132" s="66"/>
      <c r="BY132" s="66"/>
      <c r="BZ132" s="66"/>
      <c r="CA132" s="66"/>
      <c r="CB132" s="66"/>
      <c r="CC132" s="66"/>
      <c r="CD132" s="66"/>
      <c r="CE132" s="66"/>
      <c r="CF132" s="435"/>
      <c r="CG132" s="66"/>
      <c r="CH132" s="66"/>
      <c r="CI132" s="66"/>
      <c r="CJ132" s="66"/>
      <c r="CK132" s="66"/>
      <c r="CL132" s="66"/>
      <c r="CM132" s="66"/>
      <c r="CN132" s="66"/>
      <c r="CO132" s="66"/>
      <c r="CP132" s="66"/>
      <c r="CQ132" s="66"/>
      <c r="CR132" s="66"/>
      <c r="CS132" s="66"/>
      <c r="CT132" s="66"/>
      <c r="CU132" s="66"/>
      <c r="CV132" s="66"/>
      <c r="CW132" s="66"/>
      <c r="CX132" s="66"/>
      <c r="CY132" s="66"/>
      <c r="CZ132" s="66"/>
      <c r="DA132" s="66"/>
      <c r="DB132" s="66"/>
      <c r="DC132" s="66"/>
      <c r="DD132" s="66"/>
      <c r="DE132" s="66"/>
      <c r="DF132" s="66"/>
      <c r="DG132" s="66"/>
      <c r="DH132" s="66"/>
      <c r="DI132" s="66"/>
      <c r="DJ132" s="66"/>
      <c r="DK132" s="66"/>
      <c r="DL132" s="66"/>
      <c r="DM132" s="66"/>
      <c r="DN132" s="66"/>
      <c r="DO132" s="66"/>
      <c r="DP132" s="66"/>
      <c r="HB132" s="68"/>
      <c r="HC132" s="68"/>
      <c r="HD132" s="398"/>
      <c r="HE132" s="398"/>
      <c r="HF132" s="398"/>
      <c r="HG132" s="398"/>
      <c r="HH132" s="398"/>
      <c r="HI132" s="398"/>
      <c r="HJ132" s="398"/>
      <c r="HK132" s="398"/>
      <c r="HL132" s="398"/>
      <c r="HM132" s="399"/>
      <c r="HN132" s="399"/>
      <c r="HO132" s="399"/>
      <c r="HP132" s="399"/>
      <c r="HQ132" s="399"/>
      <c r="HR132" s="399"/>
      <c r="HS132" s="399"/>
      <c r="HT132" s="399"/>
      <c r="HU132" s="399"/>
      <c r="HV132" s="399"/>
      <c r="HW132" s="400"/>
      <c r="HX132" s="400"/>
      <c r="HY132" s="400"/>
      <c r="HZ132" s="229"/>
      <c r="IA132" s="68"/>
      <c r="IB132" s="68"/>
      <c r="IC132" s="68"/>
      <c r="ID132" s="68"/>
      <c r="IE132" s="68"/>
      <c r="IF132" s="68"/>
      <c r="IG132" s="402"/>
      <c r="IH132" s="402"/>
      <c r="II132" s="402"/>
      <c r="IJ132" s="402"/>
      <c r="IK132" s="402"/>
      <c r="IL132" s="402"/>
      <c r="IM132" s="402"/>
      <c r="IN132" s="402"/>
      <c r="IO132" s="402"/>
      <c r="IP132" s="68"/>
      <c r="IQ132" s="68"/>
      <c r="IR132" s="68"/>
      <c r="IS132" s="68"/>
      <c r="IT132" s="68"/>
      <c r="IU132" s="68"/>
      <c r="IV132" s="68"/>
      <c r="IW132" s="68"/>
      <c r="IX132" s="68"/>
      <c r="IY132" s="68"/>
    </row>
    <row r="133" spans="2:259" s="64" customFormat="1" hidden="1" x14ac:dyDescent="0.3"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  <c r="AV133" s="68"/>
      <c r="AW133" s="68"/>
      <c r="AX133" s="68"/>
      <c r="AY133" s="68"/>
      <c r="AZ133" s="68"/>
      <c r="BA133" s="68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  <c r="BM133" s="66"/>
      <c r="BN133" s="66"/>
      <c r="BO133" s="66"/>
      <c r="BP133" s="66"/>
      <c r="BQ133" s="66"/>
      <c r="BR133" s="66"/>
      <c r="BS133" s="66"/>
      <c r="BT133" s="66"/>
      <c r="BU133" s="66"/>
      <c r="BV133" s="66"/>
      <c r="BW133" s="66"/>
      <c r="BX133" s="66"/>
      <c r="BY133" s="66"/>
      <c r="BZ133" s="66"/>
      <c r="CA133" s="66"/>
      <c r="CB133" s="66"/>
      <c r="CC133" s="66"/>
      <c r="CD133" s="66"/>
      <c r="CE133" s="66"/>
      <c r="CF133" s="435"/>
      <c r="CG133" s="66"/>
      <c r="CH133" s="66"/>
      <c r="CI133" s="66"/>
      <c r="CJ133" s="66"/>
      <c r="CK133" s="66"/>
      <c r="CL133" s="66"/>
      <c r="CM133" s="66"/>
      <c r="CN133" s="66"/>
      <c r="CO133" s="66"/>
      <c r="CP133" s="66"/>
      <c r="CQ133" s="66"/>
      <c r="CR133" s="66"/>
      <c r="CS133" s="66"/>
      <c r="CT133" s="66"/>
      <c r="CU133" s="66"/>
      <c r="CV133" s="66"/>
      <c r="CW133" s="66"/>
      <c r="CX133" s="66"/>
      <c r="CY133" s="66"/>
      <c r="CZ133" s="66"/>
      <c r="DA133" s="66"/>
      <c r="DB133" s="66"/>
      <c r="DC133" s="66"/>
      <c r="DD133" s="66"/>
      <c r="DE133" s="66"/>
      <c r="DF133" s="66"/>
      <c r="DG133" s="66"/>
      <c r="DH133" s="66"/>
      <c r="DI133" s="66"/>
      <c r="DJ133" s="66"/>
      <c r="DK133" s="66"/>
      <c r="DL133" s="66"/>
      <c r="DM133" s="66"/>
      <c r="DN133" s="66"/>
      <c r="DO133" s="66"/>
      <c r="DP133" s="66"/>
      <c r="HB133" s="68"/>
      <c r="HC133" s="68"/>
      <c r="HD133" s="398"/>
      <c r="HE133" s="398"/>
      <c r="HF133" s="398"/>
      <c r="HG133" s="398"/>
      <c r="HH133" s="398"/>
      <c r="HI133" s="398"/>
      <c r="HJ133" s="398"/>
      <c r="HK133" s="398"/>
      <c r="HL133" s="398"/>
      <c r="HM133" s="399"/>
      <c r="HN133" s="399"/>
      <c r="HO133" s="399"/>
      <c r="HP133" s="399"/>
      <c r="HQ133" s="399"/>
      <c r="HR133" s="399"/>
      <c r="HS133" s="399"/>
      <c r="HT133" s="399"/>
      <c r="HU133" s="399"/>
      <c r="HV133" s="399"/>
      <c r="HW133" s="400"/>
      <c r="HX133" s="400"/>
      <c r="HY133" s="400"/>
      <c r="HZ133" s="229"/>
      <c r="IA133" s="68"/>
      <c r="IB133" s="68"/>
      <c r="IC133" s="68"/>
      <c r="ID133" s="68"/>
      <c r="IE133" s="68"/>
      <c r="IF133" s="68"/>
      <c r="IG133" s="402"/>
      <c r="IH133" s="402"/>
      <c r="II133" s="402"/>
      <c r="IJ133" s="402"/>
      <c r="IK133" s="402"/>
      <c r="IL133" s="402"/>
      <c r="IM133" s="402"/>
      <c r="IN133" s="402"/>
      <c r="IO133" s="402"/>
      <c r="IP133" s="68"/>
      <c r="IQ133" s="68"/>
      <c r="IR133" s="68"/>
      <c r="IS133" s="68"/>
      <c r="IT133" s="68"/>
      <c r="IU133" s="68"/>
      <c r="IV133" s="68"/>
      <c r="IW133" s="68"/>
      <c r="IX133" s="68"/>
      <c r="IY133" s="68"/>
    </row>
    <row r="134" spans="2:259" s="64" customFormat="1" hidden="1" x14ac:dyDescent="0.3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  <c r="BM134" s="66"/>
      <c r="BN134" s="66"/>
      <c r="BO134" s="66"/>
      <c r="BP134" s="66"/>
      <c r="BQ134" s="66"/>
      <c r="BR134" s="66"/>
      <c r="BS134" s="66"/>
      <c r="BT134" s="66"/>
      <c r="BU134" s="66"/>
      <c r="BV134" s="66"/>
      <c r="BW134" s="66"/>
      <c r="BX134" s="66"/>
      <c r="BY134" s="66"/>
      <c r="BZ134" s="66"/>
      <c r="CA134" s="66"/>
      <c r="CB134" s="66"/>
      <c r="CC134" s="66"/>
      <c r="CD134" s="66"/>
      <c r="CE134" s="66"/>
      <c r="CF134" s="435"/>
      <c r="CG134" s="66"/>
      <c r="CH134" s="66"/>
      <c r="CI134" s="66"/>
      <c r="CJ134" s="66"/>
      <c r="CK134" s="66"/>
      <c r="CL134" s="66"/>
      <c r="CM134" s="66"/>
      <c r="CN134" s="66"/>
      <c r="CO134" s="66"/>
      <c r="CP134" s="66"/>
      <c r="CQ134" s="66"/>
      <c r="CR134" s="66"/>
      <c r="CS134" s="66"/>
      <c r="CT134" s="66"/>
      <c r="CU134" s="66"/>
      <c r="CV134" s="66"/>
      <c r="CW134" s="66"/>
      <c r="CX134" s="66"/>
      <c r="CY134" s="66"/>
      <c r="CZ134" s="66"/>
      <c r="DA134" s="66"/>
      <c r="DB134" s="66"/>
      <c r="DC134" s="66"/>
      <c r="DD134" s="66"/>
      <c r="DE134" s="66"/>
      <c r="DF134" s="66"/>
      <c r="DG134" s="66"/>
      <c r="DH134" s="66"/>
      <c r="DI134" s="66"/>
      <c r="DJ134" s="66"/>
      <c r="DK134" s="66"/>
      <c r="DL134" s="66"/>
      <c r="DM134" s="66"/>
      <c r="DN134" s="66"/>
      <c r="DO134" s="66"/>
      <c r="DP134" s="66"/>
      <c r="HB134" s="68"/>
      <c r="HC134" s="68"/>
      <c r="HD134" s="398"/>
      <c r="HE134" s="398"/>
      <c r="HF134" s="398"/>
      <c r="HG134" s="398"/>
      <c r="HH134" s="398"/>
      <c r="HI134" s="398"/>
      <c r="HJ134" s="398"/>
      <c r="HK134" s="398"/>
      <c r="HL134" s="398"/>
      <c r="HM134" s="399"/>
      <c r="HN134" s="399"/>
      <c r="HO134" s="399"/>
      <c r="HP134" s="399"/>
      <c r="HQ134" s="399"/>
      <c r="HR134" s="399"/>
      <c r="HS134" s="399"/>
      <c r="HT134" s="399"/>
      <c r="HU134" s="399"/>
      <c r="HV134" s="399"/>
      <c r="HW134" s="400"/>
      <c r="HX134" s="400"/>
      <c r="HY134" s="400"/>
      <c r="HZ134" s="229"/>
      <c r="IA134" s="68"/>
      <c r="IB134" s="68"/>
      <c r="IC134" s="68"/>
      <c r="ID134" s="68"/>
      <c r="IE134" s="68"/>
      <c r="IF134" s="68"/>
      <c r="IG134" s="402"/>
      <c r="IH134" s="402"/>
      <c r="II134" s="402"/>
      <c r="IJ134" s="402"/>
      <c r="IK134" s="402"/>
      <c r="IL134" s="402"/>
      <c r="IM134" s="402"/>
      <c r="IN134" s="402"/>
      <c r="IO134" s="402"/>
      <c r="IP134" s="68"/>
      <c r="IQ134" s="68"/>
      <c r="IR134" s="68"/>
      <c r="IS134" s="68"/>
      <c r="IT134" s="68"/>
      <c r="IU134" s="68"/>
      <c r="IV134" s="68"/>
      <c r="IW134" s="68"/>
      <c r="IX134" s="68"/>
      <c r="IY134" s="68"/>
    </row>
    <row r="135" spans="2:259" s="64" customFormat="1" hidden="1" x14ac:dyDescent="0.3"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  <c r="BM135" s="66"/>
      <c r="BN135" s="66"/>
      <c r="BO135" s="66"/>
      <c r="BP135" s="66"/>
      <c r="BQ135" s="66"/>
      <c r="BR135" s="66"/>
      <c r="BS135" s="66"/>
      <c r="BT135" s="66"/>
      <c r="BU135" s="66"/>
      <c r="BV135" s="66"/>
      <c r="BW135" s="66"/>
      <c r="BX135" s="66"/>
      <c r="BY135" s="66"/>
      <c r="BZ135" s="66"/>
      <c r="CA135" s="66"/>
      <c r="CB135" s="66"/>
      <c r="CC135" s="66"/>
      <c r="CD135" s="66"/>
      <c r="CE135" s="66"/>
      <c r="CF135" s="435"/>
      <c r="CG135" s="66"/>
      <c r="CH135" s="66"/>
      <c r="CI135" s="66"/>
      <c r="CJ135" s="66"/>
      <c r="CK135" s="66"/>
      <c r="CL135" s="66"/>
      <c r="CM135" s="66"/>
      <c r="CN135" s="66"/>
      <c r="CO135" s="66"/>
      <c r="CP135" s="66"/>
      <c r="CQ135" s="66"/>
      <c r="CR135" s="66"/>
      <c r="CS135" s="66"/>
      <c r="CT135" s="66"/>
      <c r="CU135" s="66"/>
      <c r="CV135" s="66"/>
      <c r="CW135" s="66"/>
      <c r="CX135" s="66"/>
      <c r="CY135" s="66"/>
      <c r="CZ135" s="66"/>
      <c r="DA135" s="66"/>
      <c r="DB135" s="66"/>
      <c r="DC135" s="66"/>
      <c r="DD135" s="66"/>
      <c r="DE135" s="66"/>
      <c r="DF135" s="66"/>
      <c r="DG135" s="66"/>
      <c r="DH135" s="66"/>
      <c r="DI135" s="66"/>
      <c r="DJ135" s="66"/>
      <c r="DK135" s="66"/>
      <c r="DL135" s="66"/>
      <c r="DM135" s="66"/>
      <c r="DN135" s="66"/>
      <c r="DO135" s="66"/>
      <c r="DP135" s="66"/>
      <c r="HB135" s="68"/>
      <c r="HC135" s="68"/>
      <c r="HD135" s="398"/>
      <c r="HE135" s="398"/>
      <c r="HF135" s="398"/>
      <c r="HG135" s="398"/>
      <c r="HH135" s="398"/>
      <c r="HI135" s="398"/>
      <c r="HJ135" s="398"/>
      <c r="HK135" s="398"/>
      <c r="HL135" s="398"/>
      <c r="HM135" s="399"/>
      <c r="HN135" s="399"/>
      <c r="HO135" s="399"/>
      <c r="HP135" s="399"/>
      <c r="HQ135" s="399"/>
      <c r="HR135" s="399"/>
      <c r="HS135" s="399"/>
      <c r="HT135" s="399"/>
      <c r="HU135" s="399"/>
      <c r="HV135" s="399"/>
      <c r="HW135" s="400"/>
      <c r="HX135" s="400"/>
      <c r="HY135" s="400"/>
      <c r="HZ135" s="229"/>
      <c r="IA135" s="68"/>
      <c r="IB135" s="68"/>
      <c r="IC135" s="68"/>
      <c r="ID135" s="68"/>
      <c r="IE135" s="68"/>
      <c r="IF135" s="68"/>
      <c r="IG135" s="402"/>
      <c r="IH135" s="402"/>
      <c r="II135" s="402"/>
      <c r="IJ135" s="402"/>
      <c r="IK135" s="402"/>
      <c r="IL135" s="402"/>
      <c r="IM135" s="402"/>
      <c r="IN135" s="402"/>
      <c r="IO135" s="402"/>
      <c r="IP135" s="68"/>
      <c r="IQ135" s="68"/>
      <c r="IR135" s="68"/>
      <c r="IS135" s="68"/>
      <c r="IT135" s="68"/>
      <c r="IU135" s="68"/>
      <c r="IV135" s="68"/>
      <c r="IW135" s="68"/>
      <c r="IX135" s="68"/>
      <c r="IY135" s="68"/>
    </row>
    <row r="136" spans="2:259" s="64" customFormat="1" hidden="1" x14ac:dyDescent="0.3"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  <c r="BM136" s="66"/>
      <c r="BN136" s="66"/>
      <c r="BO136" s="66"/>
      <c r="BP136" s="66"/>
      <c r="BQ136" s="66"/>
      <c r="BR136" s="66"/>
      <c r="BS136" s="66"/>
      <c r="BT136" s="66"/>
      <c r="BU136" s="66"/>
      <c r="BV136" s="66"/>
      <c r="BW136" s="66"/>
      <c r="BX136" s="66"/>
      <c r="BY136" s="66"/>
      <c r="BZ136" s="66"/>
      <c r="CA136" s="66"/>
      <c r="CB136" s="66"/>
      <c r="CC136" s="66"/>
      <c r="CD136" s="66"/>
      <c r="CE136" s="66"/>
      <c r="CF136" s="435"/>
      <c r="CG136" s="66"/>
      <c r="CH136" s="66"/>
      <c r="CI136" s="66"/>
      <c r="CJ136" s="66"/>
      <c r="CK136" s="66"/>
      <c r="CL136" s="66"/>
      <c r="CM136" s="66"/>
      <c r="CN136" s="66"/>
      <c r="CO136" s="66"/>
      <c r="CP136" s="66"/>
      <c r="CQ136" s="66"/>
      <c r="CR136" s="66"/>
      <c r="CS136" s="66"/>
      <c r="CT136" s="66"/>
      <c r="CU136" s="66"/>
      <c r="CV136" s="66"/>
      <c r="CW136" s="66"/>
      <c r="CX136" s="66"/>
      <c r="CY136" s="66"/>
      <c r="CZ136" s="66"/>
      <c r="DA136" s="66"/>
      <c r="DB136" s="66"/>
      <c r="DC136" s="66"/>
      <c r="DD136" s="66"/>
      <c r="DE136" s="66"/>
      <c r="DF136" s="66"/>
      <c r="DG136" s="66"/>
      <c r="DH136" s="66"/>
      <c r="DI136" s="66"/>
      <c r="DJ136" s="66"/>
      <c r="DK136" s="66"/>
      <c r="DL136" s="66"/>
      <c r="DM136" s="66"/>
      <c r="DN136" s="66"/>
      <c r="DO136" s="66"/>
      <c r="DP136" s="66"/>
      <c r="HB136" s="68"/>
      <c r="HC136" s="68"/>
      <c r="HD136" s="398"/>
      <c r="HE136" s="398"/>
      <c r="HF136" s="398"/>
      <c r="HG136" s="398"/>
      <c r="HH136" s="398"/>
      <c r="HI136" s="398"/>
      <c r="HJ136" s="398"/>
      <c r="HK136" s="398"/>
      <c r="HL136" s="398"/>
      <c r="HM136" s="399"/>
      <c r="HN136" s="399"/>
      <c r="HO136" s="399"/>
      <c r="HP136" s="399"/>
      <c r="HQ136" s="399"/>
      <c r="HR136" s="399"/>
      <c r="HS136" s="399"/>
      <c r="HT136" s="399"/>
      <c r="HU136" s="399"/>
      <c r="HV136" s="399"/>
      <c r="HW136" s="400"/>
      <c r="HX136" s="400"/>
      <c r="HY136" s="400"/>
      <c r="HZ136" s="229"/>
      <c r="IA136" s="68"/>
      <c r="IB136" s="68"/>
      <c r="IC136" s="68"/>
      <c r="ID136" s="68"/>
      <c r="IE136" s="68"/>
      <c r="IF136" s="68"/>
      <c r="IG136" s="402"/>
      <c r="IH136" s="402"/>
      <c r="II136" s="402"/>
      <c r="IJ136" s="402"/>
      <c r="IK136" s="402"/>
      <c r="IL136" s="402"/>
      <c r="IM136" s="402"/>
      <c r="IN136" s="402"/>
      <c r="IO136" s="402"/>
      <c r="IP136" s="68"/>
      <c r="IQ136" s="68"/>
      <c r="IR136" s="68"/>
      <c r="IS136" s="68"/>
      <c r="IT136" s="68"/>
      <c r="IU136" s="68"/>
      <c r="IV136" s="68"/>
      <c r="IW136" s="68"/>
      <c r="IX136" s="68"/>
      <c r="IY136" s="68"/>
    </row>
    <row r="137" spans="2:259" s="64" customFormat="1" hidden="1" x14ac:dyDescent="0.3"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  <c r="BM137" s="66"/>
      <c r="BN137" s="66"/>
      <c r="BO137" s="66"/>
      <c r="BP137" s="66"/>
      <c r="BQ137" s="66"/>
      <c r="BR137" s="66"/>
      <c r="BS137" s="66"/>
      <c r="BT137" s="66"/>
      <c r="BU137" s="66"/>
      <c r="BV137" s="66"/>
      <c r="BW137" s="66"/>
      <c r="BX137" s="66"/>
      <c r="BY137" s="66"/>
      <c r="BZ137" s="66"/>
      <c r="CA137" s="66"/>
      <c r="CB137" s="66"/>
      <c r="CC137" s="66"/>
      <c r="CD137" s="66"/>
      <c r="CE137" s="66"/>
      <c r="CF137" s="435"/>
      <c r="CG137" s="66"/>
      <c r="CH137" s="66"/>
      <c r="CI137" s="66"/>
      <c r="CJ137" s="66"/>
      <c r="CK137" s="66"/>
      <c r="CL137" s="66"/>
      <c r="CM137" s="66"/>
      <c r="CN137" s="66"/>
      <c r="CO137" s="66"/>
      <c r="CP137" s="66"/>
      <c r="CQ137" s="66"/>
      <c r="CR137" s="66"/>
      <c r="CS137" s="66"/>
      <c r="CT137" s="66"/>
      <c r="CU137" s="66"/>
      <c r="CV137" s="66"/>
      <c r="CW137" s="66"/>
      <c r="CX137" s="66"/>
      <c r="CY137" s="66"/>
      <c r="CZ137" s="66"/>
      <c r="DA137" s="66"/>
      <c r="DB137" s="66"/>
      <c r="DC137" s="66"/>
      <c r="DD137" s="66"/>
      <c r="DE137" s="66"/>
      <c r="DF137" s="66"/>
      <c r="DG137" s="66"/>
      <c r="DH137" s="66"/>
      <c r="DI137" s="66"/>
      <c r="DJ137" s="66"/>
      <c r="DK137" s="66"/>
      <c r="DL137" s="66"/>
      <c r="DM137" s="66"/>
      <c r="DN137" s="66"/>
      <c r="DO137" s="66"/>
      <c r="DP137" s="66"/>
      <c r="HB137" s="68"/>
      <c r="HC137" s="68"/>
      <c r="HD137" s="398"/>
      <c r="HE137" s="398"/>
      <c r="HF137" s="398"/>
      <c r="HG137" s="398"/>
      <c r="HH137" s="398"/>
      <c r="HI137" s="398"/>
      <c r="HJ137" s="398"/>
      <c r="HK137" s="398"/>
      <c r="HL137" s="398"/>
      <c r="HM137" s="399"/>
      <c r="HN137" s="399"/>
      <c r="HO137" s="399"/>
      <c r="HP137" s="399"/>
      <c r="HQ137" s="399"/>
      <c r="HR137" s="399"/>
      <c r="HS137" s="399"/>
      <c r="HT137" s="399"/>
      <c r="HU137" s="399"/>
      <c r="HV137" s="399"/>
      <c r="HW137" s="400"/>
      <c r="HX137" s="400"/>
      <c r="HY137" s="400"/>
      <c r="HZ137" s="229"/>
      <c r="IA137" s="68"/>
      <c r="IB137" s="68"/>
      <c r="IC137" s="68"/>
      <c r="ID137" s="68"/>
      <c r="IE137" s="68"/>
      <c r="IF137" s="68"/>
      <c r="IG137" s="402"/>
      <c r="IH137" s="402"/>
      <c r="II137" s="402"/>
      <c r="IJ137" s="402"/>
      <c r="IK137" s="402"/>
      <c r="IL137" s="402"/>
      <c r="IM137" s="402"/>
      <c r="IN137" s="402"/>
      <c r="IO137" s="402"/>
      <c r="IP137" s="68"/>
      <c r="IQ137" s="68"/>
      <c r="IR137" s="68"/>
      <c r="IS137" s="68"/>
      <c r="IT137" s="68"/>
      <c r="IU137" s="68"/>
      <c r="IV137" s="68"/>
      <c r="IW137" s="68"/>
      <c r="IX137" s="68"/>
      <c r="IY137" s="68"/>
    </row>
    <row r="138" spans="2:259" s="64" customFormat="1" hidden="1" x14ac:dyDescent="0.3"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  <c r="AV138" s="68"/>
      <c r="AW138" s="68"/>
      <c r="AX138" s="68"/>
      <c r="AY138" s="68"/>
      <c r="AZ138" s="68"/>
      <c r="BA138" s="68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  <c r="BM138" s="66"/>
      <c r="BN138" s="66"/>
      <c r="BO138" s="66"/>
      <c r="BP138" s="66"/>
      <c r="BQ138" s="66"/>
      <c r="BR138" s="66"/>
      <c r="BS138" s="66"/>
      <c r="BT138" s="66"/>
      <c r="BU138" s="66"/>
      <c r="BV138" s="66"/>
      <c r="BW138" s="66"/>
      <c r="BX138" s="66"/>
      <c r="BY138" s="66"/>
      <c r="BZ138" s="66"/>
      <c r="CA138" s="66"/>
      <c r="CB138" s="66"/>
      <c r="CC138" s="66"/>
      <c r="CD138" s="66"/>
      <c r="CE138" s="66"/>
      <c r="CF138" s="435"/>
      <c r="CG138" s="66"/>
      <c r="CH138" s="66"/>
      <c r="CI138" s="66"/>
      <c r="CJ138" s="66"/>
      <c r="CK138" s="66"/>
      <c r="CL138" s="66"/>
      <c r="CM138" s="66"/>
      <c r="CN138" s="66"/>
      <c r="CO138" s="66"/>
      <c r="CP138" s="66"/>
      <c r="CQ138" s="66"/>
      <c r="CR138" s="66"/>
      <c r="CS138" s="66"/>
      <c r="CT138" s="66"/>
      <c r="CU138" s="66"/>
      <c r="CV138" s="66"/>
      <c r="CW138" s="66"/>
      <c r="CX138" s="66"/>
      <c r="CY138" s="66"/>
      <c r="CZ138" s="66"/>
      <c r="DA138" s="66"/>
      <c r="DB138" s="66"/>
      <c r="DC138" s="66"/>
      <c r="DD138" s="66"/>
      <c r="DE138" s="66"/>
      <c r="DF138" s="66"/>
      <c r="DG138" s="66"/>
      <c r="DH138" s="66"/>
      <c r="DI138" s="66"/>
      <c r="DJ138" s="66"/>
      <c r="DK138" s="66"/>
      <c r="DL138" s="66"/>
      <c r="DM138" s="66"/>
      <c r="DN138" s="66"/>
      <c r="DO138" s="66"/>
      <c r="DP138" s="66"/>
      <c r="HB138" s="68"/>
      <c r="HC138" s="68"/>
      <c r="HD138" s="398"/>
      <c r="HE138" s="398"/>
      <c r="HF138" s="398"/>
      <c r="HG138" s="398"/>
      <c r="HH138" s="398"/>
      <c r="HI138" s="398"/>
      <c r="HJ138" s="398"/>
      <c r="HK138" s="398"/>
      <c r="HL138" s="398"/>
      <c r="HM138" s="399"/>
      <c r="HN138" s="399"/>
      <c r="HO138" s="399"/>
      <c r="HP138" s="399"/>
      <c r="HQ138" s="399"/>
      <c r="HR138" s="399"/>
      <c r="HS138" s="399"/>
      <c r="HT138" s="399"/>
      <c r="HU138" s="399"/>
      <c r="HV138" s="399"/>
      <c r="HW138" s="400"/>
      <c r="HX138" s="400"/>
      <c r="HY138" s="400"/>
      <c r="HZ138" s="229"/>
      <c r="IA138" s="68"/>
      <c r="IB138" s="68"/>
      <c r="IC138" s="68"/>
      <c r="ID138" s="68"/>
      <c r="IE138" s="68"/>
      <c r="IF138" s="68"/>
      <c r="IG138" s="231"/>
      <c r="IH138" s="231"/>
      <c r="II138" s="231"/>
      <c r="IJ138" s="231"/>
      <c r="IK138" s="231"/>
      <c r="IL138" s="231"/>
      <c r="IM138" s="231"/>
      <c r="IN138" s="231"/>
      <c r="IO138" s="231"/>
      <c r="IP138" s="68"/>
      <c r="IQ138" s="68"/>
      <c r="IR138" s="68"/>
      <c r="IS138" s="68"/>
      <c r="IT138" s="68"/>
      <c r="IU138" s="68"/>
      <c r="IV138" s="68"/>
      <c r="IW138" s="68"/>
      <c r="IX138" s="68"/>
      <c r="IY138" s="68"/>
    </row>
    <row r="139" spans="2:259" s="64" customFormat="1" hidden="1" x14ac:dyDescent="0.3"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  <c r="AV139" s="68"/>
      <c r="AW139" s="68"/>
      <c r="AX139" s="68"/>
      <c r="AY139" s="68"/>
      <c r="AZ139" s="68"/>
      <c r="BA139" s="68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  <c r="BM139" s="66"/>
      <c r="BN139" s="66"/>
      <c r="BO139" s="66"/>
      <c r="BP139" s="66"/>
      <c r="BQ139" s="66"/>
      <c r="BR139" s="66"/>
      <c r="BS139" s="66"/>
      <c r="BT139" s="66"/>
      <c r="BU139" s="66"/>
      <c r="BV139" s="66"/>
      <c r="BW139" s="66"/>
      <c r="BX139" s="66"/>
      <c r="BY139" s="66"/>
      <c r="BZ139" s="66"/>
      <c r="CA139" s="66"/>
      <c r="CB139" s="66"/>
      <c r="CC139" s="66"/>
      <c r="CD139" s="66"/>
      <c r="CE139" s="66"/>
      <c r="CF139" s="435"/>
      <c r="CG139" s="66"/>
      <c r="CH139" s="66"/>
      <c r="CI139" s="66"/>
      <c r="CJ139" s="66"/>
      <c r="CK139" s="66"/>
      <c r="CL139" s="66"/>
      <c r="CM139" s="66"/>
      <c r="CN139" s="66"/>
      <c r="CO139" s="66"/>
      <c r="CP139" s="66"/>
      <c r="CQ139" s="66"/>
      <c r="CR139" s="66"/>
      <c r="CS139" s="66"/>
      <c r="CT139" s="66"/>
      <c r="CU139" s="66"/>
      <c r="CV139" s="66"/>
      <c r="CW139" s="66"/>
      <c r="CX139" s="66"/>
      <c r="CY139" s="66"/>
      <c r="CZ139" s="66"/>
      <c r="DA139" s="66"/>
      <c r="DB139" s="66"/>
      <c r="DC139" s="66"/>
      <c r="DD139" s="66"/>
      <c r="DE139" s="66"/>
      <c r="DF139" s="66"/>
      <c r="DG139" s="66"/>
      <c r="DH139" s="66"/>
      <c r="DI139" s="66"/>
      <c r="DJ139" s="66"/>
      <c r="DK139" s="66"/>
      <c r="DL139" s="66"/>
      <c r="DM139" s="66"/>
      <c r="DN139" s="66"/>
      <c r="DO139" s="66"/>
      <c r="DP139" s="66"/>
      <c r="HB139" s="68"/>
      <c r="HC139" s="68"/>
      <c r="HD139" s="398"/>
      <c r="HE139" s="398"/>
      <c r="HF139" s="398"/>
      <c r="HG139" s="398"/>
      <c r="HH139" s="398"/>
      <c r="HI139" s="398"/>
      <c r="HJ139" s="398"/>
      <c r="HK139" s="398"/>
      <c r="HL139" s="398"/>
      <c r="HM139" s="399"/>
      <c r="HN139" s="399"/>
      <c r="HO139" s="399"/>
      <c r="HP139" s="399"/>
      <c r="HQ139" s="399"/>
      <c r="HR139" s="399"/>
      <c r="HS139" s="399"/>
      <c r="HT139" s="399"/>
      <c r="HU139" s="399"/>
      <c r="HV139" s="399"/>
      <c r="HW139" s="400"/>
      <c r="HX139" s="400"/>
      <c r="HY139" s="400"/>
      <c r="HZ139" s="229"/>
      <c r="IA139" s="68"/>
      <c r="IB139" s="68"/>
      <c r="IC139" s="68"/>
      <c r="ID139" s="68"/>
      <c r="IE139" s="68"/>
      <c r="IF139" s="68"/>
      <c r="IG139" s="231"/>
      <c r="IH139" s="231"/>
      <c r="II139" s="231"/>
      <c r="IJ139" s="231"/>
      <c r="IK139" s="231"/>
      <c r="IL139" s="231"/>
      <c r="IM139" s="231"/>
      <c r="IN139" s="231"/>
      <c r="IO139" s="231"/>
      <c r="IP139" s="68"/>
      <c r="IQ139" s="68"/>
      <c r="IR139" s="68"/>
      <c r="IS139" s="68"/>
      <c r="IT139" s="68"/>
      <c r="IU139" s="68"/>
      <c r="IV139" s="68"/>
      <c r="IW139" s="68"/>
      <c r="IX139" s="68"/>
      <c r="IY139" s="68"/>
    </row>
    <row r="140" spans="2:259" s="64" customFormat="1" hidden="1" x14ac:dyDescent="0.3"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  <c r="AV140" s="68"/>
      <c r="AW140" s="68"/>
      <c r="AX140" s="68"/>
      <c r="AY140" s="68"/>
      <c r="AZ140" s="68"/>
      <c r="BA140" s="68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  <c r="BM140" s="66"/>
      <c r="BN140" s="66"/>
      <c r="BO140" s="66"/>
      <c r="BP140" s="66"/>
      <c r="BQ140" s="66"/>
      <c r="BR140" s="66"/>
      <c r="BS140" s="66"/>
      <c r="BT140" s="66"/>
      <c r="BU140" s="66"/>
      <c r="BV140" s="66"/>
      <c r="BW140" s="66"/>
      <c r="BX140" s="66"/>
      <c r="BY140" s="66"/>
      <c r="BZ140" s="66"/>
      <c r="CA140" s="66"/>
      <c r="CB140" s="66"/>
      <c r="CC140" s="66"/>
      <c r="CD140" s="66"/>
      <c r="CE140" s="66"/>
      <c r="CF140" s="435"/>
      <c r="CG140" s="66"/>
      <c r="CH140" s="66"/>
      <c r="CI140" s="66"/>
      <c r="CJ140" s="66"/>
      <c r="CK140" s="66"/>
      <c r="CL140" s="66"/>
      <c r="CM140" s="66"/>
      <c r="CN140" s="66"/>
      <c r="CO140" s="66"/>
      <c r="CP140" s="66"/>
      <c r="CQ140" s="66"/>
      <c r="CR140" s="66"/>
      <c r="CS140" s="66"/>
      <c r="CT140" s="66"/>
      <c r="CU140" s="66"/>
      <c r="CV140" s="66"/>
      <c r="CW140" s="66"/>
      <c r="CX140" s="66"/>
      <c r="CY140" s="66"/>
      <c r="CZ140" s="66"/>
      <c r="DA140" s="66"/>
      <c r="DB140" s="66"/>
      <c r="DC140" s="66"/>
      <c r="DD140" s="66"/>
      <c r="DE140" s="66"/>
      <c r="DF140" s="66"/>
      <c r="DG140" s="66"/>
      <c r="DH140" s="66"/>
      <c r="DI140" s="66"/>
      <c r="DJ140" s="66"/>
      <c r="DK140" s="66"/>
      <c r="DL140" s="66"/>
      <c r="DM140" s="66"/>
      <c r="DN140" s="66"/>
      <c r="DO140" s="66"/>
      <c r="DP140" s="66"/>
      <c r="HB140" s="68"/>
      <c r="HC140" s="68"/>
      <c r="HD140" s="398"/>
      <c r="HE140" s="398"/>
      <c r="HF140" s="398"/>
      <c r="HG140" s="398"/>
      <c r="HH140" s="398"/>
      <c r="HI140" s="398"/>
      <c r="HJ140" s="398"/>
      <c r="HK140" s="398"/>
      <c r="HL140" s="398"/>
      <c r="HM140" s="399"/>
      <c r="HN140" s="399"/>
      <c r="HO140" s="399"/>
      <c r="HP140" s="399"/>
      <c r="HQ140" s="399"/>
      <c r="HR140" s="399"/>
      <c r="HS140" s="399"/>
      <c r="HT140" s="399"/>
      <c r="HU140" s="399"/>
      <c r="HV140" s="399"/>
      <c r="HW140" s="400"/>
      <c r="HX140" s="400"/>
      <c r="HY140" s="400"/>
      <c r="HZ140" s="229"/>
      <c r="IA140" s="68"/>
      <c r="IB140" s="68"/>
      <c r="IC140" s="68"/>
      <c r="ID140" s="68"/>
      <c r="IE140" s="68"/>
      <c r="IF140" s="68"/>
      <c r="IG140" s="68"/>
      <c r="IH140" s="68"/>
      <c r="II140" s="68"/>
      <c r="IJ140" s="68"/>
      <c r="IK140" s="68"/>
      <c r="IL140" s="68"/>
      <c r="IM140" s="68"/>
      <c r="IN140" s="68"/>
      <c r="IO140" s="68"/>
      <c r="IP140" s="68"/>
      <c r="IQ140" s="68"/>
      <c r="IR140" s="68"/>
      <c r="IS140" s="68"/>
      <c r="IT140" s="68"/>
      <c r="IU140" s="68"/>
      <c r="IV140" s="68"/>
      <c r="IW140" s="68"/>
      <c r="IX140" s="68"/>
      <c r="IY140" s="68"/>
    </row>
    <row r="141" spans="2:259" s="64" customFormat="1" hidden="1" x14ac:dyDescent="0.3"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  <c r="AV141" s="68"/>
      <c r="AW141" s="68"/>
      <c r="AX141" s="68"/>
      <c r="AY141" s="68"/>
      <c r="AZ141" s="68"/>
      <c r="BA141" s="68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435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  <c r="CV141" s="66"/>
      <c r="CW141" s="66"/>
      <c r="CX141" s="66"/>
      <c r="CY141" s="66"/>
      <c r="CZ141" s="66"/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/>
      <c r="DL141" s="66"/>
      <c r="DM141" s="66"/>
      <c r="DN141" s="66"/>
      <c r="DO141" s="66"/>
      <c r="DP141" s="66"/>
      <c r="HB141" s="68"/>
      <c r="HC141" s="68"/>
      <c r="HD141" s="398"/>
      <c r="HE141" s="398"/>
      <c r="HF141" s="398"/>
      <c r="HG141" s="398"/>
      <c r="HH141" s="398"/>
      <c r="HI141" s="398"/>
      <c r="HJ141" s="398"/>
      <c r="HK141" s="398"/>
      <c r="HL141" s="398"/>
      <c r="HM141" s="399"/>
      <c r="HN141" s="399"/>
      <c r="HO141" s="399"/>
      <c r="HP141" s="399"/>
      <c r="HQ141" s="399"/>
      <c r="HR141" s="399"/>
      <c r="HS141" s="399"/>
      <c r="HT141" s="399"/>
      <c r="HU141" s="399"/>
      <c r="HV141" s="399"/>
      <c r="HW141" s="400"/>
      <c r="HX141" s="400"/>
      <c r="HY141" s="400"/>
      <c r="HZ141" s="229"/>
      <c r="IA141" s="68"/>
      <c r="IB141" s="68"/>
      <c r="IC141" s="68"/>
      <c r="ID141" s="68"/>
      <c r="IE141" s="68"/>
      <c r="IF141" s="68"/>
      <c r="IG141" s="68"/>
      <c r="IH141" s="68"/>
      <c r="II141" s="68"/>
      <c r="IJ141" s="68"/>
      <c r="IK141" s="68"/>
      <c r="IL141" s="68"/>
      <c r="IM141" s="68"/>
      <c r="IN141" s="68"/>
      <c r="IO141" s="68"/>
      <c r="IP141" s="68"/>
      <c r="IQ141" s="68"/>
      <c r="IR141" s="68"/>
      <c r="IS141" s="68"/>
      <c r="IT141" s="68"/>
      <c r="IU141" s="68"/>
      <c r="IV141" s="68"/>
      <c r="IW141" s="68"/>
      <c r="IX141" s="68"/>
      <c r="IY141" s="68"/>
    </row>
    <row r="142" spans="2:259" s="64" customFormat="1" hidden="1" x14ac:dyDescent="0.3"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  <c r="BM142" s="66"/>
      <c r="BN142" s="66"/>
      <c r="BO142" s="66"/>
      <c r="BP142" s="66"/>
      <c r="BQ142" s="66"/>
      <c r="BR142" s="66"/>
      <c r="BS142" s="66"/>
      <c r="BT142" s="66"/>
      <c r="BU142" s="66"/>
      <c r="BV142" s="66"/>
      <c r="BW142" s="66"/>
      <c r="BX142" s="66"/>
      <c r="BY142" s="66"/>
      <c r="BZ142" s="66"/>
      <c r="CA142" s="66"/>
      <c r="CB142" s="66"/>
      <c r="CC142" s="66"/>
      <c r="CD142" s="66"/>
      <c r="CE142" s="66"/>
      <c r="CF142" s="435"/>
      <c r="CG142" s="66"/>
      <c r="CH142" s="66"/>
      <c r="CI142" s="66"/>
      <c r="CJ142" s="66"/>
      <c r="CK142" s="66"/>
      <c r="CL142" s="66"/>
      <c r="CM142" s="66"/>
      <c r="CN142" s="66"/>
      <c r="CO142" s="66"/>
      <c r="CP142" s="66"/>
      <c r="CQ142" s="66"/>
      <c r="CR142" s="66"/>
      <c r="CS142" s="66"/>
      <c r="CT142" s="66"/>
      <c r="CU142" s="66"/>
      <c r="CV142" s="66"/>
      <c r="CW142" s="66"/>
      <c r="CX142" s="66"/>
      <c r="CY142" s="66"/>
      <c r="CZ142" s="66"/>
      <c r="DA142" s="66"/>
      <c r="DB142" s="66"/>
      <c r="DC142" s="66"/>
      <c r="DD142" s="66"/>
      <c r="DE142" s="66"/>
      <c r="DF142" s="66"/>
      <c r="DG142" s="66"/>
      <c r="DH142" s="66"/>
      <c r="DI142" s="66"/>
      <c r="DJ142" s="66"/>
      <c r="DK142" s="66"/>
      <c r="DL142" s="66"/>
      <c r="DM142" s="66"/>
      <c r="DN142" s="66"/>
      <c r="DO142" s="66"/>
      <c r="DP142" s="66"/>
      <c r="HB142" s="68"/>
      <c r="HC142" s="68"/>
      <c r="HD142" s="398"/>
      <c r="HE142" s="398"/>
      <c r="HF142" s="398"/>
      <c r="HG142" s="398"/>
      <c r="HH142" s="398"/>
      <c r="HI142" s="398"/>
      <c r="HJ142" s="398"/>
      <c r="HK142" s="398"/>
      <c r="HL142" s="398"/>
      <c r="HM142" s="399"/>
      <c r="HN142" s="399"/>
      <c r="HO142" s="399"/>
      <c r="HP142" s="399"/>
      <c r="HQ142" s="399"/>
      <c r="HR142" s="399"/>
      <c r="HS142" s="399"/>
      <c r="HT142" s="399"/>
      <c r="HU142" s="399"/>
      <c r="HV142" s="399"/>
      <c r="HW142" s="400"/>
      <c r="HX142" s="400"/>
      <c r="HY142" s="400"/>
      <c r="HZ142" s="229"/>
      <c r="IA142" s="68"/>
      <c r="IB142" s="68"/>
      <c r="IC142" s="68"/>
      <c r="ID142" s="68"/>
      <c r="IE142" s="68"/>
      <c r="IF142" s="68"/>
      <c r="IG142" s="68"/>
      <c r="IH142" s="68"/>
      <c r="II142" s="68"/>
      <c r="IJ142" s="68"/>
      <c r="IK142" s="68"/>
      <c r="IL142" s="68"/>
      <c r="IM142" s="68"/>
      <c r="IN142" s="68"/>
      <c r="IO142" s="68"/>
      <c r="IP142" s="68"/>
      <c r="IQ142" s="68"/>
      <c r="IR142" s="68"/>
      <c r="IS142" s="68"/>
      <c r="IT142" s="68"/>
      <c r="IU142" s="68"/>
      <c r="IV142" s="68"/>
      <c r="IW142" s="68"/>
      <c r="IX142" s="68"/>
      <c r="IY142" s="68"/>
    </row>
    <row r="143" spans="2:259" s="64" customFormat="1" hidden="1" x14ac:dyDescent="0.3"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  <c r="BM143" s="66"/>
      <c r="BN143" s="66"/>
      <c r="BO143" s="66"/>
      <c r="BP143" s="66"/>
      <c r="BQ143" s="66"/>
      <c r="BR143" s="66"/>
      <c r="BS143" s="66"/>
      <c r="BT143" s="66"/>
      <c r="BU143" s="66"/>
      <c r="BV143" s="66"/>
      <c r="BW143" s="66"/>
      <c r="BX143" s="66"/>
      <c r="BY143" s="66"/>
      <c r="BZ143" s="66"/>
      <c r="CA143" s="66"/>
      <c r="CB143" s="66"/>
      <c r="CC143" s="66"/>
      <c r="CD143" s="66"/>
      <c r="CE143" s="66"/>
      <c r="CF143" s="435"/>
      <c r="CG143" s="66"/>
      <c r="CH143" s="66"/>
      <c r="CI143" s="66"/>
      <c r="CJ143" s="66"/>
      <c r="CK143" s="66"/>
      <c r="CL143" s="66"/>
      <c r="CM143" s="66"/>
      <c r="CN143" s="66"/>
      <c r="CO143" s="66"/>
      <c r="CP143" s="66"/>
      <c r="CQ143" s="66"/>
      <c r="CR143" s="66"/>
      <c r="CS143" s="66"/>
      <c r="CT143" s="66"/>
      <c r="CU143" s="66"/>
      <c r="CV143" s="66"/>
      <c r="CW143" s="66"/>
      <c r="CX143" s="66"/>
      <c r="CY143" s="66"/>
      <c r="CZ143" s="66"/>
      <c r="DA143" s="66"/>
      <c r="DB143" s="66"/>
      <c r="DC143" s="66"/>
      <c r="DD143" s="66"/>
      <c r="DE143" s="66"/>
      <c r="DF143" s="66"/>
      <c r="DG143" s="66"/>
      <c r="DH143" s="66"/>
      <c r="DI143" s="66"/>
      <c r="DJ143" s="66"/>
      <c r="DK143" s="66"/>
      <c r="DL143" s="66"/>
      <c r="DM143" s="66"/>
      <c r="DN143" s="66"/>
      <c r="DO143" s="66"/>
      <c r="DP143" s="66"/>
      <c r="HB143" s="68"/>
      <c r="HC143" s="68"/>
      <c r="HD143" s="398"/>
      <c r="HE143" s="398"/>
      <c r="HF143" s="398"/>
      <c r="HG143" s="398"/>
      <c r="HH143" s="398"/>
      <c r="HI143" s="398"/>
      <c r="HJ143" s="398"/>
      <c r="HK143" s="398"/>
      <c r="HL143" s="398"/>
      <c r="HM143" s="399"/>
      <c r="HN143" s="399"/>
      <c r="HO143" s="399"/>
      <c r="HP143" s="399"/>
      <c r="HQ143" s="399"/>
      <c r="HR143" s="399"/>
      <c r="HS143" s="399"/>
      <c r="HT143" s="399"/>
      <c r="HU143" s="399"/>
      <c r="HV143" s="399"/>
      <c r="HW143" s="400"/>
      <c r="HX143" s="400"/>
      <c r="HY143" s="400"/>
      <c r="HZ143" s="229"/>
      <c r="IA143" s="68"/>
      <c r="IB143" s="68"/>
      <c r="IC143" s="68"/>
      <c r="ID143" s="68"/>
      <c r="IE143" s="68"/>
      <c r="IF143" s="68"/>
      <c r="IG143" s="68"/>
      <c r="IH143" s="68"/>
      <c r="II143" s="68"/>
      <c r="IJ143" s="68"/>
      <c r="IK143" s="68"/>
      <c r="IL143" s="68"/>
      <c r="IM143" s="68"/>
      <c r="IN143" s="68"/>
      <c r="IO143" s="68"/>
      <c r="IP143" s="68"/>
      <c r="IQ143" s="68"/>
      <c r="IR143" s="68"/>
      <c r="IS143" s="68"/>
      <c r="IT143" s="68"/>
      <c r="IU143" s="68"/>
      <c r="IV143" s="68"/>
      <c r="IW143" s="68"/>
      <c r="IX143" s="68"/>
      <c r="IY143" s="68"/>
    </row>
    <row r="144" spans="2:259" s="64" customFormat="1" hidden="1" x14ac:dyDescent="0.3"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  <c r="AV144" s="68"/>
      <c r="AW144" s="68"/>
      <c r="AX144" s="68"/>
      <c r="AY144" s="68"/>
      <c r="AZ144" s="68"/>
      <c r="BA144" s="68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  <c r="BM144" s="66"/>
      <c r="BN144" s="66"/>
      <c r="BO144" s="66"/>
      <c r="BP144" s="66"/>
      <c r="BQ144" s="66"/>
      <c r="BR144" s="66"/>
      <c r="BS144" s="66"/>
      <c r="BT144" s="66"/>
      <c r="BU144" s="66"/>
      <c r="BV144" s="66"/>
      <c r="BW144" s="66"/>
      <c r="BX144" s="66"/>
      <c r="BY144" s="66"/>
      <c r="BZ144" s="66"/>
      <c r="CA144" s="66"/>
      <c r="CB144" s="66"/>
      <c r="CC144" s="66"/>
      <c r="CD144" s="66"/>
      <c r="CE144" s="66"/>
      <c r="CF144" s="435"/>
      <c r="CG144" s="66"/>
      <c r="CH144" s="66"/>
      <c r="CI144" s="66"/>
      <c r="CJ144" s="66"/>
      <c r="CK144" s="66"/>
      <c r="CL144" s="66"/>
      <c r="CM144" s="66"/>
      <c r="CN144" s="66"/>
      <c r="CO144" s="66"/>
      <c r="CP144" s="66"/>
      <c r="CQ144" s="66"/>
      <c r="CR144" s="66"/>
      <c r="CS144" s="66"/>
      <c r="CT144" s="66"/>
      <c r="CU144" s="66"/>
      <c r="CV144" s="66"/>
      <c r="CW144" s="66"/>
      <c r="CX144" s="66"/>
      <c r="CY144" s="66"/>
      <c r="CZ144" s="66"/>
      <c r="DA144" s="66"/>
      <c r="DB144" s="66"/>
      <c r="DC144" s="66"/>
      <c r="DD144" s="66"/>
      <c r="DE144" s="66"/>
      <c r="DF144" s="66"/>
      <c r="DG144" s="66"/>
      <c r="DH144" s="66"/>
      <c r="DI144" s="66"/>
      <c r="DJ144" s="66"/>
      <c r="DK144" s="66"/>
      <c r="DL144" s="66"/>
      <c r="DM144" s="66"/>
      <c r="DN144" s="66"/>
      <c r="DO144" s="66"/>
      <c r="DP144" s="66"/>
      <c r="HB144" s="68"/>
      <c r="HC144" s="68"/>
      <c r="HD144" s="398"/>
      <c r="HE144" s="398"/>
      <c r="HF144" s="398"/>
      <c r="HG144" s="398"/>
      <c r="HH144" s="398"/>
      <c r="HI144" s="398"/>
      <c r="HJ144" s="398"/>
      <c r="HK144" s="398"/>
      <c r="HL144" s="398"/>
      <c r="HM144" s="399"/>
      <c r="HN144" s="399"/>
      <c r="HO144" s="399"/>
      <c r="HP144" s="399"/>
      <c r="HQ144" s="399"/>
      <c r="HR144" s="399"/>
      <c r="HS144" s="399"/>
      <c r="HT144" s="399"/>
      <c r="HU144" s="399"/>
      <c r="HV144" s="399"/>
      <c r="HW144" s="400"/>
      <c r="HX144" s="400"/>
      <c r="HY144" s="400"/>
      <c r="HZ144" s="229"/>
      <c r="IA144" s="68"/>
      <c r="IB144" s="68"/>
      <c r="IC144" s="68"/>
      <c r="ID144" s="68"/>
      <c r="IE144" s="68"/>
      <c r="IF144" s="68"/>
      <c r="IG144" s="68"/>
      <c r="IH144" s="68"/>
      <c r="II144" s="68"/>
      <c r="IJ144" s="68"/>
      <c r="IK144" s="68"/>
      <c r="IL144" s="68"/>
      <c r="IM144" s="68"/>
      <c r="IN144" s="68"/>
      <c r="IO144" s="68"/>
      <c r="IP144" s="68"/>
      <c r="IQ144" s="68"/>
      <c r="IR144" s="68"/>
      <c r="IS144" s="68"/>
      <c r="IT144" s="68"/>
      <c r="IU144" s="68"/>
      <c r="IV144" s="68"/>
      <c r="IW144" s="68"/>
      <c r="IX144" s="68"/>
      <c r="IY144" s="68"/>
    </row>
    <row r="145" spans="2:259" s="64" customFormat="1" hidden="1" x14ac:dyDescent="0.3"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  <c r="BM145" s="66"/>
      <c r="BN145" s="66"/>
      <c r="BO145" s="66"/>
      <c r="BP145" s="66"/>
      <c r="BQ145" s="66"/>
      <c r="BR145" s="66"/>
      <c r="BS145" s="66"/>
      <c r="BT145" s="66"/>
      <c r="BU145" s="66"/>
      <c r="BV145" s="66"/>
      <c r="BW145" s="66"/>
      <c r="BX145" s="66"/>
      <c r="BY145" s="66"/>
      <c r="BZ145" s="66"/>
      <c r="CA145" s="66"/>
      <c r="CB145" s="66"/>
      <c r="CC145" s="66"/>
      <c r="CD145" s="66"/>
      <c r="CE145" s="66"/>
      <c r="CF145" s="435"/>
      <c r="CG145" s="66"/>
      <c r="CH145" s="66"/>
      <c r="CI145" s="66"/>
      <c r="CJ145" s="66"/>
      <c r="CK145" s="66"/>
      <c r="CL145" s="66"/>
      <c r="CM145" s="66"/>
      <c r="CN145" s="66"/>
      <c r="CO145" s="66"/>
      <c r="CP145" s="66"/>
      <c r="CQ145" s="66"/>
      <c r="CR145" s="66"/>
      <c r="CS145" s="66"/>
      <c r="CT145" s="66"/>
      <c r="CU145" s="66"/>
      <c r="CV145" s="66"/>
      <c r="CW145" s="66"/>
      <c r="CX145" s="66"/>
      <c r="CY145" s="66"/>
      <c r="CZ145" s="66"/>
      <c r="DA145" s="66"/>
      <c r="DB145" s="66"/>
      <c r="DC145" s="66"/>
      <c r="DD145" s="66"/>
      <c r="DE145" s="66"/>
      <c r="DF145" s="66"/>
      <c r="DG145" s="66"/>
      <c r="DH145" s="66"/>
      <c r="DI145" s="66"/>
      <c r="DJ145" s="66"/>
      <c r="DK145" s="66"/>
      <c r="DL145" s="66"/>
      <c r="DM145" s="66"/>
      <c r="DN145" s="66"/>
      <c r="DO145" s="66"/>
      <c r="DP145" s="66"/>
      <c r="HB145" s="68"/>
      <c r="HC145" s="68"/>
      <c r="HD145" s="398"/>
      <c r="HE145" s="398"/>
      <c r="HF145" s="398"/>
      <c r="HG145" s="398"/>
      <c r="HH145" s="398"/>
      <c r="HI145" s="398"/>
      <c r="HJ145" s="398"/>
      <c r="HK145" s="398"/>
      <c r="HL145" s="398"/>
      <c r="HM145" s="399"/>
      <c r="HN145" s="399"/>
      <c r="HO145" s="399"/>
      <c r="HP145" s="399"/>
      <c r="HQ145" s="399"/>
      <c r="HR145" s="399"/>
      <c r="HS145" s="399"/>
      <c r="HT145" s="399"/>
      <c r="HU145" s="399"/>
      <c r="HV145" s="399"/>
      <c r="HW145" s="400"/>
      <c r="HX145" s="400"/>
      <c r="HY145" s="400"/>
      <c r="HZ145" s="229"/>
      <c r="IA145" s="68"/>
      <c r="IB145" s="68"/>
      <c r="IC145" s="68"/>
      <c r="ID145" s="68"/>
      <c r="IE145" s="68"/>
      <c r="IF145" s="68"/>
      <c r="IG145" s="68"/>
      <c r="IH145" s="68"/>
      <c r="II145" s="68"/>
      <c r="IJ145" s="68"/>
      <c r="IK145" s="68"/>
      <c r="IL145" s="68"/>
      <c r="IM145" s="68"/>
      <c r="IN145" s="68"/>
      <c r="IO145" s="68"/>
      <c r="IP145" s="68"/>
      <c r="IQ145" s="68"/>
      <c r="IR145" s="68"/>
      <c r="IS145" s="68"/>
      <c r="IT145" s="68"/>
      <c r="IU145" s="68"/>
      <c r="IV145" s="68"/>
      <c r="IW145" s="68"/>
      <c r="IX145" s="68"/>
      <c r="IY145" s="68"/>
    </row>
    <row r="146" spans="2:259" s="64" customFormat="1" hidden="1" x14ac:dyDescent="0.3"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  <c r="BM146" s="66"/>
      <c r="BN146" s="66"/>
      <c r="BO146" s="66"/>
      <c r="BP146" s="66"/>
      <c r="BQ146" s="66"/>
      <c r="BR146" s="66"/>
      <c r="BS146" s="66"/>
      <c r="BT146" s="66"/>
      <c r="BU146" s="66"/>
      <c r="BV146" s="66"/>
      <c r="BW146" s="66"/>
      <c r="BX146" s="66"/>
      <c r="BY146" s="66"/>
      <c r="BZ146" s="66"/>
      <c r="CA146" s="66"/>
      <c r="CB146" s="66"/>
      <c r="CC146" s="66"/>
      <c r="CD146" s="66"/>
      <c r="CE146" s="66"/>
      <c r="CF146" s="435"/>
      <c r="CG146" s="66"/>
      <c r="CH146" s="66"/>
      <c r="CI146" s="66"/>
      <c r="CJ146" s="66"/>
      <c r="CK146" s="66"/>
      <c r="CL146" s="66"/>
      <c r="CM146" s="66"/>
      <c r="CN146" s="66"/>
      <c r="CO146" s="66"/>
      <c r="CP146" s="66"/>
      <c r="CQ146" s="66"/>
      <c r="CR146" s="66"/>
      <c r="CS146" s="66"/>
      <c r="CT146" s="66"/>
      <c r="CU146" s="66"/>
      <c r="CV146" s="66"/>
      <c r="CW146" s="66"/>
      <c r="CX146" s="66"/>
      <c r="CY146" s="66"/>
      <c r="CZ146" s="66"/>
      <c r="DA146" s="66"/>
      <c r="DB146" s="66"/>
      <c r="DC146" s="66"/>
      <c r="DD146" s="66"/>
      <c r="DE146" s="66"/>
      <c r="DF146" s="66"/>
      <c r="DG146" s="66"/>
      <c r="DH146" s="66"/>
      <c r="DI146" s="66"/>
      <c r="DJ146" s="66"/>
      <c r="DK146" s="66"/>
      <c r="DL146" s="66"/>
      <c r="DM146" s="66"/>
      <c r="DN146" s="66"/>
      <c r="DO146" s="66"/>
      <c r="DP146" s="66"/>
      <c r="HB146" s="68"/>
      <c r="HC146" s="68"/>
      <c r="HD146" s="398"/>
      <c r="HE146" s="398"/>
      <c r="HF146" s="398"/>
      <c r="HG146" s="398"/>
      <c r="HH146" s="398"/>
      <c r="HI146" s="398"/>
      <c r="HJ146" s="398"/>
      <c r="HK146" s="398"/>
      <c r="HL146" s="398"/>
      <c r="HM146" s="399"/>
      <c r="HN146" s="399"/>
      <c r="HO146" s="399"/>
      <c r="HP146" s="399"/>
      <c r="HQ146" s="399"/>
      <c r="HR146" s="399"/>
      <c r="HS146" s="399"/>
      <c r="HT146" s="399"/>
      <c r="HU146" s="399"/>
      <c r="HV146" s="399"/>
      <c r="HW146" s="400"/>
      <c r="HX146" s="400"/>
      <c r="HY146" s="400"/>
      <c r="HZ146" s="229"/>
      <c r="IA146" s="68"/>
      <c r="IB146" s="68"/>
      <c r="IC146" s="68"/>
      <c r="ID146" s="68"/>
      <c r="IE146" s="68"/>
      <c r="IF146" s="68"/>
      <c r="IG146" s="68"/>
      <c r="IH146" s="68"/>
      <c r="II146" s="68"/>
      <c r="IJ146" s="68"/>
      <c r="IK146" s="68"/>
      <c r="IL146" s="68"/>
      <c r="IM146" s="68"/>
      <c r="IN146" s="68"/>
      <c r="IO146" s="68"/>
      <c r="IP146" s="68"/>
      <c r="IQ146" s="68"/>
      <c r="IR146" s="68"/>
      <c r="IS146" s="68"/>
      <c r="IT146" s="68"/>
      <c r="IU146" s="68"/>
      <c r="IV146" s="68"/>
      <c r="IW146" s="68"/>
      <c r="IX146" s="68"/>
      <c r="IY146" s="68"/>
    </row>
    <row r="147" spans="2:259" s="64" customFormat="1" hidden="1" x14ac:dyDescent="0.3"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  <c r="AV147" s="68"/>
      <c r="AW147" s="68"/>
      <c r="AX147" s="68"/>
      <c r="AY147" s="68"/>
      <c r="AZ147" s="68"/>
      <c r="BA147" s="68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  <c r="BM147" s="66"/>
      <c r="BN147" s="66"/>
      <c r="BO147" s="66"/>
      <c r="BP147" s="66"/>
      <c r="BQ147" s="66"/>
      <c r="BR147" s="66"/>
      <c r="BS147" s="66"/>
      <c r="BT147" s="66"/>
      <c r="BU147" s="66"/>
      <c r="BV147" s="66"/>
      <c r="BW147" s="66"/>
      <c r="BX147" s="66"/>
      <c r="BY147" s="66"/>
      <c r="BZ147" s="66"/>
      <c r="CA147" s="66"/>
      <c r="CB147" s="66"/>
      <c r="CC147" s="66"/>
      <c r="CD147" s="66"/>
      <c r="CE147" s="66"/>
      <c r="CF147" s="435"/>
      <c r="CG147" s="66"/>
      <c r="CH147" s="66"/>
      <c r="CI147" s="66"/>
      <c r="CJ147" s="66"/>
      <c r="CK147" s="66"/>
      <c r="CL147" s="66"/>
      <c r="CM147" s="66"/>
      <c r="CN147" s="66"/>
      <c r="CO147" s="66"/>
      <c r="CP147" s="66"/>
      <c r="CQ147" s="66"/>
      <c r="CR147" s="66"/>
      <c r="CS147" s="66"/>
      <c r="CT147" s="66"/>
      <c r="CU147" s="66"/>
      <c r="CV147" s="66"/>
      <c r="CW147" s="66"/>
      <c r="CX147" s="66"/>
      <c r="CY147" s="66"/>
      <c r="CZ147" s="66"/>
      <c r="DA147" s="66"/>
      <c r="DB147" s="66"/>
      <c r="DC147" s="66"/>
      <c r="DD147" s="66"/>
      <c r="DE147" s="66"/>
      <c r="DF147" s="66"/>
      <c r="DG147" s="66"/>
      <c r="DH147" s="66"/>
      <c r="DI147" s="66"/>
      <c r="DJ147" s="66"/>
      <c r="DK147" s="66"/>
      <c r="DL147" s="66"/>
      <c r="DM147" s="66"/>
      <c r="DN147" s="66"/>
      <c r="DO147" s="66"/>
      <c r="DP147" s="66"/>
      <c r="HB147" s="68"/>
      <c r="HC147" s="68"/>
      <c r="HD147" s="398"/>
      <c r="HE147" s="398"/>
      <c r="HF147" s="398"/>
      <c r="HG147" s="398"/>
      <c r="HH147" s="398"/>
      <c r="HI147" s="398"/>
      <c r="HJ147" s="398"/>
      <c r="HK147" s="398"/>
      <c r="HL147" s="398"/>
      <c r="HM147" s="399"/>
      <c r="HN147" s="399"/>
      <c r="HO147" s="399"/>
      <c r="HP147" s="399"/>
      <c r="HQ147" s="399"/>
      <c r="HR147" s="399"/>
      <c r="HS147" s="399"/>
      <c r="HT147" s="399"/>
      <c r="HU147" s="399"/>
      <c r="HV147" s="399"/>
      <c r="HW147" s="400"/>
      <c r="HX147" s="400"/>
      <c r="HY147" s="400"/>
      <c r="HZ147" s="229"/>
      <c r="IA147" s="68"/>
      <c r="IB147" s="68"/>
      <c r="IC147" s="68"/>
      <c r="ID147" s="68"/>
      <c r="IE147" s="68"/>
      <c r="IF147" s="68"/>
      <c r="IG147" s="68"/>
      <c r="IH147" s="68"/>
      <c r="II147" s="68"/>
      <c r="IJ147" s="68"/>
      <c r="IK147" s="68"/>
      <c r="IL147" s="68"/>
      <c r="IM147" s="68"/>
      <c r="IN147" s="68"/>
      <c r="IO147" s="68"/>
      <c r="IP147" s="68"/>
      <c r="IQ147" s="68"/>
      <c r="IR147" s="68"/>
      <c r="IS147" s="68"/>
      <c r="IT147" s="68"/>
      <c r="IU147" s="68"/>
      <c r="IV147" s="68"/>
      <c r="IW147" s="68"/>
      <c r="IX147" s="68"/>
      <c r="IY147" s="68"/>
    </row>
    <row r="148" spans="2:259" s="64" customFormat="1" hidden="1" x14ac:dyDescent="0.3"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  <c r="BM148" s="66"/>
      <c r="BN148" s="66"/>
      <c r="BO148" s="66"/>
      <c r="BP148" s="66"/>
      <c r="BQ148" s="66"/>
      <c r="BR148" s="66"/>
      <c r="BS148" s="66"/>
      <c r="BT148" s="66"/>
      <c r="BU148" s="66"/>
      <c r="BV148" s="66"/>
      <c r="BW148" s="66"/>
      <c r="BX148" s="66"/>
      <c r="BY148" s="66"/>
      <c r="BZ148" s="66"/>
      <c r="CA148" s="66"/>
      <c r="CB148" s="66"/>
      <c r="CC148" s="66"/>
      <c r="CD148" s="66"/>
      <c r="CE148" s="66"/>
      <c r="CF148" s="435"/>
      <c r="CG148" s="66"/>
      <c r="CH148" s="66"/>
      <c r="CI148" s="66"/>
      <c r="CJ148" s="66"/>
      <c r="CK148" s="66"/>
      <c r="CL148" s="66"/>
      <c r="CM148" s="66"/>
      <c r="CN148" s="66"/>
      <c r="CO148" s="66"/>
      <c r="CP148" s="66"/>
      <c r="CQ148" s="66"/>
      <c r="CR148" s="66"/>
      <c r="CS148" s="66"/>
      <c r="CT148" s="66"/>
      <c r="CU148" s="66"/>
      <c r="CV148" s="66"/>
      <c r="CW148" s="66"/>
      <c r="CX148" s="66"/>
      <c r="CY148" s="66"/>
      <c r="CZ148" s="66"/>
      <c r="DA148" s="66"/>
      <c r="DB148" s="66"/>
      <c r="DC148" s="66"/>
      <c r="DD148" s="66"/>
      <c r="DE148" s="66"/>
      <c r="DF148" s="66"/>
      <c r="DG148" s="66"/>
      <c r="DH148" s="66"/>
      <c r="DI148" s="66"/>
      <c r="DJ148" s="66"/>
      <c r="DK148" s="66"/>
      <c r="DL148" s="66"/>
      <c r="DM148" s="66"/>
      <c r="DN148" s="66"/>
      <c r="DO148" s="66"/>
      <c r="DP148" s="66"/>
      <c r="HB148" s="68"/>
      <c r="HC148" s="68"/>
      <c r="HD148" s="398"/>
      <c r="HE148" s="398"/>
      <c r="HF148" s="398"/>
      <c r="HG148" s="398"/>
      <c r="HH148" s="398"/>
      <c r="HI148" s="398"/>
      <c r="HJ148" s="398"/>
      <c r="HK148" s="398"/>
      <c r="HL148" s="398"/>
      <c r="HM148" s="399"/>
      <c r="HN148" s="399"/>
      <c r="HO148" s="399"/>
      <c r="HP148" s="399"/>
      <c r="HQ148" s="399"/>
      <c r="HR148" s="399"/>
      <c r="HS148" s="399"/>
      <c r="HT148" s="399"/>
      <c r="HU148" s="399"/>
      <c r="HV148" s="399"/>
      <c r="HW148" s="400"/>
      <c r="HX148" s="400"/>
      <c r="HY148" s="400"/>
      <c r="HZ148" s="229"/>
      <c r="IA148" s="68"/>
      <c r="IB148" s="68"/>
      <c r="IC148" s="68"/>
      <c r="ID148" s="68"/>
      <c r="IE148" s="68"/>
      <c r="IF148" s="68"/>
      <c r="IG148" s="68"/>
      <c r="IH148" s="68"/>
      <c r="II148" s="68"/>
      <c r="IJ148" s="68"/>
      <c r="IK148" s="68"/>
      <c r="IL148" s="68"/>
      <c r="IM148" s="68"/>
      <c r="IN148" s="68"/>
      <c r="IO148" s="68"/>
      <c r="IP148" s="68"/>
      <c r="IQ148" s="68"/>
      <c r="IR148" s="68"/>
      <c r="IS148" s="68"/>
      <c r="IT148" s="68"/>
      <c r="IU148" s="68"/>
      <c r="IV148" s="68"/>
      <c r="IW148" s="68"/>
      <c r="IX148" s="68"/>
      <c r="IY148" s="68"/>
    </row>
    <row r="149" spans="2:259" s="64" customFormat="1" hidden="1" x14ac:dyDescent="0.3"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  <c r="AV149" s="68"/>
      <c r="AW149" s="68"/>
      <c r="AX149" s="68"/>
      <c r="AY149" s="68"/>
      <c r="AZ149" s="68"/>
      <c r="BA149" s="68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  <c r="BM149" s="66"/>
      <c r="BN149" s="66"/>
      <c r="BO149" s="66"/>
      <c r="BP149" s="66"/>
      <c r="BQ149" s="66"/>
      <c r="BR149" s="66"/>
      <c r="BS149" s="66"/>
      <c r="BT149" s="66"/>
      <c r="BU149" s="66"/>
      <c r="BV149" s="66"/>
      <c r="BW149" s="66"/>
      <c r="BX149" s="66"/>
      <c r="BY149" s="66"/>
      <c r="BZ149" s="66"/>
      <c r="CA149" s="66"/>
      <c r="CB149" s="66"/>
      <c r="CC149" s="66"/>
      <c r="CD149" s="66"/>
      <c r="CE149" s="66"/>
      <c r="CF149" s="435"/>
      <c r="CG149" s="66"/>
      <c r="CH149" s="66"/>
      <c r="CI149" s="66"/>
      <c r="CJ149" s="66"/>
      <c r="CK149" s="66"/>
      <c r="CL149" s="66"/>
      <c r="CM149" s="66"/>
      <c r="CN149" s="66"/>
      <c r="CO149" s="66"/>
      <c r="CP149" s="66"/>
      <c r="CQ149" s="66"/>
      <c r="CR149" s="66"/>
      <c r="CS149" s="66"/>
      <c r="CT149" s="66"/>
      <c r="CU149" s="66"/>
      <c r="CV149" s="66"/>
      <c r="CW149" s="66"/>
      <c r="CX149" s="66"/>
      <c r="CY149" s="66"/>
      <c r="CZ149" s="66"/>
      <c r="DA149" s="66"/>
      <c r="DB149" s="66"/>
      <c r="DC149" s="66"/>
      <c r="DD149" s="66"/>
      <c r="DE149" s="66"/>
      <c r="DF149" s="66"/>
      <c r="DG149" s="66"/>
      <c r="DH149" s="66"/>
      <c r="DI149" s="66"/>
      <c r="DJ149" s="66"/>
      <c r="DK149" s="66"/>
      <c r="DL149" s="66"/>
      <c r="DM149" s="66"/>
      <c r="DN149" s="66"/>
      <c r="DO149" s="66"/>
      <c r="DP149" s="66"/>
      <c r="HB149" s="68"/>
      <c r="HC149" s="68"/>
      <c r="HD149" s="398"/>
      <c r="HE149" s="398"/>
      <c r="HF149" s="398"/>
      <c r="HG149" s="398"/>
      <c r="HH149" s="398"/>
      <c r="HI149" s="398"/>
      <c r="HJ149" s="398"/>
      <c r="HK149" s="398"/>
      <c r="HL149" s="398"/>
      <c r="HM149" s="399"/>
      <c r="HN149" s="399"/>
      <c r="HO149" s="399"/>
      <c r="HP149" s="399"/>
      <c r="HQ149" s="399"/>
      <c r="HR149" s="399"/>
      <c r="HS149" s="399"/>
      <c r="HT149" s="399"/>
      <c r="HU149" s="399"/>
      <c r="HV149" s="399"/>
      <c r="HW149" s="400"/>
      <c r="HX149" s="400"/>
      <c r="HY149" s="400"/>
      <c r="HZ149" s="229"/>
      <c r="IA149" s="68"/>
      <c r="IB149" s="68"/>
      <c r="IC149" s="68"/>
      <c r="ID149" s="68"/>
      <c r="IE149" s="68"/>
      <c r="IF149" s="68"/>
      <c r="IG149" s="68"/>
      <c r="IH149" s="68"/>
      <c r="II149" s="68"/>
      <c r="IJ149" s="68"/>
      <c r="IK149" s="68"/>
      <c r="IL149" s="68"/>
      <c r="IM149" s="68"/>
      <c r="IN149" s="68"/>
      <c r="IO149" s="68"/>
      <c r="IP149" s="68"/>
      <c r="IQ149" s="68"/>
      <c r="IR149" s="68"/>
      <c r="IS149" s="68"/>
      <c r="IT149" s="68"/>
      <c r="IU149" s="68"/>
      <c r="IV149" s="68"/>
      <c r="IW149" s="68"/>
      <c r="IX149" s="68"/>
      <c r="IY149" s="68"/>
    </row>
    <row r="150" spans="2:259" s="64" customFormat="1" hidden="1" x14ac:dyDescent="0.3"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  <c r="BM150" s="66"/>
      <c r="BN150" s="66"/>
      <c r="BO150" s="66"/>
      <c r="BP150" s="66"/>
      <c r="BQ150" s="66"/>
      <c r="BR150" s="66"/>
      <c r="BS150" s="66"/>
      <c r="BT150" s="66"/>
      <c r="BU150" s="66"/>
      <c r="BV150" s="66"/>
      <c r="BW150" s="66"/>
      <c r="BX150" s="66"/>
      <c r="BY150" s="66"/>
      <c r="BZ150" s="66"/>
      <c r="CA150" s="66"/>
      <c r="CB150" s="66"/>
      <c r="CC150" s="66"/>
      <c r="CD150" s="66"/>
      <c r="CE150" s="66"/>
      <c r="CF150" s="435"/>
      <c r="CG150" s="66"/>
      <c r="CH150" s="66"/>
      <c r="CI150" s="66"/>
      <c r="CJ150" s="66"/>
      <c r="CK150" s="66"/>
      <c r="CL150" s="66"/>
      <c r="CM150" s="66"/>
      <c r="CN150" s="66"/>
      <c r="CO150" s="66"/>
      <c r="CP150" s="66"/>
      <c r="CQ150" s="66"/>
      <c r="CR150" s="66"/>
      <c r="CS150" s="66"/>
      <c r="CT150" s="66"/>
      <c r="CU150" s="66"/>
      <c r="CV150" s="66"/>
      <c r="CW150" s="66"/>
      <c r="CX150" s="66"/>
      <c r="CY150" s="66"/>
      <c r="CZ150" s="66"/>
      <c r="DA150" s="66"/>
      <c r="DB150" s="66"/>
      <c r="DC150" s="66"/>
      <c r="DD150" s="66"/>
      <c r="DE150" s="66"/>
      <c r="DF150" s="66"/>
      <c r="DG150" s="66"/>
      <c r="DH150" s="66"/>
      <c r="DI150" s="66"/>
      <c r="DJ150" s="66"/>
      <c r="DK150" s="66"/>
      <c r="DL150" s="66"/>
      <c r="DM150" s="66"/>
      <c r="DN150" s="66"/>
      <c r="DO150" s="66"/>
      <c r="DP150" s="66"/>
      <c r="HB150" s="68"/>
      <c r="HC150" s="68"/>
      <c r="HD150" s="398"/>
      <c r="HE150" s="398"/>
      <c r="HF150" s="398"/>
      <c r="HG150" s="398"/>
      <c r="HH150" s="398"/>
      <c r="HI150" s="398"/>
      <c r="HJ150" s="398"/>
      <c r="HK150" s="398"/>
      <c r="HL150" s="398"/>
      <c r="HM150" s="399"/>
      <c r="HN150" s="399"/>
      <c r="HO150" s="399"/>
      <c r="HP150" s="399"/>
      <c r="HQ150" s="399"/>
      <c r="HR150" s="399"/>
      <c r="HS150" s="399"/>
      <c r="HT150" s="399"/>
      <c r="HU150" s="399"/>
      <c r="HV150" s="399"/>
      <c r="HW150" s="400"/>
      <c r="HX150" s="400"/>
      <c r="HY150" s="400"/>
      <c r="HZ150" s="229"/>
      <c r="IA150" s="68"/>
      <c r="IB150" s="68"/>
      <c r="IC150" s="68"/>
      <c r="ID150" s="68"/>
      <c r="IE150" s="68"/>
      <c r="IF150" s="68"/>
      <c r="IG150" s="68"/>
      <c r="IH150" s="68"/>
      <c r="II150" s="68"/>
      <c r="IJ150" s="68"/>
      <c r="IK150" s="68"/>
      <c r="IL150" s="68"/>
      <c r="IM150" s="68"/>
      <c r="IN150" s="68"/>
      <c r="IO150" s="68"/>
      <c r="IP150" s="68"/>
      <c r="IQ150" s="68"/>
      <c r="IR150" s="68"/>
      <c r="IS150" s="68"/>
      <c r="IT150" s="68"/>
      <c r="IU150" s="68"/>
      <c r="IV150" s="68"/>
      <c r="IW150" s="68"/>
      <c r="IX150" s="68"/>
      <c r="IY150" s="68"/>
    </row>
    <row r="151" spans="2:259" s="64" customFormat="1" hidden="1" x14ac:dyDescent="0.3"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  <c r="AV151" s="68"/>
      <c r="AW151" s="68"/>
      <c r="AX151" s="68"/>
      <c r="AY151" s="68"/>
      <c r="AZ151" s="68"/>
      <c r="BA151" s="68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  <c r="BM151" s="66"/>
      <c r="BN151" s="66"/>
      <c r="BO151" s="66"/>
      <c r="BP151" s="66"/>
      <c r="BQ151" s="66"/>
      <c r="BR151" s="66"/>
      <c r="BS151" s="66"/>
      <c r="BT151" s="66"/>
      <c r="BU151" s="66"/>
      <c r="BV151" s="66"/>
      <c r="BW151" s="66"/>
      <c r="BX151" s="66"/>
      <c r="BY151" s="66"/>
      <c r="BZ151" s="66"/>
      <c r="CA151" s="66"/>
      <c r="CB151" s="66"/>
      <c r="CC151" s="66"/>
      <c r="CD151" s="66"/>
      <c r="CE151" s="66"/>
      <c r="CF151" s="435"/>
      <c r="CG151" s="66"/>
      <c r="CH151" s="66"/>
      <c r="CI151" s="66"/>
      <c r="CJ151" s="66"/>
      <c r="CK151" s="66"/>
      <c r="CL151" s="66"/>
      <c r="CM151" s="66"/>
      <c r="CN151" s="66"/>
      <c r="CO151" s="66"/>
      <c r="CP151" s="66"/>
      <c r="CQ151" s="66"/>
      <c r="CR151" s="66"/>
      <c r="CS151" s="66"/>
      <c r="CT151" s="66"/>
      <c r="CU151" s="66"/>
      <c r="CV151" s="66"/>
      <c r="CW151" s="66"/>
      <c r="CX151" s="66"/>
      <c r="CY151" s="66"/>
      <c r="CZ151" s="66"/>
      <c r="DA151" s="66"/>
      <c r="DB151" s="66"/>
      <c r="DC151" s="66"/>
      <c r="DD151" s="66"/>
      <c r="DE151" s="66"/>
      <c r="DF151" s="66"/>
      <c r="DG151" s="66"/>
      <c r="DH151" s="66"/>
      <c r="DI151" s="66"/>
      <c r="DJ151" s="66"/>
      <c r="DK151" s="66"/>
      <c r="DL151" s="66"/>
      <c r="DM151" s="66"/>
      <c r="DN151" s="66"/>
      <c r="DO151" s="66"/>
      <c r="DP151" s="66"/>
      <c r="HB151" s="68"/>
      <c r="HC151" s="68"/>
      <c r="HD151" s="398"/>
      <c r="HE151" s="398"/>
      <c r="HF151" s="398"/>
      <c r="HG151" s="398"/>
      <c r="HH151" s="398"/>
      <c r="HI151" s="398"/>
      <c r="HJ151" s="398"/>
      <c r="HK151" s="398"/>
      <c r="HL151" s="398"/>
      <c r="HM151" s="399"/>
      <c r="HN151" s="399"/>
      <c r="HO151" s="399"/>
      <c r="HP151" s="399"/>
      <c r="HQ151" s="399"/>
      <c r="HR151" s="399"/>
      <c r="HS151" s="399"/>
      <c r="HT151" s="399"/>
      <c r="HU151" s="399"/>
      <c r="HV151" s="399"/>
      <c r="HW151" s="400"/>
      <c r="HX151" s="400"/>
      <c r="HY151" s="400"/>
      <c r="HZ151" s="229"/>
      <c r="IA151" s="68"/>
      <c r="IB151" s="68"/>
      <c r="IC151" s="68"/>
      <c r="ID151" s="68"/>
      <c r="IE151" s="68"/>
      <c r="IF151" s="68"/>
      <c r="IG151" s="68"/>
      <c r="IH151" s="68"/>
      <c r="II151" s="68"/>
      <c r="IJ151" s="68"/>
      <c r="IK151" s="68"/>
      <c r="IL151" s="68"/>
      <c r="IM151" s="68"/>
      <c r="IN151" s="68"/>
      <c r="IO151" s="68"/>
      <c r="IP151" s="68"/>
      <c r="IQ151" s="68"/>
      <c r="IR151" s="68"/>
      <c r="IS151" s="68"/>
      <c r="IT151" s="68"/>
      <c r="IU151" s="68"/>
      <c r="IV151" s="68"/>
      <c r="IW151" s="68"/>
      <c r="IX151" s="68"/>
      <c r="IY151" s="68"/>
    </row>
    <row r="152" spans="2:259" s="64" customFormat="1" hidden="1" x14ac:dyDescent="0.3"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  <c r="AV152" s="68"/>
      <c r="AW152" s="68"/>
      <c r="AX152" s="68"/>
      <c r="AY152" s="68"/>
      <c r="AZ152" s="68"/>
      <c r="BA152" s="68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  <c r="BM152" s="66"/>
      <c r="BN152" s="66"/>
      <c r="BO152" s="66"/>
      <c r="BP152" s="66"/>
      <c r="BQ152" s="66"/>
      <c r="BR152" s="66"/>
      <c r="BS152" s="66"/>
      <c r="BT152" s="66"/>
      <c r="BU152" s="66"/>
      <c r="BV152" s="66"/>
      <c r="BW152" s="66"/>
      <c r="BX152" s="66"/>
      <c r="BY152" s="66"/>
      <c r="BZ152" s="66"/>
      <c r="CA152" s="66"/>
      <c r="CB152" s="66"/>
      <c r="CC152" s="66"/>
      <c r="CD152" s="66"/>
      <c r="CE152" s="66"/>
      <c r="CF152" s="435"/>
      <c r="CG152" s="66"/>
      <c r="CH152" s="66"/>
      <c r="CI152" s="66"/>
      <c r="CJ152" s="66"/>
      <c r="CK152" s="66"/>
      <c r="CL152" s="66"/>
      <c r="CM152" s="66"/>
      <c r="CN152" s="66"/>
      <c r="CO152" s="66"/>
      <c r="CP152" s="66"/>
      <c r="CQ152" s="66"/>
      <c r="CR152" s="66"/>
      <c r="CS152" s="66"/>
      <c r="CT152" s="66"/>
      <c r="CU152" s="66"/>
      <c r="CV152" s="66"/>
      <c r="CW152" s="66"/>
      <c r="CX152" s="66"/>
      <c r="CY152" s="66"/>
      <c r="CZ152" s="66"/>
      <c r="DA152" s="66"/>
      <c r="DB152" s="66"/>
      <c r="DC152" s="66"/>
      <c r="DD152" s="66"/>
      <c r="DE152" s="66"/>
      <c r="DF152" s="66"/>
      <c r="DG152" s="66"/>
      <c r="DH152" s="66"/>
      <c r="DI152" s="66"/>
      <c r="DJ152" s="66"/>
      <c r="DK152" s="66"/>
      <c r="DL152" s="66"/>
      <c r="DM152" s="66"/>
      <c r="DN152" s="66"/>
      <c r="DO152" s="66"/>
      <c r="DP152" s="66"/>
      <c r="HB152" s="68"/>
      <c r="HC152" s="68"/>
      <c r="HD152" s="398"/>
      <c r="HE152" s="398"/>
      <c r="HF152" s="398"/>
      <c r="HG152" s="398"/>
      <c r="HH152" s="398"/>
      <c r="HI152" s="398"/>
      <c r="HJ152" s="398"/>
      <c r="HK152" s="398"/>
      <c r="HL152" s="398"/>
      <c r="HM152" s="399"/>
      <c r="HN152" s="399"/>
      <c r="HO152" s="399"/>
      <c r="HP152" s="399"/>
      <c r="HQ152" s="399"/>
      <c r="HR152" s="399"/>
      <c r="HS152" s="399"/>
      <c r="HT152" s="399"/>
      <c r="HU152" s="399"/>
      <c r="HV152" s="399"/>
      <c r="HW152" s="400"/>
      <c r="HX152" s="400"/>
      <c r="HY152" s="400"/>
      <c r="HZ152" s="229"/>
      <c r="IA152" s="68"/>
      <c r="IB152" s="68"/>
      <c r="IC152" s="68"/>
      <c r="ID152" s="68"/>
      <c r="IE152" s="68"/>
      <c r="IF152" s="68"/>
      <c r="IG152" s="68"/>
      <c r="IH152" s="68"/>
      <c r="II152" s="68"/>
      <c r="IJ152" s="68"/>
      <c r="IK152" s="68"/>
      <c r="IL152" s="68"/>
      <c r="IM152" s="68"/>
      <c r="IN152" s="68"/>
      <c r="IO152" s="68"/>
      <c r="IP152" s="68"/>
      <c r="IQ152" s="68"/>
      <c r="IR152" s="68"/>
      <c r="IS152" s="68"/>
      <c r="IT152" s="68"/>
      <c r="IU152" s="68"/>
      <c r="IV152" s="68"/>
      <c r="IW152" s="68"/>
      <c r="IX152" s="68"/>
      <c r="IY152" s="68"/>
    </row>
    <row r="153" spans="2:259" s="64" customFormat="1" ht="6" hidden="1" customHeight="1" x14ac:dyDescent="0.3"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  <c r="AV153" s="68"/>
      <c r="AW153" s="68"/>
      <c r="AX153" s="68"/>
      <c r="AY153" s="68"/>
      <c r="AZ153" s="68"/>
      <c r="BA153" s="68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  <c r="BM153" s="66"/>
      <c r="BN153" s="66"/>
      <c r="BO153" s="66"/>
      <c r="BP153" s="66"/>
      <c r="BQ153" s="66"/>
      <c r="BR153" s="66"/>
      <c r="BS153" s="66"/>
      <c r="BT153" s="66"/>
      <c r="BU153" s="66"/>
      <c r="BV153" s="66"/>
      <c r="BW153" s="66"/>
      <c r="BX153" s="66"/>
      <c r="BY153" s="66"/>
      <c r="BZ153" s="66"/>
      <c r="CA153" s="66"/>
      <c r="CB153" s="66"/>
      <c r="CC153" s="66"/>
      <c r="CD153" s="66"/>
      <c r="CE153" s="66"/>
      <c r="CF153" s="435"/>
      <c r="CG153" s="66"/>
      <c r="CH153" s="66"/>
      <c r="CI153" s="66"/>
      <c r="CJ153" s="66"/>
      <c r="CK153" s="66"/>
      <c r="CL153" s="66"/>
      <c r="CM153" s="66"/>
      <c r="CN153" s="66"/>
      <c r="CO153" s="66"/>
      <c r="CP153" s="66"/>
      <c r="CQ153" s="66"/>
      <c r="CR153" s="66"/>
      <c r="CS153" s="66"/>
      <c r="CT153" s="66"/>
      <c r="CU153" s="66"/>
      <c r="CV153" s="66"/>
      <c r="CW153" s="66"/>
      <c r="CX153" s="66"/>
      <c r="CY153" s="66"/>
      <c r="CZ153" s="66"/>
      <c r="DA153" s="66"/>
      <c r="DB153" s="66"/>
      <c r="DC153" s="66"/>
      <c r="DD153" s="66"/>
      <c r="DE153" s="66"/>
      <c r="DF153" s="66"/>
      <c r="DG153" s="66"/>
      <c r="DH153" s="66"/>
      <c r="DI153" s="66"/>
      <c r="DJ153" s="66"/>
      <c r="DK153" s="66"/>
      <c r="DL153" s="66"/>
      <c r="DM153" s="66"/>
      <c r="DN153" s="66"/>
      <c r="DO153" s="66"/>
      <c r="DP153" s="66"/>
      <c r="HB153" s="68"/>
      <c r="HC153" s="68"/>
      <c r="HD153" s="398"/>
      <c r="HE153" s="398"/>
      <c r="HF153" s="398"/>
      <c r="HG153" s="398"/>
      <c r="HH153" s="398"/>
      <c r="HI153" s="398"/>
      <c r="HJ153" s="398"/>
      <c r="HK153" s="398"/>
      <c r="HL153" s="398"/>
      <c r="HM153" s="405"/>
      <c r="HN153" s="405"/>
      <c r="HO153" s="405"/>
      <c r="HP153" s="405"/>
      <c r="HQ153" s="405"/>
      <c r="HR153" s="405"/>
      <c r="HS153" s="405"/>
      <c r="HT153" s="405"/>
      <c r="HU153" s="405"/>
      <c r="HV153" s="405"/>
      <c r="HW153" s="400"/>
      <c r="HX153" s="400"/>
      <c r="HY153" s="400"/>
      <c r="HZ153" s="229"/>
      <c r="IA153" s="68"/>
      <c r="IB153" s="68"/>
      <c r="IC153" s="68"/>
      <c r="ID153" s="68"/>
      <c r="IE153" s="68"/>
      <c r="IF153" s="68"/>
      <c r="IG153" s="68"/>
      <c r="IH153" s="68"/>
      <c r="II153" s="68"/>
      <c r="IJ153" s="68"/>
      <c r="IK153" s="68"/>
      <c r="IL153" s="68"/>
      <c r="IM153" s="68"/>
      <c r="IN153" s="68"/>
      <c r="IO153" s="68"/>
      <c r="IP153" s="68"/>
      <c r="IQ153" s="68"/>
      <c r="IR153" s="68"/>
      <c r="IS153" s="68"/>
      <c r="IT153" s="68"/>
      <c r="IU153" s="68"/>
      <c r="IV153" s="68"/>
      <c r="IW153" s="68"/>
      <c r="IX153" s="68"/>
      <c r="IY153" s="68"/>
    </row>
    <row r="154" spans="2:259" s="64" customFormat="1" ht="11.25" hidden="1" customHeight="1" x14ac:dyDescent="0.3"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  <c r="AV154" s="68"/>
      <c r="AW154" s="68"/>
      <c r="AX154" s="68"/>
      <c r="AY154" s="68"/>
      <c r="AZ154" s="68"/>
      <c r="BA154" s="68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  <c r="BM154" s="66"/>
      <c r="BN154" s="66"/>
      <c r="BO154" s="66"/>
      <c r="BP154" s="66"/>
      <c r="BQ154" s="66"/>
      <c r="BR154" s="66"/>
      <c r="BS154" s="66"/>
      <c r="BT154" s="66"/>
      <c r="BU154" s="66"/>
      <c r="BV154" s="66"/>
      <c r="BW154" s="66"/>
      <c r="BX154" s="66"/>
      <c r="BY154" s="66"/>
      <c r="BZ154" s="66"/>
      <c r="CA154" s="66"/>
      <c r="CB154" s="66"/>
      <c r="CC154" s="66"/>
      <c r="CD154" s="66"/>
      <c r="CE154" s="66"/>
      <c r="CF154" s="435"/>
      <c r="CG154" s="66"/>
      <c r="CH154" s="66"/>
      <c r="CI154" s="66"/>
      <c r="CJ154" s="66"/>
      <c r="CK154" s="66"/>
      <c r="CL154" s="66"/>
      <c r="CM154" s="66"/>
      <c r="CN154" s="66"/>
      <c r="CO154" s="66"/>
      <c r="CP154" s="66"/>
      <c r="CQ154" s="66"/>
      <c r="CR154" s="66"/>
      <c r="CS154" s="66"/>
      <c r="CT154" s="66"/>
      <c r="CU154" s="66"/>
      <c r="CV154" s="66"/>
      <c r="CW154" s="66"/>
      <c r="CX154" s="66"/>
      <c r="CY154" s="66"/>
      <c r="CZ154" s="66"/>
      <c r="DA154" s="66"/>
      <c r="DB154" s="66"/>
      <c r="DC154" s="66"/>
      <c r="DD154" s="66"/>
      <c r="DE154" s="66"/>
      <c r="DF154" s="66"/>
      <c r="DG154" s="66"/>
      <c r="DH154" s="66"/>
      <c r="DI154" s="66"/>
      <c r="DJ154" s="66"/>
      <c r="DK154" s="66"/>
      <c r="DL154" s="66"/>
      <c r="DM154" s="66"/>
      <c r="DN154" s="66"/>
      <c r="DO154" s="66"/>
      <c r="DP154" s="66"/>
      <c r="HB154" s="68"/>
      <c r="HC154" s="383"/>
      <c r="HD154" s="383"/>
      <c r="HE154" s="383"/>
      <c r="HF154" s="383"/>
      <c r="HG154" s="383"/>
      <c r="HH154" s="383"/>
      <c r="HI154" s="383"/>
      <c r="HJ154" s="383"/>
      <c r="HK154" s="383"/>
      <c r="HL154" s="383"/>
      <c r="HM154" s="383"/>
      <c r="HN154" s="383"/>
      <c r="HO154" s="383"/>
      <c r="HP154" s="383"/>
      <c r="HQ154" s="383"/>
      <c r="HR154" s="383"/>
      <c r="HS154" s="383"/>
      <c r="HT154" s="383"/>
      <c r="HU154" s="383"/>
      <c r="HV154" s="383"/>
      <c r="HW154" s="383"/>
      <c r="HX154" s="383"/>
      <c r="HY154" s="383"/>
      <c r="HZ154" s="383"/>
      <c r="IA154" s="68"/>
      <c r="IB154" s="68"/>
      <c r="IC154" s="68"/>
      <c r="ID154" s="68"/>
      <c r="IE154" s="68"/>
      <c r="IF154" s="68"/>
      <c r="IG154" s="68"/>
      <c r="IH154" s="68"/>
      <c r="II154" s="68"/>
      <c r="IJ154" s="68"/>
      <c r="IK154" s="68"/>
      <c r="IL154" s="68"/>
      <c r="IM154" s="68"/>
      <c r="IN154" s="68"/>
      <c r="IO154" s="68"/>
      <c r="IP154" s="68"/>
      <c r="IQ154" s="68"/>
      <c r="IR154" s="68"/>
      <c r="IS154" s="68"/>
      <c r="IT154" s="68"/>
      <c r="IU154" s="68"/>
      <c r="IV154" s="68"/>
      <c r="IW154" s="68"/>
      <c r="IX154" s="68"/>
      <c r="IY154" s="68"/>
    </row>
    <row r="155" spans="2:259" s="64" customFormat="1" ht="5.25" hidden="1" customHeight="1" x14ac:dyDescent="0.3"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  <c r="BM155" s="66"/>
      <c r="BN155" s="66"/>
      <c r="BO155" s="66"/>
      <c r="BP155" s="66"/>
      <c r="BQ155" s="66"/>
      <c r="BR155" s="66"/>
      <c r="BS155" s="66"/>
      <c r="BT155" s="66"/>
      <c r="BU155" s="66"/>
      <c r="BV155" s="66"/>
      <c r="BW155" s="66"/>
      <c r="BX155" s="66"/>
      <c r="BY155" s="66"/>
      <c r="BZ155" s="66"/>
      <c r="CA155" s="66"/>
      <c r="CB155" s="66"/>
      <c r="CC155" s="66"/>
      <c r="CD155" s="66"/>
      <c r="CE155" s="66"/>
      <c r="CF155" s="435"/>
      <c r="CG155" s="66"/>
      <c r="CH155" s="66"/>
      <c r="CI155" s="66"/>
      <c r="CJ155" s="66"/>
      <c r="CK155" s="66"/>
      <c r="CL155" s="66"/>
      <c r="CM155" s="66"/>
      <c r="CN155" s="66"/>
      <c r="CO155" s="66"/>
      <c r="CP155" s="66"/>
      <c r="CQ155" s="66"/>
      <c r="CR155" s="66"/>
      <c r="CS155" s="66"/>
      <c r="CT155" s="66"/>
      <c r="CU155" s="66"/>
      <c r="CV155" s="66"/>
      <c r="CW155" s="66"/>
      <c r="CX155" s="66"/>
      <c r="CY155" s="66"/>
      <c r="CZ155" s="66"/>
      <c r="DA155" s="66"/>
      <c r="DB155" s="66"/>
      <c r="DC155" s="66"/>
      <c r="DD155" s="66"/>
      <c r="DE155" s="66"/>
      <c r="DF155" s="66"/>
      <c r="DG155" s="66"/>
      <c r="DH155" s="66"/>
      <c r="DI155" s="66"/>
      <c r="DJ155" s="66"/>
      <c r="DK155" s="66"/>
      <c r="DL155" s="66"/>
      <c r="DM155" s="66"/>
      <c r="DN155" s="66"/>
      <c r="DO155" s="66"/>
      <c r="DP155" s="66"/>
      <c r="HB155" s="68"/>
      <c r="HC155" s="162"/>
      <c r="HD155" s="149"/>
      <c r="HE155" s="149"/>
      <c r="HF155" s="149"/>
      <c r="HG155" s="149"/>
      <c r="HH155" s="149"/>
      <c r="HI155" s="149"/>
      <c r="HJ155" s="149"/>
      <c r="HK155" s="149"/>
      <c r="HL155" s="149"/>
      <c r="HM155" s="162"/>
      <c r="HN155" s="162"/>
      <c r="HO155" s="162"/>
      <c r="HP155" s="162"/>
      <c r="HQ155" s="162"/>
      <c r="HR155" s="162"/>
      <c r="HS155" s="162"/>
      <c r="HT155" s="162"/>
      <c r="HU155" s="162"/>
      <c r="HV155" s="162"/>
      <c r="HW155" s="162"/>
      <c r="HX155" s="162"/>
      <c r="HY155" s="162"/>
      <c r="HZ155" s="162"/>
      <c r="IA155" s="68"/>
      <c r="IB155" s="68"/>
      <c r="IC155" s="68"/>
      <c r="ID155" s="68"/>
      <c r="IE155" s="68"/>
      <c r="IF155" s="68"/>
      <c r="IG155" s="68"/>
      <c r="IH155" s="68"/>
      <c r="II155" s="68"/>
      <c r="IJ155" s="68"/>
      <c r="IK155" s="68"/>
      <c r="IL155" s="68"/>
      <c r="IM155" s="68"/>
      <c r="IN155" s="68"/>
      <c r="IO155" s="68"/>
      <c r="IP155" s="68"/>
      <c r="IQ155" s="68"/>
      <c r="IR155" s="68"/>
      <c r="IS155" s="68"/>
      <c r="IT155" s="68"/>
      <c r="IU155" s="68"/>
      <c r="IV155" s="68"/>
      <c r="IW155" s="68"/>
      <c r="IX155" s="68"/>
      <c r="IY155" s="68"/>
    </row>
    <row r="156" spans="2:259" s="64" customFormat="1" ht="11.25" hidden="1" customHeight="1" x14ac:dyDescent="0.3"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  <c r="AV156" s="68"/>
      <c r="AW156" s="68"/>
      <c r="AX156" s="68"/>
      <c r="AY156" s="68"/>
      <c r="AZ156" s="68"/>
      <c r="BA156" s="68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435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  <c r="CV156" s="66"/>
      <c r="CW156" s="66"/>
      <c r="CX156" s="66"/>
      <c r="CY156" s="66"/>
      <c r="CZ156" s="66"/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/>
      <c r="DL156" s="66"/>
      <c r="DM156" s="66"/>
      <c r="DN156" s="66"/>
      <c r="DO156" s="66"/>
      <c r="DP156" s="66"/>
      <c r="HB156" s="68"/>
      <c r="HC156" s="162"/>
      <c r="HD156" s="149"/>
      <c r="HE156" s="149"/>
      <c r="HF156" s="149"/>
      <c r="HG156" s="149"/>
      <c r="HH156" s="149"/>
      <c r="HI156" s="149"/>
      <c r="HJ156" s="149"/>
      <c r="HK156" s="149"/>
      <c r="HL156" s="149"/>
      <c r="HM156" s="162"/>
      <c r="HN156" s="162"/>
      <c r="HO156" s="162"/>
      <c r="HP156" s="162"/>
      <c r="HQ156" s="162"/>
      <c r="HR156" s="162"/>
      <c r="HS156" s="162"/>
      <c r="HT156" s="162"/>
      <c r="HU156" s="162"/>
      <c r="HV156" s="162"/>
      <c r="HW156" s="162"/>
      <c r="HX156" s="162"/>
      <c r="HY156" s="162"/>
      <c r="HZ156" s="162"/>
      <c r="IA156" s="68"/>
      <c r="IB156" s="68"/>
      <c r="IC156" s="68"/>
      <c r="ID156" s="68"/>
      <c r="IE156" s="68"/>
      <c r="IF156" s="68"/>
      <c r="IG156" s="68"/>
      <c r="IH156" s="68"/>
      <c r="II156" s="68"/>
      <c r="IJ156" s="68"/>
      <c r="IK156" s="68"/>
      <c r="IL156" s="68"/>
      <c r="IM156" s="68"/>
      <c r="IN156" s="68"/>
      <c r="IO156" s="68"/>
      <c r="IP156" s="68"/>
      <c r="IQ156" s="68"/>
      <c r="IR156" s="68"/>
      <c r="IS156" s="68"/>
      <c r="IT156" s="68"/>
      <c r="IU156" s="68"/>
      <c r="IV156" s="68"/>
      <c r="IW156" s="68"/>
      <c r="IX156" s="68"/>
      <c r="IY156" s="68"/>
    </row>
    <row r="157" spans="2:259" s="64" customFormat="1" hidden="1" x14ac:dyDescent="0.3"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  <c r="AV157" s="68"/>
      <c r="AW157" s="68"/>
      <c r="AX157" s="68"/>
      <c r="AY157" s="68"/>
      <c r="AZ157" s="68"/>
      <c r="BA157" s="68"/>
      <c r="BB157" s="67"/>
      <c r="BC157" s="67"/>
      <c r="BD157" s="67"/>
      <c r="BE157" s="67"/>
      <c r="BF157" s="67"/>
      <c r="BG157" s="67"/>
      <c r="BH157" s="67"/>
      <c r="BI157" s="67"/>
      <c r="BJ157" s="67"/>
      <c r="BK157" s="67"/>
      <c r="BL157" s="67"/>
      <c r="BM157" s="66"/>
      <c r="BN157" s="66"/>
      <c r="BO157" s="66"/>
      <c r="BP157" s="66"/>
      <c r="BQ157" s="66"/>
      <c r="BR157" s="66"/>
      <c r="BS157" s="66"/>
      <c r="BT157" s="66"/>
      <c r="BU157" s="66"/>
      <c r="BV157" s="66"/>
      <c r="BW157" s="66"/>
      <c r="BX157" s="66"/>
      <c r="BY157" s="66"/>
      <c r="BZ157" s="66"/>
      <c r="CA157" s="66"/>
      <c r="CB157" s="66"/>
      <c r="CC157" s="66"/>
      <c r="CD157" s="66"/>
      <c r="CE157" s="66"/>
      <c r="CF157" s="435"/>
      <c r="CG157" s="66"/>
      <c r="CH157" s="66"/>
      <c r="CI157" s="66"/>
      <c r="CJ157" s="66"/>
      <c r="CK157" s="66"/>
      <c r="CL157" s="66"/>
      <c r="CM157" s="66"/>
      <c r="CN157" s="66"/>
      <c r="CO157" s="66"/>
      <c r="CP157" s="66"/>
      <c r="CQ157" s="66"/>
      <c r="CR157" s="66"/>
      <c r="CS157" s="66"/>
      <c r="CT157" s="66"/>
      <c r="CU157" s="66"/>
      <c r="CV157" s="66"/>
      <c r="CW157" s="66"/>
      <c r="CX157" s="66"/>
      <c r="CY157" s="66"/>
      <c r="CZ157" s="66"/>
      <c r="DA157" s="66"/>
      <c r="DB157" s="66"/>
      <c r="DC157" s="66"/>
      <c r="DD157" s="66"/>
      <c r="DE157" s="66"/>
      <c r="DF157" s="66"/>
      <c r="DG157" s="66"/>
      <c r="DH157" s="66"/>
      <c r="DI157" s="66"/>
      <c r="DJ157" s="66"/>
      <c r="DK157" s="66"/>
      <c r="DL157" s="66"/>
      <c r="DM157" s="66"/>
      <c r="DN157" s="66"/>
      <c r="DO157" s="66"/>
      <c r="DP157" s="66"/>
      <c r="HB157" s="68"/>
      <c r="HC157" s="406"/>
      <c r="HD157" s="406"/>
      <c r="HE157" s="406"/>
      <c r="HF157" s="406"/>
      <c r="HG157" s="406"/>
      <c r="HH157" s="406"/>
      <c r="HI157" s="406"/>
      <c r="HJ157" s="406"/>
      <c r="HK157" s="406"/>
      <c r="HL157" s="406"/>
      <c r="HM157" s="406"/>
      <c r="HN157" s="406"/>
      <c r="HO157" s="406"/>
      <c r="HP157" s="406"/>
      <c r="HQ157" s="406"/>
      <c r="HR157" s="406"/>
      <c r="HS157" s="406"/>
      <c r="HT157" s="406"/>
      <c r="HU157" s="406"/>
      <c r="HV157" s="406"/>
      <c r="HW157" s="406"/>
      <c r="HX157" s="406"/>
      <c r="HY157" s="406"/>
      <c r="HZ157" s="406"/>
      <c r="IA157" s="68"/>
      <c r="IB157" s="68"/>
      <c r="IC157" s="68"/>
      <c r="ID157" s="68"/>
      <c r="IE157" s="68"/>
      <c r="IF157" s="68"/>
      <c r="IG157" s="68"/>
      <c r="IH157" s="68"/>
      <c r="II157" s="68"/>
      <c r="IJ157" s="68"/>
      <c r="IK157" s="68"/>
      <c r="IL157" s="68"/>
      <c r="IM157" s="68"/>
      <c r="IN157" s="68"/>
      <c r="IO157" s="68"/>
      <c r="IP157" s="68"/>
      <c r="IQ157" s="68"/>
      <c r="IR157" s="68"/>
      <c r="IS157" s="68"/>
      <c r="IT157" s="68"/>
      <c r="IU157" s="68"/>
      <c r="IV157" s="68"/>
      <c r="IW157" s="68"/>
      <c r="IX157" s="68"/>
      <c r="IY157" s="68"/>
    </row>
    <row r="158" spans="2:259" s="64" customFormat="1" hidden="1" x14ac:dyDescent="0.3"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  <c r="AV158" s="68"/>
      <c r="AW158" s="68"/>
      <c r="AX158" s="68"/>
      <c r="AY158" s="68"/>
      <c r="AZ158" s="68"/>
      <c r="BA158" s="68"/>
      <c r="BB158" s="67"/>
      <c r="BC158" s="67"/>
      <c r="BD158" s="67"/>
      <c r="BE158" s="67"/>
      <c r="BF158" s="67"/>
      <c r="BG158" s="67"/>
      <c r="BH158" s="67"/>
      <c r="BI158" s="67"/>
      <c r="BJ158" s="67"/>
      <c r="BK158" s="67"/>
      <c r="BL158" s="67"/>
      <c r="BM158" s="66"/>
      <c r="BN158" s="66"/>
      <c r="BO158" s="66"/>
      <c r="BP158" s="66"/>
      <c r="BQ158" s="66"/>
      <c r="BR158" s="66"/>
      <c r="BS158" s="66"/>
      <c r="BT158" s="66"/>
      <c r="BU158" s="66"/>
      <c r="BV158" s="66"/>
      <c r="BW158" s="66"/>
      <c r="BX158" s="66"/>
      <c r="BY158" s="66"/>
      <c r="BZ158" s="66"/>
      <c r="CA158" s="66"/>
      <c r="CB158" s="66"/>
      <c r="CC158" s="66"/>
      <c r="CD158" s="66"/>
      <c r="CE158" s="66"/>
      <c r="CF158" s="435"/>
      <c r="CG158" s="66"/>
      <c r="CH158" s="66"/>
      <c r="CI158" s="66"/>
      <c r="CJ158" s="66"/>
      <c r="CK158" s="66"/>
      <c r="CL158" s="66"/>
      <c r="CM158" s="66"/>
      <c r="CN158" s="66"/>
      <c r="CO158" s="66"/>
      <c r="CP158" s="66"/>
      <c r="CQ158" s="66"/>
      <c r="CR158" s="66"/>
      <c r="CS158" s="66"/>
      <c r="CT158" s="66"/>
      <c r="CU158" s="66"/>
      <c r="CV158" s="66"/>
      <c r="CW158" s="66"/>
      <c r="CX158" s="66"/>
      <c r="CY158" s="66"/>
      <c r="CZ158" s="66"/>
      <c r="DA158" s="66"/>
      <c r="DB158" s="66"/>
      <c r="DC158" s="66"/>
      <c r="DD158" s="66"/>
      <c r="DE158" s="66"/>
      <c r="DF158" s="66"/>
      <c r="DG158" s="66"/>
      <c r="DH158" s="66"/>
      <c r="DI158" s="66"/>
      <c r="DJ158" s="66"/>
      <c r="DK158" s="66"/>
      <c r="DL158" s="66"/>
      <c r="DM158" s="66"/>
      <c r="DN158" s="66"/>
      <c r="DO158" s="66"/>
      <c r="DP158" s="66"/>
      <c r="HB158" s="68"/>
      <c r="HC158" s="162"/>
      <c r="HD158" s="377"/>
      <c r="HE158" s="377"/>
      <c r="HF158" s="377"/>
      <c r="HG158" s="377"/>
      <c r="HH158" s="377"/>
      <c r="HI158" s="377"/>
      <c r="HJ158" s="377"/>
      <c r="HK158" s="377"/>
      <c r="HL158" s="377"/>
      <c r="HM158" s="377"/>
      <c r="HN158" s="377"/>
      <c r="HO158" s="377"/>
      <c r="HP158" s="377"/>
      <c r="HQ158" s="377"/>
      <c r="HR158" s="377"/>
      <c r="HS158" s="377"/>
      <c r="HT158" s="377"/>
      <c r="HU158" s="377"/>
      <c r="HV158" s="377"/>
      <c r="HW158" s="377"/>
      <c r="HX158" s="377"/>
      <c r="HY158" s="162"/>
      <c r="HZ158" s="162"/>
      <c r="IA158" s="68"/>
      <c r="IB158" s="68"/>
      <c r="IC158" s="68"/>
      <c r="ID158" s="68"/>
      <c r="IE158" s="68"/>
      <c r="IF158" s="68"/>
      <c r="IG158" s="68"/>
      <c r="IH158" s="68"/>
      <c r="II158" s="68"/>
      <c r="IJ158" s="68"/>
      <c r="IK158" s="68"/>
      <c r="IL158" s="68"/>
      <c r="IM158" s="68"/>
      <c r="IN158" s="68"/>
      <c r="IO158" s="68"/>
      <c r="IP158" s="68"/>
      <c r="IQ158" s="68"/>
      <c r="IR158" s="68"/>
      <c r="IS158" s="68"/>
      <c r="IT158" s="68"/>
      <c r="IU158" s="68"/>
      <c r="IV158" s="68"/>
      <c r="IW158" s="68"/>
      <c r="IX158" s="68"/>
      <c r="IY158" s="68"/>
    </row>
    <row r="159" spans="2:259" s="64" customFormat="1" hidden="1" x14ac:dyDescent="0.3"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  <c r="AV159" s="68"/>
      <c r="AW159" s="68"/>
      <c r="AX159" s="68"/>
      <c r="AY159" s="68"/>
      <c r="AZ159" s="68"/>
      <c r="BA159" s="68"/>
      <c r="BB159" s="67"/>
      <c r="BC159" s="67"/>
      <c r="BD159" s="67"/>
      <c r="BE159" s="67"/>
      <c r="BF159" s="67"/>
      <c r="BG159" s="67"/>
      <c r="BH159" s="67"/>
      <c r="BI159" s="67"/>
      <c r="BJ159" s="67"/>
      <c r="BK159" s="67"/>
      <c r="BL159" s="67"/>
      <c r="BM159" s="66"/>
      <c r="BN159" s="66"/>
      <c r="BO159" s="66"/>
      <c r="BP159" s="66"/>
      <c r="BQ159" s="66"/>
      <c r="BR159" s="66"/>
      <c r="BS159" s="66"/>
      <c r="BT159" s="66"/>
      <c r="BU159" s="66"/>
      <c r="BV159" s="66"/>
      <c r="BW159" s="66"/>
      <c r="BX159" s="66"/>
      <c r="BY159" s="66"/>
      <c r="BZ159" s="66"/>
      <c r="CA159" s="66"/>
      <c r="CB159" s="66"/>
      <c r="CC159" s="66"/>
      <c r="CD159" s="66"/>
      <c r="CE159" s="66"/>
      <c r="CF159" s="435"/>
      <c r="CG159" s="66"/>
      <c r="CH159" s="66"/>
      <c r="CI159" s="66"/>
      <c r="CJ159" s="66"/>
      <c r="CK159" s="66"/>
      <c r="CL159" s="66"/>
      <c r="CM159" s="66"/>
      <c r="CN159" s="66"/>
      <c r="CO159" s="66"/>
      <c r="CP159" s="66"/>
      <c r="CQ159" s="66"/>
      <c r="CR159" s="66"/>
      <c r="CS159" s="66"/>
      <c r="CT159" s="66"/>
      <c r="CU159" s="66"/>
      <c r="CV159" s="66"/>
      <c r="CW159" s="66"/>
      <c r="CX159" s="66"/>
      <c r="CY159" s="66"/>
      <c r="CZ159" s="66"/>
      <c r="DA159" s="66"/>
      <c r="DB159" s="66"/>
      <c r="DC159" s="66"/>
      <c r="DD159" s="66"/>
      <c r="DE159" s="66"/>
      <c r="DF159" s="66"/>
      <c r="DG159" s="66"/>
      <c r="DH159" s="66"/>
      <c r="DI159" s="66"/>
      <c r="DJ159" s="66"/>
      <c r="DK159" s="66"/>
      <c r="DL159" s="66"/>
      <c r="DM159" s="66"/>
      <c r="DN159" s="66"/>
      <c r="DO159" s="66"/>
      <c r="DP159" s="66"/>
      <c r="HB159" s="68"/>
      <c r="HC159" s="162"/>
      <c r="HD159" s="149"/>
      <c r="HE159" s="149"/>
      <c r="HF159" s="149"/>
      <c r="HG159" s="149"/>
      <c r="HH159" s="149"/>
      <c r="HI159" s="149"/>
      <c r="HJ159" s="149"/>
      <c r="HK159" s="149"/>
      <c r="HL159" s="149"/>
      <c r="HM159" s="162"/>
      <c r="HN159" s="162"/>
      <c r="HO159" s="162"/>
      <c r="HP159" s="162"/>
      <c r="HQ159" s="162"/>
      <c r="HR159" s="162"/>
      <c r="HS159" s="162"/>
      <c r="HT159" s="162"/>
      <c r="HU159" s="162"/>
      <c r="HV159" s="162"/>
      <c r="HW159" s="162"/>
      <c r="HX159" s="162"/>
      <c r="HY159" s="162"/>
      <c r="HZ159" s="162"/>
      <c r="IA159" s="68"/>
      <c r="IB159" s="68"/>
      <c r="IC159" s="68"/>
      <c r="ID159" s="68"/>
      <c r="IE159" s="68"/>
      <c r="IF159" s="68"/>
      <c r="IG159" s="68"/>
      <c r="IH159" s="68"/>
      <c r="II159" s="68"/>
      <c r="IJ159" s="68"/>
      <c r="IK159" s="68"/>
      <c r="IL159" s="68"/>
      <c r="IM159" s="68"/>
      <c r="IN159" s="68"/>
      <c r="IO159" s="68"/>
      <c r="IP159" s="68"/>
      <c r="IQ159" s="68"/>
      <c r="IR159" s="68"/>
      <c r="IS159" s="68"/>
      <c r="IT159" s="68"/>
      <c r="IU159" s="68"/>
      <c r="IV159" s="68"/>
      <c r="IW159" s="68"/>
      <c r="IX159" s="68"/>
      <c r="IY159" s="68"/>
    </row>
    <row r="160" spans="2:259" s="64" customFormat="1" ht="15" hidden="1" customHeight="1" x14ac:dyDescent="0.3"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  <c r="AV160" s="68"/>
      <c r="AW160" s="68"/>
      <c r="AX160" s="68"/>
      <c r="AY160" s="68"/>
      <c r="AZ160" s="68"/>
      <c r="BA160" s="68"/>
      <c r="BB160" s="67"/>
      <c r="BC160" s="67"/>
      <c r="BD160" s="67"/>
      <c r="BE160" s="67"/>
      <c r="BF160" s="67"/>
      <c r="BG160" s="67"/>
      <c r="BH160" s="67"/>
      <c r="BI160" s="67"/>
      <c r="BJ160" s="67"/>
      <c r="BK160" s="67"/>
      <c r="BL160" s="67"/>
      <c r="BM160" s="66"/>
      <c r="BN160" s="66"/>
      <c r="BO160" s="66"/>
      <c r="BP160" s="66"/>
      <c r="BQ160" s="66"/>
      <c r="BR160" s="66"/>
      <c r="BS160" s="66"/>
      <c r="BT160" s="66"/>
      <c r="BU160" s="66"/>
      <c r="BV160" s="66"/>
      <c r="BW160" s="66"/>
      <c r="BX160" s="66"/>
      <c r="BY160" s="66"/>
      <c r="BZ160" s="66"/>
      <c r="CA160" s="66"/>
      <c r="CB160" s="66"/>
      <c r="CC160" s="66"/>
      <c r="CD160" s="66"/>
      <c r="CE160" s="66"/>
      <c r="CF160" s="435"/>
      <c r="CG160" s="66"/>
      <c r="CH160" s="66"/>
      <c r="CI160" s="66"/>
      <c r="CJ160" s="66"/>
      <c r="CK160" s="66"/>
      <c r="CL160" s="66"/>
      <c r="CM160" s="66"/>
      <c r="CN160" s="66"/>
      <c r="CO160" s="66"/>
      <c r="CP160" s="66"/>
      <c r="CQ160" s="66"/>
      <c r="CR160" s="66"/>
      <c r="CS160" s="66"/>
      <c r="CT160" s="66"/>
      <c r="CU160" s="66"/>
      <c r="CV160" s="66"/>
      <c r="CW160" s="66"/>
      <c r="CX160" s="66"/>
      <c r="CY160" s="66"/>
      <c r="CZ160" s="66"/>
      <c r="DA160" s="66"/>
      <c r="DB160" s="66"/>
      <c r="DC160" s="66"/>
      <c r="DD160" s="66"/>
      <c r="DE160" s="66"/>
      <c r="DF160" s="66"/>
      <c r="DG160" s="66"/>
      <c r="DH160" s="66"/>
      <c r="DI160" s="66"/>
      <c r="DJ160" s="66"/>
      <c r="DK160" s="66"/>
      <c r="DL160" s="66"/>
      <c r="DM160" s="66"/>
      <c r="DN160" s="66"/>
      <c r="DO160" s="66"/>
      <c r="DP160" s="66"/>
      <c r="HB160" s="68"/>
      <c r="HC160" s="162"/>
      <c r="HD160" s="395"/>
      <c r="HE160" s="396"/>
      <c r="HF160" s="396"/>
      <c r="HG160" s="396"/>
      <c r="HH160" s="396"/>
      <c r="HI160" s="396"/>
      <c r="HJ160" s="396"/>
      <c r="HK160" s="396"/>
      <c r="HL160" s="396"/>
      <c r="HM160" s="395"/>
      <c r="HN160" s="396"/>
      <c r="HO160" s="396"/>
      <c r="HP160" s="396"/>
      <c r="HQ160" s="396"/>
      <c r="HR160" s="396"/>
      <c r="HS160" s="396"/>
      <c r="HT160" s="395"/>
      <c r="HU160" s="396"/>
      <c r="HV160" s="396"/>
      <c r="HW160" s="395"/>
      <c r="HX160" s="396"/>
      <c r="HY160" s="396"/>
      <c r="HZ160" s="162"/>
      <c r="IA160" s="68"/>
      <c r="IB160" s="68"/>
      <c r="IC160" s="68"/>
      <c r="ID160" s="68"/>
      <c r="IE160" s="68"/>
      <c r="IF160" s="68"/>
      <c r="IG160" s="68"/>
      <c r="IH160" s="68"/>
      <c r="II160" s="68"/>
      <c r="IJ160" s="68"/>
      <c r="IK160" s="68"/>
      <c r="IL160" s="68"/>
      <c r="IM160" s="68"/>
      <c r="IN160" s="68"/>
      <c r="IO160" s="68"/>
      <c r="IP160" s="68"/>
      <c r="IQ160" s="68"/>
      <c r="IR160" s="68"/>
      <c r="IS160" s="68"/>
      <c r="IT160" s="68"/>
      <c r="IU160" s="68"/>
      <c r="IV160" s="68"/>
      <c r="IW160" s="68"/>
      <c r="IX160" s="68"/>
      <c r="IY160" s="68"/>
    </row>
    <row r="161" spans="2:259" s="64" customFormat="1" ht="4.5" hidden="1" customHeight="1" x14ac:dyDescent="0.3"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  <c r="AV161" s="68"/>
      <c r="AW161" s="68"/>
      <c r="AX161" s="68"/>
      <c r="AY161" s="68"/>
      <c r="AZ161" s="68"/>
      <c r="BA161" s="68"/>
      <c r="BB161" s="67"/>
      <c r="BC161" s="67"/>
      <c r="BD161" s="67"/>
      <c r="BE161" s="67"/>
      <c r="BF161" s="67"/>
      <c r="BG161" s="67"/>
      <c r="BH161" s="67"/>
      <c r="BI161" s="67"/>
      <c r="BJ161" s="67"/>
      <c r="BK161" s="67"/>
      <c r="BL161" s="67"/>
      <c r="BM161" s="66"/>
      <c r="BN161" s="66"/>
      <c r="BO161" s="66"/>
      <c r="BP161" s="66"/>
      <c r="BQ161" s="66"/>
      <c r="BR161" s="66"/>
      <c r="BS161" s="66"/>
      <c r="BT161" s="66"/>
      <c r="BU161" s="66"/>
      <c r="BV161" s="66"/>
      <c r="BW161" s="66"/>
      <c r="BX161" s="66"/>
      <c r="BY161" s="66"/>
      <c r="BZ161" s="66"/>
      <c r="CA161" s="66"/>
      <c r="CB161" s="66"/>
      <c r="CC161" s="66"/>
      <c r="CD161" s="66"/>
      <c r="CE161" s="66"/>
      <c r="CF161" s="435"/>
      <c r="CG161" s="66"/>
      <c r="CH161" s="66"/>
      <c r="CI161" s="66"/>
      <c r="CJ161" s="66"/>
      <c r="CK161" s="66"/>
      <c r="CL161" s="66"/>
      <c r="CM161" s="66"/>
      <c r="CN161" s="66"/>
      <c r="CO161" s="66"/>
      <c r="CP161" s="66"/>
      <c r="CQ161" s="66"/>
      <c r="CR161" s="66"/>
      <c r="CS161" s="66"/>
      <c r="CT161" s="66"/>
      <c r="CU161" s="66"/>
      <c r="CV161" s="66"/>
      <c r="CW161" s="66"/>
      <c r="CX161" s="66"/>
      <c r="CY161" s="66"/>
      <c r="CZ161" s="66"/>
      <c r="DA161" s="66"/>
      <c r="DB161" s="66"/>
      <c r="DC161" s="66"/>
      <c r="DD161" s="66"/>
      <c r="DE161" s="66"/>
      <c r="DF161" s="66"/>
      <c r="DG161" s="66"/>
      <c r="DH161" s="66"/>
      <c r="DI161" s="66"/>
      <c r="DJ161" s="66"/>
      <c r="DK161" s="66"/>
      <c r="DL161" s="66"/>
      <c r="DM161" s="66"/>
      <c r="DN161" s="66"/>
      <c r="DO161" s="66"/>
      <c r="DP161" s="66"/>
      <c r="HB161" s="68"/>
      <c r="HC161" s="162"/>
      <c r="HD161" s="396"/>
      <c r="HE161" s="396"/>
      <c r="HF161" s="396"/>
      <c r="HG161" s="396"/>
      <c r="HH161" s="396"/>
      <c r="HI161" s="396"/>
      <c r="HJ161" s="396"/>
      <c r="HK161" s="396"/>
      <c r="HL161" s="396"/>
      <c r="HM161" s="396"/>
      <c r="HN161" s="396"/>
      <c r="HO161" s="396"/>
      <c r="HP161" s="396"/>
      <c r="HQ161" s="396"/>
      <c r="HR161" s="396"/>
      <c r="HS161" s="396"/>
      <c r="HT161" s="396"/>
      <c r="HU161" s="396"/>
      <c r="HV161" s="396"/>
      <c r="HW161" s="396"/>
      <c r="HX161" s="396"/>
      <c r="HY161" s="396"/>
      <c r="HZ161" s="162"/>
      <c r="IA161" s="68"/>
      <c r="IB161" s="68"/>
      <c r="IC161" s="68"/>
      <c r="ID161" s="68"/>
      <c r="IE161" s="68"/>
      <c r="IF161" s="68"/>
      <c r="IG161" s="68"/>
      <c r="IH161" s="68"/>
      <c r="II161" s="68"/>
      <c r="IJ161" s="68"/>
      <c r="IK161" s="68"/>
      <c r="IL161" s="68"/>
      <c r="IM161" s="68"/>
      <c r="IN161" s="68"/>
      <c r="IO161" s="68"/>
      <c r="IP161" s="68"/>
      <c r="IQ161" s="68"/>
      <c r="IR161" s="68"/>
      <c r="IS161" s="68"/>
      <c r="IT161" s="68"/>
      <c r="IU161" s="68"/>
      <c r="IV161" s="68"/>
      <c r="IW161" s="68"/>
      <c r="IX161" s="68"/>
      <c r="IY161" s="68"/>
    </row>
    <row r="162" spans="2:259" s="64" customFormat="1" hidden="1" x14ac:dyDescent="0.3"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  <c r="AV162" s="68"/>
      <c r="AW162" s="68"/>
      <c r="AX162" s="68"/>
      <c r="AY162" s="68"/>
      <c r="AZ162" s="68"/>
      <c r="BA162" s="68"/>
      <c r="BB162" s="67"/>
      <c r="BC162" s="67"/>
      <c r="BD162" s="67"/>
      <c r="BE162" s="67"/>
      <c r="BF162" s="67"/>
      <c r="BG162" s="67"/>
      <c r="BH162" s="67"/>
      <c r="BI162" s="67"/>
      <c r="BJ162" s="67"/>
      <c r="BK162" s="67"/>
      <c r="BL162" s="67"/>
      <c r="BM162" s="66"/>
      <c r="BN162" s="66"/>
      <c r="BO162" s="66"/>
      <c r="BP162" s="66"/>
      <c r="BQ162" s="66"/>
      <c r="BR162" s="66"/>
      <c r="BS162" s="66"/>
      <c r="BT162" s="66"/>
      <c r="BU162" s="66"/>
      <c r="BV162" s="66"/>
      <c r="BW162" s="66"/>
      <c r="BX162" s="66"/>
      <c r="BY162" s="66"/>
      <c r="BZ162" s="66"/>
      <c r="CA162" s="66"/>
      <c r="CB162" s="66"/>
      <c r="CC162" s="66"/>
      <c r="CD162" s="66"/>
      <c r="CE162" s="66"/>
      <c r="CF162" s="435"/>
      <c r="CG162" s="66"/>
      <c r="CH162" s="66"/>
      <c r="CI162" s="66"/>
      <c r="CJ162" s="66"/>
      <c r="CK162" s="66"/>
      <c r="CL162" s="66"/>
      <c r="CM162" s="66"/>
      <c r="CN162" s="66"/>
      <c r="CO162" s="66"/>
      <c r="CP162" s="66"/>
      <c r="CQ162" s="66"/>
      <c r="CR162" s="66"/>
      <c r="CS162" s="66"/>
      <c r="CT162" s="66"/>
      <c r="CU162" s="66"/>
      <c r="CV162" s="66"/>
      <c r="CW162" s="66"/>
      <c r="CX162" s="66"/>
      <c r="CY162" s="66"/>
      <c r="CZ162" s="66"/>
      <c r="DA162" s="66"/>
      <c r="DB162" s="66"/>
      <c r="DC162" s="66"/>
      <c r="DD162" s="66"/>
      <c r="DE162" s="66"/>
      <c r="DF162" s="66"/>
      <c r="DG162" s="66"/>
      <c r="DH162" s="66"/>
      <c r="DI162" s="66"/>
      <c r="DJ162" s="66"/>
      <c r="DK162" s="66"/>
      <c r="DL162" s="66"/>
      <c r="DM162" s="66"/>
      <c r="DN162" s="66"/>
      <c r="DO162" s="66"/>
      <c r="DP162" s="66"/>
      <c r="HB162" s="68"/>
      <c r="HC162" s="68"/>
      <c r="HD162" s="396"/>
      <c r="HE162" s="396"/>
      <c r="HF162" s="396"/>
      <c r="HG162" s="396"/>
      <c r="HH162" s="396"/>
      <c r="HI162" s="396"/>
      <c r="HJ162" s="396"/>
      <c r="HK162" s="396"/>
      <c r="HL162" s="396"/>
      <c r="HM162" s="396"/>
      <c r="HN162" s="396"/>
      <c r="HO162" s="396"/>
      <c r="HP162" s="396"/>
      <c r="HQ162" s="396"/>
      <c r="HR162" s="396"/>
      <c r="HS162" s="396"/>
      <c r="HT162" s="396"/>
      <c r="HU162" s="396"/>
      <c r="HV162" s="396"/>
      <c r="HW162" s="396"/>
      <c r="HX162" s="396"/>
      <c r="HY162" s="396"/>
      <c r="HZ162" s="229"/>
      <c r="IA162" s="68"/>
      <c r="IB162" s="68"/>
      <c r="IC162" s="68"/>
      <c r="ID162" s="68"/>
      <c r="IE162" s="68"/>
      <c r="IF162" s="68"/>
      <c r="IG162" s="68"/>
      <c r="IH162" s="68"/>
      <c r="II162" s="68"/>
      <c r="IJ162" s="68"/>
      <c r="IK162" s="68"/>
      <c r="IL162" s="68"/>
      <c r="IM162" s="68"/>
      <c r="IN162" s="68"/>
      <c r="IO162" s="68"/>
      <c r="IP162" s="68"/>
      <c r="IQ162" s="68"/>
      <c r="IR162" s="68"/>
      <c r="IS162" s="68"/>
      <c r="IT162" s="68"/>
      <c r="IU162" s="68"/>
      <c r="IV162" s="68"/>
      <c r="IW162" s="68"/>
      <c r="IX162" s="68"/>
      <c r="IY162" s="68"/>
    </row>
    <row r="163" spans="2:259" s="64" customFormat="1" hidden="1" x14ac:dyDescent="0.3"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  <c r="AV163" s="68"/>
      <c r="AW163" s="68"/>
      <c r="AX163" s="68"/>
      <c r="AY163" s="68"/>
      <c r="AZ163" s="68"/>
      <c r="BA163" s="68"/>
      <c r="BB163" s="67"/>
      <c r="BC163" s="67"/>
      <c r="BD163" s="67"/>
      <c r="BE163" s="67"/>
      <c r="BF163" s="67"/>
      <c r="BG163" s="67"/>
      <c r="BH163" s="67"/>
      <c r="BI163" s="67"/>
      <c r="BJ163" s="67"/>
      <c r="BK163" s="67"/>
      <c r="BL163" s="67"/>
      <c r="BM163" s="66"/>
      <c r="BN163" s="66"/>
      <c r="BO163" s="66"/>
      <c r="BP163" s="66"/>
      <c r="BQ163" s="66"/>
      <c r="BR163" s="66"/>
      <c r="BS163" s="66"/>
      <c r="BT163" s="66"/>
      <c r="BU163" s="66"/>
      <c r="BV163" s="66"/>
      <c r="BW163" s="66"/>
      <c r="BX163" s="66"/>
      <c r="BY163" s="66"/>
      <c r="BZ163" s="66"/>
      <c r="CA163" s="66"/>
      <c r="CB163" s="66"/>
      <c r="CC163" s="66"/>
      <c r="CD163" s="66"/>
      <c r="CE163" s="66"/>
      <c r="CF163" s="435"/>
      <c r="CG163" s="66"/>
      <c r="CH163" s="66"/>
      <c r="CI163" s="66"/>
      <c r="CJ163" s="66"/>
      <c r="CK163" s="66"/>
      <c r="CL163" s="66"/>
      <c r="CM163" s="66"/>
      <c r="CN163" s="66"/>
      <c r="CO163" s="66"/>
      <c r="CP163" s="66"/>
      <c r="CQ163" s="66"/>
      <c r="CR163" s="66"/>
      <c r="CS163" s="66"/>
      <c r="CT163" s="66"/>
      <c r="CU163" s="66"/>
      <c r="CV163" s="66"/>
      <c r="CW163" s="66"/>
      <c r="CX163" s="66"/>
      <c r="CY163" s="66"/>
      <c r="CZ163" s="66"/>
      <c r="DA163" s="66"/>
      <c r="DB163" s="66"/>
      <c r="DC163" s="66"/>
      <c r="DD163" s="66"/>
      <c r="DE163" s="66"/>
      <c r="DF163" s="66"/>
      <c r="DG163" s="66"/>
      <c r="DH163" s="66"/>
      <c r="DI163" s="66"/>
      <c r="DJ163" s="66"/>
      <c r="DK163" s="66"/>
      <c r="DL163" s="66"/>
      <c r="DM163" s="66"/>
      <c r="DN163" s="66"/>
      <c r="DO163" s="66"/>
      <c r="DP163" s="66"/>
      <c r="HB163" s="68"/>
      <c r="HC163" s="68"/>
      <c r="HD163" s="396"/>
      <c r="HE163" s="396"/>
      <c r="HF163" s="396"/>
      <c r="HG163" s="396"/>
      <c r="HH163" s="396"/>
      <c r="HI163" s="396"/>
      <c r="HJ163" s="396"/>
      <c r="HK163" s="396"/>
      <c r="HL163" s="396"/>
      <c r="HM163" s="396"/>
      <c r="HN163" s="396"/>
      <c r="HO163" s="396"/>
      <c r="HP163" s="396"/>
      <c r="HQ163" s="396"/>
      <c r="HR163" s="396"/>
      <c r="HS163" s="396"/>
      <c r="HT163" s="396"/>
      <c r="HU163" s="396"/>
      <c r="HV163" s="396"/>
      <c r="HW163" s="396"/>
      <c r="HX163" s="396"/>
      <c r="HY163" s="396"/>
      <c r="HZ163" s="229"/>
      <c r="IA163" s="68"/>
      <c r="IB163" s="68"/>
      <c r="IC163" s="68"/>
      <c r="ID163" s="68"/>
      <c r="IE163" s="68"/>
      <c r="IF163" s="68"/>
      <c r="IG163" s="68"/>
      <c r="IH163" s="68"/>
      <c r="II163" s="68"/>
      <c r="IJ163" s="68"/>
      <c r="IK163" s="68"/>
      <c r="IL163" s="68"/>
      <c r="IM163" s="68"/>
      <c r="IN163" s="68"/>
      <c r="IO163" s="68"/>
      <c r="IP163" s="68"/>
      <c r="IQ163" s="68"/>
      <c r="IR163" s="68"/>
      <c r="IS163" s="68"/>
      <c r="IT163" s="68"/>
      <c r="IU163" s="68"/>
      <c r="IV163" s="68"/>
      <c r="IW163" s="68"/>
      <c r="IX163" s="68"/>
      <c r="IY163" s="68"/>
    </row>
    <row r="164" spans="2:259" s="64" customFormat="1" ht="6" hidden="1" customHeight="1" x14ac:dyDescent="0.3"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  <c r="AV164" s="68"/>
      <c r="AW164" s="68"/>
      <c r="AX164" s="68"/>
      <c r="AY164" s="68"/>
      <c r="AZ164" s="68"/>
      <c r="BA164" s="68"/>
      <c r="BB164" s="67"/>
      <c r="BC164" s="67"/>
      <c r="BD164" s="67"/>
      <c r="BE164" s="67"/>
      <c r="BF164" s="67"/>
      <c r="BG164" s="67"/>
      <c r="BH164" s="67"/>
      <c r="BI164" s="67"/>
      <c r="BJ164" s="67"/>
      <c r="BK164" s="67"/>
      <c r="BL164" s="67"/>
      <c r="BM164" s="66"/>
      <c r="BN164" s="66"/>
      <c r="BO164" s="66"/>
      <c r="BP164" s="66"/>
      <c r="BQ164" s="66"/>
      <c r="BR164" s="66"/>
      <c r="BS164" s="66"/>
      <c r="BT164" s="66"/>
      <c r="BU164" s="66"/>
      <c r="BV164" s="66"/>
      <c r="BW164" s="66"/>
      <c r="BX164" s="66"/>
      <c r="BY164" s="66"/>
      <c r="BZ164" s="66"/>
      <c r="CA164" s="66"/>
      <c r="CB164" s="66"/>
      <c r="CC164" s="66"/>
      <c r="CD164" s="66"/>
      <c r="CE164" s="66"/>
      <c r="CF164" s="435"/>
      <c r="CG164" s="66"/>
      <c r="CH164" s="66"/>
      <c r="CI164" s="66"/>
      <c r="CJ164" s="66"/>
      <c r="CK164" s="66"/>
      <c r="CL164" s="66"/>
      <c r="CM164" s="66"/>
      <c r="CN164" s="66"/>
      <c r="CO164" s="66"/>
      <c r="CP164" s="66"/>
      <c r="CQ164" s="66"/>
      <c r="CR164" s="66"/>
      <c r="CS164" s="66"/>
      <c r="CT164" s="66"/>
      <c r="CU164" s="66"/>
      <c r="CV164" s="66"/>
      <c r="CW164" s="66"/>
      <c r="CX164" s="66"/>
      <c r="CY164" s="66"/>
      <c r="CZ164" s="66"/>
      <c r="DA164" s="66"/>
      <c r="DB164" s="66"/>
      <c r="DC164" s="66"/>
      <c r="DD164" s="66"/>
      <c r="DE164" s="66"/>
      <c r="DF164" s="66"/>
      <c r="DG164" s="66"/>
      <c r="DH164" s="66"/>
      <c r="DI164" s="66"/>
      <c r="DJ164" s="66"/>
      <c r="DK164" s="66"/>
      <c r="DL164" s="66"/>
      <c r="DM164" s="66"/>
      <c r="DN164" s="66"/>
      <c r="DO164" s="66"/>
      <c r="DP164" s="66"/>
      <c r="HB164" s="68"/>
      <c r="HC164" s="68"/>
      <c r="HD164" s="68"/>
      <c r="HE164" s="68"/>
      <c r="HF164" s="68"/>
      <c r="HG164" s="68"/>
      <c r="HH164" s="68"/>
      <c r="HI164" s="68"/>
      <c r="HJ164" s="68"/>
      <c r="HK164" s="68"/>
      <c r="HL164" s="68"/>
      <c r="HM164" s="68"/>
      <c r="HN164" s="68"/>
      <c r="HO164" s="68"/>
      <c r="HP164" s="68"/>
      <c r="HQ164" s="68"/>
      <c r="HR164" s="68"/>
      <c r="HS164" s="68"/>
      <c r="HT164" s="68"/>
      <c r="HU164" s="68"/>
      <c r="HV164" s="68"/>
      <c r="HW164" s="68"/>
      <c r="HX164" s="68"/>
      <c r="HY164" s="68"/>
      <c r="HZ164" s="229"/>
      <c r="IA164" s="68"/>
      <c r="IB164" s="68"/>
      <c r="IC164" s="68"/>
      <c r="ID164" s="68"/>
      <c r="IE164" s="68"/>
      <c r="IF164" s="68"/>
      <c r="IG164" s="68"/>
      <c r="IH164" s="68"/>
      <c r="II164" s="68"/>
      <c r="IJ164" s="68"/>
      <c r="IK164" s="68"/>
      <c r="IL164" s="68"/>
      <c r="IM164" s="68"/>
      <c r="IN164" s="68"/>
      <c r="IO164" s="68"/>
      <c r="IP164" s="68"/>
      <c r="IQ164" s="68"/>
      <c r="IR164" s="68"/>
      <c r="IS164" s="68"/>
      <c r="IT164" s="68"/>
      <c r="IU164" s="68"/>
      <c r="IV164" s="68"/>
      <c r="IW164" s="68"/>
      <c r="IX164" s="68"/>
      <c r="IY164" s="68"/>
    </row>
    <row r="165" spans="2:259" s="64" customFormat="1" hidden="1" x14ac:dyDescent="0.3"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7"/>
      <c r="BC165" s="67"/>
      <c r="BD165" s="67"/>
      <c r="BE165" s="67"/>
      <c r="BF165" s="67"/>
      <c r="BG165" s="67"/>
      <c r="BH165" s="67"/>
      <c r="BI165" s="67"/>
      <c r="BJ165" s="67"/>
      <c r="BK165" s="67"/>
      <c r="BL165" s="67"/>
      <c r="BM165" s="66"/>
      <c r="BN165" s="66"/>
      <c r="BO165" s="66"/>
      <c r="BP165" s="66"/>
      <c r="BQ165" s="66"/>
      <c r="BR165" s="66"/>
      <c r="BS165" s="66"/>
      <c r="BT165" s="66"/>
      <c r="BU165" s="66"/>
      <c r="BV165" s="66"/>
      <c r="BW165" s="66"/>
      <c r="BX165" s="66"/>
      <c r="BY165" s="66"/>
      <c r="BZ165" s="66"/>
      <c r="CA165" s="66"/>
      <c r="CB165" s="66"/>
      <c r="CC165" s="66"/>
      <c r="CD165" s="66"/>
      <c r="CE165" s="66"/>
      <c r="CF165" s="435"/>
      <c r="CG165" s="66"/>
      <c r="CH165" s="66"/>
      <c r="CI165" s="66"/>
      <c r="CJ165" s="66"/>
      <c r="CK165" s="66"/>
      <c r="CL165" s="66"/>
      <c r="CM165" s="66"/>
      <c r="CN165" s="66"/>
      <c r="CO165" s="66"/>
      <c r="CP165" s="66"/>
      <c r="CQ165" s="66"/>
      <c r="CR165" s="66"/>
      <c r="CS165" s="66"/>
      <c r="CT165" s="66"/>
      <c r="CU165" s="66"/>
      <c r="CV165" s="66"/>
      <c r="CW165" s="66"/>
      <c r="CX165" s="66"/>
      <c r="CY165" s="66"/>
      <c r="CZ165" s="66"/>
      <c r="DA165" s="66"/>
      <c r="DB165" s="66"/>
      <c r="DC165" s="66"/>
      <c r="DD165" s="66"/>
      <c r="DE165" s="66"/>
      <c r="DF165" s="66"/>
      <c r="DG165" s="66"/>
      <c r="DH165" s="66"/>
      <c r="DI165" s="66"/>
      <c r="DJ165" s="66"/>
      <c r="DK165" s="66"/>
      <c r="DL165" s="66"/>
      <c r="DM165" s="66"/>
      <c r="DN165" s="66"/>
      <c r="DO165" s="66"/>
      <c r="DP165" s="66"/>
      <c r="HB165" s="68"/>
      <c r="HC165" s="68"/>
      <c r="HD165" s="398"/>
      <c r="HE165" s="398"/>
      <c r="HF165" s="398"/>
      <c r="HG165" s="398"/>
      <c r="HH165" s="398"/>
      <c r="HI165" s="398"/>
      <c r="HJ165" s="398"/>
      <c r="HK165" s="398"/>
      <c r="HL165" s="398"/>
      <c r="HM165" s="399"/>
      <c r="HN165" s="399"/>
      <c r="HO165" s="399"/>
      <c r="HP165" s="399"/>
      <c r="HQ165" s="399"/>
      <c r="HR165" s="399"/>
      <c r="HS165" s="399"/>
      <c r="HT165" s="399"/>
      <c r="HU165" s="399"/>
      <c r="HV165" s="399"/>
      <c r="HW165" s="400"/>
      <c r="HX165" s="400"/>
      <c r="HY165" s="400"/>
      <c r="HZ165" s="229"/>
      <c r="IA165" s="68"/>
      <c r="IB165" s="68"/>
      <c r="IC165" s="68"/>
      <c r="ID165" s="68"/>
      <c r="IE165" s="68"/>
      <c r="IF165" s="68"/>
      <c r="IG165" s="68"/>
      <c r="IH165" s="68"/>
      <c r="II165" s="68"/>
      <c r="IJ165" s="68"/>
      <c r="IK165" s="68"/>
      <c r="IL165" s="68"/>
      <c r="IM165" s="68"/>
      <c r="IN165" s="68"/>
      <c r="IO165" s="68"/>
      <c r="IP165" s="68"/>
      <c r="IQ165" s="68"/>
      <c r="IR165" s="68"/>
      <c r="IS165" s="68"/>
      <c r="IT165" s="68"/>
      <c r="IU165" s="68"/>
      <c r="IV165" s="68"/>
      <c r="IW165" s="68"/>
      <c r="IX165" s="68"/>
      <c r="IY165" s="68"/>
    </row>
    <row r="166" spans="2:259" s="64" customFormat="1" hidden="1" x14ac:dyDescent="0.3"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7"/>
      <c r="BC166" s="67"/>
      <c r="BD166" s="67"/>
      <c r="BE166" s="67"/>
      <c r="BF166" s="67"/>
      <c r="BG166" s="67"/>
      <c r="BH166" s="67"/>
      <c r="BI166" s="67"/>
      <c r="BJ166" s="67"/>
      <c r="BK166" s="67"/>
      <c r="BL166" s="67"/>
      <c r="BM166" s="66"/>
      <c r="BN166" s="66"/>
      <c r="BO166" s="66"/>
      <c r="BP166" s="66"/>
      <c r="BQ166" s="66"/>
      <c r="BR166" s="66"/>
      <c r="BS166" s="66"/>
      <c r="BT166" s="66"/>
      <c r="BU166" s="66"/>
      <c r="BV166" s="66"/>
      <c r="BW166" s="66"/>
      <c r="BX166" s="66"/>
      <c r="BY166" s="66"/>
      <c r="BZ166" s="66"/>
      <c r="CA166" s="66"/>
      <c r="CB166" s="66"/>
      <c r="CC166" s="66"/>
      <c r="CD166" s="66"/>
      <c r="CE166" s="66"/>
      <c r="CF166" s="435"/>
      <c r="CG166" s="66"/>
      <c r="CH166" s="66"/>
      <c r="CI166" s="66"/>
      <c r="CJ166" s="66"/>
      <c r="CK166" s="66"/>
      <c r="CL166" s="66"/>
      <c r="CM166" s="66"/>
      <c r="CN166" s="66"/>
      <c r="CO166" s="66"/>
      <c r="CP166" s="66"/>
      <c r="CQ166" s="66"/>
      <c r="CR166" s="66"/>
      <c r="CS166" s="66"/>
      <c r="CT166" s="66"/>
      <c r="CU166" s="66"/>
      <c r="CV166" s="66"/>
      <c r="CW166" s="66"/>
      <c r="CX166" s="66"/>
      <c r="CY166" s="66"/>
      <c r="CZ166" s="66"/>
      <c r="DA166" s="66"/>
      <c r="DB166" s="66"/>
      <c r="DC166" s="66"/>
      <c r="DD166" s="66"/>
      <c r="DE166" s="66"/>
      <c r="DF166" s="66"/>
      <c r="DG166" s="66"/>
      <c r="DH166" s="66"/>
      <c r="DI166" s="66"/>
      <c r="DJ166" s="66"/>
      <c r="DK166" s="66"/>
      <c r="DL166" s="66"/>
      <c r="DM166" s="66"/>
      <c r="DN166" s="66"/>
      <c r="DO166" s="66"/>
      <c r="DP166" s="66"/>
      <c r="HB166" s="68"/>
      <c r="HC166" s="68"/>
      <c r="HD166" s="398"/>
      <c r="HE166" s="398"/>
      <c r="HF166" s="398"/>
      <c r="HG166" s="398"/>
      <c r="HH166" s="398"/>
      <c r="HI166" s="398"/>
      <c r="HJ166" s="398"/>
      <c r="HK166" s="398"/>
      <c r="HL166" s="398"/>
      <c r="HM166" s="399"/>
      <c r="HN166" s="399"/>
      <c r="HO166" s="399"/>
      <c r="HP166" s="399"/>
      <c r="HQ166" s="399"/>
      <c r="HR166" s="399"/>
      <c r="HS166" s="399"/>
      <c r="HT166" s="399"/>
      <c r="HU166" s="399"/>
      <c r="HV166" s="399"/>
      <c r="HW166" s="400"/>
      <c r="HX166" s="400"/>
      <c r="HY166" s="400"/>
      <c r="HZ166" s="229"/>
      <c r="IA166" s="68"/>
      <c r="IB166" s="68"/>
      <c r="IC166" s="68"/>
      <c r="ID166" s="68"/>
      <c r="IE166" s="68"/>
      <c r="IF166" s="68"/>
      <c r="IG166" s="68"/>
      <c r="IH166" s="68"/>
      <c r="II166" s="68"/>
      <c r="IJ166" s="68"/>
      <c r="IK166" s="68"/>
      <c r="IL166" s="68"/>
      <c r="IM166" s="68"/>
      <c r="IN166" s="68"/>
      <c r="IO166" s="68"/>
      <c r="IP166" s="68"/>
      <c r="IQ166" s="68"/>
      <c r="IR166" s="68"/>
      <c r="IS166" s="68"/>
      <c r="IT166" s="68"/>
      <c r="IU166" s="68"/>
      <c r="IV166" s="68"/>
      <c r="IW166" s="68"/>
      <c r="IX166" s="68"/>
      <c r="IY166" s="68"/>
    </row>
    <row r="167" spans="2:259" s="64" customFormat="1" hidden="1" x14ac:dyDescent="0.3"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7"/>
      <c r="BC167" s="67"/>
      <c r="BD167" s="67"/>
      <c r="BE167" s="67"/>
      <c r="BF167" s="67"/>
      <c r="BG167" s="67"/>
      <c r="BH167" s="67"/>
      <c r="BI167" s="67"/>
      <c r="BJ167" s="67"/>
      <c r="BK167" s="67"/>
      <c r="BL167" s="67"/>
      <c r="BM167" s="66"/>
      <c r="BN167" s="66"/>
      <c r="BO167" s="66"/>
      <c r="BP167" s="66"/>
      <c r="BQ167" s="66"/>
      <c r="BR167" s="66"/>
      <c r="BS167" s="66"/>
      <c r="BT167" s="66"/>
      <c r="BU167" s="66"/>
      <c r="BV167" s="66"/>
      <c r="BW167" s="66"/>
      <c r="BX167" s="66"/>
      <c r="BY167" s="66"/>
      <c r="BZ167" s="66"/>
      <c r="CA167" s="66"/>
      <c r="CB167" s="66"/>
      <c r="CC167" s="66"/>
      <c r="CD167" s="66"/>
      <c r="CE167" s="66"/>
      <c r="CF167" s="435"/>
      <c r="CG167" s="66"/>
      <c r="CH167" s="66"/>
      <c r="CI167" s="66"/>
      <c r="CJ167" s="66"/>
      <c r="CK167" s="66"/>
      <c r="CL167" s="66"/>
      <c r="CM167" s="66"/>
      <c r="CN167" s="66"/>
      <c r="CO167" s="66"/>
      <c r="CP167" s="66"/>
      <c r="CQ167" s="66"/>
      <c r="CR167" s="66"/>
      <c r="CS167" s="66"/>
      <c r="CT167" s="66"/>
      <c r="CU167" s="66"/>
      <c r="CV167" s="66"/>
      <c r="CW167" s="66"/>
      <c r="CX167" s="66"/>
      <c r="CY167" s="66"/>
      <c r="CZ167" s="66"/>
      <c r="DA167" s="66"/>
      <c r="DB167" s="66"/>
      <c r="DC167" s="66"/>
      <c r="DD167" s="66"/>
      <c r="DE167" s="66"/>
      <c r="DF167" s="66"/>
      <c r="DG167" s="66"/>
      <c r="DH167" s="66"/>
      <c r="DI167" s="66"/>
      <c r="DJ167" s="66"/>
      <c r="DK167" s="66"/>
      <c r="DL167" s="66"/>
      <c r="DM167" s="66"/>
      <c r="DN167" s="66"/>
      <c r="DO167" s="66"/>
      <c r="DP167" s="66"/>
      <c r="HB167" s="68"/>
      <c r="HC167" s="68"/>
      <c r="HD167" s="398"/>
      <c r="HE167" s="398"/>
      <c r="HF167" s="398"/>
      <c r="HG167" s="398"/>
      <c r="HH167" s="398"/>
      <c r="HI167" s="398"/>
      <c r="HJ167" s="398"/>
      <c r="HK167" s="398"/>
      <c r="HL167" s="398"/>
      <c r="HM167" s="399"/>
      <c r="HN167" s="399"/>
      <c r="HO167" s="399"/>
      <c r="HP167" s="399"/>
      <c r="HQ167" s="399"/>
      <c r="HR167" s="399"/>
      <c r="HS167" s="399"/>
      <c r="HT167" s="399"/>
      <c r="HU167" s="399"/>
      <c r="HV167" s="399"/>
      <c r="HW167" s="400"/>
      <c r="HX167" s="400"/>
      <c r="HY167" s="400"/>
      <c r="HZ167" s="229"/>
      <c r="IA167" s="68"/>
      <c r="IB167" s="68"/>
      <c r="IC167" s="68"/>
      <c r="ID167" s="68"/>
      <c r="IE167" s="68"/>
      <c r="IF167" s="68"/>
      <c r="IG167" s="68"/>
      <c r="IH167" s="68"/>
      <c r="II167" s="68"/>
      <c r="IJ167" s="68"/>
      <c r="IK167" s="68"/>
      <c r="IL167" s="68"/>
      <c r="IM167" s="68"/>
      <c r="IN167" s="68"/>
      <c r="IO167" s="68"/>
      <c r="IP167" s="68"/>
      <c r="IQ167" s="68"/>
      <c r="IR167" s="68"/>
      <c r="IS167" s="68"/>
      <c r="IT167" s="68"/>
      <c r="IU167" s="68"/>
      <c r="IV167" s="68"/>
      <c r="IW167" s="68"/>
      <c r="IX167" s="68"/>
      <c r="IY167" s="68"/>
    </row>
    <row r="168" spans="2:259" s="64" customFormat="1" hidden="1" x14ac:dyDescent="0.3"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7"/>
      <c r="BC168" s="67"/>
      <c r="BD168" s="67"/>
      <c r="BE168" s="67"/>
      <c r="BF168" s="67"/>
      <c r="BG168" s="67"/>
      <c r="BH168" s="67"/>
      <c r="BI168" s="67"/>
      <c r="BJ168" s="67"/>
      <c r="BK168" s="67"/>
      <c r="BL168" s="67"/>
      <c r="BM168" s="66"/>
      <c r="BN168" s="66"/>
      <c r="BO168" s="66"/>
      <c r="BP168" s="66"/>
      <c r="BQ168" s="66"/>
      <c r="BR168" s="66"/>
      <c r="BS168" s="66"/>
      <c r="BT168" s="66"/>
      <c r="BU168" s="66"/>
      <c r="BV168" s="66"/>
      <c r="BW168" s="66"/>
      <c r="BX168" s="66"/>
      <c r="BY168" s="66"/>
      <c r="BZ168" s="66"/>
      <c r="CA168" s="66"/>
      <c r="CB168" s="66"/>
      <c r="CC168" s="66"/>
      <c r="CD168" s="66"/>
      <c r="CE168" s="66"/>
      <c r="CF168" s="435"/>
      <c r="CG168" s="66"/>
      <c r="CH168" s="66"/>
      <c r="CI168" s="66"/>
      <c r="CJ168" s="66"/>
      <c r="CK168" s="66"/>
      <c r="CL168" s="66"/>
      <c r="CM168" s="66"/>
      <c r="CN168" s="66"/>
      <c r="CO168" s="66"/>
      <c r="CP168" s="66"/>
      <c r="CQ168" s="66"/>
      <c r="CR168" s="66"/>
      <c r="CS168" s="66"/>
      <c r="CT168" s="66"/>
      <c r="CU168" s="66"/>
      <c r="CV168" s="66"/>
      <c r="CW168" s="66"/>
      <c r="CX168" s="66"/>
      <c r="CY168" s="66"/>
      <c r="CZ168" s="66"/>
      <c r="DA168" s="66"/>
      <c r="DB168" s="66"/>
      <c r="DC168" s="66"/>
      <c r="DD168" s="66"/>
      <c r="DE168" s="66"/>
      <c r="DF168" s="66"/>
      <c r="DG168" s="66"/>
      <c r="DH168" s="66"/>
      <c r="DI168" s="66"/>
      <c r="DJ168" s="66"/>
      <c r="DK168" s="66"/>
      <c r="DL168" s="66"/>
      <c r="DM168" s="66"/>
      <c r="DN168" s="66"/>
      <c r="DO168" s="66"/>
      <c r="DP168" s="66"/>
      <c r="HB168" s="68"/>
      <c r="HC168" s="68"/>
      <c r="HD168" s="398"/>
      <c r="HE168" s="398"/>
      <c r="HF168" s="398"/>
      <c r="HG168" s="398"/>
      <c r="HH168" s="398"/>
      <c r="HI168" s="398"/>
      <c r="HJ168" s="398"/>
      <c r="HK168" s="398"/>
      <c r="HL168" s="398"/>
      <c r="HM168" s="399"/>
      <c r="HN168" s="399"/>
      <c r="HO168" s="399"/>
      <c r="HP168" s="399"/>
      <c r="HQ168" s="399"/>
      <c r="HR168" s="399"/>
      <c r="HS168" s="399"/>
      <c r="HT168" s="399"/>
      <c r="HU168" s="399"/>
      <c r="HV168" s="399"/>
      <c r="HW168" s="400"/>
      <c r="HX168" s="400"/>
      <c r="HY168" s="400"/>
      <c r="HZ168" s="229"/>
      <c r="IA168" s="68"/>
      <c r="IB168" s="68"/>
      <c r="IC168" s="68"/>
      <c r="ID168" s="68"/>
      <c r="IE168" s="68"/>
      <c r="IF168" s="68"/>
      <c r="IG168" s="68"/>
      <c r="IH168" s="68"/>
      <c r="II168" s="68"/>
      <c r="IJ168" s="68"/>
      <c r="IK168" s="68"/>
      <c r="IL168" s="68"/>
      <c r="IM168" s="68"/>
      <c r="IN168" s="68"/>
      <c r="IO168" s="68"/>
      <c r="IP168" s="68"/>
      <c r="IQ168" s="68"/>
      <c r="IR168" s="68"/>
      <c r="IS168" s="68"/>
      <c r="IT168" s="68"/>
      <c r="IU168" s="68"/>
      <c r="IV168" s="68"/>
      <c r="IW168" s="68"/>
      <c r="IX168" s="68"/>
      <c r="IY168" s="68"/>
    </row>
    <row r="169" spans="2:259" s="64" customFormat="1" hidden="1" x14ac:dyDescent="0.3"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7"/>
      <c r="BC169" s="67"/>
      <c r="BD169" s="67"/>
      <c r="BE169" s="67"/>
      <c r="BF169" s="67"/>
      <c r="BG169" s="67"/>
      <c r="BH169" s="67"/>
      <c r="BI169" s="67"/>
      <c r="BJ169" s="67"/>
      <c r="BK169" s="67"/>
      <c r="BL169" s="67"/>
      <c r="BM169" s="66"/>
      <c r="BN169" s="66"/>
      <c r="BO169" s="66"/>
      <c r="BP169" s="66"/>
      <c r="BQ169" s="66"/>
      <c r="BR169" s="66"/>
      <c r="BS169" s="66"/>
      <c r="BT169" s="66"/>
      <c r="BU169" s="66"/>
      <c r="BV169" s="66"/>
      <c r="BW169" s="66"/>
      <c r="BX169" s="66"/>
      <c r="BY169" s="66"/>
      <c r="BZ169" s="66"/>
      <c r="CA169" s="66"/>
      <c r="CB169" s="66"/>
      <c r="CC169" s="66"/>
      <c r="CD169" s="66"/>
      <c r="CE169" s="66"/>
      <c r="CF169" s="435"/>
      <c r="CG169" s="66"/>
      <c r="CH169" s="66"/>
      <c r="CI169" s="66"/>
      <c r="CJ169" s="66"/>
      <c r="CK169" s="66"/>
      <c r="CL169" s="66"/>
      <c r="CM169" s="66"/>
      <c r="CN169" s="66"/>
      <c r="CO169" s="66"/>
      <c r="CP169" s="66"/>
      <c r="CQ169" s="66"/>
      <c r="CR169" s="66"/>
      <c r="CS169" s="66"/>
      <c r="CT169" s="66"/>
      <c r="CU169" s="66"/>
      <c r="CV169" s="66"/>
      <c r="CW169" s="66"/>
      <c r="CX169" s="66"/>
      <c r="CY169" s="66"/>
      <c r="CZ169" s="66"/>
      <c r="DA169" s="66"/>
      <c r="DB169" s="66"/>
      <c r="DC169" s="66"/>
      <c r="DD169" s="66"/>
      <c r="DE169" s="66"/>
      <c r="DF169" s="66"/>
      <c r="DG169" s="66"/>
      <c r="DH169" s="66"/>
      <c r="DI169" s="66"/>
      <c r="DJ169" s="66"/>
      <c r="DK169" s="66"/>
      <c r="DL169" s="66"/>
      <c r="DM169" s="66"/>
      <c r="DN169" s="66"/>
      <c r="DO169" s="66"/>
      <c r="DP169" s="66"/>
      <c r="HB169" s="68"/>
      <c r="HC169" s="68"/>
      <c r="HD169" s="398"/>
      <c r="HE169" s="398"/>
      <c r="HF169" s="398"/>
      <c r="HG169" s="398"/>
      <c r="HH169" s="398"/>
      <c r="HI169" s="398"/>
      <c r="HJ169" s="398"/>
      <c r="HK169" s="398"/>
      <c r="HL169" s="398"/>
      <c r="HM169" s="399"/>
      <c r="HN169" s="399"/>
      <c r="HO169" s="399"/>
      <c r="HP169" s="399"/>
      <c r="HQ169" s="399"/>
      <c r="HR169" s="399"/>
      <c r="HS169" s="399"/>
      <c r="HT169" s="399"/>
      <c r="HU169" s="399"/>
      <c r="HV169" s="399"/>
      <c r="HW169" s="400"/>
      <c r="HX169" s="400"/>
      <c r="HY169" s="400"/>
      <c r="HZ169" s="229"/>
      <c r="IA169" s="68"/>
      <c r="IB169" s="68"/>
      <c r="IC169" s="68"/>
      <c r="ID169" s="68"/>
      <c r="IE169" s="68"/>
      <c r="IF169" s="68"/>
      <c r="IG169" s="68"/>
      <c r="IH169" s="68"/>
      <c r="II169" s="68"/>
      <c r="IJ169" s="68"/>
      <c r="IK169" s="68"/>
      <c r="IL169" s="68"/>
      <c r="IM169" s="68"/>
      <c r="IN169" s="68"/>
      <c r="IO169" s="68"/>
      <c r="IP169" s="68"/>
      <c r="IQ169" s="68"/>
      <c r="IR169" s="68"/>
      <c r="IS169" s="68"/>
      <c r="IT169" s="68"/>
      <c r="IU169" s="68"/>
      <c r="IV169" s="68"/>
      <c r="IW169" s="68"/>
      <c r="IX169" s="68"/>
      <c r="IY169" s="68"/>
    </row>
    <row r="170" spans="2:259" s="64" customFormat="1" hidden="1" x14ac:dyDescent="0.3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  <c r="AV170" s="68"/>
      <c r="AW170" s="68"/>
      <c r="AX170" s="68"/>
      <c r="AY170" s="68"/>
      <c r="AZ170" s="68"/>
      <c r="BA170" s="68"/>
      <c r="BB170" s="67"/>
      <c r="BC170" s="67"/>
      <c r="BD170" s="67"/>
      <c r="BE170" s="67"/>
      <c r="BF170" s="67"/>
      <c r="BG170" s="67"/>
      <c r="BH170" s="67"/>
      <c r="BI170" s="67"/>
      <c r="BJ170" s="67"/>
      <c r="BK170" s="67"/>
      <c r="BL170" s="67"/>
      <c r="BM170" s="66"/>
      <c r="BN170" s="66"/>
      <c r="BO170" s="66"/>
      <c r="BP170" s="66"/>
      <c r="BQ170" s="66"/>
      <c r="BR170" s="66"/>
      <c r="BS170" s="66"/>
      <c r="BT170" s="66"/>
      <c r="BU170" s="66"/>
      <c r="BV170" s="66"/>
      <c r="BW170" s="66"/>
      <c r="BX170" s="66"/>
      <c r="BY170" s="66"/>
      <c r="BZ170" s="66"/>
      <c r="CA170" s="66"/>
      <c r="CB170" s="66"/>
      <c r="CC170" s="66"/>
      <c r="CD170" s="66"/>
      <c r="CE170" s="66"/>
      <c r="CF170" s="435"/>
      <c r="CG170" s="66"/>
      <c r="CH170" s="66"/>
      <c r="CI170" s="66"/>
      <c r="CJ170" s="66"/>
      <c r="CK170" s="66"/>
      <c r="CL170" s="66"/>
      <c r="CM170" s="66"/>
      <c r="CN170" s="66"/>
      <c r="CO170" s="66"/>
      <c r="CP170" s="66"/>
      <c r="CQ170" s="66"/>
      <c r="CR170" s="66"/>
      <c r="CS170" s="66"/>
      <c r="CT170" s="66"/>
      <c r="CU170" s="66"/>
      <c r="CV170" s="66"/>
      <c r="CW170" s="66"/>
      <c r="CX170" s="66"/>
      <c r="CY170" s="66"/>
      <c r="CZ170" s="66"/>
      <c r="DA170" s="66"/>
      <c r="DB170" s="66"/>
      <c r="DC170" s="66"/>
      <c r="DD170" s="66"/>
      <c r="DE170" s="66"/>
      <c r="DF170" s="66"/>
      <c r="DG170" s="66"/>
      <c r="DH170" s="66"/>
      <c r="DI170" s="66"/>
      <c r="DJ170" s="66"/>
      <c r="DK170" s="66"/>
      <c r="DL170" s="66"/>
      <c r="DM170" s="66"/>
      <c r="DN170" s="66"/>
      <c r="DO170" s="66"/>
      <c r="DP170" s="66"/>
      <c r="HB170" s="68"/>
      <c r="HC170" s="68"/>
      <c r="HD170" s="398"/>
      <c r="HE170" s="398"/>
      <c r="HF170" s="398"/>
      <c r="HG170" s="398"/>
      <c r="HH170" s="398"/>
      <c r="HI170" s="398"/>
      <c r="HJ170" s="398"/>
      <c r="HK170" s="398"/>
      <c r="HL170" s="398"/>
      <c r="HM170" s="399"/>
      <c r="HN170" s="399"/>
      <c r="HO170" s="399"/>
      <c r="HP170" s="399"/>
      <c r="HQ170" s="399"/>
      <c r="HR170" s="399"/>
      <c r="HS170" s="399"/>
      <c r="HT170" s="399"/>
      <c r="HU170" s="399"/>
      <c r="HV170" s="399"/>
      <c r="HW170" s="400"/>
      <c r="HX170" s="400"/>
      <c r="HY170" s="400"/>
      <c r="HZ170" s="229"/>
      <c r="IA170" s="68"/>
      <c r="IB170" s="68"/>
      <c r="IC170" s="68"/>
      <c r="ID170" s="68"/>
      <c r="IE170" s="68"/>
      <c r="IF170" s="68"/>
      <c r="IG170" s="68"/>
      <c r="IH170" s="68"/>
      <c r="II170" s="68"/>
      <c r="IJ170" s="68"/>
      <c r="IK170" s="68"/>
      <c r="IL170" s="68"/>
      <c r="IM170" s="68"/>
      <c r="IN170" s="68"/>
      <c r="IO170" s="68"/>
      <c r="IP170" s="68"/>
      <c r="IQ170" s="68"/>
      <c r="IR170" s="68"/>
      <c r="IS170" s="68"/>
      <c r="IT170" s="68"/>
      <c r="IU170" s="68"/>
      <c r="IV170" s="68"/>
      <c r="IW170" s="68"/>
      <c r="IX170" s="68"/>
      <c r="IY170" s="68"/>
    </row>
    <row r="171" spans="2:259" s="64" customFormat="1" hidden="1" x14ac:dyDescent="0.3"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  <c r="AV171" s="68"/>
      <c r="AW171" s="68"/>
      <c r="AX171" s="68"/>
      <c r="AY171" s="68"/>
      <c r="AZ171" s="68"/>
      <c r="BA171" s="68"/>
      <c r="BB171" s="67"/>
      <c r="BC171" s="67"/>
      <c r="BD171" s="67"/>
      <c r="BE171" s="67"/>
      <c r="BF171" s="67"/>
      <c r="BG171" s="67"/>
      <c r="BH171" s="67"/>
      <c r="BI171" s="67"/>
      <c r="BJ171" s="67"/>
      <c r="BK171" s="67"/>
      <c r="BL171" s="67"/>
      <c r="BM171" s="66"/>
      <c r="BN171" s="66"/>
      <c r="BO171" s="66"/>
      <c r="BP171" s="66"/>
      <c r="BQ171" s="66"/>
      <c r="BR171" s="66"/>
      <c r="BS171" s="66"/>
      <c r="BT171" s="66"/>
      <c r="BU171" s="66"/>
      <c r="BV171" s="66"/>
      <c r="BW171" s="66"/>
      <c r="BX171" s="66"/>
      <c r="BY171" s="66"/>
      <c r="BZ171" s="66"/>
      <c r="CA171" s="66"/>
      <c r="CB171" s="66"/>
      <c r="CC171" s="66"/>
      <c r="CD171" s="66"/>
      <c r="CE171" s="66"/>
      <c r="CF171" s="435"/>
      <c r="CG171" s="66"/>
      <c r="CH171" s="66"/>
      <c r="CI171" s="66"/>
      <c r="CJ171" s="66"/>
      <c r="CK171" s="66"/>
      <c r="CL171" s="66"/>
      <c r="CM171" s="66"/>
      <c r="CN171" s="66"/>
      <c r="CO171" s="66"/>
      <c r="CP171" s="66"/>
      <c r="CQ171" s="66"/>
      <c r="CR171" s="66"/>
      <c r="CS171" s="66"/>
      <c r="CT171" s="66"/>
      <c r="CU171" s="66"/>
      <c r="CV171" s="66"/>
      <c r="CW171" s="66"/>
      <c r="CX171" s="66"/>
      <c r="CY171" s="66"/>
      <c r="CZ171" s="66"/>
      <c r="DA171" s="66"/>
      <c r="DB171" s="66"/>
      <c r="DC171" s="66"/>
      <c r="DD171" s="66"/>
      <c r="DE171" s="66"/>
      <c r="DF171" s="66"/>
      <c r="DG171" s="66"/>
      <c r="DH171" s="66"/>
      <c r="DI171" s="66"/>
      <c r="DJ171" s="66"/>
      <c r="DK171" s="66"/>
      <c r="DL171" s="66"/>
      <c r="DM171" s="66"/>
      <c r="DN171" s="66"/>
      <c r="DO171" s="66"/>
      <c r="DP171" s="66"/>
      <c r="HB171" s="68"/>
      <c r="HC171" s="68"/>
      <c r="HD171" s="398"/>
      <c r="HE171" s="398"/>
      <c r="HF171" s="398"/>
      <c r="HG171" s="398"/>
      <c r="HH171" s="398"/>
      <c r="HI171" s="398"/>
      <c r="HJ171" s="398"/>
      <c r="HK171" s="398"/>
      <c r="HL171" s="398"/>
      <c r="HM171" s="399"/>
      <c r="HN171" s="399"/>
      <c r="HO171" s="399"/>
      <c r="HP171" s="399"/>
      <c r="HQ171" s="399"/>
      <c r="HR171" s="399"/>
      <c r="HS171" s="399"/>
      <c r="HT171" s="399"/>
      <c r="HU171" s="399"/>
      <c r="HV171" s="399"/>
      <c r="HW171" s="400"/>
      <c r="HX171" s="400"/>
      <c r="HY171" s="400"/>
      <c r="HZ171" s="229"/>
      <c r="IA171" s="68"/>
      <c r="IB171" s="68"/>
      <c r="IC171" s="68"/>
      <c r="ID171" s="68"/>
      <c r="IE171" s="68"/>
      <c r="IF171" s="68"/>
      <c r="IG171" s="68"/>
      <c r="IH171" s="68"/>
      <c r="II171" s="68"/>
      <c r="IJ171" s="68"/>
      <c r="IK171" s="68"/>
      <c r="IL171" s="68"/>
      <c r="IM171" s="68"/>
      <c r="IN171" s="68"/>
      <c r="IO171" s="68"/>
      <c r="IP171" s="68"/>
      <c r="IQ171" s="68"/>
      <c r="IR171" s="68"/>
      <c r="IS171" s="68"/>
      <c r="IT171" s="68"/>
      <c r="IU171" s="68"/>
      <c r="IV171" s="68"/>
      <c r="IW171" s="68"/>
      <c r="IX171" s="68"/>
      <c r="IY171" s="68"/>
    </row>
    <row r="172" spans="2:259" s="64" customFormat="1" hidden="1" x14ac:dyDescent="0.3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  <c r="AV172" s="68"/>
      <c r="AW172" s="68"/>
      <c r="AX172" s="68"/>
      <c r="AY172" s="68"/>
      <c r="AZ172" s="68"/>
      <c r="BA172" s="68"/>
      <c r="BB172" s="67"/>
      <c r="BC172" s="67"/>
      <c r="BD172" s="67"/>
      <c r="BE172" s="67"/>
      <c r="BF172" s="67"/>
      <c r="BG172" s="67"/>
      <c r="BH172" s="67"/>
      <c r="BI172" s="67"/>
      <c r="BJ172" s="67"/>
      <c r="BK172" s="67"/>
      <c r="BL172" s="67"/>
      <c r="BM172" s="66"/>
      <c r="BN172" s="66"/>
      <c r="BO172" s="66"/>
      <c r="BP172" s="66"/>
      <c r="BQ172" s="66"/>
      <c r="BR172" s="66"/>
      <c r="BS172" s="66"/>
      <c r="BT172" s="66"/>
      <c r="BU172" s="66"/>
      <c r="BV172" s="66"/>
      <c r="BW172" s="66"/>
      <c r="BX172" s="66"/>
      <c r="BY172" s="66"/>
      <c r="BZ172" s="66"/>
      <c r="CA172" s="66"/>
      <c r="CB172" s="66"/>
      <c r="CC172" s="66"/>
      <c r="CD172" s="66"/>
      <c r="CE172" s="66"/>
      <c r="CF172" s="435"/>
      <c r="CG172" s="66"/>
      <c r="CH172" s="66"/>
      <c r="CI172" s="66"/>
      <c r="CJ172" s="66"/>
      <c r="CK172" s="66"/>
      <c r="CL172" s="66"/>
      <c r="CM172" s="66"/>
      <c r="CN172" s="66"/>
      <c r="CO172" s="66"/>
      <c r="CP172" s="66"/>
      <c r="CQ172" s="66"/>
      <c r="CR172" s="66"/>
      <c r="CS172" s="66"/>
      <c r="CT172" s="66"/>
      <c r="CU172" s="66"/>
      <c r="CV172" s="66"/>
      <c r="CW172" s="66"/>
      <c r="CX172" s="66"/>
      <c r="CY172" s="66"/>
      <c r="CZ172" s="66"/>
      <c r="DA172" s="66"/>
      <c r="DB172" s="66"/>
      <c r="DC172" s="66"/>
      <c r="DD172" s="66"/>
      <c r="DE172" s="66"/>
      <c r="DF172" s="66"/>
      <c r="DG172" s="66"/>
      <c r="DH172" s="66"/>
      <c r="DI172" s="66"/>
      <c r="DJ172" s="66"/>
      <c r="DK172" s="66"/>
      <c r="DL172" s="66"/>
      <c r="DM172" s="66"/>
      <c r="DN172" s="66"/>
      <c r="DO172" s="66"/>
      <c r="DP172" s="66"/>
      <c r="HB172" s="68"/>
      <c r="HC172" s="68"/>
      <c r="HD172" s="398"/>
      <c r="HE172" s="398"/>
      <c r="HF172" s="398"/>
      <c r="HG172" s="398"/>
      <c r="HH172" s="398"/>
      <c r="HI172" s="398"/>
      <c r="HJ172" s="398"/>
      <c r="HK172" s="398"/>
      <c r="HL172" s="398"/>
      <c r="HM172" s="399"/>
      <c r="HN172" s="399"/>
      <c r="HO172" s="399"/>
      <c r="HP172" s="399"/>
      <c r="HQ172" s="399"/>
      <c r="HR172" s="399"/>
      <c r="HS172" s="399"/>
      <c r="HT172" s="399"/>
      <c r="HU172" s="399"/>
      <c r="HV172" s="399"/>
      <c r="HW172" s="400"/>
      <c r="HX172" s="400"/>
      <c r="HY172" s="400"/>
      <c r="HZ172" s="229"/>
      <c r="IA172" s="68"/>
      <c r="IB172" s="68"/>
      <c r="IC172" s="68"/>
      <c r="ID172" s="68"/>
      <c r="IE172" s="68"/>
      <c r="IF172" s="68"/>
      <c r="IG172" s="68"/>
      <c r="IH172" s="68"/>
      <c r="II172" s="68"/>
      <c r="IJ172" s="68"/>
      <c r="IK172" s="68"/>
      <c r="IL172" s="68"/>
      <c r="IM172" s="68"/>
      <c r="IN172" s="68"/>
      <c r="IO172" s="68"/>
      <c r="IP172" s="68"/>
      <c r="IQ172" s="68"/>
      <c r="IR172" s="68"/>
      <c r="IS172" s="68"/>
      <c r="IT172" s="68"/>
      <c r="IU172" s="68"/>
      <c r="IV172" s="68"/>
      <c r="IW172" s="68"/>
      <c r="IX172" s="68"/>
      <c r="IY172" s="68"/>
    </row>
    <row r="173" spans="2:259" s="64" customFormat="1" hidden="1" x14ac:dyDescent="0.3"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  <c r="AV173" s="68"/>
      <c r="AW173" s="68"/>
      <c r="AX173" s="68"/>
      <c r="AY173" s="68"/>
      <c r="AZ173" s="68"/>
      <c r="BA173" s="68"/>
      <c r="BB173" s="67"/>
      <c r="BC173" s="67"/>
      <c r="BD173" s="67"/>
      <c r="BE173" s="67"/>
      <c r="BF173" s="67"/>
      <c r="BG173" s="67"/>
      <c r="BH173" s="67"/>
      <c r="BI173" s="67"/>
      <c r="BJ173" s="67"/>
      <c r="BK173" s="67"/>
      <c r="BL173" s="67"/>
      <c r="BM173" s="66"/>
      <c r="BN173" s="66"/>
      <c r="BO173" s="66"/>
      <c r="BP173" s="66"/>
      <c r="BQ173" s="66"/>
      <c r="BR173" s="66"/>
      <c r="BS173" s="66"/>
      <c r="BT173" s="66"/>
      <c r="BU173" s="66"/>
      <c r="BV173" s="66"/>
      <c r="BW173" s="66"/>
      <c r="BX173" s="66"/>
      <c r="BY173" s="66"/>
      <c r="BZ173" s="66"/>
      <c r="CA173" s="66"/>
      <c r="CB173" s="66"/>
      <c r="CC173" s="66"/>
      <c r="CD173" s="66"/>
      <c r="CE173" s="66"/>
      <c r="CF173" s="435"/>
      <c r="CG173" s="66"/>
      <c r="CH173" s="66"/>
      <c r="CI173" s="66"/>
      <c r="CJ173" s="66"/>
      <c r="CK173" s="66"/>
      <c r="CL173" s="66"/>
      <c r="CM173" s="66"/>
      <c r="CN173" s="66"/>
      <c r="CO173" s="66"/>
      <c r="CP173" s="66"/>
      <c r="CQ173" s="66"/>
      <c r="CR173" s="66"/>
      <c r="CS173" s="66"/>
      <c r="CT173" s="66"/>
      <c r="CU173" s="66"/>
      <c r="CV173" s="66"/>
      <c r="CW173" s="66"/>
      <c r="CX173" s="66"/>
      <c r="CY173" s="66"/>
      <c r="CZ173" s="66"/>
      <c r="DA173" s="66"/>
      <c r="DB173" s="66"/>
      <c r="DC173" s="66"/>
      <c r="DD173" s="66"/>
      <c r="DE173" s="66"/>
      <c r="DF173" s="66"/>
      <c r="DG173" s="66"/>
      <c r="DH173" s="66"/>
      <c r="DI173" s="66"/>
      <c r="DJ173" s="66"/>
      <c r="DK173" s="66"/>
      <c r="DL173" s="66"/>
      <c r="DM173" s="66"/>
      <c r="DN173" s="66"/>
      <c r="DO173" s="66"/>
      <c r="DP173" s="66"/>
      <c r="HB173" s="68"/>
      <c r="HC173" s="68"/>
      <c r="HD173" s="398"/>
      <c r="HE173" s="398"/>
      <c r="HF173" s="398"/>
      <c r="HG173" s="398"/>
      <c r="HH173" s="398"/>
      <c r="HI173" s="398"/>
      <c r="HJ173" s="398"/>
      <c r="HK173" s="398"/>
      <c r="HL173" s="398"/>
      <c r="HM173" s="399"/>
      <c r="HN173" s="399"/>
      <c r="HO173" s="399"/>
      <c r="HP173" s="399"/>
      <c r="HQ173" s="399"/>
      <c r="HR173" s="399"/>
      <c r="HS173" s="399"/>
      <c r="HT173" s="399"/>
      <c r="HU173" s="399"/>
      <c r="HV173" s="399"/>
      <c r="HW173" s="400"/>
      <c r="HX173" s="400"/>
      <c r="HY173" s="400"/>
      <c r="HZ173" s="229"/>
      <c r="IA173" s="68"/>
      <c r="IB173" s="68"/>
      <c r="IC173" s="68"/>
      <c r="ID173" s="68"/>
      <c r="IE173" s="68"/>
      <c r="IF173" s="68"/>
      <c r="IG173" s="68"/>
      <c r="IH173" s="68"/>
      <c r="II173" s="68"/>
      <c r="IJ173" s="68"/>
      <c r="IK173" s="68"/>
      <c r="IL173" s="68"/>
      <c r="IM173" s="68"/>
      <c r="IN173" s="68"/>
      <c r="IO173" s="68"/>
      <c r="IP173" s="68"/>
      <c r="IQ173" s="68"/>
      <c r="IR173" s="68"/>
      <c r="IS173" s="68"/>
      <c r="IT173" s="68"/>
      <c r="IU173" s="68"/>
      <c r="IV173" s="68"/>
      <c r="IW173" s="68"/>
      <c r="IX173" s="68"/>
      <c r="IY173" s="68"/>
    </row>
    <row r="174" spans="2:259" s="64" customFormat="1" ht="6" hidden="1" customHeight="1" x14ac:dyDescent="0.3"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  <c r="AV174" s="68"/>
      <c r="AW174" s="68"/>
      <c r="AX174" s="68"/>
      <c r="AY174" s="68"/>
      <c r="AZ174" s="68"/>
      <c r="BA174" s="68"/>
      <c r="BB174" s="67"/>
      <c r="BC174" s="67"/>
      <c r="BD174" s="67"/>
      <c r="BE174" s="67"/>
      <c r="BF174" s="67"/>
      <c r="BG174" s="67"/>
      <c r="BH174" s="67"/>
      <c r="BI174" s="67"/>
      <c r="BJ174" s="67"/>
      <c r="BK174" s="67"/>
      <c r="BL174" s="67"/>
      <c r="BM174" s="66"/>
      <c r="BN174" s="66"/>
      <c r="BO174" s="66"/>
      <c r="BP174" s="66"/>
      <c r="BQ174" s="66"/>
      <c r="BR174" s="66"/>
      <c r="BS174" s="66"/>
      <c r="BT174" s="66"/>
      <c r="BU174" s="66"/>
      <c r="BV174" s="66"/>
      <c r="BW174" s="66"/>
      <c r="BX174" s="66"/>
      <c r="BY174" s="66"/>
      <c r="BZ174" s="66"/>
      <c r="CA174" s="66"/>
      <c r="CB174" s="66"/>
      <c r="CC174" s="66"/>
      <c r="CD174" s="66"/>
      <c r="CE174" s="66"/>
      <c r="CF174" s="435"/>
      <c r="CG174" s="66"/>
      <c r="CH174" s="66"/>
      <c r="CI174" s="66"/>
      <c r="CJ174" s="66"/>
      <c r="CK174" s="66"/>
      <c r="CL174" s="66"/>
      <c r="CM174" s="66"/>
      <c r="CN174" s="66"/>
      <c r="CO174" s="66"/>
      <c r="CP174" s="66"/>
      <c r="CQ174" s="66"/>
      <c r="CR174" s="66"/>
      <c r="CS174" s="66"/>
      <c r="CT174" s="66"/>
      <c r="CU174" s="66"/>
      <c r="CV174" s="66"/>
      <c r="CW174" s="66"/>
      <c r="CX174" s="66"/>
      <c r="CY174" s="66"/>
      <c r="CZ174" s="66"/>
      <c r="DA174" s="66"/>
      <c r="DB174" s="66"/>
      <c r="DC174" s="66"/>
      <c r="DD174" s="66"/>
      <c r="DE174" s="66"/>
      <c r="DF174" s="66"/>
      <c r="DG174" s="66"/>
      <c r="DH174" s="66"/>
      <c r="DI174" s="66"/>
      <c r="DJ174" s="66"/>
      <c r="DK174" s="66"/>
      <c r="DL174" s="66"/>
      <c r="DM174" s="66"/>
      <c r="DN174" s="66"/>
      <c r="DO174" s="66"/>
      <c r="DP174" s="66"/>
      <c r="HB174" s="68"/>
      <c r="HC174" s="68"/>
      <c r="HD174" s="149"/>
      <c r="HE174" s="149"/>
      <c r="HF174" s="149"/>
      <c r="HG174" s="149"/>
      <c r="HH174" s="162"/>
      <c r="HI174" s="162"/>
      <c r="HJ174" s="162"/>
      <c r="HK174" s="162"/>
      <c r="HL174" s="162"/>
      <c r="HM174" s="232"/>
      <c r="HN174" s="232"/>
      <c r="HO174" s="232"/>
      <c r="HP174" s="232"/>
      <c r="HQ174" s="232"/>
      <c r="HR174" s="232"/>
      <c r="HS174" s="232"/>
      <c r="HT174" s="232"/>
      <c r="HU174" s="232"/>
      <c r="HV174" s="232"/>
      <c r="HW174" s="400"/>
      <c r="HX174" s="400"/>
      <c r="HY174" s="400"/>
      <c r="HZ174" s="229"/>
      <c r="IA174" s="68"/>
      <c r="IB174" s="68"/>
      <c r="IC174" s="68"/>
      <c r="ID174" s="68"/>
      <c r="IE174" s="68"/>
      <c r="IF174" s="68"/>
      <c r="IG174" s="68"/>
      <c r="IH174" s="68"/>
      <c r="II174" s="68"/>
      <c r="IJ174" s="68"/>
      <c r="IK174" s="68"/>
      <c r="IL174" s="68"/>
      <c r="IM174" s="68"/>
      <c r="IN174" s="68"/>
      <c r="IO174" s="68"/>
      <c r="IP174" s="68"/>
      <c r="IQ174" s="68"/>
      <c r="IR174" s="68"/>
      <c r="IS174" s="68"/>
      <c r="IT174" s="68"/>
      <c r="IU174" s="68"/>
      <c r="IV174" s="68"/>
      <c r="IW174" s="68"/>
      <c r="IX174" s="68"/>
      <c r="IY174" s="68"/>
    </row>
    <row r="175" spans="2:259" s="64" customFormat="1" ht="6" hidden="1" customHeight="1" x14ac:dyDescent="0.3"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  <c r="AV175" s="68"/>
      <c r="AW175" s="68"/>
      <c r="AX175" s="68"/>
      <c r="AY175" s="68"/>
      <c r="AZ175" s="68"/>
      <c r="BA175" s="68"/>
      <c r="BB175" s="67"/>
      <c r="BC175" s="67"/>
      <c r="BD175" s="67"/>
      <c r="BE175" s="67"/>
      <c r="BF175" s="67"/>
      <c r="BG175" s="67"/>
      <c r="BH175" s="67"/>
      <c r="BI175" s="67"/>
      <c r="BJ175" s="67"/>
      <c r="BK175" s="67"/>
      <c r="BL175" s="67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435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  <c r="CV175" s="66"/>
      <c r="CW175" s="66"/>
      <c r="CX175" s="66"/>
      <c r="CY175" s="66"/>
      <c r="CZ175" s="66"/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/>
      <c r="DL175" s="66"/>
      <c r="DM175" s="66"/>
      <c r="DN175" s="66"/>
      <c r="DO175" s="66"/>
      <c r="DP175" s="66"/>
      <c r="HB175" s="68"/>
      <c r="HC175" s="68"/>
      <c r="HD175" s="383"/>
      <c r="HE175" s="383"/>
      <c r="HF175" s="383"/>
      <c r="HG175" s="383"/>
      <c r="HH175" s="383"/>
      <c r="HI175" s="383"/>
      <c r="HJ175" s="383"/>
      <c r="HK175" s="383"/>
      <c r="HL175" s="383"/>
      <c r="HM175" s="383"/>
      <c r="HN175" s="383"/>
      <c r="HO175" s="383"/>
      <c r="HP175" s="383"/>
      <c r="HQ175" s="383"/>
      <c r="HR175" s="383"/>
      <c r="HS175" s="383"/>
      <c r="HT175" s="383"/>
      <c r="HU175" s="383"/>
      <c r="HV175" s="383"/>
      <c r="HW175" s="383"/>
      <c r="HX175" s="383"/>
      <c r="HY175" s="383"/>
      <c r="HZ175" s="229"/>
      <c r="IA175" s="68"/>
      <c r="IB175" s="68"/>
      <c r="IC175" s="68"/>
      <c r="ID175" s="68"/>
      <c r="IE175" s="68"/>
      <c r="IF175" s="68"/>
      <c r="IG175" s="68"/>
      <c r="IH175" s="68"/>
      <c r="II175" s="68"/>
      <c r="IJ175" s="68"/>
      <c r="IK175" s="68"/>
      <c r="IL175" s="68"/>
      <c r="IM175" s="68"/>
      <c r="IN175" s="68"/>
      <c r="IO175" s="68"/>
      <c r="IP175" s="68"/>
      <c r="IQ175" s="68"/>
      <c r="IR175" s="68"/>
      <c r="IS175" s="68"/>
      <c r="IT175" s="68"/>
      <c r="IU175" s="68"/>
      <c r="IV175" s="68"/>
      <c r="IW175" s="68"/>
      <c r="IX175" s="68"/>
      <c r="IY175" s="68"/>
    </row>
    <row r="176" spans="2:259" s="64" customFormat="1" hidden="1" x14ac:dyDescent="0.3"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  <c r="AV176" s="68"/>
      <c r="AW176" s="68"/>
      <c r="AX176" s="68"/>
      <c r="AY176" s="68"/>
      <c r="AZ176" s="68"/>
      <c r="BA176" s="68"/>
      <c r="BB176" s="67"/>
      <c r="BC176" s="67"/>
      <c r="BD176" s="67"/>
      <c r="BE176" s="67"/>
      <c r="BF176" s="67"/>
      <c r="BG176" s="67"/>
      <c r="BH176" s="67"/>
      <c r="BI176" s="67"/>
      <c r="BJ176" s="67"/>
      <c r="BK176" s="67"/>
      <c r="BL176" s="67"/>
      <c r="BM176" s="66"/>
      <c r="BN176" s="66"/>
      <c r="BO176" s="66"/>
      <c r="BP176" s="66"/>
      <c r="BQ176" s="66"/>
      <c r="BR176" s="66"/>
      <c r="BS176" s="66"/>
      <c r="BT176" s="66"/>
      <c r="BU176" s="66"/>
      <c r="BV176" s="66"/>
      <c r="BW176" s="66"/>
      <c r="BX176" s="66"/>
      <c r="BY176" s="66"/>
      <c r="BZ176" s="66"/>
      <c r="CA176" s="66"/>
      <c r="CB176" s="66"/>
      <c r="CC176" s="66"/>
      <c r="CD176" s="66"/>
      <c r="CE176" s="66"/>
      <c r="CF176" s="435"/>
      <c r="CG176" s="66"/>
      <c r="CH176" s="66"/>
      <c r="CI176" s="66"/>
      <c r="CJ176" s="66"/>
      <c r="CK176" s="66"/>
      <c r="CL176" s="66"/>
      <c r="CM176" s="66"/>
      <c r="CN176" s="66"/>
      <c r="CO176" s="66"/>
      <c r="CP176" s="66"/>
      <c r="CQ176" s="66"/>
      <c r="CR176" s="66"/>
      <c r="CS176" s="66"/>
      <c r="CT176" s="66"/>
      <c r="CU176" s="66"/>
      <c r="CV176" s="66"/>
      <c r="CW176" s="66"/>
      <c r="CX176" s="66"/>
      <c r="CY176" s="66"/>
      <c r="CZ176" s="66"/>
      <c r="DA176" s="66"/>
      <c r="DB176" s="66"/>
      <c r="DC176" s="66"/>
      <c r="DD176" s="66"/>
      <c r="DE176" s="66"/>
      <c r="DF176" s="66"/>
      <c r="DG176" s="66"/>
      <c r="DH176" s="66"/>
      <c r="DI176" s="66"/>
      <c r="DJ176" s="66"/>
      <c r="DK176" s="66"/>
      <c r="DL176" s="66"/>
      <c r="DM176" s="66"/>
      <c r="DN176" s="66"/>
      <c r="DO176" s="66"/>
      <c r="DP176" s="66"/>
      <c r="HB176" s="68"/>
      <c r="HC176" s="68"/>
      <c r="HD176" s="68"/>
      <c r="HE176" s="407"/>
      <c r="HF176" s="407"/>
      <c r="HG176" s="407"/>
      <c r="HH176" s="407"/>
      <c r="HI176" s="407"/>
      <c r="HJ176" s="407"/>
      <c r="HK176" s="407"/>
      <c r="HL176" s="407"/>
      <c r="HM176" s="407"/>
      <c r="HN176" s="407"/>
      <c r="HO176" s="407"/>
      <c r="HP176" s="407"/>
      <c r="HQ176" s="407"/>
      <c r="HR176" s="407"/>
      <c r="HS176" s="407"/>
      <c r="HT176" s="407"/>
      <c r="HU176" s="407"/>
      <c r="HV176" s="407"/>
      <c r="HW176" s="408"/>
      <c r="HX176" s="408"/>
      <c r="HY176" s="233"/>
      <c r="HZ176" s="229"/>
      <c r="IA176" s="68"/>
      <c r="IB176" s="68"/>
      <c r="IC176" s="68"/>
      <c r="ID176" s="68"/>
      <c r="IE176" s="68"/>
      <c r="IF176" s="68"/>
      <c r="IG176" s="68"/>
      <c r="IH176" s="68"/>
      <c r="II176" s="68"/>
      <c r="IJ176" s="68"/>
      <c r="IK176" s="68"/>
      <c r="IL176" s="68"/>
      <c r="IM176" s="68"/>
      <c r="IN176" s="68"/>
      <c r="IO176" s="68"/>
      <c r="IP176" s="68"/>
      <c r="IQ176" s="68"/>
      <c r="IR176" s="68"/>
      <c r="IS176" s="68"/>
      <c r="IT176" s="68"/>
      <c r="IU176" s="68"/>
      <c r="IV176" s="68"/>
      <c r="IW176" s="68"/>
      <c r="IX176" s="68"/>
      <c r="IY176" s="68"/>
    </row>
    <row r="177" spans="2:259" s="64" customFormat="1" ht="6" hidden="1" customHeight="1" x14ac:dyDescent="0.3"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  <c r="AV177" s="68"/>
      <c r="AW177" s="68"/>
      <c r="AX177" s="68"/>
      <c r="AY177" s="68"/>
      <c r="AZ177" s="68"/>
      <c r="BA177" s="68"/>
      <c r="BB177" s="67"/>
      <c r="BC177" s="67"/>
      <c r="BD177" s="67"/>
      <c r="BE177" s="67"/>
      <c r="BF177" s="67"/>
      <c r="BG177" s="67"/>
      <c r="BH177" s="67"/>
      <c r="BI177" s="67"/>
      <c r="BJ177" s="67"/>
      <c r="BK177" s="67"/>
      <c r="BL177" s="67"/>
      <c r="BM177" s="66"/>
      <c r="BN177" s="66"/>
      <c r="BO177" s="66"/>
      <c r="BP177" s="66"/>
      <c r="BQ177" s="66"/>
      <c r="BR177" s="66"/>
      <c r="BS177" s="66"/>
      <c r="BT177" s="66"/>
      <c r="BU177" s="66"/>
      <c r="BV177" s="66"/>
      <c r="BW177" s="66"/>
      <c r="BX177" s="66"/>
      <c r="BY177" s="66"/>
      <c r="BZ177" s="66"/>
      <c r="CA177" s="66"/>
      <c r="CB177" s="66"/>
      <c r="CC177" s="66"/>
      <c r="CD177" s="66"/>
      <c r="CE177" s="66"/>
      <c r="CF177" s="435"/>
      <c r="CG177" s="66"/>
      <c r="CH177" s="66"/>
      <c r="CI177" s="66"/>
      <c r="CJ177" s="66"/>
      <c r="CK177" s="66"/>
      <c r="CL177" s="66"/>
      <c r="CM177" s="66"/>
      <c r="CN177" s="66"/>
      <c r="CO177" s="66"/>
      <c r="CP177" s="66"/>
      <c r="CQ177" s="66"/>
      <c r="CR177" s="66"/>
      <c r="CS177" s="66"/>
      <c r="CT177" s="66"/>
      <c r="CU177" s="66"/>
      <c r="CV177" s="66"/>
      <c r="CW177" s="66"/>
      <c r="CX177" s="66"/>
      <c r="CY177" s="66"/>
      <c r="CZ177" s="66"/>
      <c r="DA177" s="66"/>
      <c r="DB177" s="66"/>
      <c r="DC177" s="66"/>
      <c r="DD177" s="66"/>
      <c r="DE177" s="66"/>
      <c r="DF177" s="66"/>
      <c r="DG177" s="66"/>
      <c r="DH177" s="66"/>
      <c r="DI177" s="66"/>
      <c r="DJ177" s="66"/>
      <c r="DK177" s="66"/>
      <c r="DL177" s="66"/>
      <c r="DM177" s="66"/>
      <c r="DN177" s="66"/>
      <c r="DO177" s="66"/>
      <c r="DP177" s="66"/>
      <c r="HB177" s="68"/>
      <c r="HC177" s="68"/>
      <c r="HD177" s="383"/>
      <c r="HE177" s="383"/>
      <c r="HF177" s="383"/>
      <c r="HG177" s="383"/>
      <c r="HH177" s="383"/>
      <c r="HI177" s="383"/>
      <c r="HJ177" s="383"/>
      <c r="HK177" s="383"/>
      <c r="HL177" s="383"/>
      <c r="HM177" s="383"/>
      <c r="HN177" s="383"/>
      <c r="HO177" s="383"/>
      <c r="HP177" s="383"/>
      <c r="HQ177" s="383"/>
      <c r="HR177" s="383"/>
      <c r="HS177" s="383"/>
      <c r="HT177" s="383"/>
      <c r="HU177" s="383"/>
      <c r="HV177" s="383"/>
      <c r="HW177" s="383"/>
      <c r="HX177" s="383"/>
      <c r="HY177" s="383"/>
      <c r="HZ177" s="229"/>
      <c r="IA177" s="68"/>
      <c r="IB177" s="68"/>
      <c r="IC177" s="68"/>
      <c r="ID177" s="68"/>
      <c r="IE177" s="68"/>
      <c r="IF177" s="68"/>
      <c r="IG177" s="68"/>
      <c r="IH177" s="68"/>
      <c r="II177" s="68"/>
      <c r="IJ177" s="68"/>
      <c r="IK177" s="68"/>
      <c r="IL177" s="68"/>
      <c r="IM177" s="68"/>
      <c r="IN177" s="68"/>
      <c r="IO177" s="68"/>
      <c r="IP177" s="68"/>
      <c r="IQ177" s="68"/>
      <c r="IR177" s="68"/>
      <c r="IS177" s="68"/>
      <c r="IT177" s="68"/>
      <c r="IU177" s="68"/>
      <c r="IV177" s="68"/>
      <c r="IW177" s="68"/>
      <c r="IX177" s="68"/>
      <c r="IY177" s="68"/>
    </row>
    <row r="178" spans="2:259" s="64" customFormat="1" hidden="1" x14ac:dyDescent="0.3"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  <c r="AV178" s="68"/>
      <c r="AW178" s="68"/>
      <c r="AX178" s="68"/>
      <c r="AY178" s="68"/>
      <c r="AZ178" s="68"/>
      <c r="BA178" s="68"/>
      <c r="BB178" s="67"/>
      <c r="BC178" s="67"/>
      <c r="BD178" s="67"/>
      <c r="BE178" s="67"/>
      <c r="BF178" s="67"/>
      <c r="BG178" s="67"/>
      <c r="BH178" s="67"/>
      <c r="BI178" s="67"/>
      <c r="BJ178" s="67"/>
      <c r="BK178" s="67"/>
      <c r="BL178" s="67"/>
      <c r="BM178" s="66"/>
      <c r="BN178" s="66"/>
      <c r="BO178" s="66"/>
      <c r="BP178" s="66"/>
      <c r="BQ178" s="66"/>
      <c r="BR178" s="66"/>
      <c r="BS178" s="66"/>
      <c r="BT178" s="66"/>
      <c r="BU178" s="66"/>
      <c r="BV178" s="66"/>
      <c r="BW178" s="66"/>
      <c r="BX178" s="66"/>
      <c r="BY178" s="66"/>
      <c r="BZ178" s="66"/>
      <c r="CA178" s="66"/>
      <c r="CB178" s="66"/>
      <c r="CC178" s="66"/>
      <c r="CD178" s="66"/>
      <c r="CE178" s="66"/>
      <c r="CF178" s="435"/>
      <c r="CG178" s="66"/>
      <c r="CH178" s="66"/>
      <c r="CI178" s="66"/>
      <c r="CJ178" s="66"/>
      <c r="CK178" s="66"/>
      <c r="CL178" s="66"/>
      <c r="CM178" s="66"/>
      <c r="CN178" s="66"/>
      <c r="CO178" s="66"/>
      <c r="CP178" s="66"/>
      <c r="CQ178" s="66"/>
      <c r="CR178" s="66"/>
      <c r="CS178" s="66"/>
      <c r="CT178" s="66"/>
      <c r="CU178" s="66"/>
      <c r="CV178" s="66"/>
      <c r="CW178" s="66"/>
      <c r="CX178" s="66"/>
      <c r="CY178" s="66"/>
      <c r="CZ178" s="66"/>
      <c r="DA178" s="66"/>
      <c r="DB178" s="66"/>
      <c r="DC178" s="66"/>
      <c r="DD178" s="66"/>
      <c r="DE178" s="66"/>
      <c r="DF178" s="66"/>
      <c r="DG178" s="66"/>
      <c r="DH178" s="66"/>
      <c r="DI178" s="66"/>
      <c r="DJ178" s="66"/>
      <c r="DK178" s="66"/>
      <c r="DL178" s="66"/>
      <c r="DM178" s="66"/>
      <c r="DN178" s="66"/>
      <c r="DO178" s="66"/>
      <c r="DP178" s="66"/>
      <c r="HB178" s="68"/>
      <c r="HC178" s="68"/>
      <c r="HD178" s="68"/>
      <c r="HE178" s="68"/>
      <c r="HF178" s="68"/>
      <c r="HG178" s="162"/>
      <c r="HH178" s="162"/>
      <c r="HI178" s="162"/>
      <c r="HJ178" s="162"/>
      <c r="HK178" s="162"/>
      <c r="HL178" s="162"/>
      <c r="HM178" s="68"/>
      <c r="HN178" s="68"/>
      <c r="HO178" s="68"/>
      <c r="HP178" s="68"/>
      <c r="HQ178" s="68"/>
      <c r="HR178" s="68"/>
      <c r="HS178" s="68"/>
      <c r="HT178" s="68"/>
      <c r="HU178" s="68"/>
      <c r="HV178" s="68"/>
      <c r="HW178" s="68"/>
      <c r="HX178" s="68"/>
      <c r="HY178" s="68"/>
      <c r="HZ178" s="68"/>
      <c r="IA178" s="68"/>
      <c r="IB178" s="68"/>
      <c r="IC178" s="68"/>
      <c r="ID178" s="68"/>
      <c r="IE178" s="68"/>
      <c r="IF178" s="68"/>
      <c r="IG178" s="68"/>
      <c r="IH178" s="68"/>
      <c r="II178" s="68"/>
      <c r="IJ178" s="68"/>
      <c r="IK178" s="68"/>
      <c r="IL178" s="68"/>
      <c r="IM178" s="68"/>
      <c r="IN178" s="68"/>
      <c r="IO178" s="68"/>
      <c r="IP178" s="68"/>
      <c r="IQ178" s="68"/>
      <c r="IR178" s="68"/>
      <c r="IS178" s="68"/>
      <c r="IT178" s="68"/>
      <c r="IU178" s="68"/>
      <c r="IV178" s="68"/>
      <c r="IW178" s="68"/>
      <c r="IX178" s="68"/>
      <c r="IY178" s="68"/>
    </row>
    <row r="179" spans="2:259" s="64" customFormat="1" hidden="1" x14ac:dyDescent="0.3"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  <c r="AV179" s="68"/>
      <c r="AW179" s="68"/>
      <c r="AX179" s="68"/>
      <c r="AY179" s="68"/>
      <c r="AZ179" s="68"/>
      <c r="BA179" s="68"/>
      <c r="BB179" s="67"/>
      <c r="BC179" s="67"/>
      <c r="BD179" s="67"/>
      <c r="BE179" s="67"/>
      <c r="BF179" s="67"/>
      <c r="BG179" s="67"/>
      <c r="BH179" s="67"/>
      <c r="BI179" s="67"/>
      <c r="BJ179" s="67"/>
      <c r="BK179" s="67"/>
      <c r="BL179" s="67"/>
      <c r="BM179" s="66"/>
      <c r="BN179" s="66"/>
      <c r="BO179" s="66"/>
      <c r="BP179" s="66"/>
      <c r="BQ179" s="66"/>
      <c r="BR179" s="66"/>
      <c r="BS179" s="66"/>
      <c r="BT179" s="66"/>
      <c r="BU179" s="66"/>
      <c r="BV179" s="66"/>
      <c r="BW179" s="66"/>
      <c r="BX179" s="66"/>
      <c r="BY179" s="66"/>
      <c r="BZ179" s="66"/>
      <c r="CA179" s="66"/>
      <c r="CB179" s="66"/>
      <c r="CC179" s="66"/>
      <c r="CD179" s="66"/>
      <c r="CE179" s="66"/>
      <c r="CF179" s="435"/>
      <c r="CG179" s="66"/>
      <c r="CH179" s="66"/>
      <c r="CI179" s="66"/>
      <c r="CJ179" s="66"/>
      <c r="CK179" s="66"/>
      <c r="CL179" s="66"/>
      <c r="CM179" s="66"/>
      <c r="CN179" s="66"/>
      <c r="CO179" s="66"/>
      <c r="CP179" s="66"/>
      <c r="CQ179" s="66"/>
      <c r="CR179" s="66"/>
      <c r="CS179" s="66"/>
      <c r="CT179" s="66"/>
      <c r="CU179" s="66"/>
      <c r="CV179" s="66"/>
      <c r="CW179" s="66"/>
      <c r="CX179" s="66"/>
      <c r="CY179" s="66"/>
      <c r="CZ179" s="66"/>
      <c r="DA179" s="66"/>
      <c r="DB179" s="66"/>
      <c r="DC179" s="66"/>
      <c r="DD179" s="66"/>
      <c r="DE179" s="66"/>
      <c r="DF179" s="66"/>
      <c r="DG179" s="66"/>
      <c r="DH179" s="66"/>
      <c r="DI179" s="66"/>
      <c r="DJ179" s="66"/>
      <c r="DK179" s="66"/>
      <c r="DL179" s="66"/>
      <c r="DM179" s="66"/>
      <c r="DN179" s="66"/>
      <c r="DO179" s="66"/>
      <c r="DP179" s="66"/>
      <c r="HB179" s="68"/>
      <c r="HC179" s="68"/>
      <c r="HD179" s="68"/>
      <c r="HE179" s="68"/>
      <c r="HF179" s="68"/>
      <c r="HG179" s="383"/>
      <c r="HH179" s="383"/>
      <c r="HI179" s="383"/>
      <c r="HJ179" s="383"/>
      <c r="HK179" s="383"/>
      <c r="HL179" s="383"/>
      <c r="HM179" s="68"/>
      <c r="HN179" s="68"/>
      <c r="HO179" s="68"/>
      <c r="HP179" s="149"/>
      <c r="HQ179" s="149"/>
      <c r="HR179" s="149"/>
      <c r="HS179" s="399"/>
      <c r="HT179" s="399"/>
      <c r="HU179" s="232"/>
      <c r="HV179" s="68"/>
      <c r="HW179" s="68"/>
      <c r="HX179" s="68"/>
      <c r="HY179" s="68"/>
      <c r="HZ179" s="68"/>
      <c r="IA179" s="68"/>
      <c r="IB179" s="68"/>
      <c r="IC179" s="68"/>
      <c r="ID179" s="68"/>
      <c r="IE179" s="68"/>
      <c r="IF179" s="68"/>
      <c r="IG179" s="68"/>
      <c r="IH179" s="68"/>
      <c r="II179" s="68"/>
      <c r="IJ179" s="68"/>
      <c r="IK179" s="68"/>
      <c r="IL179" s="68"/>
      <c r="IM179" s="68"/>
      <c r="IN179" s="68"/>
      <c r="IO179" s="68"/>
      <c r="IP179" s="68"/>
      <c r="IQ179" s="68"/>
      <c r="IR179" s="68"/>
      <c r="IS179" s="68"/>
      <c r="IT179" s="68"/>
      <c r="IU179" s="68"/>
      <c r="IV179" s="68"/>
      <c r="IW179" s="68"/>
      <c r="IX179" s="68"/>
      <c r="IY179" s="68"/>
    </row>
    <row r="180" spans="2:259" s="64" customFormat="1" hidden="1" x14ac:dyDescent="0.3"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  <c r="AV180" s="68"/>
      <c r="AW180" s="68"/>
      <c r="AX180" s="68"/>
      <c r="AY180" s="68"/>
      <c r="AZ180" s="68"/>
      <c r="BA180" s="68"/>
      <c r="BB180" s="67"/>
      <c r="BC180" s="67"/>
      <c r="BD180" s="67"/>
      <c r="BE180" s="67"/>
      <c r="BF180" s="67"/>
      <c r="BG180" s="67"/>
      <c r="BH180" s="67"/>
      <c r="BI180" s="67"/>
      <c r="BJ180" s="67"/>
      <c r="BK180" s="67"/>
      <c r="BL180" s="67"/>
      <c r="BM180" s="66"/>
      <c r="BN180" s="66"/>
      <c r="BO180" s="66"/>
      <c r="BP180" s="66"/>
      <c r="BQ180" s="66"/>
      <c r="BR180" s="66"/>
      <c r="BS180" s="66"/>
      <c r="BT180" s="66"/>
      <c r="BU180" s="66"/>
      <c r="BV180" s="66"/>
      <c r="BW180" s="66"/>
      <c r="BX180" s="66"/>
      <c r="BY180" s="66"/>
      <c r="BZ180" s="66"/>
      <c r="CA180" s="66"/>
      <c r="CB180" s="66"/>
      <c r="CC180" s="66"/>
      <c r="CD180" s="66"/>
      <c r="CE180" s="66"/>
      <c r="CF180" s="435"/>
      <c r="CG180" s="66"/>
      <c r="CH180" s="66"/>
      <c r="CI180" s="66"/>
      <c r="CJ180" s="66"/>
      <c r="CK180" s="66"/>
      <c r="CL180" s="66"/>
      <c r="CM180" s="66"/>
      <c r="CN180" s="66"/>
      <c r="CO180" s="66"/>
      <c r="CP180" s="66"/>
      <c r="CQ180" s="66"/>
      <c r="CR180" s="66"/>
      <c r="CS180" s="66"/>
      <c r="CT180" s="66"/>
      <c r="CU180" s="66"/>
      <c r="CV180" s="66"/>
      <c r="CW180" s="66"/>
      <c r="CX180" s="66"/>
      <c r="CY180" s="66"/>
      <c r="CZ180" s="66"/>
      <c r="DA180" s="66"/>
      <c r="DB180" s="66"/>
      <c r="DC180" s="66"/>
      <c r="DD180" s="66"/>
      <c r="DE180" s="66"/>
      <c r="DF180" s="66"/>
      <c r="DG180" s="66"/>
      <c r="DH180" s="66"/>
      <c r="DI180" s="66"/>
      <c r="DJ180" s="66"/>
      <c r="DK180" s="66"/>
      <c r="DL180" s="66"/>
      <c r="DM180" s="66"/>
      <c r="DN180" s="66"/>
      <c r="DO180" s="66"/>
      <c r="DP180" s="66"/>
      <c r="HB180" s="68"/>
      <c r="HC180" s="68"/>
      <c r="HD180" s="68"/>
      <c r="HE180" s="68"/>
      <c r="HF180" s="68"/>
      <c r="HG180" s="383"/>
      <c r="HH180" s="383"/>
      <c r="HI180" s="383"/>
      <c r="HJ180" s="383"/>
      <c r="HK180" s="383"/>
      <c r="HL180" s="383"/>
      <c r="HM180" s="68"/>
      <c r="HN180" s="68"/>
      <c r="HO180" s="68"/>
      <c r="HP180" s="390"/>
      <c r="HQ180" s="396"/>
      <c r="HR180" s="396"/>
      <c r="HS180" s="396"/>
      <c r="HT180" s="232"/>
      <c r="HU180" s="232"/>
      <c r="HV180" s="68"/>
      <c r="HW180" s="68"/>
      <c r="HX180" s="68"/>
      <c r="HY180" s="68"/>
      <c r="HZ180" s="68"/>
      <c r="IA180" s="68"/>
      <c r="IB180" s="68"/>
      <c r="IC180" s="68"/>
      <c r="ID180" s="68"/>
      <c r="IE180" s="68"/>
      <c r="IF180" s="68"/>
      <c r="IG180" s="68"/>
      <c r="IH180" s="68"/>
      <c r="II180" s="68"/>
      <c r="IJ180" s="68"/>
      <c r="IK180" s="68"/>
      <c r="IL180" s="68"/>
      <c r="IM180" s="68"/>
      <c r="IN180" s="68"/>
      <c r="IO180" s="68"/>
      <c r="IP180" s="68"/>
      <c r="IQ180" s="68"/>
      <c r="IR180" s="68"/>
      <c r="IS180" s="68"/>
      <c r="IT180" s="68"/>
      <c r="IU180" s="68"/>
      <c r="IV180" s="68"/>
      <c r="IW180" s="68"/>
      <c r="IX180" s="68"/>
      <c r="IY180" s="68"/>
    </row>
    <row r="181" spans="2:259" s="64" customFormat="1" ht="4.5" hidden="1" customHeight="1" x14ac:dyDescent="0.3"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  <c r="AV181" s="68"/>
      <c r="AW181" s="68"/>
      <c r="AX181" s="68"/>
      <c r="AY181" s="68"/>
      <c r="AZ181" s="68"/>
      <c r="BA181" s="68"/>
      <c r="BB181" s="67"/>
      <c r="BC181" s="67"/>
      <c r="BD181" s="67"/>
      <c r="BE181" s="67"/>
      <c r="BF181" s="67"/>
      <c r="BG181" s="67"/>
      <c r="BH181" s="67"/>
      <c r="BI181" s="67"/>
      <c r="BJ181" s="67"/>
      <c r="BK181" s="67"/>
      <c r="BL181" s="67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6"/>
      <c r="CA181" s="66"/>
      <c r="CB181" s="66"/>
      <c r="CC181" s="66"/>
      <c r="CD181" s="66"/>
      <c r="CE181" s="66"/>
      <c r="CF181" s="435"/>
      <c r="CG181" s="66"/>
      <c r="CH181" s="66"/>
      <c r="CI181" s="66"/>
      <c r="CJ181" s="66"/>
      <c r="CK181" s="66"/>
      <c r="CL181" s="66"/>
      <c r="CM181" s="66"/>
      <c r="CN181" s="66"/>
      <c r="CO181" s="66"/>
      <c r="CP181" s="66"/>
      <c r="CQ181" s="66"/>
      <c r="CR181" s="66"/>
      <c r="CS181" s="66"/>
      <c r="CT181" s="66"/>
      <c r="CU181" s="66"/>
      <c r="CV181" s="66"/>
      <c r="CW181" s="66"/>
      <c r="CX181" s="66"/>
      <c r="CY181" s="66"/>
      <c r="CZ181" s="66"/>
      <c r="DA181" s="66"/>
      <c r="DB181" s="66"/>
      <c r="DC181" s="66"/>
      <c r="DD181" s="66"/>
      <c r="DE181" s="66"/>
      <c r="DF181" s="66"/>
      <c r="DG181" s="66"/>
      <c r="DH181" s="66"/>
      <c r="DI181" s="66"/>
      <c r="DJ181" s="66"/>
      <c r="DK181" s="66"/>
      <c r="DL181" s="66"/>
      <c r="DM181" s="66"/>
      <c r="DN181" s="66"/>
      <c r="DO181" s="66"/>
      <c r="DP181" s="66"/>
      <c r="HB181" s="68"/>
      <c r="HC181" s="68"/>
      <c r="HD181" s="68"/>
      <c r="HE181" s="68"/>
      <c r="HF181" s="68"/>
      <c r="HG181" s="162"/>
      <c r="HH181" s="162"/>
      <c r="HI181" s="162"/>
      <c r="HJ181" s="162"/>
      <c r="HK181" s="162"/>
      <c r="HL181" s="162"/>
      <c r="HM181" s="68"/>
      <c r="HN181" s="68"/>
      <c r="HO181" s="68"/>
      <c r="HP181" s="150"/>
      <c r="HQ181" s="68"/>
      <c r="HR181" s="68"/>
      <c r="HS181" s="68"/>
      <c r="HT181" s="232"/>
      <c r="HU181" s="232"/>
      <c r="HV181" s="68"/>
      <c r="HW181" s="68"/>
      <c r="HX181" s="68"/>
      <c r="HY181" s="68"/>
      <c r="HZ181" s="68"/>
      <c r="IA181" s="68"/>
      <c r="IB181" s="68"/>
      <c r="IC181" s="68"/>
      <c r="ID181" s="68"/>
      <c r="IE181" s="68"/>
      <c r="IF181" s="68"/>
      <c r="IG181" s="68"/>
      <c r="IH181" s="68"/>
      <c r="II181" s="68"/>
      <c r="IJ181" s="68"/>
      <c r="IK181" s="68"/>
      <c r="IL181" s="68"/>
      <c r="IM181" s="68"/>
      <c r="IN181" s="68"/>
      <c r="IO181" s="68"/>
      <c r="IP181" s="68"/>
      <c r="IQ181" s="68"/>
      <c r="IR181" s="68"/>
      <c r="IS181" s="68"/>
      <c r="IT181" s="68"/>
      <c r="IU181" s="68"/>
      <c r="IV181" s="68"/>
      <c r="IW181" s="68"/>
      <c r="IX181" s="68"/>
      <c r="IY181" s="68"/>
    </row>
    <row r="182" spans="2:259" s="64" customFormat="1" hidden="1" x14ac:dyDescent="0.3"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  <c r="AV182" s="68"/>
      <c r="AW182" s="68"/>
      <c r="AX182" s="68"/>
      <c r="AY182" s="68"/>
      <c r="AZ182" s="68"/>
      <c r="BA182" s="68"/>
      <c r="BB182" s="67"/>
      <c r="BC182" s="67"/>
      <c r="BD182" s="67"/>
      <c r="BE182" s="67"/>
      <c r="BF182" s="67"/>
      <c r="BG182" s="67"/>
      <c r="BH182" s="67"/>
      <c r="BI182" s="67"/>
      <c r="BJ182" s="67"/>
      <c r="BK182" s="67"/>
      <c r="BL182" s="67"/>
      <c r="BM182" s="66"/>
      <c r="BN182" s="66"/>
      <c r="BO182" s="66"/>
      <c r="BP182" s="66"/>
      <c r="BQ182" s="66"/>
      <c r="BR182" s="66"/>
      <c r="BS182" s="66"/>
      <c r="BT182" s="66"/>
      <c r="BU182" s="66"/>
      <c r="BV182" s="66"/>
      <c r="BW182" s="66"/>
      <c r="BX182" s="66"/>
      <c r="BY182" s="66"/>
      <c r="BZ182" s="66"/>
      <c r="CA182" s="66"/>
      <c r="CB182" s="66"/>
      <c r="CC182" s="66"/>
      <c r="CD182" s="66"/>
      <c r="CE182" s="66"/>
      <c r="CF182" s="435"/>
      <c r="CG182" s="66"/>
      <c r="CH182" s="66"/>
      <c r="CI182" s="66"/>
      <c r="CJ182" s="66"/>
      <c r="CK182" s="66"/>
      <c r="CL182" s="66"/>
      <c r="CM182" s="66"/>
      <c r="CN182" s="66"/>
      <c r="CO182" s="66"/>
      <c r="CP182" s="66"/>
      <c r="CQ182" s="66"/>
      <c r="CR182" s="66"/>
      <c r="CS182" s="66"/>
      <c r="CT182" s="66"/>
      <c r="CU182" s="66"/>
      <c r="CV182" s="66"/>
      <c r="CW182" s="66"/>
      <c r="CX182" s="66"/>
      <c r="CY182" s="66"/>
      <c r="CZ182" s="66"/>
      <c r="DA182" s="66"/>
      <c r="DB182" s="66"/>
      <c r="DC182" s="66"/>
      <c r="DD182" s="66"/>
      <c r="DE182" s="66"/>
      <c r="DF182" s="66"/>
      <c r="DG182" s="66"/>
      <c r="DH182" s="66"/>
      <c r="DI182" s="66"/>
      <c r="DJ182" s="66"/>
      <c r="DK182" s="66"/>
      <c r="DL182" s="66"/>
      <c r="DM182" s="66"/>
      <c r="DN182" s="66"/>
      <c r="DO182" s="66"/>
      <c r="DP182" s="66"/>
      <c r="HB182" s="68"/>
      <c r="HC182" s="68"/>
      <c r="HD182" s="68"/>
      <c r="HE182" s="68"/>
      <c r="HF182" s="68"/>
      <c r="HG182" s="383"/>
      <c r="HH182" s="383"/>
      <c r="HI182" s="383"/>
      <c r="HJ182" s="383"/>
      <c r="HK182" s="383"/>
      <c r="HL182" s="383"/>
      <c r="HM182" s="68"/>
      <c r="HN182" s="68"/>
      <c r="HO182" s="68"/>
      <c r="HP182" s="379"/>
      <c r="HQ182" s="379"/>
      <c r="HR182" s="379"/>
      <c r="HS182" s="379"/>
      <c r="HT182" s="234"/>
      <c r="HU182" s="234"/>
      <c r="HV182" s="213"/>
      <c r="HW182" s="213"/>
      <c r="HX182" s="68"/>
      <c r="HY182" s="68"/>
      <c r="HZ182" s="68"/>
      <c r="IA182" s="68"/>
      <c r="IB182" s="68"/>
      <c r="IC182" s="68"/>
      <c r="ID182" s="68"/>
      <c r="IE182" s="68"/>
      <c r="IF182" s="68"/>
      <c r="IG182" s="68"/>
      <c r="IH182" s="68"/>
      <c r="II182" s="68"/>
      <c r="IJ182" s="68"/>
      <c r="IK182" s="68"/>
      <c r="IL182" s="68"/>
      <c r="IM182" s="68"/>
      <c r="IN182" s="68"/>
      <c r="IO182" s="68"/>
      <c r="IP182" s="68"/>
      <c r="IQ182" s="68"/>
      <c r="IR182" s="68"/>
      <c r="IS182" s="68"/>
      <c r="IT182" s="68"/>
      <c r="IU182" s="68"/>
      <c r="IV182" s="68"/>
      <c r="IW182" s="68"/>
      <c r="IX182" s="68"/>
      <c r="IY182" s="68"/>
    </row>
    <row r="183" spans="2:259" s="64" customFormat="1" ht="4.5" hidden="1" customHeight="1" x14ac:dyDescent="0.3"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  <c r="AV183" s="68"/>
      <c r="AW183" s="68"/>
      <c r="AX183" s="68"/>
      <c r="AY183" s="68"/>
      <c r="AZ183" s="68"/>
      <c r="BA183" s="68"/>
      <c r="BB183" s="67"/>
      <c r="BC183" s="67"/>
      <c r="BD183" s="67"/>
      <c r="BE183" s="67"/>
      <c r="BF183" s="67"/>
      <c r="BG183" s="67"/>
      <c r="BH183" s="67"/>
      <c r="BI183" s="67"/>
      <c r="BJ183" s="67"/>
      <c r="BK183" s="67"/>
      <c r="BL183" s="67"/>
      <c r="BM183" s="66"/>
      <c r="BN183" s="66"/>
      <c r="BO183" s="66"/>
      <c r="BP183" s="66"/>
      <c r="BQ183" s="66"/>
      <c r="BR183" s="66"/>
      <c r="BS183" s="66"/>
      <c r="BT183" s="66"/>
      <c r="BU183" s="66"/>
      <c r="BV183" s="66"/>
      <c r="BW183" s="66"/>
      <c r="BX183" s="66"/>
      <c r="BY183" s="66"/>
      <c r="BZ183" s="66"/>
      <c r="CA183" s="66"/>
      <c r="CB183" s="66"/>
      <c r="CC183" s="66"/>
      <c r="CD183" s="66"/>
      <c r="CE183" s="66"/>
      <c r="CF183" s="435"/>
      <c r="CG183" s="66"/>
      <c r="CH183" s="66"/>
      <c r="CI183" s="66"/>
      <c r="CJ183" s="66"/>
      <c r="CK183" s="66"/>
      <c r="CL183" s="66"/>
      <c r="CM183" s="66"/>
      <c r="CN183" s="66"/>
      <c r="CO183" s="66"/>
      <c r="CP183" s="66"/>
      <c r="CQ183" s="66"/>
      <c r="CR183" s="66"/>
      <c r="CS183" s="66"/>
      <c r="CT183" s="66"/>
      <c r="CU183" s="66"/>
      <c r="CV183" s="66"/>
      <c r="CW183" s="66"/>
      <c r="CX183" s="66"/>
      <c r="CY183" s="66"/>
      <c r="CZ183" s="66"/>
      <c r="DA183" s="66"/>
      <c r="DB183" s="66"/>
      <c r="DC183" s="66"/>
      <c r="DD183" s="66"/>
      <c r="DE183" s="66"/>
      <c r="DF183" s="66"/>
      <c r="DG183" s="66"/>
      <c r="DH183" s="66"/>
      <c r="DI183" s="66"/>
      <c r="DJ183" s="66"/>
      <c r="DK183" s="66"/>
      <c r="DL183" s="66"/>
      <c r="DM183" s="66"/>
      <c r="DN183" s="66"/>
      <c r="DO183" s="66"/>
      <c r="DP183" s="66"/>
      <c r="HB183" s="68"/>
      <c r="HC183" s="68"/>
      <c r="HD183" s="68"/>
      <c r="HE183" s="68"/>
      <c r="HF183" s="68"/>
      <c r="HG183" s="162"/>
      <c r="HH183" s="162"/>
      <c r="HI183" s="162"/>
      <c r="HJ183" s="162"/>
      <c r="HK183" s="162"/>
      <c r="HL183" s="162"/>
      <c r="HM183" s="68"/>
      <c r="HN183" s="68"/>
      <c r="HO183" s="68"/>
      <c r="HP183" s="215"/>
      <c r="HQ183" s="215"/>
      <c r="HR183" s="215"/>
      <c r="HS183" s="215"/>
      <c r="HT183" s="234"/>
      <c r="HU183" s="234"/>
      <c r="HV183" s="213"/>
      <c r="HW183" s="213"/>
      <c r="HX183" s="68"/>
      <c r="HY183" s="68"/>
      <c r="HZ183" s="68"/>
      <c r="IA183" s="68"/>
      <c r="IB183" s="68"/>
      <c r="IC183" s="68"/>
      <c r="ID183" s="68"/>
      <c r="IE183" s="68"/>
      <c r="IF183" s="68"/>
      <c r="IG183" s="68"/>
      <c r="IH183" s="68"/>
      <c r="II183" s="68"/>
      <c r="IJ183" s="68"/>
      <c r="IK183" s="68"/>
      <c r="IL183" s="68"/>
      <c r="IM183" s="68"/>
      <c r="IN183" s="68"/>
      <c r="IO183" s="68"/>
      <c r="IP183" s="68"/>
      <c r="IQ183" s="68"/>
      <c r="IR183" s="68"/>
      <c r="IS183" s="68"/>
      <c r="IT183" s="68"/>
      <c r="IU183" s="68"/>
      <c r="IV183" s="68"/>
      <c r="IW183" s="68"/>
      <c r="IX183" s="68"/>
      <c r="IY183" s="68"/>
    </row>
    <row r="184" spans="2:259" s="64" customFormat="1" hidden="1" x14ac:dyDescent="0.3"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  <c r="AV184" s="68"/>
      <c r="AW184" s="68"/>
      <c r="AX184" s="68"/>
      <c r="AY184" s="68"/>
      <c r="AZ184" s="68"/>
      <c r="BA184" s="68"/>
      <c r="BB184" s="67"/>
      <c r="BC184" s="67"/>
      <c r="BD184" s="67"/>
      <c r="BE184" s="67"/>
      <c r="BF184" s="67"/>
      <c r="BG184" s="67"/>
      <c r="BH184" s="67"/>
      <c r="BI184" s="67"/>
      <c r="BJ184" s="67"/>
      <c r="BK184" s="67"/>
      <c r="BL184" s="67"/>
      <c r="BM184" s="66"/>
      <c r="BN184" s="66"/>
      <c r="BO184" s="66"/>
      <c r="BP184" s="66"/>
      <c r="BQ184" s="66"/>
      <c r="BR184" s="66"/>
      <c r="BS184" s="66"/>
      <c r="BT184" s="66"/>
      <c r="BU184" s="66"/>
      <c r="BV184" s="66"/>
      <c r="BW184" s="66"/>
      <c r="BX184" s="66"/>
      <c r="BY184" s="66"/>
      <c r="BZ184" s="66"/>
      <c r="CA184" s="66"/>
      <c r="CB184" s="66"/>
      <c r="CC184" s="66"/>
      <c r="CD184" s="66"/>
      <c r="CE184" s="66"/>
      <c r="CF184" s="435"/>
      <c r="CG184" s="66"/>
      <c r="CH184" s="66"/>
      <c r="CI184" s="66"/>
      <c r="CJ184" s="66"/>
      <c r="CK184" s="66"/>
      <c r="CL184" s="66"/>
      <c r="CM184" s="66"/>
      <c r="CN184" s="66"/>
      <c r="CO184" s="66"/>
      <c r="CP184" s="66"/>
      <c r="CQ184" s="66"/>
      <c r="CR184" s="66"/>
      <c r="CS184" s="66"/>
      <c r="CT184" s="66"/>
      <c r="CU184" s="66"/>
      <c r="CV184" s="66"/>
      <c r="CW184" s="66"/>
      <c r="CX184" s="66"/>
      <c r="CY184" s="66"/>
      <c r="CZ184" s="66"/>
      <c r="DA184" s="66"/>
      <c r="DB184" s="66"/>
      <c r="DC184" s="66"/>
      <c r="DD184" s="66"/>
      <c r="DE184" s="66"/>
      <c r="DF184" s="66"/>
      <c r="DG184" s="66"/>
      <c r="DH184" s="66"/>
      <c r="DI184" s="66"/>
      <c r="DJ184" s="66"/>
      <c r="DK184" s="66"/>
      <c r="DL184" s="66"/>
      <c r="DM184" s="66"/>
      <c r="DN184" s="66"/>
      <c r="DO184" s="66"/>
      <c r="DP184" s="66"/>
      <c r="HB184" s="68"/>
      <c r="HC184" s="68"/>
      <c r="HD184" s="68"/>
      <c r="HE184" s="68"/>
      <c r="HF184" s="68"/>
      <c r="HG184" s="162"/>
      <c r="HH184" s="162"/>
      <c r="HI184" s="162"/>
      <c r="HJ184" s="162"/>
      <c r="HK184" s="162"/>
      <c r="HL184" s="162"/>
      <c r="HM184" s="68"/>
      <c r="HN184" s="68"/>
      <c r="HO184" s="68"/>
      <c r="HP184" s="411"/>
      <c r="HQ184" s="412"/>
      <c r="HR184" s="412"/>
      <c r="HS184" s="412"/>
      <c r="HT184" s="413"/>
      <c r="HU184" s="235"/>
      <c r="HV184" s="213"/>
      <c r="HW184" s="213"/>
      <c r="HX184" s="68"/>
      <c r="HY184" s="68"/>
      <c r="HZ184" s="68"/>
      <c r="IA184" s="68"/>
      <c r="IB184" s="68"/>
      <c r="IC184" s="68"/>
      <c r="ID184" s="68"/>
      <c r="IE184" s="68"/>
      <c r="IF184" s="68"/>
      <c r="IG184" s="68"/>
      <c r="IH184" s="68"/>
      <c r="II184" s="68"/>
      <c r="IJ184" s="68"/>
      <c r="IK184" s="68"/>
      <c r="IL184" s="68"/>
      <c r="IM184" s="68"/>
      <c r="IN184" s="68"/>
      <c r="IO184" s="68"/>
      <c r="IP184" s="68"/>
      <c r="IQ184" s="68"/>
      <c r="IR184" s="68"/>
      <c r="IS184" s="68"/>
      <c r="IT184" s="68"/>
      <c r="IU184" s="68"/>
      <c r="IV184" s="68"/>
      <c r="IW184" s="68"/>
      <c r="IX184" s="68"/>
      <c r="IY184" s="68"/>
    </row>
    <row r="185" spans="2:259" s="64" customFormat="1" hidden="1" x14ac:dyDescent="0.3"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7"/>
      <c r="BC185" s="67"/>
      <c r="BD185" s="67"/>
      <c r="BE185" s="67"/>
      <c r="BF185" s="67"/>
      <c r="BG185" s="67"/>
      <c r="BH185" s="67"/>
      <c r="BI185" s="67"/>
      <c r="BJ185" s="67"/>
      <c r="BK185" s="67"/>
      <c r="BL185" s="67"/>
      <c r="BM185" s="66"/>
      <c r="BN185" s="66"/>
      <c r="BO185" s="66"/>
      <c r="BP185" s="66"/>
      <c r="BQ185" s="66"/>
      <c r="BR185" s="66"/>
      <c r="BS185" s="66"/>
      <c r="BT185" s="66"/>
      <c r="BU185" s="66"/>
      <c r="BV185" s="66"/>
      <c r="BW185" s="66"/>
      <c r="BX185" s="66"/>
      <c r="BY185" s="66"/>
      <c r="BZ185" s="66"/>
      <c r="CA185" s="66"/>
      <c r="CB185" s="66"/>
      <c r="CC185" s="66"/>
      <c r="CD185" s="66"/>
      <c r="CE185" s="66"/>
      <c r="CF185" s="435"/>
      <c r="CG185" s="66"/>
      <c r="CH185" s="66"/>
      <c r="CI185" s="66"/>
      <c r="CJ185" s="66"/>
      <c r="CK185" s="66"/>
      <c r="CL185" s="66"/>
      <c r="CM185" s="66"/>
      <c r="CN185" s="66"/>
      <c r="CO185" s="66"/>
      <c r="CP185" s="66"/>
      <c r="CQ185" s="66"/>
      <c r="CR185" s="66"/>
      <c r="CS185" s="66"/>
      <c r="CT185" s="66"/>
      <c r="CU185" s="66"/>
      <c r="CV185" s="66"/>
      <c r="CW185" s="66"/>
      <c r="CX185" s="66"/>
      <c r="CY185" s="66"/>
      <c r="CZ185" s="66"/>
      <c r="DA185" s="66"/>
      <c r="DB185" s="66"/>
      <c r="DC185" s="66"/>
      <c r="DD185" s="66"/>
      <c r="DE185" s="66"/>
      <c r="DF185" s="66"/>
      <c r="DG185" s="66"/>
      <c r="DH185" s="66"/>
      <c r="DI185" s="66"/>
      <c r="DJ185" s="66"/>
      <c r="DK185" s="66"/>
      <c r="DL185" s="66"/>
      <c r="DM185" s="66"/>
      <c r="DN185" s="66"/>
      <c r="DO185" s="66"/>
      <c r="DP185" s="66"/>
      <c r="HB185" s="68"/>
      <c r="HC185" s="68"/>
      <c r="HD185" s="68"/>
      <c r="HE185" s="68"/>
      <c r="HF185" s="68"/>
      <c r="HG185" s="162"/>
      <c r="HH185" s="162"/>
      <c r="HI185" s="162"/>
      <c r="HJ185" s="162"/>
      <c r="HK185" s="162"/>
      <c r="HL185" s="162"/>
      <c r="HM185" s="68"/>
      <c r="HN185" s="68"/>
      <c r="HO185" s="68"/>
      <c r="HP185" s="412"/>
      <c r="HQ185" s="412"/>
      <c r="HR185" s="412"/>
      <c r="HS185" s="412"/>
      <c r="HT185" s="413"/>
      <c r="HU185" s="235"/>
      <c r="HV185" s="213"/>
      <c r="HW185" s="213"/>
      <c r="HX185" s="68"/>
      <c r="HY185" s="68"/>
      <c r="HZ185" s="68"/>
      <c r="IA185" s="68"/>
      <c r="IB185" s="68"/>
      <c r="IC185" s="68"/>
      <c r="ID185" s="68"/>
      <c r="IE185" s="68"/>
      <c r="IF185" s="68"/>
      <c r="IG185" s="68"/>
      <c r="IH185" s="68"/>
      <c r="II185" s="68"/>
      <c r="IJ185" s="68"/>
      <c r="IK185" s="68"/>
      <c r="IL185" s="68"/>
      <c r="IM185" s="68"/>
      <c r="IN185" s="68"/>
      <c r="IO185" s="68"/>
      <c r="IP185" s="68"/>
      <c r="IQ185" s="68"/>
      <c r="IR185" s="68"/>
      <c r="IS185" s="68"/>
      <c r="IT185" s="68"/>
      <c r="IU185" s="68"/>
      <c r="IV185" s="68"/>
      <c r="IW185" s="68"/>
      <c r="IX185" s="68"/>
      <c r="IY185" s="68"/>
    </row>
    <row r="186" spans="2:259" s="64" customFormat="1" ht="4.5" hidden="1" customHeight="1" x14ac:dyDescent="0.3"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  <c r="AV186" s="68"/>
      <c r="AW186" s="68"/>
      <c r="AX186" s="68"/>
      <c r="AY186" s="68"/>
      <c r="AZ186" s="68"/>
      <c r="BA186" s="68"/>
      <c r="BB186" s="67"/>
      <c r="BC186" s="67"/>
      <c r="BD186" s="67"/>
      <c r="BE186" s="67"/>
      <c r="BF186" s="67"/>
      <c r="BG186" s="67"/>
      <c r="BH186" s="67"/>
      <c r="BI186" s="67"/>
      <c r="BJ186" s="67"/>
      <c r="BK186" s="67"/>
      <c r="BL186" s="67"/>
      <c r="BM186" s="66"/>
      <c r="BN186" s="66"/>
      <c r="BO186" s="66"/>
      <c r="BP186" s="66"/>
      <c r="BQ186" s="66"/>
      <c r="BR186" s="66"/>
      <c r="BS186" s="66"/>
      <c r="BT186" s="66"/>
      <c r="BU186" s="66"/>
      <c r="BV186" s="66"/>
      <c r="BW186" s="66"/>
      <c r="BX186" s="66"/>
      <c r="BY186" s="66"/>
      <c r="BZ186" s="66"/>
      <c r="CA186" s="66"/>
      <c r="CB186" s="66"/>
      <c r="CC186" s="66"/>
      <c r="CD186" s="66"/>
      <c r="CE186" s="66"/>
      <c r="CF186" s="435"/>
      <c r="CG186" s="66"/>
      <c r="CH186" s="66"/>
      <c r="CI186" s="66"/>
      <c r="CJ186" s="66"/>
      <c r="CK186" s="66"/>
      <c r="CL186" s="66"/>
      <c r="CM186" s="66"/>
      <c r="CN186" s="66"/>
      <c r="CO186" s="66"/>
      <c r="CP186" s="66"/>
      <c r="CQ186" s="66"/>
      <c r="CR186" s="66"/>
      <c r="CS186" s="66"/>
      <c r="CT186" s="66"/>
      <c r="CU186" s="66"/>
      <c r="CV186" s="66"/>
      <c r="CW186" s="66"/>
      <c r="CX186" s="66"/>
      <c r="CY186" s="66"/>
      <c r="CZ186" s="66"/>
      <c r="DA186" s="66"/>
      <c r="DB186" s="66"/>
      <c r="DC186" s="66"/>
      <c r="DD186" s="66"/>
      <c r="DE186" s="66"/>
      <c r="DF186" s="66"/>
      <c r="DG186" s="66"/>
      <c r="DH186" s="66"/>
      <c r="DI186" s="66"/>
      <c r="DJ186" s="66"/>
      <c r="DK186" s="66"/>
      <c r="DL186" s="66"/>
      <c r="DM186" s="66"/>
      <c r="DN186" s="66"/>
      <c r="DO186" s="66"/>
      <c r="DP186" s="66"/>
      <c r="HB186" s="68"/>
      <c r="HC186" s="68"/>
      <c r="HD186" s="68"/>
      <c r="HE186" s="68"/>
      <c r="HF186" s="68"/>
      <c r="HG186" s="162"/>
      <c r="HH186" s="162"/>
      <c r="HI186" s="162"/>
      <c r="HJ186" s="162"/>
      <c r="HK186" s="162"/>
      <c r="HL186" s="162"/>
      <c r="HM186" s="68"/>
      <c r="HN186" s="68"/>
      <c r="HO186" s="68"/>
      <c r="HP186" s="215"/>
      <c r="HQ186" s="215"/>
      <c r="HR186" s="215"/>
      <c r="HS186" s="215"/>
      <c r="HT186" s="234"/>
      <c r="HU186" s="234"/>
      <c r="HV186" s="213"/>
      <c r="HW186" s="213"/>
      <c r="HX186" s="68"/>
      <c r="HY186" s="68"/>
      <c r="HZ186" s="68"/>
      <c r="IA186" s="68"/>
      <c r="IB186" s="68"/>
      <c r="IC186" s="68"/>
      <c r="ID186" s="68"/>
      <c r="IE186" s="68"/>
      <c r="IF186" s="68"/>
      <c r="IG186" s="68"/>
      <c r="IH186" s="68"/>
      <c r="II186" s="68"/>
      <c r="IJ186" s="68"/>
      <c r="IK186" s="68"/>
      <c r="IL186" s="68"/>
      <c r="IM186" s="68"/>
      <c r="IN186" s="68"/>
      <c r="IO186" s="68"/>
      <c r="IP186" s="68"/>
      <c r="IQ186" s="68"/>
      <c r="IR186" s="68"/>
      <c r="IS186" s="68"/>
      <c r="IT186" s="68"/>
      <c r="IU186" s="68"/>
      <c r="IV186" s="68"/>
      <c r="IW186" s="68"/>
      <c r="IX186" s="68"/>
      <c r="IY186" s="68"/>
    </row>
    <row r="187" spans="2:259" s="64" customFormat="1" hidden="1" x14ac:dyDescent="0.3"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7"/>
      <c r="BC187" s="67"/>
      <c r="BD187" s="67"/>
      <c r="BE187" s="67"/>
      <c r="BF187" s="67"/>
      <c r="BG187" s="67"/>
      <c r="BH187" s="67"/>
      <c r="BI187" s="67"/>
      <c r="BJ187" s="67"/>
      <c r="BK187" s="67"/>
      <c r="BL187" s="67"/>
      <c r="BM187" s="66"/>
      <c r="BN187" s="66"/>
      <c r="BO187" s="66"/>
      <c r="BP187" s="66"/>
      <c r="BQ187" s="66"/>
      <c r="BR187" s="66"/>
      <c r="BS187" s="66"/>
      <c r="BT187" s="66"/>
      <c r="BU187" s="66"/>
      <c r="BV187" s="66"/>
      <c r="BW187" s="66"/>
      <c r="BX187" s="66"/>
      <c r="BY187" s="66"/>
      <c r="BZ187" s="66"/>
      <c r="CA187" s="66"/>
      <c r="CB187" s="66"/>
      <c r="CC187" s="66"/>
      <c r="CD187" s="66"/>
      <c r="CE187" s="66"/>
      <c r="CF187" s="435"/>
      <c r="CG187" s="66"/>
      <c r="CH187" s="66"/>
      <c r="CI187" s="66"/>
      <c r="CJ187" s="66"/>
      <c r="CK187" s="66"/>
      <c r="CL187" s="66"/>
      <c r="CM187" s="66"/>
      <c r="CN187" s="66"/>
      <c r="CO187" s="66"/>
      <c r="CP187" s="66"/>
      <c r="CQ187" s="66"/>
      <c r="CR187" s="66"/>
      <c r="CS187" s="66"/>
      <c r="CT187" s="66"/>
      <c r="CU187" s="66"/>
      <c r="CV187" s="66"/>
      <c r="CW187" s="66"/>
      <c r="CX187" s="66"/>
      <c r="CY187" s="66"/>
      <c r="CZ187" s="66"/>
      <c r="DA187" s="66"/>
      <c r="DB187" s="66"/>
      <c r="DC187" s="66"/>
      <c r="DD187" s="66"/>
      <c r="DE187" s="66"/>
      <c r="DF187" s="66"/>
      <c r="DG187" s="66"/>
      <c r="DH187" s="66"/>
      <c r="DI187" s="66"/>
      <c r="DJ187" s="66"/>
      <c r="DK187" s="66"/>
      <c r="DL187" s="66"/>
      <c r="DM187" s="66"/>
      <c r="DN187" s="66"/>
      <c r="DO187" s="66"/>
      <c r="DP187" s="66"/>
      <c r="HB187" s="68"/>
      <c r="HC187" s="68"/>
      <c r="HD187" s="68"/>
      <c r="HE187" s="68"/>
      <c r="HF187" s="68"/>
      <c r="HG187" s="162"/>
      <c r="HH187" s="162"/>
      <c r="HI187" s="162"/>
      <c r="HJ187" s="162"/>
      <c r="HK187" s="162"/>
      <c r="HL187" s="162"/>
      <c r="HM187" s="68"/>
      <c r="HN187" s="68"/>
      <c r="HO187" s="68"/>
      <c r="HP187" s="215"/>
      <c r="HQ187" s="215"/>
      <c r="HR187" s="215"/>
      <c r="HS187" s="215"/>
      <c r="HT187" s="234"/>
      <c r="HU187" s="234"/>
      <c r="HV187" s="213"/>
      <c r="HW187" s="213"/>
      <c r="HX187" s="68"/>
      <c r="HY187" s="68"/>
      <c r="HZ187" s="68"/>
      <c r="IA187" s="68"/>
      <c r="IB187" s="68"/>
      <c r="IC187" s="68"/>
      <c r="ID187" s="68"/>
      <c r="IE187" s="68"/>
      <c r="IF187" s="68"/>
      <c r="IG187" s="68"/>
      <c r="IH187" s="68"/>
      <c r="II187" s="68"/>
      <c r="IJ187" s="68"/>
      <c r="IK187" s="68"/>
      <c r="IL187" s="68"/>
      <c r="IM187" s="68"/>
      <c r="IN187" s="68"/>
      <c r="IO187" s="68"/>
      <c r="IP187" s="68"/>
      <c r="IQ187" s="68"/>
      <c r="IR187" s="68"/>
      <c r="IS187" s="68"/>
      <c r="IT187" s="68"/>
      <c r="IU187" s="68"/>
      <c r="IV187" s="68"/>
      <c r="IW187" s="68"/>
      <c r="IX187" s="68"/>
      <c r="IY187" s="68"/>
    </row>
    <row r="188" spans="2:259" s="64" customFormat="1" hidden="1" x14ac:dyDescent="0.3"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7"/>
      <c r="BC188" s="67"/>
      <c r="BD188" s="67"/>
      <c r="BE188" s="67"/>
      <c r="BF188" s="67"/>
      <c r="BG188" s="67"/>
      <c r="BH188" s="67"/>
      <c r="BI188" s="67"/>
      <c r="BJ188" s="67"/>
      <c r="BK188" s="67"/>
      <c r="BL188" s="67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435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HB188" s="68"/>
      <c r="HC188" s="68"/>
      <c r="HD188" s="68"/>
      <c r="HE188" s="68"/>
      <c r="HF188" s="68"/>
      <c r="HG188" s="383"/>
      <c r="HH188" s="383"/>
      <c r="HI188" s="383"/>
      <c r="HJ188" s="383"/>
      <c r="HK188" s="383"/>
      <c r="HL188" s="383"/>
      <c r="HM188" s="68"/>
      <c r="HN188" s="68"/>
      <c r="HO188" s="409"/>
      <c r="HP188" s="409"/>
      <c r="HQ188" s="409"/>
      <c r="HR188" s="409"/>
      <c r="HS188" s="409"/>
      <c r="HT188" s="409"/>
      <c r="HU188" s="409"/>
      <c r="HV188" s="68"/>
      <c r="HW188" s="68"/>
      <c r="HX188" s="68"/>
      <c r="HY188" s="68"/>
      <c r="HZ188" s="68"/>
      <c r="IA188" s="68"/>
      <c r="IB188" s="68"/>
      <c r="IC188" s="68"/>
      <c r="ID188" s="68"/>
      <c r="IE188" s="68"/>
      <c r="IF188" s="68"/>
      <c r="IG188" s="68"/>
      <c r="IH188" s="68"/>
      <c r="II188" s="68"/>
      <c r="IJ188" s="68"/>
      <c r="IK188" s="68"/>
      <c r="IL188" s="68"/>
      <c r="IM188" s="68"/>
      <c r="IN188" s="68"/>
      <c r="IO188" s="68"/>
      <c r="IP188" s="68"/>
      <c r="IQ188" s="68"/>
      <c r="IR188" s="68"/>
      <c r="IS188" s="68"/>
      <c r="IT188" s="68"/>
      <c r="IU188" s="68"/>
      <c r="IV188" s="68"/>
      <c r="IW188" s="68"/>
      <c r="IX188" s="68"/>
      <c r="IY188" s="68"/>
    </row>
    <row r="189" spans="2:259" s="64" customFormat="1" hidden="1" x14ac:dyDescent="0.3"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7"/>
      <c r="BC189" s="67"/>
      <c r="BD189" s="67"/>
      <c r="BE189" s="67"/>
      <c r="BF189" s="67"/>
      <c r="BG189" s="67"/>
      <c r="BH189" s="67"/>
      <c r="BI189" s="67"/>
      <c r="BJ189" s="67"/>
      <c r="BK189" s="67"/>
      <c r="BL189" s="67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435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HB189" s="68"/>
      <c r="HC189" s="68"/>
      <c r="HD189" s="68"/>
      <c r="HE189" s="68"/>
      <c r="HF189" s="68"/>
      <c r="HG189" s="162"/>
      <c r="HH189" s="162"/>
      <c r="HI189" s="162"/>
      <c r="HJ189" s="162"/>
      <c r="HK189" s="162"/>
      <c r="HL189" s="162"/>
      <c r="HM189" s="68"/>
      <c r="HN189" s="68"/>
      <c r="HO189" s="409"/>
      <c r="HP189" s="409"/>
      <c r="HQ189" s="409"/>
      <c r="HR189" s="409"/>
      <c r="HS189" s="409"/>
      <c r="HT189" s="409"/>
      <c r="HU189" s="409"/>
      <c r="HV189" s="68"/>
      <c r="HW189" s="68"/>
      <c r="HX189" s="68"/>
      <c r="HY189" s="68"/>
      <c r="HZ189" s="68"/>
      <c r="IA189" s="68"/>
      <c r="IB189" s="68"/>
      <c r="IC189" s="68"/>
      <c r="ID189" s="68"/>
      <c r="IE189" s="68"/>
      <c r="IF189" s="68"/>
      <c r="IG189" s="68"/>
      <c r="IH189" s="68"/>
      <c r="II189" s="68"/>
      <c r="IJ189" s="68"/>
      <c r="IK189" s="68"/>
      <c r="IL189" s="68"/>
      <c r="IM189" s="68"/>
      <c r="IN189" s="68"/>
      <c r="IO189" s="68"/>
      <c r="IP189" s="68"/>
      <c r="IQ189" s="68"/>
      <c r="IR189" s="68"/>
      <c r="IS189" s="68"/>
      <c r="IT189" s="68"/>
      <c r="IU189" s="68"/>
      <c r="IV189" s="68"/>
      <c r="IW189" s="68"/>
      <c r="IX189" s="68"/>
      <c r="IY189" s="68"/>
    </row>
    <row r="190" spans="2:259" s="64" customFormat="1" hidden="1" x14ac:dyDescent="0.3"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  <c r="AV190" s="68"/>
      <c r="AW190" s="68"/>
      <c r="AX190" s="68"/>
      <c r="AY190" s="68"/>
      <c r="AZ190" s="68"/>
      <c r="BA190" s="68"/>
      <c r="BB190" s="67"/>
      <c r="BC190" s="67"/>
      <c r="BD190" s="67"/>
      <c r="BE190" s="67"/>
      <c r="BF190" s="67"/>
      <c r="BG190" s="67"/>
      <c r="BH190" s="67"/>
      <c r="BI190" s="67"/>
      <c r="BJ190" s="67"/>
      <c r="BK190" s="67"/>
      <c r="BL190" s="67"/>
      <c r="BM190" s="66"/>
      <c r="BN190" s="66"/>
      <c r="BO190" s="66"/>
      <c r="BP190" s="66"/>
      <c r="BQ190" s="66"/>
      <c r="BR190" s="66"/>
      <c r="BS190" s="66"/>
      <c r="BT190" s="66"/>
      <c r="BU190" s="66"/>
      <c r="BV190" s="66"/>
      <c r="BW190" s="66"/>
      <c r="BX190" s="66"/>
      <c r="BY190" s="66"/>
      <c r="BZ190" s="66"/>
      <c r="CA190" s="66"/>
      <c r="CB190" s="66"/>
      <c r="CC190" s="66"/>
      <c r="CD190" s="66"/>
      <c r="CE190" s="66"/>
      <c r="CF190" s="435"/>
      <c r="CG190" s="66"/>
      <c r="CH190" s="66"/>
      <c r="CI190" s="66"/>
      <c r="CJ190" s="66"/>
      <c r="CK190" s="66"/>
      <c r="CL190" s="66"/>
      <c r="CM190" s="66"/>
      <c r="CN190" s="66"/>
      <c r="CO190" s="66"/>
      <c r="CP190" s="66"/>
      <c r="CQ190" s="66"/>
      <c r="CR190" s="66"/>
      <c r="CS190" s="66"/>
      <c r="CT190" s="66"/>
      <c r="CU190" s="66"/>
      <c r="CV190" s="66"/>
      <c r="CW190" s="66"/>
      <c r="CX190" s="66"/>
      <c r="CY190" s="66"/>
      <c r="CZ190" s="66"/>
      <c r="DA190" s="66"/>
      <c r="DB190" s="66"/>
      <c r="DC190" s="66"/>
      <c r="DD190" s="66"/>
      <c r="DE190" s="66"/>
      <c r="DF190" s="66"/>
      <c r="DG190" s="66"/>
      <c r="DH190" s="66"/>
      <c r="DI190" s="66"/>
      <c r="DJ190" s="66"/>
      <c r="DK190" s="66"/>
      <c r="DL190" s="66"/>
      <c r="DM190" s="66"/>
      <c r="DN190" s="66"/>
      <c r="DO190" s="66"/>
      <c r="DP190" s="66"/>
      <c r="HB190" s="68"/>
      <c r="HC190" s="68"/>
      <c r="HD190" s="68"/>
      <c r="HE190" s="68"/>
      <c r="HF190" s="68"/>
      <c r="HG190" s="162"/>
      <c r="HH190" s="162"/>
      <c r="HI190" s="162"/>
      <c r="HJ190" s="162"/>
      <c r="HK190" s="162"/>
      <c r="HL190" s="162"/>
      <c r="HM190" s="68"/>
      <c r="HN190" s="68"/>
      <c r="HO190" s="409"/>
      <c r="HP190" s="409"/>
      <c r="HQ190" s="409"/>
      <c r="HR190" s="409"/>
      <c r="HS190" s="409"/>
      <c r="HT190" s="409"/>
      <c r="HU190" s="409"/>
      <c r="HV190" s="68"/>
      <c r="HW190" s="68"/>
      <c r="HX190" s="68"/>
      <c r="HY190" s="68"/>
      <c r="HZ190" s="68"/>
      <c r="IA190" s="68"/>
      <c r="IB190" s="68"/>
      <c r="IC190" s="68"/>
      <c r="ID190" s="68"/>
      <c r="IE190" s="68"/>
      <c r="IF190" s="68"/>
      <c r="IG190" s="68"/>
      <c r="IH190" s="68"/>
      <c r="II190" s="68"/>
      <c r="IJ190" s="68"/>
      <c r="IK190" s="68"/>
      <c r="IL190" s="68"/>
      <c r="IM190" s="68"/>
      <c r="IN190" s="68"/>
      <c r="IO190" s="68"/>
      <c r="IP190" s="68"/>
      <c r="IQ190" s="68"/>
      <c r="IR190" s="68"/>
      <c r="IS190" s="68"/>
      <c r="IT190" s="68"/>
      <c r="IU190" s="68"/>
      <c r="IV190" s="68"/>
      <c r="IW190" s="68"/>
      <c r="IX190" s="68"/>
      <c r="IY190" s="68"/>
    </row>
    <row r="191" spans="2:259" s="64" customFormat="1" hidden="1" x14ac:dyDescent="0.3"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  <c r="AV191" s="68"/>
      <c r="AW191" s="68"/>
      <c r="AX191" s="68"/>
      <c r="AY191" s="68"/>
      <c r="AZ191" s="68"/>
      <c r="BA191" s="68"/>
      <c r="BB191" s="67"/>
      <c r="BC191" s="67"/>
      <c r="BD191" s="67"/>
      <c r="BE191" s="67"/>
      <c r="BF191" s="67"/>
      <c r="BG191" s="67"/>
      <c r="BH191" s="67"/>
      <c r="BI191" s="67"/>
      <c r="BJ191" s="67"/>
      <c r="BK191" s="67"/>
      <c r="BL191" s="67"/>
      <c r="BM191" s="66"/>
      <c r="BN191" s="66"/>
      <c r="BO191" s="66"/>
      <c r="BP191" s="66"/>
      <c r="BQ191" s="66"/>
      <c r="BR191" s="66"/>
      <c r="BS191" s="66"/>
      <c r="BT191" s="66"/>
      <c r="BU191" s="66"/>
      <c r="BV191" s="66"/>
      <c r="BW191" s="66"/>
      <c r="BX191" s="66"/>
      <c r="BY191" s="66"/>
      <c r="BZ191" s="66"/>
      <c r="CA191" s="66"/>
      <c r="CB191" s="66"/>
      <c r="CC191" s="66"/>
      <c r="CD191" s="66"/>
      <c r="CE191" s="66"/>
      <c r="CF191" s="435"/>
      <c r="CG191" s="66"/>
      <c r="CH191" s="66"/>
      <c r="CI191" s="66"/>
      <c r="CJ191" s="66"/>
      <c r="CK191" s="66"/>
      <c r="CL191" s="66"/>
      <c r="CM191" s="66"/>
      <c r="CN191" s="66"/>
      <c r="CO191" s="66"/>
      <c r="CP191" s="66"/>
      <c r="CQ191" s="66"/>
      <c r="CR191" s="66"/>
      <c r="CS191" s="66"/>
      <c r="CT191" s="66"/>
      <c r="CU191" s="66"/>
      <c r="CV191" s="66"/>
      <c r="CW191" s="66"/>
      <c r="CX191" s="66"/>
      <c r="CY191" s="66"/>
      <c r="CZ191" s="66"/>
      <c r="DA191" s="66"/>
      <c r="DB191" s="66"/>
      <c r="DC191" s="66"/>
      <c r="DD191" s="66"/>
      <c r="DE191" s="66"/>
      <c r="DF191" s="66"/>
      <c r="DG191" s="66"/>
      <c r="DH191" s="66"/>
      <c r="DI191" s="66"/>
      <c r="DJ191" s="66"/>
      <c r="DK191" s="66"/>
      <c r="DL191" s="66"/>
      <c r="DM191" s="66"/>
      <c r="DN191" s="66"/>
      <c r="DO191" s="66"/>
      <c r="DP191" s="66"/>
      <c r="HB191" s="68"/>
      <c r="HC191" s="68"/>
      <c r="HD191" s="68"/>
      <c r="HE191" s="68"/>
      <c r="HF191" s="68"/>
      <c r="HG191" s="162"/>
      <c r="HH191" s="162"/>
      <c r="HI191" s="162"/>
      <c r="HJ191" s="162"/>
      <c r="HK191" s="162"/>
      <c r="HL191" s="162"/>
      <c r="HM191" s="68"/>
      <c r="HN191" s="68"/>
      <c r="HO191" s="409"/>
      <c r="HP191" s="409"/>
      <c r="HQ191" s="409"/>
      <c r="HR191" s="409"/>
      <c r="HS191" s="409"/>
      <c r="HT191" s="409"/>
      <c r="HU191" s="409"/>
      <c r="HV191" s="68"/>
      <c r="HW191" s="68"/>
      <c r="HX191" s="68"/>
      <c r="HY191" s="68"/>
      <c r="HZ191" s="68"/>
      <c r="IA191" s="68"/>
      <c r="IB191" s="68"/>
      <c r="IC191" s="68"/>
      <c r="ID191" s="68"/>
      <c r="IE191" s="68"/>
      <c r="IF191" s="68"/>
      <c r="IG191" s="68"/>
      <c r="IH191" s="68"/>
      <c r="II191" s="68"/>
      <c r="IJ191" s="68"/>
      <c r="IK191" s="68"/>
      <c r="IL191" s="68"/>
      <c r="IM191" s="68"/>
      <c r="IN191" s="68"/>
      <c r="IO191" s="68"/>
      <c r="IP191" s="68"/>
      <c r="IQ191" s="68"/>
      <c r="IR191" s="68"/>
      <c r="IS191" s="68"/>
      <c r="IT191" s="68"/>
      <c r="IU191" s="68"/>
      <c r="IV191" s="68"/>
      <c r="IW191" s="68"/>
      <c r="IX191" s="68"/>
      <c r="IY191" s="68"/>
    </row>
    <row r="192" spans="2:259" s="64" customFormat="1" hidden="1" x14ac:dyDescent="0.3"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7"/>
      <c r="BC192" s="67"/>
      <c r="BD192" s="67"/>
      <c r="BE192" s="67"/>
      <c r="BF192" s="67"/>
      <c r="BG192" s="67"/>
      <c r="BH192" s="67"/>
      <c r="BI192" s="67"/>
      <c r="BJ192" s="67"/>
      <c r="BK192" s="67"/>
      <c r="BL192" s="67"/>
      <c r="BM192" s="66"/>
      <c r="BN192" s="66"/>
      <c r="BO192" s="66"/>
      <c r="BP192" s="66"/>
      <c r="BQ192" s="66"/>
      <c r="BR192" s="66"/>
      <c r="BS192" s="66"/>
      <c r="BT192" s="66"/>
      <c r="BU192" s="66"/>
      <c r="BV192" s="66"/>
      <c r="BW192" s="66"/>
      <c r="BX192" s="66"/>
      <c r="BY192" s="66"/>
      <c r="BZ192" s="66"/>
      <c r="CA192" s="66"/>
      <c r="CB192" s="66"/>
      <c r="CC192" s="66"/>
      <c r="CD192" s="66"/>
      <c r="CE192" s="66"/>
      <c r="CF192" s="435"/>
      <c r="CG192" s="66"/>
      <c r="CH192" s="66"/>
      <c r="CI192" s="66"/>
      <c r="CJ192" s="66"/>
      <c r="CK192" s="66"/>
      <c r="CL192" s="66"/>
      <c r="CM192" s="66"/>
      <c r="CN192" s="66"/>
      <c r="CO192" s="66"/>
      <c r="CP192" s="66"/>
      <c r="CQ192" s="66"/>
      <c r="CR192" s="66"/>
      <c r="CS192" s="66"/>
      <c r="CT192" s="66"/>
      <c r="CU192" s="66"/>
      <c r="CV192" s="66"/>
      <c r="CW192" s="66"/>
      <c r="CX192" s="66"/>
      <c r="CY192" s="66"/>
      <c r="CZ192" s="66"/>
      <c r="DA192" s="66"/>
      <c r="DB192" s="66"/>
      <c r="DC192" s="66"/>
      <c r="DD192" s="66"/>
      <c r="DE192" s="66"/>
      <c r="DF192" s="66"/>
      <c r="DG192" s="66"/>
      <c r="DH192" s="66"/>
      <c r="DI192" s="66"/>
      <c r="DJ192" s="66"/>
      <c r="DK192" s="66"/>
      <c r="DL192" s="66"/>
      <c r="DM192" s="66"/>
      <c r="DN192" s="66"/>
      <c r="DO192" s="66"/>
      <c r="DP192" s="66"/>
      <c r="HB192" s="68"/>
      <c r="HC192" s="68"/>
      <c r="HD192" s="68"/>
      <c r="HE192" s="68"/>
      <c r="HF192" s="68"/>
      <c r="HG192" s="162"/>
      <c r="HH192" s="162"/>
      <c r="HI192" s="162"/>
      <c r="HJ192" s="162"/>
      <c r="HK192" s="162"/>
      <c r="HL192" s="162"/>
      <c r="HM192" s="68"/>
      <c r="HN192" s="68"/>
      <c r="HO192" s="409"/>
      <c r="HP192" s="409"/>
      <c r="HQ192" s="409"/>
      <c r="HR192" s="409"/>
      <c r="HS192" s="409"/>
      <c r="HT192" s="409"/>
      <c r="HU192" s="409"/>
      <c r="HV192" s="68"/>
      <c r="HW192" s="68"/>
      <c r="HX192" s="68"/>
      <c r="HY192" s="68"/>
      <c r="HZ192" s="68"/>
      <c r="IA192" s="68"/>
      <c r="IB192" s="68"/>
      <c r="IC192" s="68"/>
      <c r="ID192" s="68"/>
      <c r="IE192" s="68"/>
      <c r="IF192" s="68"/>
      <c r="IG192" s="68"/>
      <c r="IH192" s="68"/>
      <c r="II192" s="68"/>
      <c r="IJ192" s="68"/>
      <c r="IK192" s="68"/>
      <c r="IL192" s="68"/>
      <c r="IM192" s="68"/>
      <c r="IN192" s="68"/>
      <c r="IO192" s="68"/>
      <c r="IP192" s="68"/>
      <c r="IQ192" s="68"/>
      <c r="IR192" s="68"/>
      <c r="IS192" s="68"/>
      <c r="IT192" s="68"/>
      <c r="IU192" s="68"/>
      <c r="IV192" s="68"/>
      <c r="IW192" s="68"/>
      <c r="IX192" s="68"/>
      <c r="IY192" s="68"/>
    </row>
    <row r="193" spans="2:259" s="64" customFormat="1" hidden="1" x14ac:dyDescent="0.3"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7"/>
      <c r="BC193" s="67"/>
      <c r="BD193" s="67"/>
      <c r="BE193" s="67"/>
      <c r="BF193" s="67"/>
      <c r="BG193" s="67"/>
      <c r="BH193" s="67"/>
      <c r="BI193" s="67"/>
      <c r="BJ193" s="67"/>
      <c r="BK193" s="67"/>
      <c r="BL193" s="67"/>
      <c r="BM193" s="66"/>
      <c r="BN193" s="66"/>
      <c r="BO193" s="66"/>
      <c r="BP193" s="66"/>
      <c r="BQ193" s="66"/>
      <c r="BR193" s="66"/>
      <c r="BS193" s="66"/>
      <c r="BT193" s="66"/>
      <c r="BU193" s="66"/>
      <c r="BV193" s="66"/>
      <c r="BW193" s="66"/>
      <c r="BX193" s="66"/>
      <c r="BY193" s="66"/>
      <c r="BZ193" s="66"/>
      <c r="CA193" s="66"/>
      <c r="CB193" s="66"/>
      <c r="CC193" s="66"/>
      <c r="CD193" s="66"/>
      <c r="CE193" s="66"/>
      <c r="CF193" s="435"/>
      <c r="CG193" s="66"/>
      <c r="CH193" s="66"/>
      <c r="CI193" s="66"/>
      <c r="CJ193" s="66"/>
      <c r="CK193" s="66"/>
      <c r="CL193" s="66"/>
      <c r="CM193" s="66"/>
      <c r="CN193" s="66"/>
      <c r="CO193" s="66"/>
      <c r="CP193" s="66"/>
      <c r="CQ193" s="66"/>
      <c r="CR193" s="66"/>
      <c r="CS193" s="66"/>
      <c r="CT193" s="66"/>
      <c r="CU193" s="66"/>
      <c r="CV193" s="66"/>
      <c r="CW193" s="66"/>
      <c r="CX193" s="66"/>
      <c r="CY193" s="66"/>
      <c r="CZ193" s="66"/>
      <c r="DA193" s="66"/>
      <c r="DB193" s="66"/>
      <c r="DC193" s="66"/>
      <c r="DD193" s="66"/>
      <c r="DE193" s="66"/>
      <c r="DF193" s="66"/>
      <c r="DG193" s="66"/>
      <c r="DH193" s="66"/>
      <c r="DI193" s="66"/>
      <c r="DJ193" s="66"/>
      <c r="DK193" s="66"/>
      <c r="DL193" s="66"/>
      <c r="DM193" s="66"/>
      <c r="DN193" s="66"/>
      <c r="DO193" s="66"/>
      <c r="DP193" s="66"/>
      <c r="HB193" s="68"/>
      <c r="HC193" s="68"/>
      <c r="HD193" s="68"/>
      <c r="HE193" s="68"/>
      <c r="HF193" s="68"/>
      <c r="HG193" s="162"/>
      <c r="HH193" s="162"/>
      <c r="HI193" s="162"/>
      <c r="HJ193" s="162"/>
      <c r="HK193" s="162"/>
      <c r="HL193" s="162"/>
      <c r="HM193" s="68"/>
      <c r="HN193" s="68"/>
      <c r="HO193" s="68"/>
      <c r="HP193" s="68"/>
      <c r="HQ193" s="68"/>
      <c r="HR193" s="68"/>
      <c r="HS193" s="68"/>
      <c r="HT193" s="68"/>
      <c r="HU193" s="68"/>
      <c r="HV193" s="68"/>
      <c r="HW193" s="68"/>
      <c r="HX193" s="68"/>
      <c r="HY193" s="68"/>
      <c r="HZ193" s="68"/>
      <c r="IA193" s="68"/>
      <c r="IB193" s="68"/>
      <c r="IC193" s="68"/>
      <c r="ID193" s="68"/>
      <c r="IE193" s="68"/>
      <c r="IF193" s="68"/>
      <c r="IG193" s="68"/>
      <c r="IH193" s="68"/>
      <c r="II193" s="68"/>
      <c r="IJ193" s="68"/>
      <c r="IK193" s="68"/>
      <c r="IL193" s="68"/>
      <c r="IM193" s="68"/>
      <c r="IN193" s="68"/>
      <c r="IO193" s="68"/>
      <c r="IP193" s="68"/>
      <c r="IQ193" s="68"/>
      <c r="IR193" s="68"/>
      <c r="IS193" s="68"/>
      <c r="IT193" s="68"/>
      <c r="IU193" s="68"/>
      <c r="IV193" s="68"/>
      <c r="IW193" s="68"/>
      <c r="IX193" s="68"/>
      <c r="IY193" s="68"/>
    </row>
    <row r="194" spans="2:259" s="64" customFormat="1" hidden="1" x14ac:dyDescent="0.3"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7"/>
      <c r="BC194" s="67"/>
      <c r="BD194" s="67"/>
      <c r="BE194" s="67"/>
      <c r="BF194" s="67"/>
      <c r="BG194" s="67"/>
      <c r="BH194" s="67"/>
      <c r="BI194" s="67"/>
      <c r="BJ194" s="67"/>
      <c r="BK194" s="67"/>
      <c r="BL194" s="67"/>
      <c r="BM194" s="66"/>
      <c r="BN194" s="66"/>
      <c r="BO194" s="66"/>
      <c r="BP194" s="66"/>
      <c r="BQ194" s="66"/>
      <c r="BR194" s="66"/>
      <c r="BS194" s="66"/>
      <c r="BT194" s="66"/>
      <c r="BU194" s="66"/>
      <c r="BV194" s="66"/>
      <c r="BW194" s="66"/>
      <c r="BX194" s="66"/>
      <c r="BY194" s="66"/>
      <c r="BZ194" s="66"/>
      <c r="CA194" s="66"/>
      <c r="CB194" s="66"/>
      <c r="CC194" s="66"/>
      <c r="CD194" s="66"/>
      <c r="CE194" s="66"/>
      <c r="CF194" s="435"/>
      <c r="CG194" s="66"/>
      <c r="CH194" s="66"/>
      <c r="CI194" s="66"/>
      <c r="CJ194" s="66"/>
      <c r="CK194" s="66"/>
      <c r="CL194" s="66"/>
      <c r="CM194" s="66"/>
      <c r="CN194" s="66"/>
      <c r="CO194" s="66"/>
      <c r="CP194" s="66"/>
      <c r="CQ194" s="66"/>
      <c r="CR194" s="66"/>
      <c r="CS194" s="66"/>
      <c r="CT194" s="66"/>
      <c r="CU194" s="66"/>
      <c r="CV194" s="66"/>
      <c r="CW194" s="66"/>
      <c r="CX194" s="66"/>
      <c r="CY194" s="66"/>
      <c r="CZ194" s="66"/>
      <c r="DA194" s="66"/>
      <c r="DB194" s="66"/>
      <c r="DC194" s="66"/>
      <c r="DD194" s="66"/>
      <c r="DE194" s="66"/>
      <c r="DF194" s="66"/>
      <c r="DG194" s="66"/>
      <c r="DH194" s="66"/>
      <c r="DI194" s="66"/>
      <c r="DJ194" s="66"/>
      <c r="DK194" s="66"/>
      <c r="DL194" s="66"/>
      <c r="DM194" s="66"/>
      <c r="DN194" s="66"/>
      <c r="DO194" s="66"/>
      <c r="DP194" s="66"/>
      <c r="HB194" s="236"/>
      <c r="HC194" s="236"/>
      <c r="HD194" s="236"/>
      <c r="HE194" s="236"/>
      <c r="HF194" s="236"/>
      <c r="HG194" s="410"/>
      <c r="HH194" s="410"/>
      <c r="HI194" s="410"/>
      <c r="HJ194" s="410"/>
      <c r="HK194" s="410"/>
      <c r="HL194" s="410"/>
      <c r="HM194" s="236"/>
      <c r="HN194" s="236"/>
      <c r="HO194" s="236"/>
      <c r="HP194" s="236"/>
      <c r="HQ194" s="236"/>
      <c r="HR194" s="236"/>
      <c r="HS194" s="236"/>
      <c r="HT194" s="236"/>
      <c r="HU194" s="236"/>
      <c r="HV194" s="236"/>
      <c r="HW194" s="236"/>
      <c r="HX194" s="236"/>
      <c r="HY194" s="236"/>
      <c r="HZ194" s="236"/>
      <c r="IA194" s="236"/>
      <c r="IB194" s="236"/>
      <c r="IC194" s="68"/>
      <c r="ID194" s="68"/>
      <c r="IE194" s="68"/>
      <c r="IF194" s="68"/>
      <c r="IG194" s="68"/>
      <c r="IH194" s="68"/>
      <c r="II194" s="68"/>
      <c r="IJ194" s="68"/>
      <c r="IK194" s="68"/>
      <c r="IL194" s="68"/>
      <c r="IM194" s="68"/>
      <c r="IN194" s="68"/>
      <c r="IO194" s="68"/>
      <c r="IP194" s="68"/>
      <c r="IQ194" s="68"/>
      <c r="IR194" s="68"/>
      <c r="IS194" s="68"/>
      <c r="IT194" s="68"/>
      <c r="IU194" s="68"/>
      <c r="IV194" s="68"/>
      <c r="IW194" s="68"/>
      <c r="IX194" s="68"/>
      <c r="IY194" s="68"/>
    </row>
    <row r="195" spans="2:259" s="64" customFormat="1" hidden="1" x14ac:dyDescent="0.3"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7"/>
      <c r="BC195" s="67"/>
      <c r="BD195" s="67"/>
      <c r="BE195" s="67"/>
      <c r="BF195" s="67"/>
      <c r="BG195" s="67"/>
      <c r="BH195" s="67"/>
      <c r="BI195" s="67"/>
      <c r="BJ195" s="67"/>
      <c r="BK195" s="67"/>
      <c r="BL195" s="67"/>
      <c r="BM195" s="66"/>
      <c r="BN195" s="66"/>
      <c r="BO195" s="66"/>
      <c r="BP195" s="66"/>
      <c r="BQ195" s="66"/>
      <c r="BR195" s="66"/>
      <c r="BS195" s="66"/>
      <c r="BT195" s="66"/>
      <c r="BU195" s="66"/>
      <c r="BV195" s="66"/>
      <c r="BW195" s="66"/>
      <c r="BX195" s="66"/>
      <c r="BY195" s="66"/>
      <c r="BZ195" s="66"/>
      <c r="CA195" s="66"/>
      <c r="CB195" s="66"/>
      <c r="CC195" s="66"/>
      <c r="CD195" s="66"/>
      <c r="CE195" s="66"/>
      <c r="CF195" s="435"/>
      <c r="CG195" s="66"/>
      <c r="CH195" s="66"/>
      <c r="CI195" s="66"/>
      <c r="CJ195" s="66"/>
      <c r="CK195" s="66"/>
      <c r="CL195" s="66"/>
      <c r="CM195" s="66"/>
      <c r="CN195" s="66"/>
      <c r="CO195" s="66"/>
      <c r="CP195" s="66"/>
      <c r="CQ195" s="66"/>
      <c r="CR195" s="66"/>
      <c r="CS195" s="66"/>
      <c r="CT195" s="66"/>
      <c r="CU195" s="66"/>
      <c r="CV195" s="66"/>
      <c r="CW195" s="66"/>
      <c r="CX195" s="66"/>
      <c r="CY195" s="66"/>
      <c r="CZ195" s="66"/>
      <c r="DA195" s="66"/>
      <c r="DB195" s="66"/>
      <c r="DC195" s="66"/>
      <c r="DD195" s="66"/>
      <c r="DE195" s="66"/>
      <c r="DF195" s="66"/>
      <c r="DG195" s="66"/>
      <c r="DH195" s="66"/>
      <c r="DI195" s="66"/>
      <c r="DJ195" s="66"/>
      <c r="DK195" s="66"/>
      <c r="DL195" s="66"/>
      <c r="DM195" s="66"/>
      <c r="DN195" s="66"/>
      <c r="DO195" s="66"/>
      <c r="DP195" s="66"/>
      <c r="HB195" s="236"/>
      <c r="HC195" s="236"/>
      <c r="HD195" s="236"/>
      <c r="HE195" s="236"/>
      <c r="HF195" s="236"/>
      <c r="HG195" s="236"/>
      <c r="HH195" s="236"/>
      <c r="HI195" s="237"/>
      <c r="HJ195" s="237"/>
      <c r="HK195" s="237"/>
      <c r="HL195" s="237"/>
      <c r="HM195" s="237"/>
      <c r="HN195" s="237"/>
      <c r="HO195" s="237"/>
      <c r="HP195" s="237"/>
      <c r="HQ195" s="237"/>
      <c r="HR195" s="237"/>
      <c r="HS195" s="236"/>
      <c r="HT195" s="236"/>
      <c r="HU195" s="236"/>
      <c r="HV195" s="236"/>
      <c r="HW195" s="236"/>
      <c r="HX195" s="236"/>
      <c r="HY195" s="236"/>
      <c r="HZ195" s="236"/>
      <c r="IA195" s="236"/>
      <c r="IB195" s="236"/>
      <c r="IC195" s="68"/>
      <c r="ID195" s="68"/>
      <c r="IE195" s="68"/>
      <c r="IF195" s="68"/>
      <c r="IG195" s="68"/>
      <c r="IH195" s="68"/>
      <c r="II195" s="68"/>
      <c r="IJ195" s="68"/>
      <c r="IK195" s="68"/>
      <c r="IL195" s="68"/>
      <c r="IM195" s="68"/>
      <c r="IN195" s="68"/>
      <c r="IO195" s="68"/>
      <c r="IP195" s="68"/>
      <c r="IQ195" s="68"/>
      <c r="IR195" s="68"/>
      <c r="IS195" s="68"/>
      <c r="IT195" s="68"/>
      <c r="IU195" s="68"/>
      <c r="IV195" s="68"/>
      <c r="IW195" s="68"/>
      <c r="IX195" s="68"/>
      <c r="IY195" s="68"/>
    </row>
    <row r="196" spans="2:259" s="64" customFormat="1" hidden="1" x14ac:dyDescent="0.3"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  <c r="AV196" s="68"/>
      <c r="AW196" s="68"/>
      <c r="AX196" s="68"/>
      <c r="AY196" s="68"/>
      <c r="AZ196" s="68"/>
      <c r="BA196" s="68"/>
      <c r="BB196" s="67"/>
      <c r="BC196" s="67"/>
      <c r="BD196" s="67"/>
      <c r="BE196" s="67"/>
      <c r="BF196" s="67"/>
      <c r="BG196" s="67"/>
      <c r="BH196" s="67"/>
      <c r="BI196" s="67"/>
      <c r="BJ196" s="67"/>
      <c r="BK196" s="67"/>
      <c r="BL196" s="67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435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66"/>
      <c r="CT196" s="66"/>
      <c r="CU196" s="66"/>
      <c r="CV196" s="66"/>
      <c r="CW196" s="66"/>
      <c r="CX196" s="66"/>
      <c r="CY196" s="66"/>
      <c r="CZ196" s="66"/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/>
      <c r="DL196" s="66"/>
      <c r="DM196" s="66"/>
      <c r="DN196" s="66"/>
      <c r="DO196" s="66"/>
      <c r="DP196" s="66"/>
      <c r="HB196" s="236"/>
      <c r="HC196" s="236"/>
      <c r="HD196" s="236"/>
      <c r="HE196" s="236"/>
      <c r="HF196" s="236"/>
      <c r="HG196" s="236"/>
      <c r="HH196" s="236"/>
      <c r="HI196" s="238"/>
      <c r="HJ196" s="238"/>
      <c r="HK196" s="238"/>
      <c r="HL196" s="238"/>
      <c r="HM196" s="236"/>
      <c r="HN196" s="236"/>
      <c r="HO196" s="236"/>
      <c r="HP196" s="236"/>
      <c r="HQ196" s="236"/>
      <c r="HR196" s="236"/>
      <c r="HS196" s="236"/>
      <c r="HT196" s="236"/>
      <c r="HU196" s="236"/>
      <c r="HV196" s="236"/>
      <c r="HW196" s="236"/>
      <c r="HX196" s="236"/>
      <c r="HY196" s="236"/>
      <c r="HZ196" s="236"/>
      <c r="IA196" s="236"/>
      <c r="IB196" s="236"/>
      <c r="IC196" s="68"/>
      <c r="ID196" s="68"/>
      <c r="IE196" s="149"/>
      <c r="IF196" s="149"/>
      <c r="IG196" s="150"/>
      <c r="IH196" s="150"/>
      <c r="II196" s="149"/>
      <c r="IJ196" s="149"/>
      <c r="IK196" s="149"/>
      <c r="IL196" s="149"/>
      <c r="IM196" s="149"/>
      <c r="IN196" s="149"/>
      <c r="IO196" s="149"/>
      <c r="IP196" s="149"/>
      <c r="IQ196" s="149"/>
      <c r="IR196" s="149"/>
      <c r="IS196" s="149"/>
      <c r="IT196" s="149"/>
      <c r="IU196" s="149"/>
      <c r="IV196" s="149"/>
      <c r="IW196" s="149"/>
      <c r="IX196" s="149"/>
      <c r="IY196" s="149"/>
    </row>
    <row r="197" spans="2:259" s="64" customFormat="1" hidden="1" x14ac:dyDescent="0.3"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7"/>
      <c r="BC197" s="67"/>
      <c r="BD197" s="67"/>
      <c r="BE197" s="67"/>
      <c r="BF197" s="67"/>
      <c r="BG197" s="67"/>
      <c r="BH197" s="67"/>
      <c r="BI197" s="67"/>
      <c r="BJ197" s="67"/>
      <c r="BK197" s="67"/>
      <c r="BL197" s="67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6"/>
      <c r="CF197" s="435"/>
      <c r="CG197" s="66"/>
      <c r="CH197" s="66"/>
      <c r="CI197" s="66"/>
      <c r="CJ197" s="66"/>
      <c r="CK197" s="66"/>
      <c r="CL197" s="66"/>
      <c r="CM197" s="66"/>
      <c r="CN197" s="66"/>
      <c r="CO197" s="66"/>
      <c r="CP197" s="66"/>
      <c r="CQ197" s="66"/>
      <c r="CR197" s="66"/>
      <c r="CS197" s="66"/>
      <c r="CT197" s="66"/>
      <c r="CU197" s="66"/>
      <c r="CV197" s="66"/>
      <c r="CW197" s="66"/>
      <c r="CX197" s="66"/>
      <c r="CY197" s="66"/>
      <c r="CZ197" s="66"/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/>
      <c r="DL197" s="66"/>
      <c r="DM197" s="66"/>
      <c r="DN197" s="66"/>
      <c r="DO197" s="66"/>
      <c r="DP197" s="66"/>
      <c r="HB197" s="236"/>
      <c r="HC197" s="236"/>
      <c r="HD197" s="236"/>
      <c r="HE197" s="236"/>
      <c r="HF197" s="236"/>
      <c r="HG197" s="236"/>
      <c r="HH197" s="236"/>
      <c r="HI197" s="237"/>
      <c r="HJ197" s="237"/>
      <c r="HK197" s="237"/>
      <c r="HL197" s="237"/>
      <c r="HM197" s="237"/>
      <c r="HN197" s="237"/>
      <c r="HO197" s="237"/>
      <c r="HP197" s="237"/>
      <c r="HQ197" s="237"/>
      <c r="HR197" s="237"/>
      <c r="HS197" s="236"/>
      <c r="HT197" s="236"/>
      <c r="HU197" s="236"/>
      <c r="HV197" s="236"/>
      <c r="HW197" s="236"/>
      <c r="HX197" s="236"/>
      <c r="HY197" s="236"/>
      <c r="HZ197" s="236"/>
      <c r="IA197" s="236"/>
      <c r="IB197" s="236"/>
      <c r="IC197" s="68"/>
      <c r="ID197" s="68"/>
      <c r="IE197" s="148"/>
      <c r="IF197" s="148"/>
      <c r="IG197" s="151"/>
      <c r="IH197" s="151"/>
      <c r="II197" s="68"/>
      <c r="IJ197" s="68"/>
      <c r="IK197" s="68"/>
      <c r="IL197" s="68"/>
      <c r="IM197" s="68"/>
      <c r="IN197" s="68"/>
      <c r="IO197" s="68"/>
      <c r="IP197" s="68"/>
      <c r="IQ197" s="68"/>
      <c r="IR197" s="68"/>
      <c r="IS197" s="68"/>
      <c r="IT197" s="68"/>
      <c r="IU197" s="68"/>
      <c r="IV197" s="68"/>
      <c r="IW197" s="68"/>
      <c r="IX197" s="68"/>
      <c r="IY197" s="68"/>
    </row>
    <row r="198" spans="2:259" s="64" customFormat="1" hidden="1" x14ac:dyDescent="0.3"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7"/>
      <c r="BC198" s="67"/>
      <c r="BD198" s="67"/>
      <c r="BE198" s="67"/>
      <c r="BF198" s="67"/>
      <c r="BG198" s="67"/>
      <c r="BH198" s="67"/>
      <c r="BI198" s="67"/>
      <c r="BJ198" s="67"/>
      <c r="BK198" s="67"/>
      <c r="BL198" s="67"/>
      <c r="BM198" s="66"/>
      <c r="BN198" s="66"/>
      <c r="BO198" s="66"/>
      <c r="BP198" s="66"/>
      <c r="BQ198" s="66"/>
      <c r="BR198" s="66"/>
      <c r="BS198" s="66"/>
      <c r="BT198" s="66"/>
      <c r="BU198" s="66"/>
      <c r="BV198" s="66"/>
      <c r="BW198" s="66"/>
      <c r="BX198" s="66"/>
      <c r="BY198" s="66"/>
      <c r="BZ198" s="66"/>
      <c r="CA198" s="66"/>
      <c r="CB198" s="66"/>
      <c r="CC198" s="66"/>
      <c r="CD198" s="66"/>
      <c r="CE198" s="66"/>
      <c r="CF198" s="435"/>
      <c r="CG198" s="66"/>
      <c r="CH198" s="66"/>
      <c r="CI198" s="66"/>
      <c r="CJ198" s="66"/>
      <c r="CK198" s="66"/>
      <c r="CL198" s="66"/>
      <c r="CM198" s="66"/>
      <c r="CN198" s="66"/>
      <c r="CO198" s="66"/>
      <c r="CP198" s="66"/>
      <c r="CQ198" s="66"/>
      <c r="CR198" s="66"/>
      <c r="CS198" s="66"/>
      <c r="CT198" s="66"/>
      <c r="CU198" s="66"/>
      <c r="CV198" s="66"/>
      <c r="CW198" s="66"/>
      <c r="CX198" s="66"/>
      <c r="CY198" s="66"/>
      <c r="CZ198" s="66"/>
      <c r="DA198" s="66"/>
      <c r="DB198" s="66"/>
      <c r="DC198" s="66"/>
      <c r="DD198" s="66"/>
      <c r="DE198" s="66"/>
      <c r="DF198" s="66"/>
      <c r="DG198" s="66"/>
      <c r="DH198" s="66"/>
      <c r="DI198" s="66"/>
      <c r="DJ198" s="66"/>
      <c r="DK198" s="66"/>
      <c r="DL198" s="66"/>
      <c r="DM198" s="66"/>
      <c r="DN198" s="66"/>
      <c r="DO198" s="66"/>
      <c r="DP198" s="66"/>
      <c r="HB198" s="236"/>
      <c r="HC198" s="236"/>
      <c r="HD198" s="236"/>
      <c r="HE198" s="236"/>
      <c r="HF198" s="236"/>
      <c r="HG198" s="236"/>
      <c r="HH198" s="236"/>
      <c r="HI198" s="238"/>
      <c r="HJ198" s="238"/>
      <c r="HK198" s="238"/>
      <c r="HL198" s="238"/>
      <c r="HM198" s="236"/>
      <c r="HN198" s="236"/>
      <c r="HO198" s="236"/>
      <c r="HP198" s="236"/>
      <c r="HQ198" s="236"/>
      <c r="HR198" s="236"/>
      <c r="HS198" s="236"/>
      <c r="HT198" s="236"/>
      <c r="HU198" s="236"/>
      <c r="HV198" s="236"/>
      <c r="HW198" s="236"/>
      <c r="HX198" s="236"/>
      <c r="HY198" s="236"/>
      <c r="HZ198" s="236"/>
      <c r="IA198" s="236"/>
      <c r="IB198" s="236"/>
      <c r="IC198" s="68"/>
      <c r="ID198" s="68"/>
      <c r="IE198" s="149"/>
      <c r="IF198" s="149"/>
      <c r="IG198" s="150"/>
      <c r="IH198" s="150"/>
      <c r="II198" s="68"/>
      <c r="IJ198" s="68"/>
      <c r="IK198" s="68"/>
      <c r="IL198" s="68"/>
      <c r="IM198" s="68"/>
      <c r="IN198" s="68"/>
      <c r="IO198" s="68"/>
      <c r="IP198" s="68"/>
      <c r="IQ198" s="68"/>
      <c r="IR198" s="68"/>
      <c r="IS198" s="68"/>
      <c r="IT198" s="68"/>
      <c r="IU198" s="68"/>
      <c r="IV198" s="68"/>
      <c r="IW198" s="68"/>
      <c r="IX198" s="68"/>
      <c r="IY198" s="68"/>
    </row>
    <row r="199" spans="2:259" s="64" customFormat="1" hidden="1" x14ac:dyDescent="0.3"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7"/>
      <c r="BC199" s="67"/>
      <c r="BD199" s="67"/>
      <c r="BE199" s="67"/>
      <c r="BF199" s="67"/>
      <c r="BG199" s="67"/>
      <c r="BH199" s="67"/>
      <c r="BI199" s="67"/>
      <c r="BJ199" s="67"/>
      <c r="BK199" s="67"/>
      <c r="BL199" s="67"/>
      <c r="BM199" s="66"/>
      <c r="BN199" s="66"/>
      <c r="BO199" s="66"/>
      <c r="BP199" s="66"/>
      <c r="BQ199" s="66"/>
      <c r="BR199" s="66"/>
      <c r="BS199" s="66"/>
      <c r="BT199" s="66"/>
      <c r="BU199" s="66"/>
      <c r="BV199" s="66"/>
      <c r="BW199" s="66"/>
      <c r="BX199" s="66"/>
      <c r="BY199" s="66"/>
      <c r="BZ199" s="66"/>
      <c r="CA199" s="66"/>
      <c r="CB199" s="66"/>
      <c r="CC199" s="66"/>
      <c r="CD199" s="66"/>
      <c r="CE199" s="66"/>
      <c r="CF199" s="435"/>
      <c r="CG199" s="66"/>
      <c r="CH199" s="66"/>
      <c r="CI199" s="66"/>
      <c r="CJ199" s="66"/>
      <c r="CK199" s="66"/>
      <c r="CL199" s="66"/>
      <c r="CM199" s="66"/>
      <c r="CN199" s="66"/>
      <c r="CO199" s="66"/>
      <c r="CP199" s="66"/>
      <c r="CQ199" s="66"/>
      <c r="CR199" s="66"/>
      <c r="CS199" s="66"/>
      <c r="CT199" s="66"/>
      <c r="CU199" s="66"/>
      <c r="CV199" s="66"/>
      <c r="CW199" s="66"/>
      <c r="CX199" s="66"/>
      <c r="CY199" s="66"/>
      <c r="CZ199" s="66"/>
      <c r="DA199" s="66"/>
      <c r="DB199" s="66"/>
      <c r="DC199" s="66"/>
      <c r="DD199" s="66"/>
      <c r="DE199" s="66"/>
      <c r="DF199" s="66"/>
      <c r="DG199" s="66"/>
      <c r="DH199" s="66"/>
      <c r="DI199" s="66"/>
      <c r="DJ199" s="66"/>
      <c r="DK199" s="66"/>
      <c r="DL199" s="66"/>
      <c r="DM199" s="66"/>
      <c r="DN199" s="66"/>
      <c r="DO199" s="66"/>
      <c r="DP199" s="66"/>
      <c r="HB199" s="236"/>
      <c r="HC199" s="236"/>
      <c r="HD199" s="236"/>
      <c r="HE199" s="236"/>
      <c r="HF199" s="236"/>
      <c r="HG199" s="236"/>
      <c r="HH199" s="236"/>
      <c r="HI199" s="237"/>
      <c r="HJ199" s="237"/>
      <c r="HK199" s="237"/>
      <c r="HL199" s="237"/>
      <c r="HM199" s="237"/>
      <c r="HN199" s="237"/>
      <c r="HO199" s="237"/>
      <c r="HP199" s="237"/>
      <c r="HQ199" s="236"/>
      <c r="HR199" s="236"/>
      <c r="HS199" s="236"/>
      <c r="HT199" s="236"/>
      <c r="HU199" s="236"/>
      <c r="HV199" s="236"/>
      <c r="HW199" s="236"/>
      <c r="HX199" s="236"/>
      <c r="HY199" s="236"/>
      <c r="HZ199" s="236"/>
      <c r="IA199" s="236"/>
      <c r="IB199" s="236"/>
      <c r="IC199" s="68"/>
      <c r="ID199" s="68"/>
      <c r="IE199" s="148"/>
      <c r="IF199" s="148"/>
      <c r="IG199" s="151"/>
      <c r="IH199" s="151"/>
      <c r="II199" s="68"/>
      <c r="IJ199" s="68"/>
      <c r="IK199" s="68"/>
      <c r="IL199" s="68"/>
      <c r="IM199" s="68"/>
      <c r="IN199" s="68"/>
      <c r="IO199" s="68"/>
      <c r="IP199" s="68"/>
      <c r="IQ199" s="68"/>
      <c r="IR199" s="68"/>
      <c r="IS199" s="68"/>
      <c r="IT199" s="68"/>
      <c r="IU199" s="68"/>
      <c r="IV199" s="68"/>
      <c r="IW199" s="68"/>
      <c r="IX199" s="68"/>
      <c r="IY199" s="68"/>
    </row>
    <row r="200" spans="2:259" s="64" customFormat="1" hidden="1" x14ac:dyDescent="0.3"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7"/>
      <c r="BC200" s="67"/>
      <c r="BD200" s="67"/>
      <c r="BE200" s="67"/>
      <c r="BF200" s="67"/>
      <c r="BG200" s="67"/>
      <c r="BH200" s="67"/>
      <c r="BI200" s="67"/>
      <c r="BJ200" s="67"/>
      <c r="BK200" s="67"/>
      <c r="BL200" s="67"/>
      <c r="BM200" s="66"/>
      <c r="BN200" s="66"/>
      <c r="BO200" s="66"/>
      <c r="BP200" s="66"/>
      <c r="BQ200" s="66"/>
      <c r="BR200" s="66"/>
      <c r="BS200" s="66"/>
      <c r="BT200" s="66"/>
      <c r="BU200" s="66"/>
      <c r="BV200" s="66"/>
      <c r="BW200" s="66"/>
      <c r="BX200" s="66"/>
      <c r="BY200" s="66"/>
      <c r="BZ200" s="66"/>
      <c r="CA200" s="66"/>
      <c r="CB200" s="66"/>
      <c r="CC200" s="66"/>
      <c r="CD200" s="66"/>
      <c r="CE200" s="66"/>
      <c r="CF200" s="435"/>
      <c r="CG200" s="66"/>
      <c r="CH200" s="66"/>
      <c r="CI200" s="66"/>
      <c r="CJ200" s="66"/>
      <c r="CK200" s="66"/>
      <c r="CL200" s="66"/>
      <c r="CM200" s="66"/>
      <c r="CN200" s="66"/>
      <c r="CO200" s="66"/>
      <c r="CP200" s="66"/>
      <c r="CQ200" s="66"/>
      <c r="CR200" s="66"/>
      <c r="CS200" s="66"/>
      <c r="CT200" s="66"/>
      <c r="CU200" s="66"/>
      <c r="CV200" s="66"/>
      <c r="CW200" s="66"/>
      <c r="CX200" s="66"/>
      <c r="CY200" s="66"/>
      <c r="CZ200" s="66"/>
      <c r="DA200" s="66"/>
      <c r="DB200" s="66"/>
      <c r="DC200" s="66"/>
      <c r="DD200" s="66"/>
      <c r="DE200" s="66"/>
      <c r="DF200" s="66"/>
      <c r="DG200" s="66"/>
      <c r="DH200" s="66"/>
      <c r="DI200" s="66"/>
      <c r="DJ200" s="66"/>
      <c r="DK200" s="66"/>
      <c r="DL200" s="66"/>
      <c r="DM200" s="66"/>
      <c r="DN200" s="66"/>
      <c r="DO200" s="66"/>
      <c r="DP200" s="66"/>
      <c r="HB200" s="236"/>
      <c r="HC200" s="236"/>
      <c r="HD200" s="236"/>
      <c r="HE200" s="236"/>
      <c r="HF200" s="236"/>
      <c r="HG200" s="236"/>
      <c r="HH200" s="236"/>
      <c r="HI200" s="238"/>
      <c r="HJ200" s="238"/>
      <c r="HK200" s="238"/>
      <c r="HL200" s="238"/>
      <c r="HM200" s="238"/>
      <c r="HN200" s="236"/>
      <c r="HO200" s="157"/>
      <c r="HP200" s="157"/>
      <c r="HQ200" s="157"/>
      <c r="HR200" s="157"/>
      <c r="HS200" s="157"/>
      <c r="HT200" s="157"/>
      <c r="HU200" s="157"/>
      <c r="HV200" s="157"/>
      <c r="HW200" s="157"/>
      <c r="HX200" s="157"/>
      <c r="HY200" s="158"/>
      <c r="HZ200" s="236"/>
      <c r="IA200" s="236"/>
      <c r="IB200" s="236"/>
      <c r="IC200" s="68"/>
      <c r="ID200" s="68"/>
      <c r="IE200" s="68"/>
      <c r="IF200" s="68"/>
      <c r="IG200" s="68"/>
      <c r="IH200" s="68"/>
      <c r="II200" s="68"/>
      <c r="IJ200" s="68"/>
      <c r="IK200" s="68"/>
      <c r="IL200" s="68"/>
      <c r="IM200" s="68"/>
      <c r="IN200" s="68"/>
      <c r="IO200" s="68"/>
      <c r="IP200" s="68"/>
      <c r="IQ200" s="68"/>
      <c r="IR200" s="68"/>
      <c r="IS200" s="68"/>
      <c r="IT200" s="68"/>
      <c r="IU200" s="68"/>
      <c r="IV200" s="68"/>
      <c r="IW200" s="68"/>
      <c r="IX200" s="68"/>
      <c r="IY200" s="68"/>
    </row>
    <row r="201" spans="2:259" s="64" customFormat="1" hidden="1" x14ac:dyDescent="0.3"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  <c r="AV201" s="68"/>
      <c r="AW201" s="68"/>
      <c r="AX201" s="68"/>
      <c r="AY201" s="68"/>
      <c r="AZ201" s="68"/>
      <c r="BA201" s="68"/>
      <c r="BB201" s="67"/>
      <c r="BC201" s="67"/>
      <c r="BD201" s="67"/>
      <c r="BE201" s="67"/>
      <c r="BF201" s="67"/>
      <c r="BG201" s="67"/>
      <c r="BH201" s="67"/>
      <c r="BI201" s="67"/>
      <c r="BJ201" s="67"/>
      <c r="BK201" s="67"/>
      <c r="BL201" s="67"/>
      <c r="BM201" s="66"/>
      <c r="BN201" s="66"/>
      <c r="BO201" s="66"/>
      <c r="BP201" s="66"/>
      <c r="BQ201" s="66"/>
      <c r="BR201" s="66"/>
      <c r="BS201" s="66"/>
      <c r="BT201" s="66"/>
      <c r="BU201" s="66"/>
      <c r="BV201" s="66"/>
      <c r="BW201" s="66"/>
      <c r="BX201" s="66"/>
      <c r="BY201" s="66"/>
      <c r="BZ201" s="66"/>
      <c r="CA201" s="66"/>
      <c r="CB201" s="66"/>
      <c r="CC201" s="66"/>
      <c r="CD201" s="66"/>
      <c r="CE201" s="66"/>
      <c r="CF201" s="435"/>
      <c r="CG201" s="66"/>
      <c r="CH201" s="66"/>
      <c r="CI201" s="66"/>
      <c r="CJ201" s="66"/>
      <c r="CK201" s="66"/>
      <c r="CL201" s="66"/>
      <c r="CM201" s="66"/>
      <c r="CN201" s="66"/>
      <c r="CO201" s="66"/>
      <c r="CP201" s="66"/>
      <c r="CQ201" s="66"/>
      <c r="CR201" s="66"/>
      <c r="CS201" s="66"/>
      <c r="CT201" s="66"/>
      <c r="CU201" s="66"/>
      <c r="CV201" s="66"/>
      <c r="CW201" s="66"/>
      <c r="CX201" s="66"/>
      <c r="CY201" s="66"/>
      <c r="CZ201" s="66"/>
      <c r="DA201" s="66"/>
      <c r="DB201" s="66"/>
      <c r="DC201" s="66"/>
      <c r="DD201" s="66"/>
      <c r="DE201" s="66"/>
      <c r="DF201" s="66"/>
      <c r="DG201" s="66"/>
      <c r="DH201" s="66"/>
      <c r="DI201" s="66"/>
      <c r="DJ201" s="66"/>
      <c r="DK201" s="66"/>
      <c r="DL201" s="66"/>
      <c r="DM201" s="66"/>
      <c r="DN201" s="66"/>
      <c r="DO201" s="66"/>
      <c r="DP201" s="66"/>
      <c r="HB201" s="236"/>
      <c r="HC201" s="236"/>
      <c r="HD201" s="236"/>
      <c r="HE201" s="236"/>
      <c r="HF201" s="236"/>
      <c r="HG201" s="236"/>
      <c r="HH201" s="236"/>
      <c r="HI201" s="238"/>
      <c r="HJ201" s="238"/>
      <c r="HK201" s="238"/>
      <c r="HL201" s="238"/>
      <c r="HM201" s="236"/>
      <c r="HN201" s="157"/>
      <c r="HO201" s="157"/>
      <c r="HP201" s="157"/>
      <c r="HQ201" s="157"/>
      <c r="HR201" s="157"/>
      <c r="HS201" s="157"/>
      <c r="HT201" s="157"/>
      <c r="HU201" s="157"/>
      <c r="HV201" s="157"/>
      <c r="HW201" s="157"/>
      <c r="HX201" s="157"/>
      <c r="HY201" s="158"/>
      <c r="HZ201" s="236"/>
      <c r="IA201" s="236"/>
      <c r="IB201" s="236"/>
      <c r="IC201" s="68"/>
      <c r="ID201" s="68"/>
      <c r="IE201" s="68"/>
      <c r="IF201" s="68"/>
      <c r="IG201" s="68"/>
      <c r="IH201" s="68"/>
      <c r="II201" s="68"/>
      <c r="IJ201" s="68"/>
      <c r="IK201" s="68"/>
      <c r="IL201" s="68"/>
      <c r="IM201" s="68"/>
      <c r="IN201" s="68"/>
      <c r="IO201" s="68"/>
      <c r="IP201" s="68"/>
      <c r="IQ201" s="68"/>
      <c r="IR201" s="68"/>
      <c r="IS201" s="68"/>
      <c r="IT201" s="68"/>
      <c r="IU201" s="68"/>
      <c r="IV201" s="68"/>
      <c r="IW201" s="68"/>
      <c r="IX201" s="68"/>
      <c r="IY201" s="68"/>
    </row>
    <row r="202" spans="2:259" s="64" customFormat="1" hidden="1" x14ac:dyDescent="0.3"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  <c r="AV202" s="68"/>
      <c r="AW202" s="68"/>
      <c r="AX202" s="68"/>
      <c r="AY202" s="68"/>
      <c r="AZ202" s="68"/>
      <c r="BA202" s="68"/>
      <c r="BB202" s="67"/>
      <c r="BC202" s="67"/>
      <c r="BD202" s="67"/>
      <c r="BE202" s="67"/>
      <c r="BF202" s="67"/>
      <c r="BG202" s="67"/>
      <c r="BH202" s="67"/>
      <c r="BI202" s="67"/>
      <c r="BJ202" s="67"/>
      <c r="BK202" s="67"/>
      <c r="BL202" s="67"/>
      <c r="BM202" s="66"/>
      <c r="BN202" s="66"/>
      <c r="BO202" s="66"/>
      <c r="BP202" s="66"/>
      <c r="BQ202" s="66"/>
      <c r="BR202" s="66"/>
      <c r="BS202" s="66"/>
      <c r="BT202" s="66"/>
      <c r="BU202" s="66"/>
      <c r="BV202" s="66"/>
      <c r="BW202" s="66"/>
      <c r="BX202" s="66"/>
      <c r="BY202" s="66"/>
      <c r="BZ202" s="66"/>
      <c r="CA202" s="66"/>
      <c r="CB202" s="66"/>
      <c r="CC202" s="66"/>
      <c r="CD202" s="66"/>
      <c r="CE202" s="66"/>
      <c r="CF202" s="435"/>
      <c r="CG202" s="66"/>
      <c r="CH202" s="66"/>
      <c r="CI202" s="66"/>
      <c r="CJ202" s="66"/>
      <c r="CK202" s="66"/>
      <c r="CL202" s="66"/>
      <c r="CM202" s="66"/>
      <c r="CN202" s="66"/>
      <c r="CO202" s="66"/>
      <c r="CP202" s="66"/>
      <c r="CQ202" s="66"/>
      <c r="CR202" s="66"/>
      <c r="CS202" s="66"/>
      <c r="CT202" s="66"/>
      <c r="CU202" s="66"/>
      <c r="CV202" s="66"/>
      <c r="CW202" s="66"/>
      <c r="CX202" s="66"/>
      <c r="CY202" s="66"/>
      <c r="CZ202" s="66"/>
      <c r="DA202" s="66"/>
      <c r="DB202" s="66"/>
      <c r="DC202" s="66"/>
      <c r="DD202" s="66"/>
      <c r="DE202" s="66"/>
      <c r="DF202" s="66"/>
      <c r="DG202" s="66"/>
      <c r="DH202" s="66"/>
      <c r="DI202" s="66"/>
      <c r="DJ202" s="66"/>
      <c r="DK202" s="66"/>
      <c r="DL202" s="66"/>
      <c r="DM202" s="66"/>
      <c r="DN202" s="66"/>
      <c r="DO202" s="66"/>
      <c r="DP202" s="66"/>
      <c r="HB202" s="236"/>
      <c r="HC202" s="236"/>
      <c r="HD202" s="236"/>
      <c r="HE202" s="236"/>
      <c r="HF202" s="236"/>
      <c r="HG202" s="236"/>
      <c r="HH202" s="236"/>
      <c r="HI202" s="237"/>
      <c r="HJ202" s="237"/>
      <c r="HK202" s="237"/>
      <c r="HL202" s="237"/>
      <c r="HM202" s="236"/>
      <c r="HN202" s="236"/>
      <c r="HO202" s="236"/>
      <c r="HP202" s="236"/>
      <c r="HQ202" s="236"/>
      <c r="HR202" s="236"/>
      <c r="HS202" s="236"/>
      <c r="HT202" s="236"/>
      <c r="HU202" s="236"/>
      <c r="HV202" s="236"/>
      <c r="HW202" s="236"/>
      <c r="HX202" s="236"/>
      <c r="HY202" s="236"/>
      <c r="HZ202" s="236"/>
      <c r="IA202" s="236"/>
      <c r="IB202" s="236"/>
      <c r="IC202" s="68"/>
      <c r="ID202" s="68"/>
      <c r="IE202" s="68"/>
      <c r="IF202" s="68"/>
      <c r="IG202" s="68"/>
      <c r="IH202" s="68"/>
      <c r="II202" s="68"/>
      <c r="IJ202" s="68"/>
      <c r="IK202" s="68"/>
      <c r="IL202" s="68"/>
      <c r="IM202" s="68"/>
      <c r="IN202" s="68"/>
      <c r="IO202" s="68"/>
      <c r="IP202" s="68"/>
      <c r="IQ202" s="68"/>
      <c r="IR202" s="68"/>
      <c r="IS202" s="68"/>
      <c r="IT202" s="68"/>
      <c r="IU202" s="68"/>
      <c r="IV202" s="68"/>
      <c r="IW202" s="68"/>
      <c r="IX202" s="68"/>
      <c r="IY202" s="68"/>
    </row>
    <row r="203" spans="2:259" s="64" customFormat="1" hidden="1" x14ac:dyDescent="0.3"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  <c r="AV203" s="68"/>
      <c r="AW203" s="68"/>
      <c r="AX203" s="68"/>
      <c r="AY203" s="68"/>
      <c r="AZ203" s="68"/>
      <c r="BA203" s="68"/>
      <c r="BB203" s="67"/>
      <c r="BC203" s="67"/>
      <c r="BD203" s="67"/>
      <c r="BE203" s="67"/>
      <c r="BF203" s="67"/>
      <c r="BG203" s="67"/>
      <c r="BH203" s="67"/>
      <c r="BI203" s="67"/>
      <c r="BJ203" s="67"/>
      <c r="BK203" s="67"/>
      <c r="BL203" s="67"/>
      <c r="BM203" s="66"/>
      <c r="BN203" s="66"/>
      <c r="BO203" s="66"/>
      <c r="BP203" s="66"/>
      <c r="BQ203" s="66"/>
      <c r="BR203" s="66"/>
      <c r="BS203" s="66"/>
      <c r="BT203" s="66"/>
      <c r="BU203" s="66"/>
      <c r="BV203" s="66"/>
      <c r="BW203" s="66"/>
      <c r="BX203" s="66"/>
      <c r="BY203" s="66"/>
      <c r="BZ203" s="66"/>
      <c r="CA203" s="66"/>
      <c r="CB203" s="66"/>
      <c r="CC203" s="66"/>
      <c r="CD203" s="66"/>
      <c r="CE203" s="66"/>
      <c r="CF203" s="435"/>
      <c r="CG203" s="66"/>
      <c r="CH203" s="66"/>
      <c r="CI203" s="66"/>
      <c r="CJ203" s="66"/>
      <c r="CK203" s="66"/>
      <c r="CL203" s="66"/>
      <c r="CM203" s="66"/>
      <c r="CN203" s="66"/>
      <c r="CO203" s="66"/>
      <c r="CP203" s="66"/>
      <c r="CQ203" s="66"/>
      <c r="CR203" s="66"/>
      <c r="CS203" s="66"/>
      <c r="CT203" s="66"/>
      <c r="CU203" s="66"/>
      <c r="CV203" s="66"/>
      <c r="CW203" s="66"/>
      <c r="CX203" s="66"/>
      <c r="CY203" s="66"/>
      <c r="CZ203" s="66"/>
      <c r="DA203" s="66"/>
      <c r="DB203" s="66"/>
      <c r="DC203" s="66"/>
      <c r="DD203" s="66"/>
      <c r="DE203" s="66"/>
      <c r="DF203" s="66"/>
      <c r="DG203" s="66"/>
      <c r="DH203" s="66"/>
      <c r="DI203" s="66"/>
      <c r="DJ203" s="66"/>
      <c r="DK203" s="66"/>
      <c r="DL203" s="66"/>
      <c r="DM203" s="66"/>
      <c r="DN203" s="66"/>
      <c r="DO203" s="66"/>
      <c r="DP203" s="66"/>
      <c r="HB203" s="236"/>
      <c r="HC203" s="236"/>
      <c r="HD203" s="236"/>
      <c r="HE203" s="236"/>
      <c r="HF203" s="236"/>
      <c r="HG203" s="236"/>
      <c r="HH203" s="236"/>
      <c r="HI203" s="237"/>
      <c r="HJ203" s="237"/>
      <c r="HK203" s="237"/>
      <c r="HL203" s="237"/>
      <c r="HM203" s="236"/>
      <c r="HN203" s="236"/>
      <c r="HO203" s="236"/>
      <c r="HP203" s="236"/>
      <c r="HQ203" s="236"/>
      <c r="HR203" s="236"/>
      <c r="HS203" s="236"/>
      <c r="HT203" s="236"/>
      <c r="HU203" s="236"/>
      <c r="HV203" s="236"/>
      <c r="HW203" s="236"/>
      <c r="HX203" s="236"/>
      <c r="HY203" s="236"/>
      <c r="HZ203" s="236"/>
      <c r="IA203" s="236"/>
      <c r="IB203" s="236"/>
      <c r="IC203" s="68"/>
      <c r="ID203" s="68"/>
      <c r="IE203" s="68"/>
      <c r="IF203" s="68"/>
      <c r="IG203" s="68"/>
      <c r="IH203" s="68"/>
      <c r="II203" s="68"/>
      <c r="IJ203" s="68"/>
      <c r="IK203" s="68"/>
      <c r="IL203" s="68"/>
      <c r="IM203" s="68"/>
      <c r="IN203" s="68"/>
      <c r="IO203" s="68"/>
      <c r="IP203" s="68"/>
      <c r="IQ203" s="68"/>
      <c r="IR203" s="68"/>
      <c r="IS203" s="68"/>
      <c r="IT203" s="68"/>
      <c r="IU203" s="68"/>
      <c r="IV203" s="68"/>
      <c r="IW203" s="68"/>
      <c r="IX203" s="68"/>
      <c r="IY203" s="68"/>
    </row>
    <row r="204" spans="2:259" s="64" customFormat="1" hidden="1" x14ac:dyDescent="0.3"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  <c r="AV204" s="68"/>
      <c r="AW204" s="68"/>
      <c r="AX204" s="68"/>
      <c r="AY204" s="68"/>
      <c r="AZ204" s="68"/>
      <c r="BA204" s="68"/>
      <c r="BB204" s="67"/>
      <c r="BC204" s="67"/>
      <c r="BD204" s="67"/>
      <c r="BE204" s="67"/>
      <c r="BF204" s="67"/>
      <c r="BG204" s="67"/>
      <c r="BH204" s="67"/>
      <c r="BI204" s="67"/>
      <c r="BJ204" s="67"/>
      <c r="BK204" s="67"/>
      <c r="BL204" s="67"/>
      <c r="BM204" s="66"/>
      <c r="BN204" s="66"/>
      <c r="BO204" s="66"/>
      <c r="BP204" s="66"/>
      <c r="BQ204" s="66"/>
      <c r="BR204" s="66"/>
      <c r="BS204" s="66"/>
      <c r="BT204" s="66"/>
      <c r="BU204" s="66"/>
      <c r="BV204" s="66"/>
      <c r="BW204" s="66"/>
      <c r="BX204" s="66"/>
      <c r="BY204" s="66"/>
      <c r="BZ204" s="66"/>
      <c r="CA204" s="66"/>
      <c r="CB204" s="66"/>
      <c r="CC204" s="66"/>
      <c r="CD204" s="66"/>
      <c r="CE204" s="66"/>
      <c r="CF204" s="435"/>
      <c r="CG204" s="66"/>
      <c r="CH204" s="66"/>
      <c r="CI204" s="66"/>
      <c r="CJ204" s="66"/>
      <c r="CK204" s="66"/>
      <c r="CL204" s="66"/>
      <c r="CM204" s="66"/>
      <c r="CN204" s="66"/>
      <c r="CO204" s="66"/>
      <c r="CP204" s="66"/>
      <c r="CQ204" s="66"/>
      <c r="CR204" s="66"/>
      <c r="CS204" s="66"/>
      <c r="CT204" s="66"/>
      <c r="CU204" s="66"/>
      <c r="CV204" s="66"/>
      <c r="CW204" s="66"/>
      <c r="CX204" s="66"/>
      <c r="CY204" s="66"/>
      <c r="CZ204" s="66"/>
      <c r="DA204" s="66"/>
      <c r="DB204" s="66"/>
      <c r="DC204" s="66"/>
      <c r="DD204" s="66"/>
      <c r="DE204" s="66"/>
      <c r="DF204" s="66"/>
      <c r="DG204" s="66"/>
      <c r="DH204" s="66"/>
      <c r="DI204" s="66"/>
      <c r="DJ204" s="66"/>
      <c r="DK204" s="66"/>
      <c r="DL204" s="66"/>
      <c r="DM204" s="66"/>
      <c r="DN204" s="66"/>
      <c r="DO204" s="66"/>
      <c r="DP204" s="66"/>
      <c r="HB204" s="236"/>
      <c r="HC204" s="236"/>
      <c r="HD204" s="236"/>
      <c r="HE204" s="236"/>
      <c r="HF204" s="236"/>
      <c r="HG204" s="236"/>
      <c r="HH204" s="236"/>
      <c r="HI204" s="238"/>
      <c r="HJ204" s="238"/>
      <c r="HK204" s="238"/>
      <c r="HL204" s="238"/>
      <c r="HM204" s="236"/>
      <c r="HN204" s="236"/>
      <c r="HO204" s="236"/>
      <c r="HP204" s="236"/>
      <c r="HQ204" s="236"/>
      <c r="HR204" s="236"/>
      <c r="HS204" s="236"/>
      <c r="HT204" s="236"/>
      <c r="HU204" s="236"/>
      <c r="HV204" s="236"/>
      <c r="HW204" s="236"/>
      <c r="HX204" s="236"/>
      <c r="HY204" s="236"/>
      <c r="HZ204" s="236"/>
      <c r="IA204" s="236"/>
      <c r="IB204" s="236"/>
      <c r="IC204" s="68"/>
      <c r="ID204" s="68"/>
      <c r="IE204" s="149"/>
      <c r="IF204" s="149"/>
      <c r="IG204" s="149"/>
      <c r="IH204" s="149"/>
      <c r="II204" s="149"/>
      <c r="IJ204" s="68"/>
      <c r="IK204" s="68"/>
      <c r="IL204" s="68"/>
      <c r="IM204" s="68"/>
      <c r="IN204" s="68"/>
      <c r="IO204" s="68"/>
      <c r="IP204" s="68"/>
      <c r="IQ204" s="68"/>
      <c r="IR204" s="68"/>
      <c r="IS204" s="68"/>
      <c r="IT204" s="68"/>
      <c r="IU204" s="68"/>
      <c r="IV204" s="68"/>
      <c r="IW204" s="68"/>
      <c r="IX204" s="68"/>
      <c r="IY204" s="68"/>
    </row>
    <row r="205" spans="2:259" s="64" customFormat="1" hidden="1" x14ac:dyDescent="0.3"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  <c r="AV205" s="68"/>
      <c r="AW205" s="68"/>
      <c r="AX205" s="68"/>
      <c r="AY205" s="68"/>
      <c r="AZ205" s="68"/>
      <c r="BA205" s="68"/>
      <c r="BB205" s="67"/>
      <c r="BC205" s="67"/>
      <c r="BD205" s="67"/>
      <c r="BE205" s="67"/>
      <c r="BF205" s="67"/>
      <c r="BG205" s="67"/>
      <c r="BH205" s="67"/>
      <c r="BI205" s="67"/>
      <c r="BJ205" s="67"/>
      <c r="BK205" s="67"/>
      <c r="BL205" s="67"/>
      <c r="BM205" s="66"/>
      <c r="BN205" s="66"/>
      <c r="BO205" s="66"/>
      <c r="BP205" s="66"/>
      <c r="BQ205" s="66"/>
      <c r="BR205" s="66"/>
      <c r="BS205" s="66"/>
      <c r="BT205" s="66"/>
      <c r="BU205" s="66"/>
      <c r="BV205" s="66"/>
      <c r="BW205" s="66"/>
      <c r="BX205" s="66"/>
      <c r="BY205" s="66"/>
      <c r="BZ205" s="66"/>
      <c r="CA205" s="66"/>
      <c r="CB205" s="66"/>
      <c r="CC205" s="66"/>
      <c r="CD205" s="66"/>
      <c r="CE205" s="66"/>
      <c r="CF205" s="435"/>
      <c r="CG205" s="66"/>
      <c r="CH205" s="66"/>
      <c r="CI205" s="66"/>
      <c r="CJ205" s="66"/>
      <c r="CK205" s="66"/>
      <c r="CL205" s="66"/>
      <c r="CM205" s="66"/>
      <c r="CN205" s="66"/>
      <c r="CO205" s="66"/>
      <c r="CP205" s="66"/>
      <c r="CQ205" s="66"/>
      <c r="CR205" s="66"/>
      <c r="CS205" s="66"/>
      <c r="CT205" s="66"/>
      <c r="CU205" s="66"/>
      <c r="CV205" s="66"/>
      <c r="CW205" s="66"/>
      <c r="CX205" s="66"/>
      <c r="CY205" s="66"/>
      <c r="CZ205" s="66"/>
      <c r="DA205" s="66"/>
      <c r="DB205" s="66"/>
      <c r="DC205" s="66"/>
      <c r="DD205" s="66"/>
      <c r="DE205" s="66"/>
      <c r="DF205" s="66"/>
      <c r="DG205" s="66"/>
      <c r="DH205" s="66"/>
      <c r="DI205" s="66"/>
      <c r="DJ205" s="66"/>
      <c r="DK205" s="66"/>
      <c r="DL205" s="66"/>
      <c r="DM205" s="66"/>
      <c r="DN205" s="66"/>
      <c r="DO205" s="66"/>
      <c r="DP205" s="66"/>
      <c r="HB205" s="236"/>
      <c r="HC205" s="236"/>
      <c r="HD205" s="236"/>
      <c r="HE205" s="236"/>
      <c r="HF205" s="236"/>
      <c r="HG205" s="236"/>
      <c r="HH205" s="236"/>
      <c r="HI205" s="237"/>
      <c r="HJ205" s="237"/>
      <c r="HK205" s="237"/>
      <c r="HL205" s="237"/>
      <c r="HM205" s="236"/>
      <c r="HN205" s="236"/>
      <c r="HO205" s="236"/>
      <c r="HP205" s="236"/>
      <c r="HQ205" s="236"/>
      <c r="HR205" s="236"/>
      <c r="HS205" s="236"/>
      <c r="HT205" s="236"/>
      <c r="HU205" s="236"/>
      <c r="HV205" s="236"/>
      <c r="HW205" s="236"/>
      <c r="HX205" s="236"/>
      <c r="HY205" s="236"/>
      <c r="HZ205" s="236"/>
      <c r="IA205" s="236"/>
      <c r="IB205" s="236"/>
      <c r="IC205" s="68"/>
      <c r="ID205" s="68"/>
      <c r="IE205" s="68"/>
      <c r="IF205" s="68"/>
      <c r="IG205" s="68"/>
      <c r="IH205" s="68"/>
      <c r="II205" s="68"/>
      <c r="IJ205" s="68"/>
      <c r="IK205" s="68"/>
      <c r="IL205" s="68"/>
      <c r="IM205" s="68"/>
      <c r="IN205" s="68"/>
      <c r="IO205" s="68"/>
      <c r="IP205" s="68"/>
      <c r="IQ205" s="68"/>
      <c r="IR205" s="68"/>
      <c r="IS205" s="68"/>
      <c r="IT205" s="68"/>
      <c r="IU205" s="68"/>
      <c r="IV205" s="68"/>
      <c r="IW205" s="68"/>
      <c r="IX205" s="68"/>
      <c r="IY205" s="68"/>
    </row>
    <row r="206" spans="2:259" s="64" customFormat="1" hidden="1" x14ac:dyDescent="0.3"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  <c r="AV206" s="68"/>
      <c r="AW206" s="68"/>
      <c r="AX206" s="68"/>
      <c r="AY206" s="68"/>
      <c r="AZ206" s="68"/>
      <c r="BA206" s="68"/>
      <c r="BB206" s="67"/>
      <c r="BC206" s="67"/>
      <c r="BD206" s="67"/>
      <c r="BE206" s="67"/>
      <c r="BF206" s="67"/>
      <c r="BG206" s="67"/>
      <c r="BH206" s="67"/>
      <c r="BI206" s="67"/>
      <c r="BJ206" s="67"/>
      <c r="BK206" s="67"/>
      <c r="BL206" s="67"/>
      <c r="BM206" s="66"/>
      <c r="BN206" s="66"/>
      <c r="BO206" s="66"/>
      <c r="BP206" s="66"/>
      <c r="BQ206" s="66"/>
      <c r="BR206" s="66"/>
      <c r="BS206" s="66"/>
      <c r="BT206" s="66"/>
      <c r="BU206" s="66"/>
      <c r="BV206" s="66"/>
      <c r="BW206" s="66"/>
      <c r="BX206" s="66"/>
      <c r="BY206" s="66"/>
      <c r="BZ206" s="66"/>
      <c r="CA206" s="66"/>
      <c r="CB206" s="66"/>
      <c r="CC206" s="66"/>
      <c r="CD206" s="66"/>
      <c r="CE206" s="66"/>
      <c r="CF206" s="435"/>
      <c r="CG206" s="66"/>
      <c r="CH206" s="66"/>
      <c r="CI206" s="66"/>
      <c r="CJ206" s="66"/>
      <c r="CK206" s="66"/>
      <c r="CL206" s="66"/>
      <c r="CM206" s="66"/>
      <c r="CN206" s="66"/>
      <c r="CO206" s="66"/>
      <c r="CP206" s="66"/>
      <c r="CQ206" s="66"/>
      <c r="CR206" s="66"/>
      <c r="CS206" s="66"/>
      <c r="CT206" s="66"/>
      <c r="CU206" s="66"/>
      <c r="CV206" s="66"/>
      <c r="CW206" s="66"/>
      <c r="CX206" s="66"/>
      <c r="CY206" s="66"/>
      <c r="CZ206" s="66"/>
      <c r="DA206" s="66"/>
      <c r="DB206" s="66"/>
      <c r="DC206" s="66"/>
      <c r="DD206" s="66"/>
      <c r="DE206" s="66"/>
      <c r="DF206" s="66"/>
      <c r="DG206" s="66"/>
      <c r="DH206" s="66"/>
      <c r="DI206" s="66"/>
      <c r="DJ206" s="66"/>
      <c r="DK206" s="66"/>
      <c r="DL206" s="66"/>
      <c r="DM206" s="66"/>
      <c r="DN206" s="66"/>
      <c r="DO206" s="66"/>
      <c r="DP206" s="66"/>
      <c r="HB206" s="236"/>
      <c r="HC206" s="236"/>
      <c r="HD206" s="236"/>
      <c r="HE206" s="236"/>
      <c r="HF206" s="236"/>
      <c r="HG206" s="236"/>
      <c r="HH206" s="236"/>
      <c r="HI206" s="238"/>
      <c r="HJ206" s="238"/>
      <c r="HK206" s="238"/>
      <c r="HL206" s="238"/>
      <c r="HM206" s="236"/>
      <c r="HN206" s="236"/>
      <c r="HO206" s="236"/>
      <c r="HP206" s="236"/>
      <c r="HQ206" s="236"/>
      <c r="HR206" s="236"/>
      <c r="HS206" s="236"/>
      <c r="HT206" s="236"/>
      <c r="HU206" s="236"/>
      <c r="HV206" s="236"/>
      <c r="HW206" s="236"/>
      <c r="HX206" s="236"/>
      <c r="HY206" s="236"/>
      <c r="HZ206" s="236"/>
      <c r="IA206" s="236"/>
      <c r="IB206" s="236"/>
      <c r="IC206" s="68"/>
      <c r="ID206" s="68"/>
      <c r="IE206" s="68"/>
      <c r="IF206" s="68"/>
      <c r="IG206" s="68"/>
      <c r="IH206" s="68"/>
      <c r="II206" s="68"/>
      <c r="IJ206" s="68"/>
      <c r="IK206" s="68"/>
      <c r="IL206" s="68"/>
      <c r="IM206" s="68"/>
      <c r="IN206" s="68"/>
      <c r="IO206" s="68"/>
      <c r="IP206" s="68"/>
      <c r="IQ206" s="68"/>
      <c r="IR206" s="68"/>
      <c r="IS206" s="68"/>
      <c r="IT206" s="68"/>
      <c r="IU206" s="68"/>
      <c r="IV206" s="68"/>
      <c r="IW206" s="68"/>
      <c r="IX206" s="68"/>
      <c r="IY206" s="68"/>
    </row>
    <row r="207" spans="2:259" s="64" customFormat="1" hidden="1" x14ac:dyDescent="0.3"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  <c r="AV207" s="68"/>
      <c r="AW207" s="68"/>
      <c r="AX207" s="68"/>
      <c r="AY207" s="68"/>
      <c r="AZ207" s="68"/>
      <c r="BA207" s="68"/>
      <c r="BB207" s="67"/>
      <c r="BC207" s="67"/>
      <c r="BD207" s="67"/>
      <c r="BE207" s="67"/>
      <c r="BF207" s="67"/>
      <c r="BG207" s="67"/>
      <c r="BH207" s="67"/>
      <c r="BI207" s="67"/>
      <c r="BJ207" s="67"/>
      <c r="BK207" s="67"/>
      <c r="BL207" s="67"/>
      <c r="BM207" s="66"/>
      <c r="BN207" s="66"/>
      <c r="BO207" s="66"/>
      <c r="BP207" s="66"/>
      <c r="BQ207" s="66"/>
      <c r="BR207" s="66"/>
      <c r="BS207" s="66"/>
      <c r="BT207" s="66"/>
      <c r="BU207" s="66"/>
      <c r="BV207" s="66"/>
      <c r="BW207" s="66"/>
      <c r="BX207" s="66"/>
      <c r="BY207" s="66"/>
      <c r="BZ207" s="66"/>
      <c r="CA207" s="66"/>
      <c r="CB207" s="66"/>
      <c r="CC207" s="66"/>
      <c r="CD207" s="66"/>
      <c r="CE207" s="66"/>
      <c r="CF207" s="435"/>
      <c r="CG207" s="66"/>
      <c r="CH207" s="66"/>
      <c r="CI207" s="66"/>
      <c r="CJ207" s="66"/>
      <c r="CK207" s="66"/>
      <c r="CL207" s="66"/>
      <c r="CM207" s="66"/>
      <c r="CN207" s="66"/>
      <c r="CO207" s="66"/>
      <c r="CP207" s="66"/>
      <c r="CQ207" s="66"/>
      <c r="CR207" s="66"/>
      <c r="CS207" s="66"/>
      <c r="CT207" s="66"/>
      <c r="CU207" s="66"/>
      <c r="CV207" s="66"/>
      <c r="CW207" s="66"/>
      <c r="CX207" s="66"/>
      <c r="CY207" s="66"/>
      <c r="CZ207" s="66"/>
      <c r="DA207" s="66"/>
      <c r="DB207" s="66"/>
      <c r="DC207" s="66"/>
      <c r="DD207" s="66"/>
      <c r="DE207" s="66"/>
      <c r="DF207" s="66"/>
      <c r="DG207" s="66"/>
      <c r="DH207" s="66"/>
      <c r="DI207" s="66"/>
      <c r="DJ207" s="66"/>
      <c r="DK207" s="66"/>
      <c r="DL207" s="66"/>
      <c r="DM207" s="66"/>
      <c r="DN207" s="66"/>
      <c r="DO207" s="66"/>
      <c r="DP207" s="66"/>
      <c r="HB207" s="236"/>
      <c r="HC207" s="236"/>
      <c r="HD207" s="236"/>
      <c r="HE207" s="236"/>
      <c r="HF207" s="236"/>
      <c r="HG207" s="236"/>
      <c r="HH207" s="236"/>
      <c r="HI207" s="237"/>
      <c r="HJ207" s="237"/>
      <c r="HK207" s="237"/>
      <c r="HL207" s="237"/>
      <c r="HM207" s="237"/>
      <c r="HN207" s="236"/>
      <c r="HO207" s="236"/>
      <c r="HP207" s="236"/>
      <c r="HQ207" s="157"/>
      <c r="HR207" s="157"/>
      <c r="HS207" s="157"/>
      <c r="HT207" s="157"/>
      <c r="HU207" s="157"/>
      <c r="HV207" s="157"/>
      <c r="HW207" s="157"/>
      <c r="HX207" s="157"/>
      <c r="HY207" s="158"/>
      <c r="HZ207" s="236"/>
      <c r="IA207" s="236"/>
      <c r="IB207" s="236"/>
      <c r="IC207" s="68"/>
      <c r="ID207" s="68"/>
      <c r="IE207" s="68"/>
      <c r="IF207" s="68"/>
      <c r="IG207" s="68"/>
      <c r="IH207" s="68"/>
      <c r="II207" s="68"/>
      <c r="IJ207" s="68"/>
      <c r="IK207" s="68"/>
      <c r="IL207" s="68"/>
      <c r="IM207" s="68"/>
      <c r="IN207" s="68"/>
      <c r="IO207" s="68"/>
      <c r="IP207" s="68"/>
      <c r="IQ207" s="68"/>
      <c r="IR207" s="68"/>
      <c r="IS207" s="68"/>
      <c r="IT207" s="68"/>
      <c r="IU207" s="68"/>
      <c r="IV207" s="68"/>
      <c r="IW207" s="68"/>
      <c r="IX207" s="68"/>
      <c r="IY207" s="68"/>
    </row>
    <row r="208" spans="2:259" s="64" customFormat="1" hidden="1" x14ac:dyDescent="0.3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  <c r="AV208" s="68"/>
      <c r="AW208" s="68"/>
      <c r="AX208" s="68"/>
      <c r="AY208" s="68"/>
      <c r="AZ208" s="68"/>
      <c r="BA208" s="68"/>
      <c r="BB208" s="67"/>
      <c r="BC208" s="67"/>
      <c r="BD208" s="67"/>
      <c r="BE208" s="67"/>
      <c r="BF208" s="67"/>
      <c r="BG208" s="67"/>
      <c r="BH208" s="67"/>
      <c r="BI208" s="67"/>
      <c r="BJ208" s="67"/>
      <c r="BK208" s="67"/>
      <c r="BL208" s="67"/>
      <c r="BM208" s="66"/>
      <c r="BN208" s="66"/>
      <c r="BO208" s="66"/>
      <c r="BP208" s="66"/>
      <c r="BQ208" s="66"/>
      <c r="BR208" s="66"/>
      <c r="BS208" s="66"/>
      <c r="BT208" s="66"/>
      <c r="BU208" s="66"/>
      <c r="BV208" s="66"/>
      <c r="BW208" s="66"/>
      <c r="BX208" s="66"/>
      <c r="BY208" s="66"/>
      <c r="BZ208" s="66"/>
      <c r="CA208" s="66"/>
      <c r="CB208" s="66"/>
      <c r="CC208" s="66"/>
      <c r="CD208" s="66"/>
      <c r="CE208" s="66"/>
      <c r="CF208" s="435"/>
      <c r="CG208" s="66"/>
      <c r="CH208" s="66"/>
      <c r="CI208" s="66"/>
      <c r="CJ208" s="66"/>
      <c r="CK208" s="66"/>
      <c r="CL208" s="66"/>
      <c r="CM208" s="66"/>
      <c r="CN208" s="66"/>
      <c r="CO208" s="66"/>
      <c r="CP208" s="66"/>
      <c r="CQ208" s="66"/>
      <c r="CR208" s="66"/>
      <c r="CS208" s="66"/>
      <c r="CT208" s="66"/>
      <c r="CU208" s="66"/>
      <c r="CV208" s="66"/>
      <c r="CW208" s="66"/>
      <c r="CX208" s="66"/>
      <c r="CY208" s="66"/>
      <c r="CZ208" s="66"/>
      <c r="DA208" s="66"/>
      <c r="DB208" s="66"/>
      <c r="DC208" s="66"/>
      <c r="DD208" s="66"/>
      <c r="DE208" s="66"/>
      <c r="DF208" s="66"/>
      <c r="DG208" s="66"/>
      <c r="DH208" s="66"/>
      <c r="DI208" s="66"/>
      <c r="DJ208" s="66"/>
      <c r="DK208" s="66"/>
      <c r="DL208" s="66"/>
      <c r="DM208" s="66"/>
      <c r="DN208" s="66"/>
      <c r="DO208" s="66"/>
      <c r="DP208" s="66"/>
      <c r="HB208" s="236"/>
      <c r="HC208" s="236"/>
      <c r="HD208" s="236"/>
      <c r="HE208" s="236"/>
      <c r="HF208" s="236"/>
      <c r="HG208" s="236"/>
      <c r="HH208" s="236"/>
      <c r="HI208" s="237"/>
      <c r="HJ208" s="237"/>
      <c r="HK208" s="237"/>
      <c r="HL208" s="237"/>
      <c r="HM208" s="236"/>
      <c r="HN208" s="236"/>
      <c r="HO208" s="236"/>
      <c r="HP208" s="157"/>
      <c r="HQ208" s="157"/>
      <c r="HR208" s="157"/>
      <c r="HS208" s="157"/>
      <c r="HT208" s="157"/>
      <c r="HU208" s="157"/>
      <c r="HV208" s="157"/>
      <c r="HW208" s="157"/>
      <c r="HX208" s="157"/>
      <c r="HY208" s="158"/>
      <c r="HZ208" s="236"/>
      <c r="IA208" s="236"/>
      <c r="IB208" s="236"/>
      <c r="IC208" s="68"/>
      <c r="ID208" s="68"/>
      <c r="IE208" s="68"/>
      <c r="IF208" s="68"/>
      <c r="IG208" s="68"/>
      <c r="IH208" s="68"/>
      <c r="II208" s="68"/>
      <c r="IJ208" s="68"/>
      <c r="IK208" s="68"/>
      <c r="IL208" s="68"/>
      <c r="IM208" s="68"/>
      <c r="IN208" s="68"/>
      <c r="IO208" s="68"/>
      <c r="IP208" s="68"/>
      <c r="IQ208" s="68"/>
      <c r="IR208" s="68"/>
      <c r="IS208" s="68"/>
      <c r="IT208" s="68"/>
      <c r="IU208" s="68"/>
      <c r="IV208" s="68"/>
      <c r="IW208" s="68"/>
      <c r="IX208" s="68"/>
      <c r="IY208" s="68"/>
    </row>
    <row r="209" spans="2:259" s="64" customFormat="1" hidden="1" x14ac:dyDescent="0.3"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  <c r="AV209" s="68"/>
      <c r="AW209" s="68"/>
      <c r="AX209" s="68"/>
      <c r="AY209" s="68"/>
      <c r="AZ209" s="68"/>
      <c r="BA209" s="68"/>
      <c r="BB209" s="67"/>
      <c r="BC209" s="67"/>
      <c r="BD209" s="67"/>
      <c r="BE209" s="67"/>
      <c r="BF209" s="67"/>
      <c r="BG209" s="67"/>
      <c r="BH209" s="67"/>
      <c r="BI209" s="67"/>
      <c r="BJ209" s="67"/>
      <c r="BK209" s="67"/>
      <c r="BL209" s="67"/>
      <c r="BM209" s="66"/>
      <c r="BN209" s="66"/>
      <c r="BO209" s="66"/>
      <c r="BP209" s="66"/>
      <c r="BQ209" s="66"/>
      <c r="BR209" s="66"/>
      <c r="BS209" s="66"/>
      <c r="BT209" s="66"/>
      <c r="BU209" s="66"/>
      <c r="BV209" s="66"/>
      <c r="BW209" s="66"/>
      <c r="BX209" s="66"/>
      <c r="BY209" s="66"/>
      <c r="BZ209" s="66"/>
      <c r="CA209" s="66"/>
      <c r="CB209" s="66"/>
      <c r="CC209" s="66"/>
      <c r="CD209" s="66"/>
      <c r="CE209" s="66"/>
      <c r="CF209" s="435"/>
      <c r="CG209" s="66"/>
      <c r="CH209" s="66"/>
      <c r="CI209" s="66"/>
      <c r="CJ209" s="66"/>
      <c r="CK209" s="66"/>
      <c r="CL209" s="66"/>
      <c r="CM209" s="66"/>
      <c r="CN209" s="66"/>
      <c r="CO209" s="66"/>
      <c r="CP209" s="66"/>
      <c r="CQ209" s="66"/>
      <c r="CR209" s="66"/>
      <c r="CS209" s="66"/>
      <c r="CT209" s="66"/>
      <c r="CU209" s="66"/>
      <c r="CV209" s="66"/>
      <c r="CW209" s="66"/>
      <c r="CX209" s="66"/>
      <c r="CY209" s="66"/>
      <c r="CZ209" s="66"/>
      <c r="DA209" s="66"/>
      <c r="DB209" s="66"/>
      <c r="DC209" s="66"/>
      <c r="DD209" s="66"/>
      <c r="DE209" s="66"/>
      <c r="DF209" s="66"/>
      <c r="DG209" s="66"/>
      <c r="DH209" s="66"/>
      <c r="DI209" s="66"/>
      <c r="DJ209" s="66"/>
      <c r="DK209" s="66"/>
      <c r="DL209" s="66"/>
      <c r="DM209" s="66"/>
      <c r="DN209" s="66"/>
      <c r="DO209" s="66"/>
      <c r="DP209" s="66"/>
      <c r="HB209" s="236"/>
      <c r="HC209" s="236"/>
      <c r="HD209" s="236"/>
      <c r="HE209" s="236"/>
      <c r="HF209" s="236"/>
      <c r="HG209" s="193"/>
      <c r="HH209" s="193"/>
      <c r="HI209" s="237"/>
      <c r="HJ209" s="237"/>
      <c r="HK209" s="237"/>
      <c r="HL209" s="237"/>
      <c r="HM209" s="236"/>
      <c r="HN209" s="236"/>
      <c r="HO209" s="236"/>
      <c r="HP209" s="157"/>
      <c r="HQ209" s="157"/>
      <c r="HR209" s="157"/>
      <c r="HS209" s="157"/>
      <c r="HT209" s="157"/>
      <c r="HU209" s="157"/>
      <c r="HV209" s="157"/>
      <c r="HW209" s="157"/>
      <c r="HX209" s="157"/>
      <c r="HY209" s="158"/>
      <c r="HZ209" s="236"/>
      <c r="IA209" s="236"/>
      <c r="IB209" s="236"/>
      <c r="IC209" s="68"/>
      <c r="ID209" s="68"/>
      <c r="IE209" s="68"/>
      <c r="IF209" s="68"/>
      <c r="IG209" s="68"/>
      <c r="IH209" s="68"/>
      <c r="II209" s="68"/>
      <c r="IJ209" s="68"/>
      <c r="IK209" s="68"/>
      <c r="IL209" s="68"/>
      <c r="IM209" s="68"/>
      <c r="IN209" s="68"/>
      <c r="IO209" s="68"/>
      <c r="IP209" s="68"/>
      <c r="IQ209" s="68"/>
      <c r="IR209" s="68"/>
      <c r="IS209" s="68"/>
      <c r="IT209" s="68"/>
      <c r="IU209" s="68"/>
      <c r="IV209" s="68"/>
      <c r="IW209" s="68"/>
      <c r="IX209" s="68"/>
      <c r="IY209" s="68"/>
    </row>
    <row r="210" spans="2:259" s="64" customFormat="1" hidden="1" x14ac:dyDescent="0.3"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  <c r="AV210" s="68"/>
      <c r="AW210" s="68"/>
      <c r="AX210" s="68"/>
      <c r="AY210" s="68"/>
      <c r="AZ210" s="68"/>
      <c r="BA210" s="68"/>
      <c r="BB210" s="67"/>
      <c r="BC210" s="67"/>
      <c r="BD210" s="67"/>
      <c r="BE210" s="67"/>
      <c r="BF210" s="67"/>
      <c r="BG210" s="67"/>
      <c r="BH210" s="67"/>
      <c r="BI210" s="67"/>
      <c r="BJ210" s="67"/>
      <c r="BK210" s="67"/>
      <c r="BL210" s="67"/>
      <c r="BM210" s="66"/>
      <c r="BN210" s="66"/>
      <c r="BO210" s="66"/>
      <c r="BP210" s="66"/>
      <c r="BQ210" s="66"/>
      <c r="BR210" s="66"/>
      <c r="BS210" s="66"/>
      <c r="BT210" s="66"/>
      <c r="BU210" s="66"/>
      <c r="BV210" s="66"/>
      <c r="BW210" s="66"/>
      <c r="BX210" s="66"/>
      <c r="BY210" s="66"/>
      <c r="BZ210" s="66"/>
      <c r="CA210" s="66"/>
      <c r="CB210" s="66"/>
      <c r="CC210" s="66"/>
      <c r="CD210" s="66"/>
      <c r="CE210" s="66"/>
      <c r="CF210" s="435"/>
      <c r="CG210" s="66"/>
      <c r="CH210" s="66"/>
      <c r="CI210" s="66"/>
      <c r="CJ210" s="66"/>
      <c r="CK210" s="66"/>
      <c r="CL210" s="66"/>
      <c r="CM210" s="66"/>
      <c r="CN210" s="66"/>
      <c r="CO210" s="66"/>
      <c r="CP210" s="66"/>
      <c r="CQ210" s="66"/>
      <c r="CR210" s="66"/>
      <c r="CS210" s="66"/>
      <c r="CT210" s="66"/>
      <c r="CU210" s="66"/>
      <c r="CV210" s="66"/>
      <c r="CW210" s="66"/>
      <c r="CX210" s="66"/>
      <c r="CY210" s="66"/>
      <c r="CZ210" s="66"/>
      <c r="DA210" s="66"/>
      <c r="DB210" s="66"/>
      <c r="DC210" s="66"/>
      <c r="DD210" s="66"/>
      <c r="DE210" s="66"/>
      <c r="DF210" s="66"/>
      <c r="DG210" s="66"/>
      <c r="DH210" s="66"/>
      <c r="DI210" s="66"/>
      <c r="DJ210" s="66"/>
      <c r="DK210" s="66"/>
      <c r="DL210" s="66"/>
      <c r="DM210" s="66"/>
      <c r="DN210" s="66"/>
      <c r="DO210" s="66"/>
      <c r="DP210" s="66"/>
      <c r="HB210" s="68"/>
      <c r="HC210" s="68"/>
      <c r="HD210" s="68"/>
      <c r="HE210" s="68"/>
      <c r="HF210" s="68"/>
      <c r="HI210" s="149"/>
      <c r="HJ210" s="149"/>
      <c r="HK210" s="149"/>
      <c r="HL210" s="149"/>
      <c r="HM210" s="68"/>
      <c r="HN210" s="68"/>
      <c r="HO210" s="68"/>
      <c r="HP210" s="157"/>
      <c r="HQ210" s="157"/>
      <c r="HR210" s="157"/>
      <c r="HS210" s="157"/>
      <c r="HT210" s="157"/>
      <c r="HU210" s="157"/>
      <c r="HV210" s="157"/>
      <c r="HW210" s="157"/>
      <c r="HX210" s="157"/>
      <c r="HY210" s="158"/>
      <c r="HZ210" s="68"/>
      <c r="IA210" s="68"/>
      <c r="IB210" s="68"/>
      <c r="IC210" s="68"/>
      <c r="ID210" s="68"/>
      <c r="IE210" s="68"/>
      <c r="IF210" s="68"/>
      <c r="IG210" s="68"/>
      <c r="IH210" s="68"/>
      <c r="II210" s="68"/>
      <c r="IJ210" s="68"/>
      <c r="IK210" s="68"/>
      <c r="IL210" s="68"/>
      <c r="IM210" s="68"/>
      <c r="IN210" s="68"/>
      <c r="IO210" s="68"/>
      <c r="IP210" s="68"/>
      <c r="IQ210" s="68"/>
      <c r="IR210" s="68"/>
      <c r="IS210" s="68"/>
      <c r="IT210" s="68"/>
      <c r="IU210" s="68"/>
      <c r="IV210" s="68"/>
      <c r="IW210" s="68"/>
      <c r="IX210" s="68"/>
      <c r="IY210" s="68"/>
    </row>
    <row r="211" spans="2:259" s="64" customFormat="1" hidden="1" x14ac:dyDescent="0.3"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  <c r="AV211" s="68"/>
      <c r="AW211" s="68"/>
      <c r="AX211" s="68"/>
      <c r="AY211" s="68"/>
      <c r="AZ211" s="68"/>
      <c r="BA211" s="68"/>
      <c r="BB211" s="67"/>
      <c r="BC211" s="67"/>
      <c r="BD211" s="67"/>
      <c r="BE211" s="67"/>
      <c r="BF211" s="67"/>
      <c r="BG211" s="67"/>
      <c r="BH211" s="67"/>
      <c r="BI211" s="67"/>
      <c r="BJ211" s="67"/>
      <c r="BK211" s="67"/>
      <c r="BL211" s="67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6"/>
      <c r="CF211" s="435"/>
      <c r="CG211" s="66"/>
      <c r="CH211" s="66"/>
      <c r="CI211" s="66"/>
      <c r="CJ211" s="66"/>
      <c r="CK211" s="66"/>
      <c r="CL211" s="66"/>
      <c r="CM211" s="66"/>
      <c r="CN211" s="66"/>
      <c r="CO211" s="66"/>
      <c r="CP211" s="66"/>
      <c r="CQ211" s="66"/>
      <c r="CR211" s="66"/>
      <c r="CS211" s="66"/>
      <c r="CT211" s="66"/>
      <c r="CU211" s="66"/>
      <c r="CV211" s="66"/>
      <c r="CW211" s="66"/>
      <c r="CX211" s="66"/>
      <c r="CY211" s="66"/>
      <c r="CZ211" s="66"/>
      <c r="DA211" s="66"/>
      <c r="DB211" s="66"/>
      <c r="DC211" s="66"/>
      <c r="DD211" s="66"/>
      <c r="DE211" s="66"/>
      <c r="DF211" s="66"/>
      <c r="DG211" s="66"/>
      <c r="DH211" s="66"/>
      <c r="DI211" s="66"/>
      <c r="DJ211" s="66"/>
      <c r="DK211" s="66"/>
      <c r="DL211" s="66"/>
      <c r="DM211" s="66"/>
      <c r="DN211" s="66"/>
      <c r="DO211" s="66"/>
      <c r="DP211" s="66"/>
      <c r="HB211" s="68"/>
      <c r="HC211" s="68"/>
      <c r="HD211" s="68"/>
      <c r="HE211" s="68"/>
      <c r="HF211" s="68"/>
      <c r="HI211" s="149"/>
      <c r="HJ211" s="149"/>
      <c r="HK211" s="149"/>
      <c r="HL211" s="149"/>
      <c r="HM211" s="68"/>
      <c r="HN211" s="68"/>
      <c r="HO211" s="68"/>
      <c r="HP211" s="68"/>
      <c r="HQ211" s="68"/>
      <c r="HR211" s="68"/>
      <c r="HS211" s="68"/>
      <c r="HT211" s="68"/>
      <c r="HU211" s="68"/>
      <c r="HV211" s="68"/>
      <c r="HW211" s="68"/>
      <c r="HX211" s="68"/>
      <c r="HY211" s="68"/>
      <c r="HZ211" s="68"/>
      <c r="IA211" s="68"/>
      <c r="IB211" s="68"/>
      <c r="IC211" s="68"/>
      <c r="ID211" s="68"/>
      <c r="IE211" s="68"/>
      <c r="IF211" s="68"/>
      <c r="IG211" s="68"/>
      <c r="IH211" s="68"/>
      <c r="II211" s="68"/>
      <c r="IJ211" s="68"/>
      <c r="IK211" s="68"/>
      <c r="IL211" s="68"/>
      <c r="IM211" s="68"/>
      <c r="IN211" s="68"/>
      <c r="IO211" s="68"/>
      <c r="IP211" s="68"/>
      <c r="IQ211" s="68"/>
      <c r="IR211" s="68"/>
      <c r="IS211" s="68"/>
      <c r="IT211" s="68"/>
      <c r="IU211" s="68"/>
      <c r="IV211" s="68"/>
      <c r="IW211" s="68"/>
      <c r="IX211" s="68"/>
      <c r="IY211" s="68"/>
    </row>
    <row r="212" spans="2:259" s="64" customFormat="1" hidden="1" x14ac:dyDescent="0.3"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  <c r="AV212" s="68"/>
      <c r="AW212" s="68"/>
      <c r="AX212" s="68"/>
      <c r="AY212" s="68"/>
      <c r="AZ212" s="68"/>
      <c r="BA212" s="68"/>
      <c r="BB212" s="67"/>
      <c r="BC212" s="67"/>
      <c r="BD212" s="67"/>
      <c r="BE212" s="67"/>
      <c r="BF212" s="67"/>
      <c r="BG212" s="67"/>
      <c r="BH212" s="67"/>
      <c r="BI212" s="67"/>
      <c r="BJ212" s="67"/>
      <c r="BK212" s="67"/>
      <c r="BL212" s="67"/>
      <c r="BM212" s="66"/>
      <c r="BN212" s="66"/>
      <c r="BO212" s="66"/>
      <c r="BP212" s="66"/>
      <c r="BQ212" s="66"/>
      <c r="BR212" s="66"/>
      <c r="BS212" s="66"/>
      <c r="BT212" s="66"/>
      <c r="BU212" s="66"/>
      <c r="BV212" s="66"/>
      <c r="BW212" s="66"/>
      <c r="BX212" s="66"/>
      <c r="BY212" s="66"/>
      <c r="BZ212" s="66"/>
      <c r="CA212" s="66"/>
      <c r="CB212" s="66"/>
      <c r="CC212" s="66"/>
      <c r="CD212" s="66"/>
      <c r="CE212" s="66"/>
      <c r="CF212" s="435"/>
      <c r="CG212" s="66"/>
      <c r="CH212" s="66"/>
      <c r="CI212" s="66"/>
      <c r="CJ212" s="66"/>
      <c r="CK212" s="66"/>
      <c r="CL212" s="66"/>
      <c r="CM212" s="66"/>
      <c r="CN212" s="66"/>
      <c r="CO212" s="66"/>
      <c r="CP212" s="66"/>
      <c r="CQ212" s="66"/>
      <c r="CR212" s="66"/>
      <c r="CS212" s="66"/>
      <c r="CT212" s="66"/>
      <c r="CU212" s="66"/>
      <c r="CV212" s="66"/>
      <c r="CW212" s="66"/>
      <c r="CX212" s="66"/>
      <c r="CY212" s="66"/>
      <c r="CZ212" s="66"/>
      <c r="DA212" s="66"/>
      <c r="DB212" s="66"/>
      <c r="DC212" s="66"/>
      <c r="DD212" s="66"/>
      <c r="DE212" s="66"/>
      <c r="DF212" s="66"/>
      <c r="DG212" s="66"/>
      <c r="DH212" s="66"/>
      <c r="DI212" s="66"/>
      <c r="DJ212" s="66"/>
      <c r="DK212" s="66"/>
      <c r="DL212" s="66"/>
      <c r="DM212" s="66"/>
      <c r="DN212" s="66"/>
      <c r="DO212" s="66"/>
      <c r="DP212" s="66"/>
      <c r="HB212" s="68"/>
      <c r="HC212" s="68"/>
      <c r="HD212" s="68"/>
      <c r="HE212" s="68"/>
      <c r="HF212" s="68"/>
      <c r="HI212" s="149"/>
      <c r="HJ212" s="149"/>
      <c r="HK212" s="149"/>
      <c r="HL212" s="149"/>
      <c r="HM212" s="149"/>
      <c r="HN212" s="68"/>
      <c r="HO212" s="68"/>
      <c r="HP212" s="68"/>
      <c r="HQ212" s="160"/>
      <c r="HR212" s="160"/>
      <c r="HS212" s="160"/>
      <c r="HT212" s="160"/>
      <c r="HU212" s="160"/>
      <c r="HV212" s="160"/>
      <c r="HW212" s="160"/>
      <c r="HX212" s="160"/>
      <c r="HY212" s="161"/>
      <c r="HZ212" s="68"/>
      <c r="IA212" s="68"/>
      <c r="IB212" s="68"/>
      <c r="IC212" s="68"/>
      <c r="ID212" s="68"/>
      <c r="IE212" s="68"/>
      <c r="IF212" s="68"/>
      <c r="IG212" s="68"/>
      <c r="IH212" s="68"/>
      <c r="II212" s="68"/>
      <c r="IJ212" s="68"/>
      <c r="IK212" s="68"/>
      <c r="IL212" s="68"/>
      <c r="IM212" s="68"/>
      <c r="IN212" s="68"/>
      <c r="IO212" s="68"/>
      <c r="IP212" s="68"/>
      <c r="IQ212" s="68"/>
      <c r="IR212" s="68"/>
      <c r="IS212" s="68"/>
      <c r="IT212" s="68"/>
      <c r="IU212" s="68"/>
      <c r="IV212" s="68"/>
      <c r="IW212" s="68"/>
      <c r="IX212" s="68"/>
      <c r="IY212" s="68"/>
    </row>
    <row r="213" spans="2:259" s="64" customFormat="1" hidden="1" x14ac:dyDescent="0.3"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  <c r="AV213" s="68"/>
      <c r="AW213" s="68"/>
      <c r="AX213" s="68"/>
      <c r="AY213" s="68"/>
      <c r="AZ213" s="68"/>
      <c r="BA213" s="68"/>
      <c r="BB213" s="67"/>
      <c r="BC213" s="67"/>
      <c r="BD213" s="67"/>
      <c r="BE213" s="67"/>
      <c r="BF213" s="67"/>
      <c r="BG213" s="67"/>
      <c r="BH213" s="67"/>
      <c r="BI213" s="67"/>
      <c r="BJ213" s="67"/>
      <c r="BK213" s="67"/>
      <c r="BL213" s="67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435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6"/>
      <c r="CR213" s="66"/>
      <c r="CS213" s="66"/>
      <c r="CT213" s="66"/>
      <c r="CU213" s="66"/>
      <c r="CV213" s="66"/>
      <c r="CW213" s="66"/>
      <c r="CX213" s="66"/>
      <c r="CY213" s="66"/>
      <c r="CZ213" s="66"/>
      <c r="DA213" s="66"/>
      <c r="DB213" s="66"/>
      <c r="DC213" s="66"/>
      <c r="DD213" s="66"/>
      <c r="DE213" s="66"/>
      <c r="DF213" s="66"/>
      <c r="DG213" s="66"/>
      <c r="DH213" s="66"/>
      <c r="DI213" s="66"/>
      <c r="DJ213" s="66"/>
      <c r="DK213" s="66"/>
      <c r="DL213" s="66"/>
      <c r="DM213" s="66"/>
      <c r="DN213" s="66"/>
      <c r="DO213" s="66"/>
      <c r="DP213" s="66"/>
      <c r="HB213" s="68"/>
      <c r="HC213" s="68"/>
      <c r="HD213" s="68"/>
      <c r="HE213" s="68"/>
      <c r="HF213" s="68"/>
      <c r="HG213" s="162"/>
      <c r="HH213" s="162"/>
      <c r="HI213" s="162"/>
      <c r="HJ213" s="162"/>
      <c r="HK213" s="162"/>
      <c r="HL213" s="162"/>
      <c r="HM213" s="68"/>
      <c r="HN213" s="68"/>
      <c r="HO213" s="68"/>
      <c r="HP213" s="160"/>
      <c r="HQ213" s="160"/>
      <c r="HR213" s="160"/>
      <c r="HS213" s="160"/>
      <c r="HT213" s="160"/>
      <c r="HU213" s="160"/>
      <c r="HV213" s="160"/>
      <c r="HW213" s="160"/>
      <c r="HX213" s="160"/>
      <c r="HY213" s="161"/>
      <c r="HZ213" s="68"/>
      <c r="IA213" s="68"/>
      <c r="IB213" s="68"/>
      <c r="IC213" s="68"/>
      <c r="ID213" s="68"/>
      <c r="IE213" s="68"/>
      <c r="IF213" s="68"/>
      <c r="IG213" s="68"/>
      <c r="IH213" s="68"/>
      <c r="II213" s="68"/>
      <c r="IJ213" s="68"/>
      <c r="IK213" s="68"/>
      <c r="IL213" s="68"/>
      <c r="IM213" s="68"/>
      <c r="IN213" s="68"/>
      <c r="IO213" s="68"/>
      <c r="IP213" s="68"/>
      <c r="IQ213" s="68"/>
      <c r="IR213" s="68"/>
      <c r="IS213" s="68"/>
      <c r="IT213" s="68"/>
      <c r="IU213" s="68"/>
      <c r="IV213" s="68"/>
      <c r="IW213" s="68"/>
      <c r="IX213" s="68"/>
      <c r="IY213" s="68"/>
    </row>
    <row r="214" spans="2:259" s="64" customFormat="1" hidden="1" x14ac:dyDescent="0.3"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  <c r="AV214" s="68"/>
      <c r="AW214" s="68"/>
      <c r="AX214" s="68"/>
      <c r="AY214" s="68"/>
      <c r="AZ214" s="68"/>
      <c r="BA214" s="68"/>
      <c r="BB214" s="67"/>
      <c r="BC214" s="67"/>
      <c r="BD214" s="67"/>
      <c r="BE214" s="67"/>
      <c r="BF214" s="67"/>
      <c r="BG214" s="67"/>
      <c r="BH214" s="67"/>
      <c r="BI214" s="67"/>
      <c r="BJ214" s="67"/>
      <c r="BK214" s="67"/>
      <c r="BL214" s="67"/>
      <c r="BM214" s="66"/>
      <c r="BN214" s="66"/>
      <c r="BO214" s="66"/>
      <c r="BP214" s="66"/>
      <c r="BQ214" s="66"/>
      <c r="BR214" s="66"/>
      <c r="BS214" s="66"/>
      <c r="BT214" s="66"/>
      <c r="BU214" s="66"/>
      <c r="BV214" s="66"/>
      <c r="BW214" s="66"/>
      <c r="BX214" s="66"/>
      <c r="BY214" s="66"/>
      <c r="BZ214" s="66"/>
      <c r="CA214" s="66"/>
      <c r="CB214" s="66"/>
      <c r="CC214" s="66"/>
      <c r="CD214" s="66"/>
      <c r="CE214" s="66"/>
      <c r="CF214" s="435"/>
      <c r="CG214" s="66"/>
      <c r="CH214" s="66"/>
      <c r="CI214" s="66"/>
      <c r="CJ214" s="66"/>
      <c r="CK214" s="66"/>
      <c r="CL214" s="66"/>
      <c r="CM214" s="66"/>
      <c r="CN214" s="66"/>
      <c r="CO214" s="66"/>
      <c r="CP214" s="66"/>
      <c r="CQ214" s="66"/>
      <c r="CR214" s="66"/>
      <c r="CS214" s="66"/>
      <c r="CT214" s="66"/>
      <c r="CU214" s="66"/>
      <c r="CV214" s="66"/>
      <c r="CW214" s="66"/>
      <c r="CX214" s="66"/>
      <c r="CY214" s="66"/>
      <c r="CZ214" s="66"/>
      <c r="DA214" s="66"/>
      <c r="DB214" s="66"/>
      <c r="DC214" s="66"/>
      <c r="DD214" s="66"/>
      <c r="DE214" s="66"/>
      <c r="DF214" s="66"/>
      <c r="DG214" s="66"/>
      <c r="DH214" s="66"/>
      <c r="DI214" s="66"/>
      <c r="DJ214" s="66"/>
      <c r="DK214" s="66"/>
      <c r="DL214" s="66"/>
      <c r="DM214" s="66"/>
      <c r="DN214" s="66"/>
      <c r="DO214" s="66"/>
      <c r="DP214" s="66"/>
      <c r="HB214" s="68"/>
      <c r="HC214" s="68"/>
      <c r="HD214" s="68"/>
      <c r="HE214" s="68"/>
      <c r="HF214" s="68"/>
      <c r="HG214" s="68"/>
      <c r="HH214" s="68"/>
      <c r="HI214" s="68"/>
      <c r="HJ214" s="68"/>
      <c r="HK214" s="68"/>
      <c r="HL214" s="68"/>
      <c r="HM214" s="68"/>
      <c r="HN214" s="68"/>
      <c r="HO214" s="68"/>
      <c r="HP214" s="160"/>
      <c r="HQ214" s="160"/>
      <c r="HR214" s="160"/>
      <c r="HS214" s="160"/>
      <c r="HT214" s="160"/>
      <c r="HU214" s="160"/>
      <c r="HV214" s="160"/>
      <c r="HW214" s="160"/>
      <c r="HX214" s="160"/>
      <c r="HY214" s="161"/>
      <c r="HZ214" s="68"/>
      <c r="IA214" s="68"/>
      <c r="IB214" s="68"/>
      <c r="IC214" s="68"/>
      <c r="ID214" s="68"/>
      <c r="IE214" s="68"/>
      <c r="IF214" s="68"/>
      <c r="IG214" s="68"/>
      <c r="IH214" s="68"/>
      <c r="II214" s="68"/>
      <c r="IJ214" s="68"/>
      <c r="IK214" s="68"/>
      <c r="IL214" s="68"/>
      <c r="IM214" s="68"/>
      <c r="IN214" s="68"/>
      <c r="IO214" s="68"/>
      <c r="IP214" s="68"/>
      <c r="IQ214" s="68"/>
      <c r="IR214" s="68"/>
      <c r="IS214" s="68"/>
      <c r="IT214" s="68"/>
      <c r="IU214" s="68"/>
      <c r="IV214" s="68"/>
      <c r="IW214" s="68"/>
      <c r="IX214" s="68"/>
      <c r="IY214" s="68"/>
    </row>
    <row r="215" spans="2:259" s="64" customFormat="1" hidden="1" x14ac:dyDescent="0.3"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  <c r="AV215" s="68"/>
      <c r="AW215" s="68"/>
      <c r="AX215" s="68"/>
      <c r="AY215" s="68"/>
      <c r="AZ215" s="68"/>
      <c r="BA215" s="68"/>
      <c r="BB215" s="67"/>
      <c r="BC215" s="67"/>
      <c r="BD215" s="67"/>
      <c r="BE215" s="67"/>
      <c r="BF215" s="67"/>
      <c r="BG215" s="67"/>
      <c r="BH215" s="67"/>
      <c r="BI215" s="67"/>
      <c r="BJ215" s="67"/>
      <c r="BK215" s="67"/>
      <c r="BL215" s="67"/>
      <c r="BM215" s="66"/>
      <c r="BN215" s="66"/>
      <c r="BO215" s="66"/>
      <c r="BP215" s="66"/>
      <c r="BQ215" s="66"/>
      <c r="BR215" s="66"/>
      <c r="BS215" s="66"/>
      <c r="BT215" s="66"/>
      <c r="BU215" s="66"/>
      <c r="BV215" s="66"/>
      <c r="BW215" s="66"/>
      <c r="BX215" s="66"/>
      <c r="BY215" s="66"/>
      <c r="BZ215" s="66"/>
      <c r="CA215" s="66"/>
      <c r="CB215" s="66"/>
      <c r="CC215" s="66"/>
      <c r="CD215" s="66"/>
      <c r="CE215" s="66"/>
      <c r="CF215" s="435"/>
      <c r="CG215" s="66"/>
      <c r="CH215" s="66"/>
      <c r="CI215" s="66"/>
      <c r="CJ215" s="66"/>
      <c r="CK215" s="66"/>
      <c r="CL215" s="66"/>
      <c r="CM215" s="66"/>
      <c r="CN215" s="66"/>
      <c r="CO215" s="66"/>
      <c r="CP215" s="66"/>
      <c r="CQ215" s="66"/>
      <c r="CR215" s="66"/>
      <c r="CS215" s="66"/>
      <c r="CT215" s="66"/>
      <c r="CU215" s="66"/>
      <c r="CV215" s="66"/>
      <c r="CW215" s="66"/>
      <c r="CX215" s="66"/>
      <c r="CY215" s="66"/>
      <c r="CZ215" s="66"/>
      <c r="DA215" s="66"/>
      <c r="DB215" s="66"/>
      <c r="DC215" s="66"/>
      <c r="DD215" s="66"/>
      <c r="DE215" s="66"/>
      <c r="DF215" s="66"/>
      <c r="DG215" s="66"/>
      <c r="DH215" s="66"/>
      <c r="DI215" s="66"/>
      <c r="DJ215" s="66"/>
      <c r="DK215" s="66"/>
      <c r="DL215" s="66"/>
      <c r="DM215" s="66"/>
      <c r="DN215" s="66"/>
      <c r="DO215" s="66"/>
      <c r="DP215" s="66"/>
      <c r="HB215" s="68"/>
      <c r="HC215" s="68"/>
      <c r="HD215" s="68"/>
      <c r="HE215" s="68"/>
      <c r="HF215" s="68"/>
      <c r="HG215" s="68"/>
      <c r="HH215" s="68"/>
      <c r="HI215" s="68"/>
      <c r="HJ215" s="68"/>
      <c r="HK215" s="68"/>
      <c r="HL215" s="68"/>
      <c r="HM215" s="68"/>
      <c r="HN215" s="68"/>
      <c r="HO215" s="68"/>
      <c r="HP215" s="160"/>
      <c r="HQ215" s="160"/>
      <c r="HR215" s="160"/>
      <c r="HS215" s="160"/>
      <c r="HT215" s="160"/>
      <c r="HU215" s="160"/>
      <c r="HV215" s="160"/>
      <c r="HW215" s="160"/>
      <c r="HX215" s="160"/>
      <c r="HY215" s="161"/>
      <c r="HZ215" s="68"/>
      <c r="IA215" s="68"/>
      <c r="IB215" s="68"/>
      <c r="IC215" s="68"/>
      <c r="ID215" s="68"/>
      <c r="IE215" s="68"/>
      <c r="IF215" s="68"/>
      <c r="IG215" s="68"/>
      <c r="IH215" s="68"/>
      <c r="II215" s="68"/>
      <c r="IJ215" s="68"/>
      <c r="IK215" s="68"/>
      <c r="IL215" s="68"/>
      <c r="IM215" s="68"/>
      <c r="IN215" s="68"/>
      <c r="IO215" s="68"/>
      <c r="IP215" s="68"/>
      <c r="IQ215" s="68"/>
      <c r="IR215" s="68"/>
      <c r="IS215" s="68"/>
      <c r="IT215" s="68"/>
      <c r="IU215" s="68"/>
      <c r="IV215" s="68"/>
      <c r="IW215" s="68"/>
      <c r="IX215" s="68"/>
      <c r="IY215" s="68"/>
    </row>
    <row r="216" spans="2:259" s="64" customFormat="1" hidden="1" x14ac:dyDescent="0.3"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  <c r="AV216" s="68"/>
      <c r="AW216" s="68"/>
      <c r="AX216" s="68"/>
      <c r="AY216" s="68"/>
      <c r="AZ216" s="68"/>
      <c r="BA216" s="68"/>
      <c r="BB216" s="67"/>
      <c r="BC216" s="67"/>
      <c r="BD216" s="67"/>
      <c r="BE216" s="67"/>
      <c r="BF216" s="67"/>
      <c r="BG216" s="67"/>
      <c r="BH216" s="67"/>
      <c r="BI216" s="67"/>
      <c r="BJ216" s="67"/>
      <c r="BK216" s="67"/>
      <c r="BL216" s="67"/>
      <c r="BM216" s="66"/>
      <c r="BN216" s="66"/>
      <c r="BO216" s="66"/>
      <c r="BP216" s="66"/>
      <c r="BQ216" s="66"/>
      <c r="BR216" s="66"/>
      <c r="BS216" s="66"/>
      <c r="BT216" s="66"/>
      <c r="BU216" s="66"/>
      <c r="BV216" s="66"/>
      <c r="BW216" s="66"/>
      <c r="BX216" s="66"/>
      <c r="BY216" s="66"/>
      <c r="BZ216" s="66"/>
      <c r="CA216" s="66"/>
      <c r="CB216" s="66"/>
      <c r="CC216" s="66"/>
      <c r="CD216" s="66"/>
      <c r="CE216" s="66"/>
      <c r="CF216" s="435"/>
      <c r="CG216" s="66"/>
      <c r="CH216" s="66"/>
      <c r="CI216" s="66"/>
      <c r="CJ216" s="66"/>
      <c r="CK216" s="66"/>
      <c r="CL216" s="66"/>
      <c r="CM216" s="66"/>
      <c r="CN216" s="66"/>
      <c r="CO216" s="66"/>
      <c r="CP216" s="66"/>
      <c r="CQ216" s="66"/>
      <c r="CR216" s="66"/>
      <c r="CS216" s="66"/>
      <c r="CT216" s="66"/>
      <c r="CU216" s="66"/>
      <c r="CV216" s="66"/>
      <c r="CW216" s="66"/>
      <c r="CX216" s="66"/>
      <c r="CY216" s="66"/>
      <c r="CZ216" s="66"/>
      <c r="DA216" s="66"/>
      <c r="DB216" s="66"/>
      <c r="DC216" s="66"/>
      <c r="DD216" s="66"/>
      <c r="DE216" s="66"/>
      <c r="DF216" s="66"/>
      <c r="DG216" s="66"/>
      <c r="DH216" s="66"/>
      <c r="DI216" s="66"/>
      <c r="DJ216" s="66"/>
      <c r="DK216" s="66"/>
      <c r="DL216" s="66"/>
      <c r="DM216" s="66"/>
      <c r="DN216" s="66"/>
      <c r="DO216" s="66"/>
      <c r="DP216" s="66"/>
      <c r="HB216" s="68"/>
      <c r="HC216" s="68"/>
      <c r="HD216" s="68"/>
      <c r="HE216" s="68"/>
      <c r="HF216" s="68"/>
      <c r="HG216" s="68"/>
      <c r="HH216" s="68"/>
      <c r="HI216" s="68"/>
      <c r="HJ216" s="68"/>
      <c r="HK216" s="68"/>
      <c r="HL216" s="68"/>
      <c r="HM216" s="68"/>
      <c r="HN216" s="68"/>
      <c r="HO216" s="68"/>
      <c r="HP216" s="68"/>
      <c r="HQ216" s="68"/>
      <c r="HR216" s="68"/>
      <c r="HS216" s="68"/>
      <c r="HT216" s="68"/>
      <c r="HU216" s="68"/>
      <c r="HV216" s="68"/>
      <c r="HW216" s="68"/>
      <c r="HX216" s="68"/>
      <c r="HY216" s="68"/>
      <c r="HZ216" s="68"/>
      <c r="IA216" s="68"/>
      <c r="IB216" s="68"/>
      <c r="IC216" s="68"/>
      <c r="ID216" s="68"/>
      <c r="IE216" s="68"/>
      <c r="IF216" s="68"/>
      <c r="IG216" s="68"/>
      <c r="IH216" s="68"/>
      <c r="II216" s="68"/>
      <c r="IJ216" s="68"/>
      <c r="IK216" s="68"/>
      <c r="IL216" s="68"/>
      <c r="IM216" s="68"/>
      <c r="IN216" s="68"/>
      <c r="IO216" s="68"/>
      <c r="IP216" s="68"/>
      <c r="IQ216" s="68"/>
      <c r="IR216" s="68"/>
      <c r="IS216" s="68"/>
      <c r="IT216" s="68"/>
      <c r="IU216" s="68"/>
      <c r="IV216" s="68"/>
      <c r="IW216" s="68"/>
      <c r="IX216" s="68"/>
      <c r="IY216" s="68"/>
    </row>
    <row r="217" spans="2:259" s="64" customFormat="1" hidden="1" x14ac:dyDescent="0.3"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  <c r="AV217" s="68"/>
      <c r="AW217" s="68"/>
      <c r="AX217" s="68"/>
      <c r="AY217" s="68"/>
      <c r="AZ217" s="68"/>
      <c r="BA217" s="68"/>
      <c r="BB217" s="67"/>
      <c r="BC217" s="67"/>
      <c r="BD217" s="67"/>
      <c r="BE217" s="67"/>
      <c r="BF217" s="67"/>
      <c r="BG217" s="67"/>
      <c r="BH217" s="67"/>
      <c r="BI217" s="67"/>
      <c r="BJ217" s="67"/>
      <c r="BK217" s="67"/>
      <c r="BL217" s="67"/>
      <c r="BM217" s="66"/>
      <c r="BN217" s="66"/>
      <c r="BO217" s="66"/>
      <c r="BP217" s="66"/>
      <c r="BQ217" s="66"/>
      <c r="BR217" s="66"/>
      <c r="BS217" s="66"/>
      <c r="BT217" s="66"/>
      <c r="BU217" s="66"/>
      <c r="BV217" s="66"/>
      <c r="BW217" s="66"/>
      <c r="BX217" s="66"/>
      <c r="BY217" s="66"/>
      <c r="BZ217" s="66"/>
      <c r="CA217" s="66"/>
      <c r="CB217" s="66"/>
      <c r="CC217" s="66"/>
      <c r="CD217" s="66"/>
      <c r="CE217" s="66"/>
      <c r="CF217" s="435"/>
      <c r="CG217" s="66"/>
      <c r="CH217" s="66"/>
      <c r="CI217" s="66"/>
      <c r="CJ217" s="66"/>
      <c r="CK217" s="66"/>
      <c r="CL217" s="66"/>
      <c r="CM217" s="66"/>
      <c r="CN217" s="66"/>
      <c r="CO217" s="66"/>
      <c r="CP217" s="66"/>
      <c r="CQ217" s="66"/>
      <c r="CR217" s="66"/>
      <c r="CS217" s="66"/>
      <c r="CT217" s="66"/>
      <c r="CU217" s="66"/>
      <c r="CV217" s="66"/>
      <c r="CW217" s="66"/>
      <c r="CX217" s="66"/>
      <c r="CY217" s="66"/>
      <c r="CZ217" s="66"/>
      <c r="DA217" s="66"/>
      <c r="DB217" s="66"/>
      <c r="DC217" s="66"/>
      <c r="DD217" s="66"/>
      <c r="DE217" s="66"/>
      <c r="DF217" s="66"/>
      <c r="DG217" s="66"/>
      <c r="DH217" s="66"/>
      <c r="DI217" s="66"/>
      <c r="DJ217" s="66"/>
      <c r="DK217" s="66"/>
      <c r="DL217" s="66"/>
      <c r="DM217" s="66"/>
      <c r="DN217" s="66"/>
      <c r="DO217" s="66"/>
      <c r="DP217" s="66"/>
      <c r="HB217" s="68"/>
      <c r="HC217" s="68"/>
      <c r="HD217" s="68"/>
      <c r="HE217" s="68"/>
      <c r="HF217" s="68"/>
      <c r="HG217" s="68"/>
      <c r="HH217" s="68"/>
      <c r="HI217" s="68"/>
      <c r="HJ217" s="68"/>
      <c r="HK217" s="68"/>
      <c r="HL217" s="68"/>
      <c r="HM217" s="68"/>
      <c r="HN217" s="68"/>
      <c r="HO217" s="68"/>
      <c r="HP217" s="68"/>
      <c r="HQ217" s="68"/>
      <c r="HR217" s="68"/>
      <c r="HS217" s="68"/>
      <c r="HT217" s="68"/>
      <c r="HU217" s="68"/>
      <c r="HV217" s="68"/>
      <c r="HW217" s="68"/>
      <c r="HX217" s="68"/>
      <c r="HY217" s="68"/>
      <c r="HZ217" s="68"/>
      <c r="IA217" s="68"/>
      <c r="IB217" s="68"/>
      <c r="IC217" s="68"/>
      <c r="ID217" s="68"/>
      <c r="IE217" s="68"/>
      <c r="IF217" s="68"/>
      <c r="IG217" s="68"/>
      <c r="IH217" s="68"/>
      <c r="II217" s="68"/>
      <c r="IJ217" s="68"/>
      <c r="IK217" s="68"/>
      <c r="IL217" s="68"/>
      <c r="IM217" s="68"/>
      <c r="IN217" s="68"/>
      <c r="IO217" s="68"/>
      <c r="IP217" s="68"/>
      <c r="IQ217" s="68"/>
      <c r="IR217" s="68"/>
      <c r="IS217" s="68"/>
      <c r="IT217" s="68"/>
      <c r="IU217" s="68"/>
      <c r="IV217" s="68"/>
      <c r="IW217" s="68"/>
      <c r="IX217" s="68"/>
      <c r="IY217" s="68"/>
    </row>
    <row r="218" spans="2:259" s="64" customFormat="1" hidden="1" x14ac:dyDescent="0.3"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  <c r="AV218" s="68"/>
      <c r="AW218" s="68"/>
      <c r="AX218" s="68"/>
      <c r="AY218" s="68"/>
      <c r="AZ218" s="68"/>
      <c r="BA218" s="68"/>
      <c r="BB218" s="67"/>
      <c r="BC218" s="67"/>
      <c r="BD218" s="67"/>
      <c r="BE218" s="67"/>
      <c r="BF218" s="67"/>
      <c r="BG218" s="67"/>
      <c r="BH218" s="67"/>
      <c r="BI218" s="67"/>
      <c r="BJ218" s="67"/>
      <c r="BK218" s="67"/>
      <c r="BL218" s="67"/>
      <c r="BM218" s="66"/>
      <c r="BN218" s="66"/>
      <c r="BO218" s="66"/>
      <c r="BP218" s="66"/>
      <c r="BQ218" s="66"/>
      <c r="BR218" s="66"/>
      <c r="BS218" s="66"/>
      <c r="BT218" s="66"/>
      <c r="BU218" s="66"/>
      <c r="BV218" s="66"/>
      <c r="BW218" s="66"/>
      <c r="BX218" s="66"/>
      <c r="BY218" s="66"/>
      <c r="BZ218" s="66"/>
      <c r="CA218" s="66"/>
      <c r="CB218" s="66"/>
      <c r="CC218" s="66"/>
      <c r="CD218" s="66"/>
      <c r="CE218" s="66"/>
      <c r="CF218" s="435"/>
      <c r="CG218" s="66"/>
      <c r="CH218" s="66"/>
      <c r="CI218" s="66"/>
      <c r="CJ218" s="66"/>
      <c r="CK218" s="66"/>
      <c r="CL218" s="66"/>
      <c r="CM218" s="66"/>
      <c r="CN218" s="66"/>
      <c r="CO218" s="66"/>
      <c r="CP218" s="66"/>
      <c r="CQ218" s="66"/>
      <c r="CR218" s="66"/>
      <c r="CS218" s="66"/>
      <c r="CT218" s="66"/>
      <c r="CU218" s="66"/>
      <c r="CV218" s="66"/>
      <c r="CW218" s="66"/>
      <c r="CX218" s="66"/>
      <c r="CY218" s="66"/>
      <c r="CZ218" s="66"/>
      <c r="DA218" s="66"/>
      <c r="DB218" s="66"/>
      <c r="DC218" s="66"/>
      <c r="DD218" s="66"/>
      <c r="DE218" s="66"/>
      <c r="DF218" s="66"/>
      <c r="DG218" s="66"/>
      <c r="DH218" s="66"/>
      <c r="DI218" s="66"/>
      <c r="DJ218" s="66"/>
      <c r="DK218" s="66"/>
      <c r="DL218" s="66"/>
      <c r="DM218" s="66"/>
      <c r="DN218" s="66"/>
      <c r="DO218" s="66"/>
      <c r="DP218" s="66"/>
      <c r="HB218" s="68"/>
      <c r="HC218" s="68"/>
      <c r="HD218" s="68"/>
      <c r="HE218" s="68"/>
      <c r="HF218" s="68"/>
      <c r="HG218" s="68"/>
      <c r="HH218" s="68"/>
      <c r="HI218" s="68"/>
      <c r="HJ218" s="68"/>
      <c r="HK218" s="68"/>
      <c r="HL218" s="68"/>
      <c r="HM218" s="68"/>
      <c r="HN218" s="68"/>
      <c r="HO218" s="68"/>
      <c r="HP218" s="68"/>
      <c r="HQ218" s="68"/>
      <c r="HR218" s="68"/>
      <c r="HS218" s="68"/>
      <c r="HT218" s="68"/>
      <c r="HU218" s="68"/>
      <c r="HV218" s="68"/>
      <c r="HW218" s="68"/>
      <c r="HX218" s="68"/>
      <c r="HY218" s="68"/>
      <c r="HZ218" s="68"/>
      <c r="IA218" s="68"/>
      <c r="IB218" s="68"/>
      <c r="IC218" s="68"/>
      <c r="ID218" s="68"/>
      <c r="IE218" s="68"/>
      <c r="IF218" s="68"/>
      <c r="IG218" s="68"/>
      <c r="IH218" s="68"/>
      <c r="II218" s="68"/>
      <c r="IJ218" s="68"/>
      <c r="IK218" s="68"/>
      <c r="IL218" s="68"/>
      <c r="IM218" s="68"/>
      <c r="IN218" s="68"/>
      <c r="IO218" s="68"/>
      <c r="IP218" s="68"/>
      <c r="IQ218" s="68"/>
      <c r="IR218" s="68"/>
      <c r="IS218" s="68"/>
      <c r="IT218" s="68"/>
      <c r="IU218" s="68"/>
      <c r="IV218" s="68"/>
      <c r="IW218" s="68"/>
      <c r="IX218" s="68"/>
      <c r="IY218" s="68"/>
    </row>
    <row r="219" spans="2:259" s="64" customFormat="1" hidden="1" x14ac:dyDescent="0.3"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  <c r="AV219" s="68"/>
      <c r="AW219" s="68"/>
      <c r="AX219" s="68"/>
      <c r="AY219" s="68"/>
      <c r="AZ219" s="68"/>
      <c r="BA219" s="68"/>
      <c r="BB219" s="67"/>
      <c r="BC219" s="67"/>
      <c r="BD219" s="67"/>
      <c r="BE219" s="67"/>
      <c r="BF219" s="67"/>
      <c r="BG219" s="67"/>
      <c r="BH219" s="67"/>
      <c r="BI219" s="67"/>
      <c r="BJ219" s="67"/>
      <c r="BK219" s="67"/>
      <c r="BL219" s="67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  <c r="CD219" s="66"/>
      <c r="CE219" s="66"/>
      <c r="CF219" s="435"/>
      <c r="CG219" s="66"/>
      <c r="CH219" s="66"/>
      <c r="CI219" s="66"/>
      <c r="CJ219" s="66"/>
      <c r="CK219" s="66"/>
      <c r="CL219" s="66"/>
      <c r="CM219" s="66"/>
      <c r="CN219" s="66"/>
      <c r="CO219" s="66"/>
      <c r="CP219" s="66"/>
      <c r="CQ219" s="66"/>
      <c r="CR219" s="66"/>
      <c r="CS219" s="66"/>
      <c r="CT219" s="66"/>
      <c r="CU219" s="66"/>
      <c r="CV219" s="66"/>
      <c r="CW219" s="66"/>
      <c r="CX219" s="66"/>
      <c r="CY219" s="66"/>
      <c r="CZ219" s="66"/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/>
      <c r="DL219" s="66"/>
      <c r="DM219" s="66"/>
      <c r="DN219" s="66"/>
      <c r="DO219" s="66"/>
      <c r="DP219" s="66"/>
      <c r="HB219" s="68"/>
      <c r="HC219" s="68"/>
      <c r="HD219" s="68"/>
      <c r="HE219" s="68"/>
      <c r="HF219" s="68"/>
      <c r="HG219" s="68"/>
      <c r="HH219" s="68"/>
      <c r="HI219" s="68"/>
      <c r="HJ219" s="68"/>
      <c r="HK219" s="68"/>
      <c r="HL219" s="68"/>
      <c r="HM219" s="68"/>
      <c r="HN219" s="68"/>
      <c r="HO219" s="68"/>
      <c r="HP219" s="68"/>
      <c r="HQ219" s="68"/>
      <c r="HR219" s="68"/>
      <c r="HS219" s="68"/>
      <c r="HT219" s="68"/>
      <c r="HU219" s="68"/>
      <c r="HV219" s="68"/>
      <c r="HW219" s="68"/>
      <c r="HX219" s="68"/>
      <c r="HY219" s="68"/>
      <c r="HZ219" s="68"/>
      <c r="IA219" s="68"/>
      <c r="IB219" s="68"/>
      <c r="IC219" s="68"/>
      <c r="ID219" s="68"/>
      <c r="IE219" s="68"/>
      <c r="IF219" s="68"/>
      <c r="IG219" s="68"/>
      <c r="IH219" s="68"/>
      <c r="II219" s="68"/>
      <c r="IJ219" s="68"/>
      <c r="IK219" s="68"/>
      <c r="IL219" s="68"/>
      <c r="IM219" s="68"/>
      <c r="IN219" s="68"/>
      <c r="IO219" s="68"/>
      <c r="IP219" s="68"/>
      <c r="IQ219" s="68"/>
      <c r="IR219" s="68"/>
      <c r="IS219" s="68"/>
      <c r="IT219" s="68"/>
      <c r="IU219" s="68"/>
      <c r="IV219" s="68"/>
      <c r="IW219" s="68"/>
      <c r="IX219" s="68"/>
      <c r="IY219" s="68"/>
    </row>
    <row r="220" spans="2:259" hidden="1" x14ac:dyDescent="0.3"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  <c r="AV220" s="68"/>
      <c r="AW220" s="68"/>
      <c r="AX220" s="68"/>
      <c r="AY220" s="68"/>
      <c r="AZ220" s="68"/>
      <c r="BA220" s="68"/>
      <c r="BB220" s="67"/>
      <c r="BC220" s="67"/>
      <c r="BD220" s="67"/>
      <c r="BE220" s="67"/>
      <c r="BF220" s="67"/>
      <c r="BG220" s="67"/>
      <c r="BH220" s="67"/>
      <c r="BI220" s="67"/>
      <c r="BJ220" s="67"/>
      <c r="BK220" s="67"/>
      <c r="BL220" s="67"/>
      <c r="HB220" s="68"/>
      <c r="HC220" s="68"/>
      <c r="HD220" s="68"/>
      <c r="HE220" s="68"/>
      <c r="HF220" s="68"/>
      <c r="HG220" s="68"/>
      <c r="HH220" s="68"/>
      <c r="HI220" s="68"/>
      <c r="HJ220" s="68"/>
      <c r="HK220" s="68"/>
      <c r="HL220" s="68"/>
      <c r="HM220" s="68"/>
      <c r="HP220" s="68"/>
      <c r="HQ220" s="68"/>
      <c r="HR220" s="68"/>
      <c r="HS220" s="68"/>
      <c r="HT220" s="68"/>
      <c r="HU220" s="68"/>
      <c r="HV220" s="68"/>
      <c r="HW220" s="68"/>
      <c r="HX220" s="68"/>
      <c r="HY220" s="68"/>
      <c r="HZ220" s="68"/>
      <c r="IA220" s="68"/>
      <c r="IB220" s="68"/>
      <c r="IC220" s="68"/>
      <c r="ID220" s="68"/>
      <c r="IE220" s="68"/>
      <c r="IF220" s="68"/>
      <c r="IG220" s="68"/>
      <c r="IH220" s="68"/>
      <c r="II220" s="68"/>
      <c r="IJ220" s="68"/>
      <c r="IK220" s="68"/>
      <c r="IL220" s="68"/>
      <c r="IM220" s="68"/>
      <c r="IN220" s="68"/>
      <c r="IO220" s="68"/>
      <c r="IP220" s="68"/>
      <c r="IQ220" s="68"/>
      <c r="IR220" s="68"/>
      <c r="IS220" s="68"/>
      <c r="IT220" s="68"/>
      <c r="IU220" s="68"/>
      <c r="IV220" s="68"/>
      <c r="IW220" s="68"/>
      <c r="IX220" s="68"/>
      <c r="IY220" s="68"/>
    </row>
    <row r="221" spans="2:259" hidden="1" x14ac:dyDescent="0.3"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  <c r="AV221" s="68"/>
      <c r="AW221" s="68"/>
      <c r="AX221" s="68"/>
      <c r="AY221" s="68"/>
      <c r="AZ221" s="68"/>
      <c r="BA221" s="68"/>
      <c r="BB221" s="67"/>
      <c r="BC221" s="67"/>
      <c r="BD221" s="67"/>
      <c r="BE221" s="67"/>
      <c r="BF221" s="67"/>
      <c r="BG221" s="67"/>
      <c r="BH221" s="67"/>
      <c r="BI221" s="67"/>
      <c r="BJ221" s="67"/>
      <c r="BK221" s="67"/>
      <c r="BL221" s="67"/>
      <c r="HB221" s="68"/>
      <c r="HC221" s="68"/>
      <c r="HD221" s="68"/>
      <c r="HE221" s="68"/>
      <c r="HF221" s="68"/>
      <c r="HG221" s="68"/>
      <c r="HH221" s="68"/>
      <c r="HI221" s="68"/>
      <c r="HJ221" s="68"/>
      <c r="HK221" s="68"/>
      <c r="HL221" s="68"/>
      <c r="HM221" s="68"/>
      <c r="HP221" s="68"/>
      <c r="HQ221" s="68"/>
      <c r="HR221" s="68"/>
      <c r="HS221" s="68"/>
      <c r="HT221" s="68"/>
      <c r="HU221" s="68"/>
      <c r="HV221" s="68"/>
      <c r="HW221" s="68"/>
      <c r="HX221" s="68"/>
      <c r="HY221" s="68"/>
      <c r="HZ221" s="68"/>
      <c r="IA221" s="68"/>
      <c r="IB221" s="68"/>
      <c r="IC221" s="68"/>
      <c r="ID221" s="68"/>
      <c r="IE221" s="68"/>
      <c r="IF221" s="68"/>
      <c r="IG221" s="68"/>
      <c r="IH221" s="68"/>
      <c r="II221" s="68"/>
      <c r="IJ221" s="68"/>
      <c r="IK221" s="68"/>
      <c r="IL221" s="68"/>
      <c r="IM221" s="68"/>
      <c r="IN221" s="68"/>
      <c r="IO221" s="68"/>
      <c r="IP221" s="68"/>
      <c r="IQ221" s="68"/>
      <c r="IR221" s="68"/>
      <c r="IS221" s="68"/>
      <c r="IT221" s="68"/>
      <c r="IU221" s="68"/>
      <c r="IV221" s="68"/>
      <c r="IW221" s="68"/>
      <c r="IX221" s="68"/>
      <c r="IY221" s="68"/>
    </row>
    <row r="222" spans="2:259" hidden="1" x14ac:dyDescent="0.3"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  <c r="AV222" s="68"/>
      <c r="AW222" s="68"/>
      <c r="AX222" s="68"/>
      <c r="AY222" s="68"/>
      <c r="AZ222" s="68"/>
      <c r="BA222" s="68"/>
      <c r="BB222" s="67"/>
      <c r="BC222" s="67"/>
      <c r="BD222" s="67"/>
      <c r="BE222" s="67"/>
      <c r="BF222" s="67"/>
      <c r="BG222" s="67"/>
      <c r="BH222" s="67"/>
      <c r="BI222" s="67"/>
      <c r="BJ222" s="67"/>
      <c r="BK222" s="67"/>
      <c r="BL222" s="67"/>
      <c r="HB222" s="68"/>
      <c r="HC222" s="68"/>
      <c r="HD222" s="68"/>
      <c r="HE222" s="68"/>
      <c r="HF222" s="68"/>
      <c r="HG222" s="68"/>
      <c r="HH222" s="68"/>
      <c r="HI222" s="68"/>
      <c r="HJ222" s="68"/>
      <c r="HK222" s="68"/>
      <c r="HL222" s="68"/>
      <c r="HM222" s="68"/>
      <c r="HP222" s="68"/>
      <c r="HQ222" s="68"/>
      <c r="HR222" s="68"/>
      <c r="HS222" s="68"/>
      <c r="HT222" s="68"/>
      <c r="HU222" s="68"/>
      <c r="HV222" s="68"/>
      <c r="HW222" s="68"/>
      <c r="HX222" s="68"/>
      <c r="HY222" s="68"/>
      <c r="HZ222" s="68"/>
      <c r="IA222" s="68"/>
      <c r="IB222" s="68"/>
      <c r="IC222" s="68"/>
      <c r="ID222" s="68"/>
      <c r="IE222" s="68"/>
      <c r="IF222" s="68"/>
      <c r="IG222" s="68"/>
      <c r="IH222" s="68"/>
      <c r="II222" s="68"/>
      <c r="IJ222" s="68"/>
      <c r="IK222" s="68"/>
      <c r="IL222" s="68"/>
      <c r="IM222" s="68"/>
      <c r="IN222" s="68"/>
      <c r="IO222" s="68"/>
      <c r="IP222" s="68"/>
      <c r="IQ222" s="68"/>
      <c r="IR222" s="68"/>
      <c r="IS222" s="68"/>
      <c r="IT222" s="68"/>
      <c r="IU222" s="68"/>
      <c r="IV222" s="68"/>
      <c r="IW222" s="68"/>
      <c r="IX222" s="68"/>
      <c r="IY222" s="68"/>
    </row>
    <row r="223" spans="2:259" hidden="1" x14ac:dyDescent="0.3"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  <c r="AV223" s="68"/>
      <c r="AW223" s="68"/>
      <c r="AX223" s="68"/>
      <c r="AY223" s="68"/>
      <c r="AZ223" s="68"/>
      <c r="BA223" s="68"/>
      <c r="BB223" s="67"/>
      <c r="BC223" s="67"/>
      <c r="BD223" s="67"/>
      <c r="BE223" s="67"/>
      <c r="BF223" s="67"/>
      <c r="BG223" s="67"/>
      <c r="BH223" s="67"/>
      <c r="BI223" s="67"/>
      <c r="BJ223" s="67"/>
      <c r="BK223" s="67"/>
      <c r="BL223" s="67"/>
      <c r="HB223" s="68"/>
      <c r="HC223" s="68"/>
      <c r="HD223" s="68"/>
      <c r="HE223" s="68"/>
      <c r="HF223" s="68"/>
      <c r="HG223" s="68"/>
      <c r="HH223" s="68"/>
      <c r="HI223" s="68"/>
      <c r="HJ223" s="68"/>
      <c r="HK223" s="68"/>
      <c r="HL223" s="68"/>
      <c r="HM223" s="68"/>
      <c r="HP223" s="68"/>
      <c r="HQ223" s="68"/>
      <c r="HR223" s="68"/>
      <c r="HS223" s="68"/>
      <c r="HT223" s="68"/>
      <c r="HU223" s="68"/>
      <c r="HV223" s="68"/>
      <c r="HW223" s="68"/>
      <c r="HX223" s="68"/>
      <c r="HY223" s="68"/>
      <c r="HZ223" s="68"/>
      <c r="IA223" s="68"/>
      <c r="IB223" s="68"/>
      <c r="IC223" s="68"/>
      <c r="ID223" s="68"/>
      <c r="IE223" s="68"/>
      <c r="IF223" s="68"/>
      <c r="IG223" s="68"/>
      <c r="IH223" s="68"/>
      <c r="II223" s="68"/>
      <c r="IJ223" s="68"/>
      <c r="IK223" s="68"/>
      <c r="IL223" s="68"/>
      <c r="IM223" s="68"/>
      <c r="IN223" s="68"/>
      <c r="IO223" s="68"/>
      <c r="IP223" s="68"/>
      <c r="IQ223" s="68"/>
      <c r="IR223" s="68"/>
      <c r="IS223" s="68"/>
      <c r="IT223" s="68"/>
      <c r="IU223" s="68"/>
      <c r="IV223" s="68"/>
      <c r="IW223" s="68"/>
      <c r="IX223" s="68"/>
      <c r="IY223" s="68"/>
    </row>
    <row r="224" spans="2:259" hidden="1" x14ac:dyDescent="0.3"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  <c r="AV224" s="68"/>
      <c r="AW224" s="68"/>
      <c r="AX224" s="68"/>
      <c r="AY224" s="68"/>
      <c r="AZ224" s="68"/>
      <c r="BA224" s="68"/>
      <c r="BB224" s="67"/>
      <c r="BC224" s="67"/>
      <c r="BD224" s="67"/>
      <c r="BE224" s="67"/>
      <c r="BF224" s="67"/>
      <c r="BG224" s="67"/>
      <c r="BH224" s="67"/>
      <c r="BI224" s="67"/>
      <c r="BJ224" s="67"/>
      <c r="BK224" s="67"/>
      <c r="BL224" s="67"/>
      <c r="HB224" s="68"/>
      <c r="HC224" s="68"/>
      <c r="HD224" s="68"/>
      <c r="HE224" s="68"/>
      <c r="HF224" s="68"/>
      <c r="HG224" s="68"/>
      <c r="HH224" s="68"/>
      <c r="HI224" s="68"/>
      <c r="HJ224" s="68"/>
      <c r="HK224" s="68"/>
      <c r="HL224" s="68"/>
      <c r="HM224" s="68"/>
      <c r="HP224" s="68"/>
      <c r="HQ224" s="68"/>
      <c r="HR224" s="68"/>
      <c r="HS224" s="68"/>
      <c r="HT224" s="68"/>
      <c r="HU224" s="68"/>
      <c r="HV224" s="68"/>
      <c r="HW224" s="68"/>
      <c r="HX224" s="68"/>
      <c r="HY224" s="68"/>
      <c r="HZ224" s="68"/>
      <c r="IA224" s="68"/>
      <c r="IB224" s="68"/>
      <c r="IC224" s="68"/>
      <c r="ID224" s="68"/>
      <c r="IE224" s="68"/>
      <c r="IF224" s="68"/>
      <c r="IG224" s="68"/>
      <c r="IH224" s="68"/>
      <c r="II224" s="68"/>
      <c r="IJ224" s="68"/>
      <c r="IK224" s="68"/>
      <c r="IL224" s="68"/>
      <c r="IM224" s="68"/>
      <c r="IN224" s="68"/>
      <c r="IO224" s="68"/>
      <c r="IP224" s="68"/>
      <c r="IQ224" s="68"/>
      <c r="IR224" s="68"/>
      <c r="IS224" s="68"/>
      <c r="IT224" s="68"/>
      <c r="IU224" s="68"/>
      <c r="IV224" s="68"/>
      <c r="IW224" s="68"/>
      <c r="IX224" s="68"/>
      <c r="IY224" s="68"/>
    </row>
    <row r="225" spans="2:259" hidden="1" x14ac:dyDescent="0.3"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  <c r="AV225" s="68"/>
      <c r="AW225" s="68"/>
      <c r="AX225" s="68"/>
      <c r="AY225" s="68"/>
      <c r="AZ225" s="68"/>
      <c r="BA225" s="68"/>
      <c r="BB225" s="67"/>
      <c r="BC225" s="67"/>
      <c r="BD225" s="67"/>
      <c r="BE225" s="67"/>
      <c r="BF225" s="67"/>
      <c r="BG225" s="67"/>
      <c r="BH225" s="67"/>
      <c r="BI225" s="67"/>
      <c r="BJ225" s="67"/>
      <c r="BK225" s="67"/>
      <c r="BL225" s="67"/>
      <c r="HB225" s="68"/>
      <c r="HC225" s="68"/>
      <c r="HD225" s="68"/>
      <c r="HE225" s="68"/>
      <c r="HF225" s="68"/>
      <c r="HG225" s="68"/>
      <c r="HH225" s="68"/>
      <c r="HI225" s="68"/>
      <c r="HJ225" s="68"/>
      <c r="HK225" s="68"/>
      <c r="HL225" s="68"/>
      <c r="HM225" s="68"/>
      <c r="HP225" s="68"/>
      <c r="HQ225" s="68"/>
      <c r="HR225" s="68"/>
      <c r="HS225" s="68"/>
      <c r="HT225" s="68"/>
      <c r="HU225" s="68"/>
      <c r="HV225" s="68"/>
      <c r="HW225" s="68"/>
      <c r="HX225" s="68"/>
      <c r="HY225" s="68"/>
      <c r="HZ225" s="68"/>
      <c r="IA225" s="68"/>
      <c r="IB225" s="68"/>
      <c r="IC225" s="68"/>
      <c r="ID225" s="68"/>
      <c r="IE225" s="68"/>
      <c r="IF225" s="68"/>
      <c r="IG225" s="68"/>
      <c r="IH225" s="68"/>
      <c r="II225" s="68"/>
      <c r="IJ225" s="68"/>
      <c r="IK225" s="68"/>
      <c r="IL225" s="68"/>
      <c r="IM225" s="68"/>
      <c r="IN225" s="68"/>
      <c r="IO225" s="68"/>
      <c r="IP225" s="68"/>
      <c r="IQ225" s="68"/>
      <c r="IR225" s="68"/>
      <c r="IS225" s="68"/>
      <c r="IT225" s="68"/>
      <c r="IU225" s="68"/>
      <c r="IV225" s="68"/>
      <c r="IW225" s="68"/>
      <c r="IX225" s="68"/>
      <c r="IY225" s="68"/>
    </row>
    <row r="226" spans="2:259" hidden="1" x14ac:dyDescent="0.3"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  <c r="AV226" s="68"/>
      <c r="AW226" s="68"/>
      <c r="AX226" s="68"/>
      <c r="AY226" s="68"/>
      <c r="AZ226" s="68"/>
      <c r="BA226" s="68"/>
      <c r="BB226" s="67"/>
      <c r="BC226" s="67"/>
      <c r="BD226" s="67"/>
      <c r="BE226" s="67"/>
      <c r="BF226" s="67"/>
      <c r="BG226" s="67"/>
      <c r="BH226" s="67"/>
      <c r="BI226" s="67"/>
      <c r="BJ226" s="67"/>
      <c r="BK226" s="67"/>
      <c r="BL226" s="67"/>
      <c r="HB226" s="68"/>
      <c r="HC226" s="68"/>
      <c r="HD226" s="68"/>
      <c r="HE226" s="68"/>
      <c r="HF226" s="68"/>
      <c r="HG226" s="68"/>
      <c r="HH226" s="68"/>
      <c r="HI226" s="68"/>
      <c r="HJ226" s="68"/>
      <c r="HK226" s="68"/>
      <c r="HL226" s="68"/>
      <c r="HM226" s="68"/>
      <c r="HP226" s="68"/>
      <c r="HQ226" s="68"/>
      <c r="HR226" s="68"/>
      <c r="HS226" s="68"/>
      <c r="HT226" s="68"/>
      <c r="HU226" s="68"/>
      <c r="HV226" s="68"/>
      <c r="HW226" s="68"/>
      <c r="HX226" s="68"/>
      <c r="HY226" s="68"/>
      <c r="HZ226" s="68"/>
      <c r="IA226" s="68"/>
      <c r="IB226" s="68"/>
      <c r="IC226" s="68"/>
      <c r="ID226" s="68"/>
      <c r="IE226" s="68"/>
      <c r="IF226" s="68"/>
      <c r="IG226" s="68"/>
      <c r="IH226" s="68"/>
      <c r="II226" s="68"/>
      <c r="IJ226" s="68"/>
      <c r="IK226" s="68"/>
      <c r="IL226" s="68"/>
      <c r="IM226" s="68"/>
      <c r="IN226" s="68"/>
      <c r="IO226" s="68"/>
      <c r="IP226" s="68"/>
      <c r="IQ226" s="68"/>
      <c r="IR226" s="68"/>
      <c r="IS226" s="68"/>
      <c r="IT226" s="68"/>
      <c r="IU226" s="68"/>
      <c r="IV226" s="68"/>
      <c r="IW226" s="68"/>
      <c r="IX226" s="68"/>
      <c r="IY226" s="68"/>
    </row>
    <row r="227" spans="2:259" hidden="1" x14ac:dyDescent="0.3"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  <c r="AV227" s="68"/>
      <c r="AW227" s="68"/>
      <c r="AX227" s="68"/>
      <c r="AY227" s="68"/>
      <c r="AZ227" s="68"/>
      <c r="BA227" s="68"/>
      <c r="BB227" s="67"/>
      <c r="BC227" s="67"/>
      <c r="BD227" s="67"/>
      <c r="BE227" s="67"/>
      <c r="BF227" s="67"/>
      <c r="BG227" s="67"/>
      <c r="BH227" s="67"/>
      <c r="BI227" s="67"/>
      <c r="BJ227" s="67"/>
      <c r="BK227" s="67"/>
      <c r="BL227" s="67"/>
      <c r="HB227" s="68"/>
      <c r="HC227" s="68"/>
      <c r="HD227" s="68"/>
      <c r="HE227" s="68"/>
      <c r="HF227" s="68"/>
      <c r="HG227" s="68"/>
      <c r="HH227" s="68"/>
      <c r="HI227" s="68"/>
      <c r="HJ227" s="68"/>
      <c r="HK227" s="68"/>
      <c r="HL227" s="68"/>
      <c r="HM227" s="68"/>
      <c r="HP227" s="68"/>
      <c r="HQ227" s="68"/>
      <c r="HR227" s="68"/>
      <c r="HS227" s="68"/>
      <c r="HT227" s="68"/>
      <c r="HU227" s="68"/>
      <c r="HV227" s="68"/>
      <c r="HW227" s="68"/>
      <c r="HX227" s="68"/>
      <c r="HY227" s="68"/>
      <c r="HZ227" s="68"/>
      <c r="IA227" s="68"/>
      <c r="IB227" s="68"/>
      <c r="IC227" s="68"/>
      <c r="ID227" s="68"/>
      <c r="IE227" s="68"/>
      <c r="IF227" s="68"/>
      <c r="IG227" s="68"/>
      <c r="IH227" s="68"/>
      <c r="II227" s="68"/>
      <c r="IJ227" s="68"/>
      <c r="IK227" s="68"/>
      <c r="IL227" s="68"/>
      <c r="IM227" s="68"/>
      <c r="IN227" s="68"/>
      <c r="IO227" s="68"/>
      <c r="IP227" s="68"/>
      <c r="IQ227" s="68"/>
      <c r="IR227" s="68"/>
      <c r="IS227" s="68"/>
      <c r="IT227" s="68"/>
      <c r="IU227" s="68"/>
      <c r="IV227" s="68"/>
      <c r="IW227" s="68"/>
      <c r="IX227" s="68"/>
      <c r="IY227" s="68"/>
    </row>
    <row r="228" spans="2:259" hidden="1" x14ac:dyDescent="0.3"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  <c r="AV228" s="68"/>
      <c r="AW228" s="68"/>
      <c r="AX228" s="68"/>
      <c r="AY228" s="68"/>
      <c r="AZ228" s="68"/>
      <c r="BA228" s="68"/>
      <c r="BB228" s="67"/>
      <c r="BC228" s="67"/>
      <c r="BD228" s="67"/>
      <c r="BE228" s="67"/>
      <c r="BF228" s="67"/>
      <c r="BG228" s="67"/>
      <c r="BH228" s="67"/>
      <c r="BI228" s="67"/>
      <c r="BJ228" s="67"/>
      <c r="BK228" s="67"/>
      <c r="BL228" s="67"/>
      <c r="HB228" s="68"/>
      <c r="HC228" s="68"/>
      <c r="HD228" s="68"/>
      <c r="HE228" s="68"/>
      <c r="HF228" s="68"/>
      <c r="HG228" s="68"/>
      <c r="HH228" s="68"/>
      <c r="HI228" s="68"/>
      <c r="HJ228" s="68"/>
      <c r="HK228" s="68"/>
      <c r="HL228" s="68"/>
      <c r="HM228" s="68"/>
      <c r="HP228" s="68"/>
      <c r="HQ228" s="68"/>
      <c r="HR228" s="68"/>
      <c r="HS228" s="68"/>
      <c r="HT228" s="68"/>
      <c r="HU228" s="68"/>
      <c r="HV228" s="68"/>
      <c r="HW228" s="68"/>
      <c r="HX228" s="68"/>
      <c r="HY228" s="68"/>
      <c r="HZ228" s="68"/>
      <c r="IA228" s="68"/>
      <c r="IB228" s="68"/>
      <c r="IC228" s="68"/>
      <c r="ID228" s="68"/>
      <c r="IE228" s="68"/>
      <c r="IF228" s="68"/>
      <c r="IG228" s="68"/>
      <c r="IH228" s="68"/>
      <c r="II228" s="68"/>
      <c r="IJ228" s="68"/>
      <c r="IK228" s="68"/>
      <c r="IL228" s="68"/>
      <c r="IM228" s="68"/>
      <c r="IN228" s="68"/>
      <c r="IO228" s="68"/>
      <c r="IP228" s="68"/>
      <c r="IQ228" s="68"/>
      <c r="IR228" s="68"/>
      <c r="IS228" s="68"/>
      <c r="IT228" s="68"/>
      <c r="IU228" s="68"/>
      <c r="IV228" s="68"/>
      <c r="IW228" s="68"/>
      <c r="IX228" s="68"/>
      <c r="IY228" s="68"/>
    </row>
    <row r="229" spans="2:259" hidden="1" x14ac:dyDescent="0.3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  <c r="AV229" s="68"/>
      <c r="AW229" s="68"/>
      <c r="AX229" s="68"/>
      <c r="AY229" s="68"/>
      <c r="AZ229" s="68"/>
      <c r="BA229" s="68"/>
      <c r="BB229" s="67"/>
      <c r="BC229" s="67"/>
      <c r="BD229" s="67"/>
      <c r="BE229" s="67"/>
      <c r="BF229" s="67"/>
      <c r="BG229" s="67"/>
      <c r="BH229" s="67"/>
      <c r="BI229" s="67"/>
      <c r="BJ229" s="67"/>
      <c r="BK229" s="67"/>
      <c r="BL229" s="67"/>
      <c r="HB229" s="68"/>
      <c r="HC229" s="68"/>
      <c r="HD229" s="68"/>
      <c r="HE229" s="68"/>
      <c r="HF229" s="68"/>
      <c r="HG229" s="68"/>
      <c r="HH229" s="68"/>
      <c r="HI229" s="68"/>
      <c r="HJ229" s="68"/>
      <c r="HK229" s="68"/>
      <c r="HL229" s="68"/>
      <c r="HM229" s="68"/>
      <c r="HP229" s="68"/>
      <c r="HQ229" s="68"/>
      <c r="HR229" s="68"/>
      <c r="HS229" s="68"/>
      <c r="HT229" s="68"/>
      <c r="HU229" s="68"/>
      <c r="HV229" s="68"/>
      <c r="HW229" s="68"/>
      <c r="HX229" s="68"/>
      <c r="HY229" s="68"/>
      <c r="HZ229" s="68"/>
      <c r="IA229" s="68"/>
      <c r="IB229" s="68"/>
      <c r="IC229" s="68"/>
      <c r="ID229" s="68"/>
      <c r="IE229" s="68"/>
      <c r="IF229" s="68"/>
      <c r="IG229" s="68"/>
      <c r="IH229" s="68"/>
      <c r="II229" s="68"/>
      <c r="IJ229" s="68"/>
      <c r="IK229" s="68"/>
      <c r="IL229" s="68"/>
      <c r="IM229" s="68"/>
      <c r="IN229" s="68"/>
      <c r="IO229" s="68"/>
      <c r="IP229" s="68"/>
      <c r="IQ229" s="68"/>
      <c r="IR229" s="68"/>
      <c r="IS229" s="68"/>
      <c r="IT229" s="68"/>
      <c r="IU229" s="68"/>
      <c r="IV229" s="68"/>
      <c r="IW229" s="68"/>
      <c r="IX229" s="68"/>
      <c r="IY229" s="68"/>
    </row>
    <row r="230" spans="2:259" hidden="1" x14ac:dyDescent="0.3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7"/>
      <c r="BC230" s="67"/>
      <c r="BD230" s="67"/>
      <c r="BE230" s="67"/>
      <c r="BF230" s="67"/>
      <c r="BG230" s="67"/>
      <c r="BH230" s="67"/>
      <c r="BI230" s="67"/>
      <c r="BJ230" s="67"/>
      <c r="BK230" s="67"/>
      <c r="BL230" s="67"/>
      <c r="HB230" s="68"/>
      <c r="HC230" s="68"/>
      <c r="HD230" s="68"/>
      <c r="HE230" s="68"/>
      <c r="HF230" s="68"/>
      <c r="HG230" s="68"/>
      <c r="HH230" s="68"/>
      <c r="HI230" s="68"/>
      <c r="HJ230" s="68"/>
      <c r="HK230" s="68"/>
      <c r="HL230" s="68"/>
      <c r="HM230" s="68"/>
      <c r="HP230" s="68"/>
      <c r="HQ230" s="68"/>
      <c r="HR230" s="68"/>
      <c r="HS230" s="68"/>
      <c r="HT230" s="68"/>
      <c r="HU230" s="68"/>
      <c r="HV230" s="68"/>
      <c r="HW230" s="68"/>
      <c r="HX230" s="68"/>
      <c r="HY230" s="68"/>
      <c r="HZ230" s="68"/>
      <c r="IA230" s="68"/>
      <c r="IB230" s="68"/>
      <c r="IC230" s="68"/>
      <c r="ID230" s="68"/>
      <c r="IE230" s="68"/>
      <c r="IF230" s="68"/>
      <c r="IG230" s="68"/>
      <c r="IH230" s="68"/>
      <c r="II230" s="68"/>
      <c r="IJ230" s="68"/>
      <c r="IK230" s="68"/>
      <c r="IL230" s="68"/>
      <c r="IM230" s="68"/>
      <c r="IN230" s="68"/>
      <c r="IO230" s="68"/>
      <c r="IP230" s="68"/>
      <c r="IQ230" s="68"/>
      <c r="IR230" s="68"/>
      <c r="IS230" s="68"/>
      <c r="IT230" s="68"/>
      <c r="IU230" s="68"/>
      <c r="IV230" s="68"/>
      <c r="IW230" s="68"/>
      <c r="IX230" s="68"/>
      <c r="IY230" s="68"/>
    </row>
    <row r="231" spans="2:259" hidden="1" x14ac:dyDescent="0.3"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7"/>
      <c r="BC231" s="67"/>
      <c r="BD231" s="67"/>
      <c r="BE231" s="67"/>
      <c r="BF231" s="67"/>
      <c r="BG231" s="67"/>
      <c r="BH231" s="67"/>
      <c r="BI231" s="67"/>
      <c r="BJ231" s="67"/>
      <c r="BK231" s="67"/>
      <c r="BL231" s="67"/>
      <c r="HB231" s="68"/>
      <c r="HC231" s="68"/>
      <c r="HD231" s="68"/>
      <c r="HE231" s="68"/>
      <c r="HF231" s="68"/>
      <c r="HG231" s="68"/>
      <c r="HH231" s="68"/>
      <c r="HI231" s="68"/>
      <c r="HJ231" s="68"/>
      <c r="HK231" s="68"/>
      <c r="HL231" s="68"/>
      <c r="HM231" s="68"/>
      <c r="HP231" s="68"/>
      <c r="HQ231" s="68"/>
      <c r="HR231" s="68"/>
      <c r="HS231" s="68"/>
      <c r="HT231" s="68"/>
      <c r="HU231" s="68"/>
      <c r="HV231" s="68"/>
      <c r="HW231" s="68"/>
      <c r="HX231" s="68"/>
      <c r="HY231" s="68"/>
      <c r="HZ231" s="68"/>
      <c r="IA231" s="68"/>
      <c r="IB231" s="68"/>
      <c r="IC231" s="68"/>
      <c r="ID231" s="68"/>
      <c r="IE231" s="68"/>
      <c r="IF231" s="68"/>
      <c r="IG231" s="68"/>
      <c r="IH231" s="68"/>
      <c r="II231" s="68"/>
      <c r="IJ231" s="68"/>
      <c r="IK231" s="68"/>
      <c r="IL231" s="68"/>
      <c r="IM231" s="68"/>
      <c r="IN231" s="68"/>
      <c r="IO231" s="68"/>
      <c r="IP231" s="68"/>
      <c r="IQ231" s="68"/>
      <c r="IR231" s="68"/>
      <c r="IS231" s="68"/>
      <c r="IT231" s="68"/>
      <c r="IU231" s="68"/>
      <c r="IV231" s="68"/>
      <c r="IW231" s="68"/>
      <c r="IX231" s="68"/>
      <c r="IY231" s="68"/>
    </row>
    <row r="232" spans="2:259" hidden="1" x14ac:dyDescent="0.3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7"/>
      <c r="BC232" s="67"/>
      <c r="BD232" s="67"/>
      <c r="BE232" s="67"/>
      <c r="BF232" s="67"/>
      <c r="BG232" s="67"/>
      <c r="BH232" s="67"/>
      <c r="BI232" s="67"/>
      <c r="BJ232" s="67"/>
      <c r="BK232" s="67"/>
      <c r="BL232" s="67"/>
      <c r="HB232" s="68"/>
      <c r="HC232" s="68"/>
      <c r="HD232" s="68"/>
      <c r="HE232" s="68"/>
      <c r="HF232" s="68"/>
      <c r="HG232" s="68"/>
      <c r="HH232" s="68"/>
      <c r="HI232" s="68"/>
      <c r="HJ232" s="68"/>
      <c r="HK232" s="68"/>
      <c r="HL232" s="68"/>
      <c r="HM232" s="68"/>
      <c r="HP232" s="68"/>
      <c r="HQ232" s="68"/>
      <c r="HR232" s="68"/>
      <c r="HS232" s="68"/>
      <c r="HT232" s="68"/>
      <c r="HU232" s="68"/>
      <c r="HV232" s="68"/>
      <c r="HW232" s="68"/>
      <c r="HX232" s="68"/>
      <c r="HY232" s="68"/>
      <c r="HZ232" s="68"/>
      <c r="IA232" s="68"/>
      <c r="IB232" s="68"/>
      <c r="IC232" s="68"/>
      <c r="ID232" s="68"/>
      <c r="IE232" s="68"/>
      <c r="IF232" s="68"/>
      <c r="IG232" s="68"/>
      <c r="IH232" s="68"/>
      <c r="II232" s="68"/>
      <c r="IJ232" s="68"/>
      <c r="IK232" s="68"/>
      <c r="IL232" s="68"/>
      <c r="IM232" s="68"/>
      <c r="IN232" s="68"/>
      <c r="IO232" s="68"/>
      <c r="IP232" s="68"/>
      <c r="IQ232" s="68"/>
      <c r="IR232" s="68"/>
      <c r="IS232" s="68"/>
      <c r="IT232" s="68"/>
      <c r="IU232" s="68"/>
      <c r="IV232" s="68"/>
      <c r="IW232" s="68"/>
      <c r="IX232" s="68"/>
      <c r="IY232" s="68"/>
    </row>
    <row r="233" spans="2:259" hidden="1" x14ac:dyDescent="0.3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7"/>
      <c r="BC233" s="67"/>
      <c r="BD233" s="67"/>
      <c r="BE233" s="67"/>
      <c r="BF233" s="67"/>
      <c r="BG233" s="67"/>
      <c r="BH233" s="67"/>
      <c r="BI233" s="67"/>
      <c r="BJ233" s="67"/>
      <c r="BK233" s="67"/>
      <c r="BL233" s="67"/>
      <c r="HB233" s="68"/>
      <c r="HC233" s="68"/>
      <c r="HD233" s="68"/>
      <c r="HE233" s="68"/>
      <c r="HF233" s="68"/>
      <c r="HG233" s="68"/>
      <c r="HH233" s="68"/>
      <c r="HI233" s="68"/>
      <c r="HJ233" s="68"/>
      <c r="HK233" s="68"/>
      <c r="HL233" s="68"/>
      <c r="HM233" s="68"/>
      <c r="HP233" s="68"/>
      <c r="HQ233" s="68"/>
      <c r="HR233" s="68"/>
      <c r="HS233" s="68"/>
      <c r="HT233" s="68"/>
      <c r="HU233" s="68"/>
      <c r="HV233" s="68"/>
      <c r="HW233" s="68"/>
      <c r="HX233" s="68"/>
      <c r="HY233" s="68"/>
      <c r="HZ233" s="68"/>
      <c r="IA233" s="68"/>
      <c r="IB233" s="68"/>
      <c r="IC233" s="68"/>
      <c r="ID233" s="68"/>
      <c r="IE233" s="68"/>
      <c r="IF233" s="68"/>
      <c r="IG233" s="68"/>
      <c r="IH233" s="68"/>
      <c r="II233" s="68"/>
      <c r="IJ233" s="68"/>
      <c r="IK233" s="68"/>
      <c r="IL233" s="68"/>
      <c r="IM233" s="68"/>
      <c r="IN233" s="68"/>
      <c r="IO233" s="68"/>
      <c r="IP233" s="68"/>
      <c r="IQ233" s="68"/>
      <c r="IR233" s="68"/>
      <c r="IS233" s="68"/>
      <c r="IT233" s="68"/>
      <c r="IU233" s="68"/>
      <c r="IV233" s="68"/>
      <c r="IW233" s="68"/>
      <c r="IX233" s="68"/>
      <c r="IY233" s="68"/>
    </row>
    <row r="234" spans="2:259" hidden="1" x14ac:dyDescent="0.3"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7"/>
      <c r="BC234" s="67"/>
      <c r="BD234" s="67"/>
      <c r="BE234" s="67"/>
      <c r="BF234" s="67"/>
      <c r="BG234" s="67"/>
      <c r="BH234" s="67"/>
      <c r="BI234" s="67"/>
      <c r="BJ234" s="67"/>
      <c r="BK234" s="67"/>
      <c r="BL234" s="67"/>
      <c r="HB234" s="68"/>
      <c r="HC234" s="68"/>
      <c r="HD234" s="68"/>
      <c r="HE234" s="68"/>
      <c r="HF234" s="68"/>
      <c r="HG234" s="68"/>
      <c r="HH234" s="68"/>
      <c r="HI234" s="68"/>
      <c r="HJ234" s="68"/>
      <c r="HK234" s="68"/>
      <c r="HL234" s="68"/>
      <c r="HM234" s="68"/>
      <c r="HP234" s="68"/>
      <c r="HQ234" s="68"/>
      <c r="HR234" s="68"/>
      <c r="HS234" s="68"/>
      <c r="HT234" s="68"/>
      <c r="HU234" s="68"/>
      <c r="HV234" s="68"/>
      <c r="HW234" s="68"/>
      <c r="HX234" s="68"/>
      <c r="HY234" s="68"/>
      <c r="HZ234" s="68"/>
      <c r="IA234" s="68"/>
      <c r="IB234" s="68"/>
      <c r="IC234" s="68"/>
      <c r="ID234" s="68"/>
      <c r="IE234" s="68"/>
      <c r="IF234" s="68"/>
      <c r="IG234" s="68"/>
      <c r="IH234" s="68"/>
      <c r="II234" s="68"/>
      <c r="IJ234" s="68"/>
      <c r="IK234" s="68"/>
      <c r="IL234" s="68"/>
      <c r="IM234" s="68"/>
      <c r="IN234" s="68"/>
      <c r="IO234" s="68"/>
      <c r="IP234" s="68"/>
      <c r="IQ234" s="68"/>
      <c r="IR234" s="68"/>
      <c r="IS234" s="68"/>
      <c r="IT234" s="68"/>
      <c r="IU234" s="68"/>
      <c r="IV234" s="68"/>
      <c r="IW234" s="68"/>
      <c r="IX234" s="68"/>
      <c r="IY234" s="68"/>
    </row>
    <row r="235" spans="2:259" hidden="1" x14ac:dyDescent="0.3"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7"/>
      <c r="BC235" s="67"/>
      <c r="BD235" s="67"/>
      <c r="BE235" s="67"/>
      <c r="BF235" s="67"/>
      <c r="BG235" s="67"/>
      <c r="BH235" s="67"/>
      <c r="BI235" s="67"/>
      <c r="BJ235" s="67"/>
      <c r="BK235" s="67"/>
      <c r="BL235" s="67"/>
      <c r="HB235" s="68"/>
      <c r="HC235" s="68"/>
      <c r="HD235" s="68"/>
      <c r="HE235" s="68"/>
      <c r="HF235" s="68"/>
      <c r="HG235" s="68"/>
      <c r="HH235" s="68"/>
      <c r="HI235" s="68"/>
      <c r="HJ235" s="68"/>
      <c r="HK235" s="68"/>
      <c r="HL235" s="68"/>
      <c r="HM235" s="68"/>
      <c r="HP235" s="68"/>
      <c r="HQ235" s="68"/>
      <c r="HR235" s="68"/>
      <c r="HS235" s="68"/>
      <c r="HT235" s="68"/>
      <c r="HU235" s="68"/>
      <c r="HV235" s="68"/>
      <c r="HW235" s="68"/>
      <c r="HX235" s="68"/>
      <c r="HY235" s="68"/>
      <c r="HZ235" s="68"/>
      <c r="IA235" s="68"/>
      <c r="IB235" s="68"/>
      <c r="IC235" s="68"/>
      <c r="ID235" s="68"/>
      <c r="IE235" s="68"/>
      <c r="IF235" s="68"/>
      <c r="IG235" s="68"/>
      <c r="IH235" s="68"/>
      <c r="II235" s="68"/>
      <c r="IJ235" s="68"/>
      <c r="IK235" s="68"/>
      <c r="IL235" s="68"/>
      <c r="IM235" s="68"/>
      <c r="IN235" s="68"/>
      <c r="IO235" s="68"/>
      <c r="IP235" s="68"/>
      <c r="IQ235" s="68"/>
      <c r="IR235" s="68"/>
      <c r="IS235" s="68"/>
      <c r="IT235" s="68"/>
      <c r="IU235" s="68"/>
      <c r="IV235" s="68"/>
      <c r="IW235" s="68"/>
      <c r="IX235" s="68"/>
      <c r="IY235" s="68"/>
    </row>
    <row r="236" spans="2:259" hidden="1" x14ac:dyDescent="0.3"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  <c r="AV236" s="68"/>
      <c r="AW236" s="68"/>
      <c r="AX236" s="68"/>
      <c r="AY236" s="68"/>
      <c r="AZ236" s="68"/>
      <c r="BA236" s="68"/>
      <c r="BB236" s="67"/>
      <c r="BC236" s="67"/>
      <c r="BD236" s="67"/>
      <c r="BE236" s="67"/>
      <c r="BF236" s="67"/>
      <c r="BG236" s="67"/>
      <c r="BH236" s="67"/>
      <c r="BI236" s="67"/>
      <c r="BJ236" s="67"/>
      <c r="BK236" s="67"/>
      <c r="BL236" s="67"/>
      <c r="HB236" s="68"/>
      <c r="HC236" s="68"/>
      <c r="HD236" s="68"/>
      <c r="HE236" s="68"/>
      <c r="HF236" s="68"/>
      <c r="HG236" s="68"/>
      <c r="HH236" s="68"/>
      <c r="HI236" s="68"/>
      <c r="HJ236" s="68"/>
      <c r="HK236" s="68"/>
      <c r="HL236" s="68"/>
      <c r="HM236" s="68"/>
      <c r="HP236" s="68"/>
      <c r="HQ236" s="68"/>
      <c r="HR236" s="68"/>
      <c r="HS236" s="68"/>
      <c r="HT236" s="68"/>
      <c r="HU236" s="68"/>
      <c r="HV236" s="68"/>
      <c r="HW236" s="68"/>
      <c r="HX236" s="68"/>
      <c r="HY236" s="68"/>
      <c r="HZ236" s="68"/>
      <c r="IA236" s="68"/>
      <c r="IB236" s="68"/>
      <c r="IC236" s="68"/>
      <c r="ID236" s="68"/>
      <c r="IE236" s="68"/>
      <c r="IF236" s="68"/>
      <c r="IG236" s="68"/>
      <c r="IH236" s="68"/>
      <c r="II236" s="68"/>
      <c r="IJ236" s="68"/>
      <c r="IK236" s="68"/>
      <c r="IL236" s="68"/>
      <c r="IM236" s="68"/>
      <c r="IN236" s="68"/>
      <c r="IO236" s="68"/>
      <c r="IP236" s="68"/>
      <c r="IQ236" s="68"/>
      <c r="IR236" s="68"/>
      <c r="IS236" s="68"/>
      <c r="IT236" s="68"/>
      <c r="IU236" s="68"/>
      <c r="IV236" s="68"/>
      <c r="IW236" s="68"/>
      <c r="IX236" s="68"/>
      <c r="IY236" s="68"/>
    </row>
    <row r="237" spans="2:259" hidden="1" x14ac:dyDescent="0.3"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  <c r="AV237" s="68"/>
      <c r="AW237" s="68"/>
      <c r="AX237" s="68"/>
      <c r="AY237" s="68"/>
      <c r="AZ237" s="68"/>
      <c r="BA237" s="68"/>
      <c r="BB237" s="67"/>
      <c r="BC237" s="67"/>
      <c r="BD237" s="67"/>
      <c r="BE237" s="67"/>
      <c r="BF237" s="67"/>
      <c r="BG237" s="67"/>
      <c r="BH237" s="67"/>
      <c r="BI237" s="67"/>
      <c r="BJ237" s="67"/>
      <c r="BK237" s="67"/>
      <c r="BL237" s="67"/>
      <c r="HB237" s="68"/>
      <c r="HC237" s="68"/>
      <c r="HD237" s="68"/>
      <c r="HE237" s="68"/>
      <c r="HF237" s="68"/>
      <c r="HG237" s="68"/>
      <c r="HH237" s="68"/>
      <c r="HI237" s="68"/>
      <c r="HJ237" s="68"/>
      <c r="HK237" s="68"/>
      <c r="HL237" s="68"/>
      <c r="HM237" s="68"/>
      <c r="HP237" s="68"/>
      <c r="HQ237" s="68"/>
      <c r="HR237" s="68"/>
      <c r="HS237" s="68"/>
      <c r="HT237" s="68"/>
      <c r="HU237" s="68"/>
      <c r="HV237" s="68"/>
      <c r="HW237" s="68"/>
      <c r="HX237" s="68"/>
      <c r="HY237" s="68"/>
      <c r="HZ237" s="68"/>
      <c r="IA237" s="68"/>
      <c r="IB237" s="68"/>
      <c r="IC237" s="68"/>
      <c r="ID237" s="68"/>
      <c r="IE237" s="68"/>
      <c r="IF237" s="68"/>
      <c r="IG237" s="68"/>
      <c r="IH237" s="68"/>
      <c r="II237" s="68"/>
      <c r="IJ237" s="68"/>
      <c r="IK237" s="68"/>
      <c r="IL237" s="68"/>
      <c r="IM237" s="68"/>
      <c r="IN237" s="68"/>
      <c r="IO237" s="68"/>
      <c r="IP237" s="68"/>
      <c r="IQ237" s="68"/>
      <c r="IR237" s="68"/>
      <c r="IS237" s="68"/>
      <c r="IT237" s="68"/>
      <c r="IU237" s="68"/>
      <c r="IV237" s="68"/>
      <c r="IW237" s="68"/>
      <c r="IX237" s="68"/>
      <c r="IY237" s="68"/>
    </row>
    <row r="238" spans="2:259" hidden="1" x14ac:dyDescent="0.3"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  <c r="AV238" s="68"/>
      <c r="AW238" s="68"/>
      <c r="AX238" s="68"/>
      <c r="AY238" s="68"/>
      <c r="AZ238" s="68"/>
      <c r="BA238" s="68"/>
      <c r="BB238" s="67"/>
      <c r="BC238" s="67"/>
      <c r="BD238" s="67"/>
      <c r="BE238" s="67"/>
      <c r="BF238" s="67"/>
      <c r="BG238" s="67"/>
      <c r="BH238" s="67"/>
      <c r="BI238" s="67"/>
      <c r="BJ238" s="67"/>
      <c r="BK238" s="67"/>
      <c r="BL238" s="67"/>
      <c r="HB238" s="68"/>
      <c r="HC238" s="68"/>
      <c r="HD238" s="68"/>
      <c r="HE238" s="68"/>
      <c r="HF238" s="68"/>
      <c r="HG238" s="68"/>
      <c r="HH238" s="68"/>
      <c r="HI238" s="68"/>
      <c r="HJ238" s="68"/>
      <c r="HK238" s="68"/>
      <c r="HL238" s="68"/>
      <c r="HM238" s="68"/>
      <c r="HP238" s="68"/>
      <c r="HQ238" s="68"/>
      <c r="HR238" s="68"/>
      <c r="HS238" s="68"/>
      <c r="HT238" s="68"/>
      <c r="HU238" s="68"/>
      <c r="HV238" s="68"/>
      <c r="HW238" s="68"/>
      <c r="HX238" s="68"/>
      <c r="HY238" s="68"/>
      <c r="HZ238" s="68"/>
      <c r="IA238" s="68"/>
      <c r="IB238" s="68"/>
      <c r="IC238" s="68"/>
      <c r="ID238" s="68"/>
      <c r="IE238" s="68"/>
      <c r="IF238" s="68"/>
      <c r="IG238" s="68"/>
      <c r="IH238" s="68"/>
      <c r="II238" s="68"/>
      <c r="IJ238" s="68"/>
      <c r="IK238" s="68"/>
      <c r="IL238" s="68"/>
      <c r="IM238" s="68"/>
      <c r="IN238" s="68"/>
      <c r="IO238" s="68"/>
      <c r="IP238" s="68"/>
      <c r="IQ238" s="68"/>
      <c r="IR238" s="68"/>
      <c r="IS238" s="68"/>
      <c r="IT238" s="68"/>
      <c r="IU238" s="68"/>
      <c r="IV238" s="68"/>
      <c r="IW238" s="68"/>
      <c r="IX238" s="68"/>
      <c r="IY238" s="68"/>
    </row>
    <row r="239" spans="2:259" hidden="1" x14ac:dyDescent="0.3"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  <c r="AV239" s="68"/>
      <c r="AW239" s="68"/>
      <c r="AX239" s="68"/>
      <c r="AY239" s="68"/>
      <c r="AZ239" s="68"/>
      <c r="BA239" s="68"/>
      <c r="BB239" s="67"/>
      <c r="BC239" s="67"/>
      <c r="BD239" s="67"/>
      <c r="BE239" s="67"/>
      <c r="BF239" s="67"/>
      <c r="BG239" s="67"/>
      <c r="BH239" s="67"/>
      <c r="BI239" s="67"/>
      <c r="BJ239" s="67"/>
      <c r="BK239" s="67"/>
      <c r="BL239" s="67"/>
      <c r="HB239" s="68"/>
      <c r="HC239" s="68"/>
      <c r="HD239" s="68"/>
      <c r="HE239" s="68"/>
      <c r="HF239" s="68"/>
      <c r="HG239" s="68"/>
      <c r="HH239" s="68"/>
      <c r="HI239" s="68"/>
      <c r="HJ239" s="68"/>
      <c r="HK239" s="68"/>
      <c r="HL239" s="68"/>
      <c r="HM239" s="68"/>
      <c r="HP239" s="68"/>
      <c r="HQ239" s="68"/>
      <c r="HR239" s="68"/>
      <c r="HS239" s="68"/>
      <c r="HT239" s="68"/>
      <c r="HU239" s="68"/>
      <c r="HV239" s="68"/>
      <c r="HW239" s="68"/>
      <c r="HX239" s="68"/>
      <c r="HY239" s="68"/>
      <c r="HZ239" s="68"/>
      <c r="IA239" s="68"/>
      <c r="IB239" s="68"/>
      <c r="IC239" s="68"/>
      <c r="ID239" s="68"/>
      <c r="IE239" s="68"/>
      <c r="IF239" s="68"/>
      <c r="IG239" s="68"/>
      <c r="IH239" s="68"/>
      <c r="II239" s="68"/>
      <c r="IJ239" s="68"/>
      <c r="IK239" s="68"/>
      <c r="IL239" s="68"/>
      <c r="IM239" s="68"/>
      <c r="IN239" s="68"/>
      <c r="IO239" s="68"/>
      <c r="IP239" s="68"/>
      <c r="IQ239" s="68"/>
      <c r="IR239" s="68"/>
      <c r="IS239" s="68"/>
      <c r="IT239" s="68"/>
      <c r="IU239" s="68"/>
      <c r="IV239" s="68"/>
      <c r="IW239" s="68"/>
      <c r="IX239" s="68"/>
      <c r="IY239" s="68"/>
    </row>
    <row r="240" spans="2:259" hidden="1" x14ac:dyDescent="0.3"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  <c r="AV240" s="68"/>
      <c r="AW240" s="68"/>
      <c r="AX240" s="68"/>
      <c r="AY240" s="68"/>
      <c r="AZ240" s="68"/>
      <c r="BA240" s="68"/>
      <c r="BB240" s="67"/>
      <c r="BC240" s="67"/>
      <c r="BD240" s="67"/>
      <c r="BE240" s="67"/>
      <c r="BF240" s="67"/>
      <c r="BG240" s="67"/>
      <c r="BH240" s="67"/>
      <c r="BI240" s="67"/>
      <c r="BJ240" s="67"/>
      <c r="BK240" s="67"/>
      <c r="BL240" s="67"/>
      <c r="HB240" s="68"/>
      <c r="HC240" s="68"/>
      <c r="HD240" s="68"/>
      <c r="HE240" s="68"/>
      <c r="HF240" s="68"/>
      <c r="HG240" s="68"/>
      <c r="HH240" s="68"/>
      <c r="HI240" s="68"/>
      <c r="HJ240" s="68"/>
      <c r="HK240" s="68"/>
      <c r="HL240" s="68"/>
      <c r="HM240" s="68"/>
      <c r="HP240" s="68"/>
      <c r="HQ240" s="68"/>
      <c r="HR240" s="68"/>
      <c r="HS240" s="68"/>
      <c r="HT240" s="68"/>
      <c r="HU240" s="68"/>
      <c r="HV240" s="68"/>
      <c r="HW240" s="68"/>
      <c r="HX240" s="68"/>
      <c r="HY240" s="68"/>
      <c r="HZ240" s="68"/>
      <c r="IA240" s="68"/>
      <c r="IB240" s="68"/>
      <c r="IC240" s="68"/>
      <c r="ID240" s="68"/>
      <c r="IE240" s="68"/>
      <c r="IF240" s="68"/>
      <c r="IG240" s="68"/>
      <c r="IH240" s="68"/>
      <c r="II240" s="68"/>
      <c r="IJ240" s="68"/>
      <c r="IK240" s="68"/>
      <c r="IL240" s="68"/>
      <c r="IM240" s="68"/>
      <c r="IN240" s="68"/>
      <c r="IO240" s="68"/>
      <c r="IP240" s="68"/>
      <c r="IQ240" s="68"/>
      <c r="IR240" s="68"/>
      <c r="IS240" s="68"/>
      <c r="IT240" s="68"/>
      <c r="IU240" s="68"/>
      <c r="IV240" s="68"/>
      <c r="IW240" s="68"/>
      <c r="IX240" s="68"/>
      <c r="IY240" s="68"/>
    </row>
    <row r="241" spans="2:259" hidden="1" x14ac:dyDescent="0.3"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  <c r="AV241" s="68"/>
      <c r="AW241" s="68"/>
      <c r="AX241" s="68"/>
      <c r="AY241" s="68"/>
      <c r="AZ241" s="68"/>
      <c r="BA241" s="68"/>
      <c r="BB241" s="67"/>
      <c r="BC241" s="67"/>
      <c r="BD241" s="67"/>
      <c r="BE241" s="67"/>
      <c r="BF241" s="67"/>
      <c r="BG241" s="67"/>
      <c r="BH241" s="67"/>
      <c r="BI241" s="67"/>
      <c r="BJ241" s="67"/>
      <c r="BK241" s="67"/>
      <c r="BL241" s="67"/>
      <c r="HB241" s="68"/>
      <c r="HC241" s="68"/>
      <c r="HD241" s="68"/>
      <c r="HE241" s="68"/>
      <c r="HF241" s="68"/>
      <c r="HG241" s="68"/>
      <c r="HH241" s="68"/>
      <c r="HI241" s="68"/>
      <c r="HJ241" s="68"/>
      <c r="HK241" s="68"/>
      <c r="HL241" s="68"/>
      <c r="HM241" s="68"/>
      <c r="HP241" s="68"/>
      <c r="HQ241" s="68"/>
      <c r="HR241" s="68"/>
      <c r="HS241" s="68"/>
      <c r="HT241" s="68"/>
      <c r="HU241" s="68"/>
      <c r="HV241" s="68"/>
      <c r="HW241" s="68"/>
      <c r="HX241" s="68"/>
      <c r="HY241" s="68"/>
      <c r="HZ241" s="68"/>
      <c r="IA241" s="68"/>
      <c r="IB241" s="68"/>
      <c r="IC241" s="68"/>
      <c r="ID241" s="68"/>
      <c r="IE241" s="68"/>
      <c r="IF241" s="68"/>
      <c r="IG241" s="68"/>
      <c r="IH241" s="68"/>
      <c r="II241" s="68"/>
      <c r="IJ241" s="68"/>
      <c r="IK241" s="68"/>
      <c r="IL241" s="68"/>
      <c r="IM241" s="68"/>
      <c r="IN241" s="68"/>
      <c r="IO241" s="68"/>
      <c r="IP241" s="68"/>
      <c r="IQ241" s="68"/>
      <c r="IR241" s="68"/>
      <c r="IS241" s="68"/>
      <c r="IT241" s="68"/>
      <c r="IU241" s="68"/>
      <c r="IV241" s="68"/>
      <c r="IW241" s="68"/>
      <c r="IX241" s="68"/>
      <c r="IY241" s="68"/>
    </row>
    <row r="242" spans="2:259" hidden="1" x14ac:dyDescent="0.3"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  <c r="AV242" s="68"/>
      <c r="AW242" s="68"/>
      <c r="AX242" s="68"/>
      <c r="AY242" s="68"/>
      <c r="AZ242" s="68"/>
      <c r="BA242" s="68"/>
      <c r="BB242" s="67"/>
      <c r="BC242" s="67"/>
      <c r="BD242" s="67"/>
      <c r="BE242" s="67"/>
      <c r="BF242" s="67"/>
      <c r="BG242" s="67"/>
      <c r="BH242" s="67"/>
      <c r="BI242" s="67"/>
      <c r="BJ242" s="67"/>
      <c r="BK242" s="67"/>
      <c r="BL242" s="67"/>
      <c r="HB242" s="68"/>
      <c r="HC242" s="68"/>
      <c r="HD242" s="68"/>
      <c r="HE242" s="68"/>
      <c r="HF242" s="68"/>
      <c r="HG242" s="68"/>
      <c r="HH242" s="68"/>
      <c r="HI242" s="68"/>
      <c r="HJ242" s="68"/>
      <c r="HK242" s="68"/>
      <c r="HL242" s="68"/>
      <c r="HM242" s="68"/>
      <c r="HP242" s="68"/>
      <c r="HQ242" s="68"/>
      <c r="HR242" s="68"/>
      <c r="HS242" s="68"/>
      <c r="HT242" s="68"/>
      <c r="HU242" s="68"/>
      <c r="HV242" s="68"/>
      <c r="HW242" s="68"/>
      <c r="HX242" s="68"/>
      <c r="HY242" s="68"/>
      <c r="HZ242" s="68"/>
      <c r="IA242" s="68"/>
      <c r="IB242" s="68"/>
      <c r="IC242" s="68"/>
      <c r="ID242" s="68"/>
      <c r="IE242" s="68"/>
      <c r="IF242" s="68"/>
      <c r="IG242" s="68"/>
      <c r="IH242" s="68"/>
      <c r="II242" s="68"/>
      <c r="IJ242" s="68"/>
      <c r="IK242" s="68"/>
      <c r="IL242" s="68"/>
      <c r="IM242" s="68"/>
      <c r="IN242" s="68"/>
      <c r="IO242" s="68"/>
      <c r="IP242" s="68"/>
      <c r="IQ242" s="68"/>
      <c r="IR242" s="68"/>
      <c r="IS242" s="68"/>
      <c r="IT242" s="68"/>
      <c r="IU242" s="68"/>
      <c r="IV242" s="68"/>
      <c r="IW242" s="68"/>
      <c r="IX242" s="68"/>
      <c r="IY242" s="68"/>
    </row>
    <row r="243" spans="2:259" hidden="1" x14ac:dyDescent="0.3"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  <c r="AV243" s="68"/>
      <c r="AW243" s="68"/>
      <c r="AX243" s="68"/>
      <c r="AY243" s="68"/>
      <c r="AZ243" s="68"/>
      <c r="BA243" s="68"/>
      <c r="BB243" s="67"/>
      <c r="BC243" s="67"/>
      <c r="BD243" s="67"/>
      <c r="BE243" s="67"/>
      <c r="BF243" s="67"/>
      <c r="BG243" s="67"/>
      <c r="BH243" s="67"/>
      <c r="BI243" s="67"/>
      <c r="BJ243" s="67"/>
      <c r="BK243" s="67"/>
      <c r="BL243" s="67"/>
      <c r="HB243" s="68"/>
      <c r="HC243" s="68"/>
      <c r="HD243" s="68"/>
      <c r="HE243" s="68"/>
      <c r="HF243" s="68"/>
      <c r="HG243" s="68"/>
      <c r="HH243" s="68"/>
      <c r="HI243" s="68"/>
      <c r="HJ243" s="68"/>
      <c r="HK243" s="68"/>
      <c r="HL243" s="68"/>
      <c r="HM243" s="68"/>
      <c r="HP243" s="68"/>
      <c r="HQ243" s="68"/>
      <c r="HR243" s="68"/>
      <c r="HS243" s="68"/>
      <c r="HT243" s="68"/>
      <c r="HU243" s="68"/>
      <c r="HV243" s="68"/>
      <c r="HW243" s="68"/>
      <c r="HX243" s="68"/>
      <c r="HY243" s="68"/>
      <c r="HZ243" s="68"/>
      <c r="IA243" s="68"/>
      <c r="IB243" s="68"/>
      <c r="IC243" s="68"/>
      <c r="ID243" s="68"/>
      <c r="IE243" s="68"/>
      <c r="IF243" s="68"/>
      <c r="IG243" s="68"/>
      <c r="IH243" s="68"/>
      <c r="II243" s="68"/>
      <c r="IJ243" s="68"/>
      <c r="IK243" s="68"/>
      <c r="IL243" s="68"/>
      <c r="IM243" s="68"/>
      <c r="IN243" s="68"/>
      <c r="IO243" s="68"/>
      <c r="IP243" s="68"/>
      <c r="IQ243" s="68"/>
      <c r="IR243" s="68"/>
      <c r="IS243" s="68"/>
      <c r="IT243" s="68"/>
      <c r="IU243" s="68"/>
      <c r="IV243" s="68"/>
      <c r="IW243" s="68"/>
      <c r="IX243" s="68"/>
      <c r="IY243" s="68"/>
    </row>
    <row r="244" spans="2:259" hidden="1" x14ac:dyDescent="0.3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  <c r="AV244" s="68"/>
      <c r="AW244" s="68"/>
      <c r="AX244" s="68"/>
      <c r="AY244" s="68"/>
      <c r="AZ244" s="68"/>
      <c r="BA244" s="68"/>
      <c r="BB244" s="67"/>
      <c r="BC244" s="67"/>
      <c r="BD244" s="67"/>
      <c r="BE244" s="67"/>
      <c r="BF244" s="67"/>
      <c r="BG244" s="67"/>
      <c r="BH244" s="67"/>
      <c r="BI244" s="67"/>
      <c r="BJ244" s="67"/>
      <c r="BK244" s="67"/>
      <c r="BL244" s="67"/>
      <c r="HB244" s="68"/>
      <c r="HC244" s="68"/>
      <c r="HD244" s="68"/>
      <c r="HE244" s="68"/>
      <c r="HF244" s="68"/>
      <c r="HG244" s="68"/>
      <c r="HH244" s="68"/>
      <c r="HI244" s="68"/>
      <c r="HJ244" s="68"/>
      <c r="HK244" s="68"/>
      <c r="HL244" s="68"/>
      <c r="HM244" s="68"/>
      <c r="HP244" s="68"/>
      <c r="HQ244" s="68"/>
      <c r="HR244" s="68"/>
      <c r="HS244" s="68"/>
      <c r="HT244" s="68"/>
      <c r="HU244" s="68"/>
      <c r="HV244" s="68"/>
      <c r="HW244" s="68"/>
      <c r="HX244" s="68"/>
      <c r="HY244" s="68"/>
      <c r="HZ244" s="68"/>
      <c r="IA244" s="68"/>
      <c r="IB244" s="68"/>
      <c r="IC244" s="68"/>
      <c r="ID244" s="68"/>
      <c r="IE244" s="68"/>
      <c r="IF244" s="68"/>
      <c r="IG244" s="68"/>
      <c r="IH244" s="68"/>
      <c r="II244" s="68"/>
      <c r="IJ244" s="68"/>
      <c r="IK244" s="68"/>
      <c r="IL244" s="68"/>
      <c r="IM244" s="68"/>
      <c r="IN244" s="68"/>
      <c r="IO244" s="68"/>
      <c r="IP244" s="68"/>
      <c r="IQ244" s="68"/>
      <c r="IR244" s="68"/>
      <c r="IS244" s="68"/>
      <c r="IT244" s="68"/>
      <c r="IU244" s="68"/>
      <c r="IV244" s="68"/>
      <c r="IW244" s="68"/>
      <c r="IX244" s="68"/>
      <c r="IY244" s="68"/>
    </row>
    <row r="245" spans="2:259" hidden="1" x14ac:dyDescent="0.3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  <c r="AV245" s="68"/>
      <c r="AW245" s="68"/>
      <c r="AX245" s="68"/>
      <c r="AY245" s="68"/>
      <c r="AZ245" s="68"/>
      <c r="BA245" s="68"/>
      <c r="BB245" s="67"/>
      <c r="BC245" s="67"/>
      <c r="BD245" s="67"/>
      <c r="BE245" s="67"/>
      <c r="BF245" s="67"/>
      <c r="BG245" s="67"/>
      <c r="BH245" s="67"/>
      <c r="BI245" s="67"/>
      <c r="BJ245" s="67"/>
      <c r="BK245" s="67"/>
      <c r="BL245" s="67"/>
      <c r="HB245" s="68"/>
      <c r="HC245" s="68"/>
      <c r="HD245" s="68"/>
      <c r="HE245" s="68"/>
      <c r="HF245" s="68"/>
      <c r="HG245" s="68"/>
      <c r="HH245" s="68"/>
      <c r="HI245" s="68"/>
      <c r="HJ245" s="68"/>
      <c r="HK245" s="68"/>
      <c r="HL245" s="68"/>
      <c r="HM245" s="68"/>
      <c r="HP245" s="68"/>
      <c r="HQ245" s="68"/>
      <c r="HR245" s="68"/>
      <c r="HS245" s="68"/>
      <c r="HT245" s="68"/>
      <c r="HU245" s="68"/>
      <c r="HV245" s="68"/>
      <c r="HW245" s="68"/>
      <c r="HX245" s="68"/>
      <c r="HY245" s="68"/>
      <c r="HZ245" s="68"/>
      <c r="IA245" s="68"/>
      <c r="IB245" s="68"/>
      <c r="IC245" s="68"/>
      <c r="ID245" s="68"/>
      <c r="IE245" s="68"/>
      <c r="IF245" s="68"/>
      <c r="IG245" s="68"/>
      <c r="IH245" s="68"/>
      <c r="II245" s="68"/>
      <c r="IJ245" s="68"/>
      <c r="IK245" s="68"/>
      <c r="IL245" s="68"/>
      <c r="IM245" s="68"/>
      <c r="IN245" s="68"/>
      <c r="IO245" s="68"/>
      <c r="IP245" s="68"/>
      <c r="IQ245" s="68"/>
      <c r="IR245" s="68"/>
      <c r="IS245" s="68"/>
      <c r="IT245" s="68"/>
      <c r="IU245" s="68"/>
      <c r="IV245" s="68"/>
      <c r="IW245" s="68"/>
      <c r="IX245" s="68"/>
      <c r="IY245" s="68"/>
    </row>
    <row r="246" spans="2:259" hidden="1" x14ac:dyDescent="0.3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  <c r="AV246" s="68"/>
      <c r="AW246" s="68"/>
      <c r="AX246" s="68"/>
      <c r="AY246" s="68"/>
      <c r="AZ246" s="68"/>
      <c r="BA246" s="68"/>
      <c r="BB246" s="67"/>
      <c r="BC246" s="67"/>
      <c r="BD246" s="67"/>
      <c r="BE246" s="67"/>
      <c r="BF246" s="67"/>
      <c r="BG246" s="67"/>
      <c r="BH246" s="67"/>
      <c r="BI246" s="67"/>
      <c r="BJ246" s="67"/>
      <c r="BK246" s="67"/>
      <c r="BL246" s="67"/>
      <c r="HB246" s="68"/>
      <c r="HC246" s="68"/>
      <c r="HD246" s="68"/>
      <c r="HE246" s="68"/>
      <c r="HF246" s="68"/>
      <c r="HG246" s="68"/>
      <c r="HH246" s="68"/>
      <c r="HI246" s="68"/>
      <c r="HJ246" s="68"/>
      <c r="HK246" s="68"/>
      <c r="HL246" s="68"/>
      <c r="HM246" s="68"/>
      <c r="HP246" s="68"/>
      <c r="HQ246" s="68"/>
      <c r="HR246" s="68"/>
      <c r="HS246" s="68"/>
      <c r="HT246" s="68"/>
      <c r="HU246" s="68"/>
      <c r="HV246" s="68"/>
      <c r="HW246" s="68"/>
      <c r="HX246" s="68"/>
      <c r="HY246" s="68"/>
      <c r="HZ246" s="68"/>
      <c r="IA246" s="68"/>
      <c r="IB246" s="68"/>
      <c r="IC246" s="68"/>
      <c r="ID246" s="68"/>
      <c r="IE246" s="68"/>
      <c r="IF246" s="68"/>
      <c r="IG246" s="68"/>
      <c r="IH246" s="68"/>
      <c r="II246" s="68"/>
      <c r="IJ246" s="68"/>
      <c r="IK246" s="68"/>
      <c r="IL246" s="68"/>
      <c r="IM246" s="68"/>
      <c r="IN246" s="68"/>
      <c r="IO246" s="68"/>
      <c r="IP246" s="68"/>
      <c r="IQ246" s="68"/>
      <c r="IR246" s="68"/>
      <c r="IS246" s="68"/>
      <c r="IT246" s="68"/>
      <c r="IU246" s="68"/>
      <c r="IV246" s="68"/>
      <c r="IW246" s="68"/>
      <c r="IX246" s="68"/>
      <c r="IY246" s="68"/>
    </row>
    <row r="247" spans="2:259" hidden="1" x14ac:dyDescent="0.3"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  <c r="AV247" s="68"/>
      <c r="AW247" s="68"/>
      <c r="AX247" s="68"/>
      <c r="AY247" s="68"/>
      <c r="AZ247" s="68"/>
      <c r="BA247" s="68"/>
      <c r="BB247" s="67"/>
      <c r="BC247" s="67"/>
      <c r="BD247" s="67"/>
      <c r="BE247" s="67"/>
      <c r="BF247" s="67"/>
      <c r="BG247" s="67"/>
      <c r="BH247" s="67"/>
      <c r="BI247" s="67"/>
      <c r="BJ247" s="67"/>
      <c r="BK247" s="67"/>
      <c r="BL247" s="67"/>
      <c r="HB247" s="68"/>
      <c r="HC247" s="68"/>
      <c r="HD247" s="68"/>
      <c r="HE247" s="68"/>
      <c r="HF247" s="68"/>
      <c r="HG247" s="68"/>
      <c r="HH247" s="68"/>
      <c r="HI247" s="68"/>
      <c r="HJ247" s="68"/>
      <c r="HK247" s="68"/>
      <c r="HL247" s="68"/>
      <c r="HM247" s="68"/>
      <c r="HP247" s="68"/>
      <c r="HQ247" s="68"/>
      <c r="HR247" s="68"/>
      <c r="HS247" s="68"/>
      <c r="HT247" s="68"/>
      <c r="HU247" s="68"/>
      <c r="HV247" s="68"/>
      <c r="HW247" s="68"/>
      <c r="HX247" s="68"/>
      <c r="HY247" s="68"/>
      <c r="HZ247" s="68"/>
      <c r="IA247" s="68"/>
      <c r="IB247" s="68"/>
      <c r="IC247" s="68"/>
      <c r="ID247" s="68"/>
      <c r="IE247" s="68"/>
      <c r="IF247" s="68"/>
      <c r="IG247" s="68"/>
      <c r="IH247" s="68"/>
      <c r="II247" s="68"/>
      <c r="IJ247" s="68"/>
      <c r="IK247" s="68"/>
      <c r="IL247" s="68"/>
      <c r="IM247" s="68"/>
      <c r="IN247" s="68"/>
      <c r="IO247" s="68"/>
      <c r="IP247" s="68"/>
      <c r="IQ247" s="68"/>
      <c r="IR247" s="68"/>
      <c r="IS247" s="68"/>
      <c r="IT247" s="68"/>
      <c r="IU247" s="68"/>
      <c r="IV247" s="68"/>
      <c r="IW247" s="68"/>
      <c r="IX247" s="68"/>
      <c r="IY247" s="68"/>
    </row>
    <row r="248" spans="2:259" hidden="1" x14ac:dyDescent="0.3"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  <c r="AV248" s="68"/>
      <c r="AW248" s="68"/>
      <c r="AX248" s="68"/>
      <c r="AY248" s="68"/>
      <c r="AZ248" s="68"/>
      <c r="BA248" s="68"/>
      <c r="BB248" s="67"/>
      <c r="BC248" s="67"/>
      <c r="BD248" s="67"/>
      <c r="BE248" s="67"/>
      <c r="BF248" s="67"/>
      <c r="BG248" s="67"/>
      <c r="BH248" s="67"/>
      <c r="BI248" s="67"/>
      <c r="BJ248" s="67"/>
      <c r="BK248" s="67"/>
      <c r="BL248" s="67"/>
      <c r="HB248" s="68"/>
      <c r="HC248" s="68"/>
      <c r="HD248" s="68"/>
      <c r="HE248" s="68"/>
      <c r="HF248" s="68"/>
      <c r="HG248" s="68"/>
      <c r="HH248" s="68"/>
      <c r="HI248" s="68"/>
      <c r="HJ248" s="68"/>
      <c r="HK248" s="68"/>
      <c r="HL248" s="68"/>
      <c r="HM248" s="68"/>
      <c r="HP248" s="68"/>
      <c r="HQ248" s="68"/>
      <c r="HR248" s="68"/>
      <c r="HS248" s="68"/>
      <c r="HT248" s="68"/>
      <c r="HU248" s="68"/>
      <c r="HV248" s="68"/>
      <c r="HW248" s="68"/>
      <c r="HX248" s="68"/>
      <c r="HY248" s="68"/>
      <c r="HZ248" s="68"/>
      <c r="IA248" s="68"/>
      <c r="IB248" s="68"/>
      <c r="IC248" s="68"/>
      <c r="ID248" s="68"/>
      <c r="IE248" s="68"/>
      <c r="IF248" s="68"/>
      <c r="IG248" s="68"/>
      <c r="IH248" s="68"/>
      <c r="II248" s="68"/>
      <c r="IJ248" s="68"/>
      <c r="IK248" s="68"/>
      <c r="IL248" s="68"/>
      <c r="IM248" s="68"/>
      <c r="IN248" s="68"/>
      <c r="IO248" s="68"/>
      <c r="IP248" s="68"/>
      <c r="IQ248" s="68"/>
      <c r="IR248" s="68"/>
      <c r="IS248" s="68"/>
      <c r="IT248" s="68"/>
      <c r="IU248" s="68"/>
      <c r="IV248" s="68"/>
      <c r="IW248" s="68"/>
      <c r="IX248" s="68"/>
      <c r="IY248" s="68"/>
    </row>
    <row r="249" spans="2:259" hidden="1" x14ac:dyDescent="0.3"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  <c r="AV249" s="68"/>
      <c r="AW249" s="68"/>
      <c r="AX249" s="68"/>
      <c r="AY249" s="68"/>
      <c r="AZ249" s="68"/>
      <c r="BA249" s="68"/>
      <c r="BB249" s="67"/>
      <c r="BC249" s="67"/>
      <c r="BD249" s="67"/>
      <c r="BE249" s="67"/>
      <c r="BF249" s="67"/>
      <c r="BG249" s="67"/>
      <c r="BH249" s="67"/>
      <c r="BI249" s="67"/>
      <c r="BJ249" s="67"/>
      <c r="BK249" s="67"/>
      <c r="BL249" s="67"/>
      <c r="HB249" s="68"/>
      <c r="HC249" s="68"/>
      <c r="HD249" s="68"/>
      <c r="HE249" s="68"/>
      <c r="HF249" s="68"/>
      <c r="HG249" s="68"/>
      <c r="HH249" s="68"/>
      <c r="HI249" s="68"/>
      <c r="HJ249" s="68"/>
      <c r="HK249" s="68"/>
      <c r="HL249" s="68"/>
      <c r="HM249" s="68"/>
      <c r="HP249" s="68"/>
      <c r="HQ249" s="68"/>
      <c r="HR249" s="68"/>
      <c r="HS249" s="68"/>
      <c r="HT249" s="68"/>
      <c r="HU249" s="68"/>
      <c r="HV249" s="68"/>
      <c r="HW249" s="68"/>
      <c r="HX249" s="68"/>
      <c r="HY249" s="68"/>
      <c r="HZ249" s="68"/>
      <c r="IA249" s="68"/>
      <c r="IB249" s="68"/>
      <c r="IC249" s="68"/>
      <c r="ID249" s="68"/>
      <c r="IE249" s="68"/>
      <c r="IF249" s="68"/>
      <c r="IG249" s="68"/>
      <c r="IH249" s="68"/>
      <c r="II249" s="68"/>
      <c r="IJ249" s="68"/>
      <c r="IK249" s="68"/>
      <c r="IL249" s="68"/>
      <c r="IM249" s="68"/>
      <c r="IN249" s="68"/>
      <c r="IO249" s="68"/>
      <c r="IP249" s="68"/>
      <c r="IQ249" s="68"/>
      <c r="IR249" s="68"/>
      <c r="IS249" s="68"/>
      <c r="IT249" s="68"/>
      <c r="IU249" s="68"/>
      <c r="IV249" s="68"/>
      <c r="IW249" s="68"/>
      <c r="IX249" s="68"/>
      <c r="IY249" s="68"/>
    </row>
    <row r="250" spans="2:259" hidden="1" x14ac:dyDescent="0.3"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  <c r="AV250" s="68"/>
      <c r="AW250" s="68"/>
      <c r="AX250" s="68"/>
      <c r="AY250" s="68"/>
      <c r="AZ250" s="68"/>
      <c r="BA250" s="68"/>
      <c r="BB250" s="67"/>
      <c r="BC250" s="67"/>
      <c r="BD250" s="67"/>
      <c r="BE250" s="67"/>
      <c r="BF250" s="67"/>
      <c r="BG250" s="67"/>
      <c r="BH250" s="67"/>
      <c r="BI250" s="67"/>
      <c r="BJ250" s="67"/>
      <c r="BK250" s="67"/>
      <c r="BL250" s="67"/>
      <c r="HB250" s="68"/>
      <c r="HC250" s="68"/>
      <c r="HD250" s="68"/>
      <c r="HE250" s="68"/>
      <c r="HF250" s="68"/>
      <c r="HG250" s="68"/>
      <c r="HH250" s="68"/>
      <c r="HI250" s="68"/>
      <c r="HJ250" s="68"/>
      <c r="HK250" s="68"/>
      <c r="HL250" s="68"/>
      <c r="HM250" s="68"/>
      <c r="HP250" s="68"/>
      <c r="HQ250" s="68"/>
      <c r="HR250" s="68"/>
      <c r="HS250" s="68"/>
      <c r="HT250" s="68"/>
      <c r="HU250" s="68"/>
      <c r="HV250" s="68"/>
      <c r="HW250" s="68"/>
      <c r="HX250" s="68"/>
      <c r="HY250" s="68"/>
      <c r="HZ250" s="68"/>
      <c r="IA250" s="68"/>
      <c r="IB250" s="68"/>
      <c r="IC250" s="68"/>
      <c r="ID250" s="68"/>
      <c r="IE250" s="68"/>
      <c r="IF250" s="68"/>
      <c r="IG250" s="68"/>
      <c r="IH250" s="68"/>
      <c r="II250" s="68"/>
      <c r="IJ250" s="68"/>
      <c r="IK250" s="68"/>
      <c r="IL250" s="68"/>
      <c r="IM250" s="68"/>
      <c r="IN250" s="68"/>
      <c r="IO250" s="68"/>
      <c r="IP250" s="68"/>
      <c r="IQ250" s="68"/>
      <c r="IR250" s="68"/>
      <c r="IS250" s="68"/>
      <c r="IT250" s="68"/>
      <c r="IU250" s="68"/>
      <c r="IV250" s="68"/>
      <c r="IW250" s="68"/>
      <c r="IX250" s="68"/>
      <c r="IY250" s="68"/>
    </row>
    <row r="251" spans="2:259" hidden="1" x14ac:dyDescent="0.3"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  <c r="AV251" s="68"/>
      <c r="AW251" s="68"/>
      <c r="AX251" s="68"/>
      <c r="AY251" s="68"/>
      <c r="AZ251" s="68"/>
      <c r="BA251" s="68"/>
      <c r="BB251" s="67"/>
      <c r="BC251" s="67"/>
      <c r="BD251" s="67"/>
      <c r="BE251" s="67"/>
      <c r="BF251" s="67"/>
      <c r="BG251" s="67"/>
      <c r="BH251" s="67"/>
      <c r="BI251" s="67"/>
      <c r="BJ251" s="67"/>
      <c r="BK251" s="67"/>
      <c r="BL251" s="67"/>
      <c r="HB251" s="68"/>
      <c r="HC251" s="68"/>
      <c r="HD251" s="68"/>
      <c r="HE251" s="68"/>
      <c r="HF251" s="68"/>
      <c r="HG251" s="68"/>
      <c r="HH251" s="68"/>
      <c r="HI251" s="68"/>
      <c r="HJ251" s="68"/>
      <c r="HK251" s="68"/>
      <c r="HL251" s="68"/>
      <c r="HM251" s="68"/>
      <c r="HP251" s="68"/>
      <c r="HQ251" s="68"/>
      <c r="HR251" s="68"/>
      <c r="HS251" s="68"/>
      <c r="HT251" s="68"/>
      <c r="HU251" s="68"/>
      <c r="HV251" s="68"/>
      <c r="HW251" s="68"/>
      <c r="HX251" s="68"/>
      <c r="HY251" s="68"/>
      <c r="HZ251" s="68"/>
      <c r="IA251" s="68"/>
      <c r="IB251" s="68"/>
      <c r="IC251" s="68"/>
      <c r="ID251" s="68"/>
      <c r="IE251" s="68"/>
      <c r="IF251" s="68"/>
      <c r="IG251" s="68"/>
      <c r="IH251" s="68"/>
      <c r="II251" s="68"/>
      <c r="IJ251" s="68"/>
      <c r="IK251" s="68"/>
      <c r="IL251" s="68"/>
      <c r="IM251" s="68"/>
      <c r="IN251" s="68"/>
      <c r="IO251" s="68"/>
      <c r="IP251" s="68"/>
      <c r="IQ251" s="68"/>
      <c r="IR251" s="68"/>
      <c r="IS251" s="68"/>
      <c r="IT251" s="68"/>
      <c r="IU251" s="68"/>
      <c r="IV251" s="68"/>
      <c r="IW251" s="68"/>
      <c r="IX251" s="68"/>
      <c r="IY251" s="68"/>
    </row>
    <row r="252" spans="2:259" hidden="1" x14ac:dyDescent="0.3"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  <c r="AV252" s="68"/>
      <c r="AW252" s="68"/>
      <c r="AX252" s="68"/>
      <c r="AY252" s="68"/>
      <c r="AZ252" s="68"/>
      <c r="BA252" s="68"/>
      <c r="BB252" s="67"/>
      <c r="BC252" s="67"/>
      <c r="BD252" s="67"/>
      <c r="BE252" s="67"/>
      <c r="BF252" s="67"/>
      <c r="BG252" s="67"/>
      <c r="BH252" s="67"/>
      <c r="BI252" s="67"/>
      <c r="BJ252" s="67"/>
      <c r="BK252" s="67"/>
      <c r="BL252" s="67"/>
      <c r="HB252" s="68"/>
      <c r="HC252" s="68"/>
      <c r="HD252" s="68"/>
      <c r="HE252" s="68"/>
      <c r="HF252" s="68"/>
      <c r="HG252" s="68"/>
      <c r="HH252" s="68"/>
      <c r="HI252" s="68"/>
      <c r="HJ252" s="68"/>
      <c r="HK252" s="68"/>
      <c r="HL252" s="68"/>
      <c r="HM252" s="68"/>
      <c r="HP252" s="68"/>
      <c r="HQ252" s="68"/>
      <c r="HR252" s="68"/>
      <c r="HS252" s="68"/>
      <c r="HT252" s="68"/>
      <c r="HU252" s="68"/>
      <c r="HV252" s="68"/>
      <c r="HW252" s="68"/>
      <c r="HX252" s="68"/>
      <c r="HY252" s="68"/>
      <c r="HZ252" s="68"/>
      <c r="IA252" s="68"/>
      <c r="IB252" s="68"/>
      <c r="IC252" s="68"/>
      <c r="ID252" s="68"/>
      <c r="IE252" s="68"/>
      <c r="IF252" s="68"/>
      <c r="IG252" s="68"/>
      <c r="IH252" s="68"/>
      <c r="II252" s="68"/>
      <c r="IJ252" s="68"/>
      <c r="IK252" s="68"/>
      <c r="IL252" s="68"/>
      <c r="IM252" s="68"/>
      <c r="IN252" s="68"/>
      <c r="IO252" s="68"/>
      <c r="IP252" s="68"/>
      <c r="IQ252" s="68"/>
      <c r="IR252" s="68"/>
      <c r="IS252" s="68"/>
      <c r="IT252" s="68"/>
      <c r="IU252" s="68"/>
      <c r="IV252" s="68"/>
      <c r="IW252" s="68"/>
      <c r="IX252" s="68"/>
      <c r="IY252" s="68"/>
    </row>
    <row r="253" spans="2:259" hidden="1" x14ac:dyDescent="0.3"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  <c r="AV253" s="68"/>
      <c r="AW253" s="68"/>
      <c r="AX253" s="68"/>
      <c r="AY253" s="68"/>
      <c r="AZ253" s="68"/>
      <c r="BA253" s="68"/>
      <c r="BB253" s="67"/>
      <c r="BC253" s="67"/>
      <c r="BD253" s="67"/>
      <c r="BE253" s="67"/>
      <c r="BF253" s="67"/>
      <c r="BG253" s="67"/>
      <c r="BH253" s="67"/>
      <c r="BI253" s="67"/>
      <c r="BJ253" s="67"/>
      <c r="BK253" s="67"/>
      <c r="BL253" s="67"/>
      <c r="HB253" s="68"/>
      <c r="HC253" s="68"/>
      <c r="HD253" s="68"/>
      <c r="HE253" s="68"/>
      <c r="HF253" s="68"/>
      <c r="HG253" s="68"/>
      <c r="HH253" s="68"/>
      <c r="HI253" s="68"/>
      <c r="HJ253" s="68"/>
      <c r="HK253" s="68"/>
      <c r="HL253" s="68"/>
      <c r="HM253" s="68"/>
      <c r="HP253" s="68"/>
      <c r="HQ253" s="68"/>
      <c r="HR253" s="68"/>
      <c r="HS253" s="68"/>
      <c r="HT253" s="68"/>
      <c r="HU253" s="68"/>
      <c r="HV253" s="68"/>
      <c r="HW253" s="68"/>
      <c r="HX253" s="68"/>
      <c r="HY253" s="68"/>
      <c r="HZ253" s="68"/>
      <c r="IA253" s="68"/>
      <c r="IB253" s="68"/>
      <c r="IC253" s="68"/>
      <c r="ID253" s="68"/>
      <c r="IE253" s="68"/>
      <c r="IF253" s="68"/>
      <c r="IG253" s="68"/>
      <c r="IH253" s="68"/>
      <c r="II253" s="68"/>
      <c r="IJ253" s="68"/>
      <c r="IK253" s="68"/>
      <c r="IL253" s="68"/>
      <c r="IM253" s="68"/>
      <c r="IN253" s="68"/>
      <c r="IO253" s="68"/>
      <c r="IP253" s="68"/>
      <c r="IQ253" s="68"/>
      <c r="IR253" s="68"/>
      <c r="IS253" s="68"/>
      <c r="IT253" s="68"/>
      <c r="IU253" s="68"/>
      <c r="IV253" s="68"/>
      <c r="IW253" s="68"/>
      <c r="IX253" s="68"/>
      <c r="IY253" s="68"/>
    </row>
    <row r="254" spans="2:259" hidden="1" x14ac:dyDescent="0.3"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  <c r="AV254" s="68"/>
      <c r="AW254" s="68"/>
      <c r="AX254" s="68"/>
      <c r="AY254" s="68"/>
      <c r="AZ254" s="68"/>
      <c r="BA254" s="68"/>
      <c r="BB254" s="67"/>
      <c r="BC254" s="67"/>
      <c r="BD254" s="67"/>
      <c r="BE254" s="67"/>
      <c r="BF254" s="67"/>
      <c r="BG254" s="67"/>
      <c r="BH254" s="67"/>
      <c r="BI254" s="67"/>
      <c r="BJ254" s="67"/>
      <c r="BK254" s="67"/>
      <c r="BL254" s="67"/>
      <c r="HB254" s="68"/>
      <c r="HC254" s="68"/>
      <c r="HD254" s="68"/>
      <c r="HE254" s="68"/>
      <c r="HF254" s="68"/>
      <c r="HG254" s="68"/>
      <c r="HH254" s="68"/>
      <c r="HI254" s="68"/>
      <c r="HJ254" s="68"/>
      <c r="HK254" s="68"/>
      <c r="HL254" s="68"/>
      <c r="HM254" s="68"/>
      <c r="HP254" s="68"/>
      <c r="HQ254" s="68"/>
      <c r="HR254" s="68"/>
      <c r="HS254" s="68"/>
      <c r="HT254" s="68"/>
      <c r="HU254" s="68"/>
      <c r="HV254" s="68"/>
      <c r="HW254" s="68"/>
      <c r="HX254" s="68"/>
      <c r="HY254" s="68"/>
      <c r="HZ254" s="68"/>
      <c r="IA254" s="68"/>
      <c r="IB254" s="68"/>
      <c r="IC254" s="68"/>
      <c r="ID254" s="68"/>
      <c r="IE254" s="68"/>
      <c r="IF254" s="68"/>
      <c r="IG254" s="68"/>
      <c r="IH254" s="68"/>
      <c r="II254" s="68"/>
      <c r="IJ254" s="68"/>
      <c r="IK254" s="68"/>
      <c r="IL254" s="68"/>
      <c r="IM254" s="68"/>
      <c r="IN254" s="68"/>
      <c r="IO254" s="68"/>
      <c r="IP254" s="68"/>
      <c r="IQ254" s="68"/>
      <c r="IR254" s="68"/>
      <c r="IS254" s="68"/>
      <c r="IT254" s="68"/>
      <c r="IU254" s="68"/>
      <c r="IV254" s="68"/>
      <c r="IW254" s="68"/>
      <c r="IX254" s="68"/>
      <c r="IY254" s="68"/>
    </row>
    <row r="255" spans="2:259" hidden="1" x14ac:dyDescent="0.3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  <c r="AV255" s="68"/>
      <c r="AW255" s="68"/>
      <c r="AX255" s="68"/>
      <c r="AY255" s="68"/>
      <c r="AZ255" s="68"/>
      <c r="BA255" s="68"/>
      <c r="BB255" s="67"/>
      <c r="BC255" s="67"/>
      <c r="BD255" s="67"/>
      <c r="BE255" s="67"/>
      <c r="BF255" s="67"/>
      <c r="BG255" s="67"/>
      <c r="BH255" s="67"/>
      <c r="BI255" s="67"/>
      <c r="BJ255" s="67"/>
      <c r="BK255" s="67"/>
      <c r="BL255" s="67"/>
      <c r="HB255" s="68"/>
      <c r="HC255" s="68"/>
      <c r="HD255" s="68"/>
      <c r="HE255" s="68"/>
      <c r="HF255" s="68"/>
      <c r="HG255" s="68"/>
      <c r="HH255" s="68"/>
      <c r="HI255" s="68"/>
      <c r="HJ255" s="68"/>
      <c r="HK255" s="68"/>
      <c r="HL255" s="68"/>
      <c r="HM255" s="68"/>
      <c r="HP255" s="68"/>
      <c r="HQ255" s="68"/>
      <c r="HR255" s="68"/>
      <c r="HS255" s="68"/>
      <c r="HT255" s="68"/>
      <c r="HU255" s="68"/>
      <c r="HV255" s="68"/>
      <c r="HW255" s="68"/>
      <c r="HX255" s="68"/>
      <c r="HY255" s="68"/>
      <c r="HZ255" s="68"/>
      <c r="IA255" s="68"/>
      <c r="IB255" s="68"/>
      <c r="IC255" s="68"/>
      <c r="ID255" s="68"/>
      <c r="IE255" s="68"/>
      <c r="IF255" s="68"/>
      <c r="IG255" s="68"/>
      <c r="IH255" s="68"/>
      <c r="II255" s="68"/>
      <c r="IJ255" s="68"/>
      <c r="IK255" s="68"/>
      <c r="IL255" s="68"/>
      <c r="IM255" s="68"/>
      <c r="IN255" s="68"/>
      <c r="IO255" s="68"/>
      <c r="IP255" s="68"/>
      <c r="IQ255" s="68"/>
      <c r="IR255" s="68"/>
      <c r="IS255" s="68"/>
      <c r="IT255" s="68"/>
      <c r="IU255" s="68"/>
      <c r="IV255" s="68"/>
      <c r="IW255" s="68"/>
      <c r="IX255" s="68"/>
      <c r="IY255" s="68"/>
    </row>
    <row r="256" spans="2:259" hidden="1" x14ac:dyDescent="0.3"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  <c r="AV256" s="68"/>
      <c r="AW256" s="68"/>
      <c r="AX256" s="68"/>
      <c r="AY256" s="68"/>
      <c r="AZ256" s="68"/>
      <c r="BA256" s="68"/>
      <c r="BB256" s="67"/>
      <c r="BC256" s="67"/>
      <c r="BD256" s="67"/>
      <c r="BE256" s="67"/>
      <c r="BF256" s="67"/>
      <c r="BG256" s="67"/>
      <c r="BH256" s="67"/>
      <c r="BI256" s="67"/>
      <c r="BJ256" s="67"/>
      <c r="BK256" s="67"/>
      <c r="BL256" s="67"/>
      <c r="HB256" s="68"/>
      <c r="HC256" s="68"/>
      <c r="HD256" s="68"/>
      <c r="HE256" s="68"/>
      <c r="HF256" s="68"/>
      <c r="HG256" s="68"/>
      <c r="HH256" s="68"/>
      <c r="HI256" s="68"/>
      <c r="HJ256" s="68"/>
      <c r="HK256" s="68"/>
      <c r="HL256" s="68"/>
      <c r="HM256" s="68"/>
      <c r="HP256" s="68"/>
      <c r="HQ256" s="68"/>
      <c r="HR256" s="68"/>
      <c r="HS256" s="68"/>
      <c r="HT256" s="68"/>
      <c r="HU256" s="68"/>
      <c r="HV256" s="68"/>
      <c r="HW256" s="68"/>
      <c r="HX256" s="68"/>
      <c r="HY256" s="68"/>
      <c r="HZ256" s="68"/>
      <c r="IA256" s="68"/>
      <c r="IB256" s="68"/>
      <c r="IC256" s="68"/>
      <c r="ID256" s="68"/>
      <c r="IE256" s="68"/>
      <c r="IF256" s="68"/>
      <c r="IG256" s="68"/>
      <c r="IH256" s="68"/>
      <c r="II256" s="68"/>
      <c r="IJ256" s="68"/>
      <c r="IK256" s="68"/>
      <c r="IL256" s="68"/>
      <c r="IM256" s="68"/>
      <c r="IN256" s="68"/>
      <c r="IO256" s="68"/>
      <c r="IP256" s="68"/>
      <c r="IQ256" s="68"/>
      <c r="IR256" s="68"/>
      <c r="IS256" s="68"/>
      <c r="IT256" s="68"/>
      <c r="IU256" s="68"/>
      <c r="IV256" s="68"/>
      <c r="IW256" s="68"/>
      <c r="IX256" s="68"/>
      <c r="IY256" s="68"/>
    </row>
    <row r="257" spans="2:259" hidden="1" x14ac:dyDescent="0.3"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7"/>
      <c r="BC257" s="67"/>
      <c r="BD257" s="67"/>
      <c r="BE257" s="67"/>
      <c r="BF257" s="67"/>
      <c r="BG257" s="67"/>
      <c r="BH257" s="67"/>
      <c r="BI257" s="67"/>
      <c r="BJ257" s="67"/>
      <c r="BK257" s="67"/>
      <c r="BL257" s="67"/>
      <c r="HB257" s="68"/>
      <c r="HC257" s="68"/>
      <c r="HD257" s="68"/>
      <c r="HE257" s="68"/>
      <c r="HF257" s="68"/>
      <c r="HG257" s="68"/>
      <c r="HH257" s="68"/>
      <c r="HI257" s="68"/>
      <c r="HJ257" s="68"/>
      <c r="HK257" s="68"/>
      <c r="HL257" s="68"/>
      <c r="HM257" s="68"/>
      <c r="HP257" s="68"/>
      <c r="HQ257" s="68"/>
      <c r="HR257" s="68"/>
      <c r="HS257" s="68"/>
      <c r="HT257" s="68"/>
      <c r="HU257" s="68"/>
      <c r="HV257" s="68"/>
      <c r="HW257" s="68"/>
      <c r="HX257" s="68"/>
      <c r="HY257" s="68"/>
      <c r="HZ257" s="68"/>
      <c r="IA257" s="68"/>
      <c r="IB257" s="68"/>
      <c r="IC257" s="68"/>
      <c r="ID257" s="68"/>
      <c r="IE257" s="68"/>
      <c r="IF257" s="68"/>
      <c r="IG257" s="68"/>
      <c r="IH257" s="68"/>
      <c r="II257" s="68"/>
      <c r="IJ257" s="68"/>
      <c r="IK257" s="68"/>
      <c r="IL257" s="68"/>
      <c r="IM257" s="68"/>
      <c r="IN257" s="68"/>
      <c r="IO257" s="68"/>
      <c r="IP257" s="68"/>
      <c r="IQ257" s="68"/>
      <c r="IR257" s="68"/>
      <c r="IS257" s="68"/>
      <c r="IT257" s="68"/>
      <c r="IU257" s="68"/>
      <c r="IV257" s="68"/>
      <c r="IW257" s="68"/>
      <c r="IX257" s="68"/>
      <c r="IY257" s="68"/>
    </row>
    <row r="258" spans="2:259" hidden="1" x14ac:dyDescent="0.3"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7"/>
      <c r="BC258" s="67"/>
      <c r="BD258" s="67"/>
      <c r="BE258" s="67"/>
      <c r="BF258" s="67"/>
      <c r="BG258" s="67"/>
      <c r="BH258" s="67"/>
      <c r="BI258" s="67"/>
      <c r="BJ258" s="67"/>
      <c r="BK258" s="67"/>
      <c r="BL258" s="67"/>
      <c r="HB258" s="68"/>
      <c r="HC258" s="68"/>
      <c r="HD258" s="68"/>
      <c r="HE258" s="68"/>
      <c r="HF258" s="68"/>
      <c r="HG258" s="68"/>
      <c r="HH258" s="68"/>
      <c r="HI258" s="68"/>
      <c r="HJ258" s="68"/>
      <c r="HK258" s="68"/>
      <c r="HL258" s="68"/>
      <c r="HM258" s="68"/>
      <c r="HP258" s="68"/>
      <c r="HQ258" s="68"/>
      <c r="HR258" s="68"/>
      <c r="HS258" s="68"/>
      <c r="HT258" s="68"/>
      <c r="HU258" s="68"/>
      <c r="HV258" s="68"/>
      <c r="HW258" s="68"/>
      <c r="HX258" s="68"/>
      <c r="HY258" s="68"/>
      <c r="HZ258" s="68"/>
      <c r="IA258" s="68"/>
      <c r="IB258" s="68"/>
      <c r="IC258" s="68"/>
      <c r="ID258" s="68"/>
      <c r="IE258" s="68"/>
      <c r="IF258" s="68"/>
      <c r="IG258" s="68"/>
      <c r="IH258" s="68"/>
      <c r="II258" s="68"/>
      <c r="IJ258" s="68"/>
      <c r="IK258" s="68"/>
      <c r="IL258" s="68"/>
      <c r="IM258" s="68"/>
      <c r="IN258" s="68"/>
      <c r="IO258" s="68"/>
      <c r="IP258" s="68"/>
      <c r="IQ258" s="68"/>
      <c r="IR258" s="68"/>
      <c r="IS258" s="68"/>
      <c r="IT258" s="68"/>
      <c r="IU258" s="68"/>
      <c r="IV258" s="68"/>
      <c r="IW258" s="68"/>
      <c r="IX258" s="68"/>
      <c r="IY258" s="68"/>
    </row>
    <row r="259" spans="2:259" hidden="1" x14ac:dyDescent="0.3"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  <c r="AV259" s="68"/>
      <c r="AW259" s="68"/>
      <c r="AX259" s="68"/>
      <c r="AY259" s="68"/>
      <c r="AZ259" s="68"/>
      <c r="BA259" s="68"/>
      <c r="BB259" s="67"/>
      <c r="BC259" s="67"/>
      <c r="BD259" s="67"/>
      <c r="BE259" s="67"/>
      <c r="BF259" s="67"/>
      <c r="BG259" s="67"/>
      <c r="BH259" s="67"/>
      <c r="BI259" s="67"/>
      <c r="BJ259" s="67"/>
      <c r="BK259" s="67"/>
      <c r="BL259" s="67"/>
      <c r="HB259" s="68"/>
      <c r="HC259" s="68"/>
      <c r="HD259" s="68"/>
      <c r="HE259" s="68"/>
      <c r="HF259" s="68"/>
      <c r="HG259" s="68"/>
      <c r="HH259" s="68"/>
      <c r="HI259" s="68"/>
      <c r="HJ259" s="68"/>
      <c r="HK259" s="68"/>
      <c r="HL259" s="68"/>
      <c r="HM259" s="68"/>
      <c r="HP259" s="68"/>
      <c r="HQ259" s="68"/>
      <c r="HR259" s="68"/>
      <c r="HS259" s="68"/>
      <c r="HT259" s="68"/>
      <c r="HU259" s="68"/>
      <c r="HV259" s="68"/>
      <c r="HW259" s="68"/>
      <c r="HX259" s="68"/>
      <c r="HY259" s="68"/>
      <c r="HZ259" s="68"/>
      <c r="IA259" s="68"/>
      <c r="IB259" s="68"/>
      <c r="IC259" s="68"/>
      <c r="ID259" s="68"/>
      <c r="IE259" s="68"/>
      <c r="IF259" s="68"/>
      <c r="IG259" s="68"/>
      <c r="IH259" s="68"/>
      <c r="II259" s="68"/>
      <c r="IJ259" s="68"/>
      <c r="IK259" s="68"/>
      <c r="IL259" s="68"/>
      <c r="IM259" s="68"/>
      <c r="IN259" s="68"/>
      <c r="IO259" s="68"/>
      <c r="IP259" s="68"/>
      <c r="IQ259" s="68"/>
      <c r="IR259" s="68"/>
      <c r="IS259" s="68"/>
      <c r="IT259" s="68"/>
      <c r="IU259" s="68"/>
      <c r="IV259" s="68"/>
      <c r="IW259" s="68"/>
      <c r="IX259" s="68"/>
      <c r="IY259" s="68"/>
    </row>
    <row r="260" spans="2:259" hidden="1" x14ac:dyDescent="0.3"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  <c r="AV260" s="68"/>
      <c r="AW260" s="68"/>
      <c r="AX260" s="68"/>
      <c r="AY260" s="68"/>
      <c r="AZ260" s="68"/>
      <c r="BA260" s="68"/>
      <c r="BB260" s="67"/>
      <c r="BC260" s="67"/>
      <c r="BD260" s="67"/>
      <c r="BE260" s="67"/>
      <c r="BF260" s="67"/>
      <c r="BG260" s="67"/>
      <c r="BH260" s="67"/>
      <c r="BI260" s="67"/>
      <c r="BJ260" s="67"/>
      <c r="BK260" s="67"/>
      <c r="BL260" s="67"/>
      <c r="HB260" s="68"/>
      <c r="HC260" s="68"/>
      <c r="HD260" s="68"/>
      <c r="HE260" s="68"/>
      <c r="HF260" s="68"/>
      <c r="HG260" s="68"/>
      <c r="HH260" s="68"/>
      <c r="HI260" s="68"/>
      <c r="HJ260" s="68"/>
      <c r="HK260" s="68"/>
      <c r="HL260" s="68"/>
      <c r="HM260" s="68"/>
      <c r="HP260" s="68"/>
      <c r="HQ260" s="68"/>
      <c r="HR260" s="68"/>
      <c r="HS260" s="68"/>
      <c r="HT260" s="68"/>
      <c r="HU260" s="68"/>
      <c r="HV260" s="68"/>
      <c r="HW260" s="68"/>
      <c r="HX260" s="68"/>
      <c r="HY260" s="68"/>
      <c r="HZ260" s="68"/>
      <c r="IA260" s="68"/>
      <c r="IB260" s="68"/>
      <c r="IC260" s="68"/>
      <c r="ID260" s="68"/>
      <c r="IE260" s="68"/>
      <c r="IF260" s="68"/>
      <c r="IG260" s="68"/>
      <c r="IH260" s="68"/>
      <c r="II260" s="68"/>
      <c r="IJ260" s="68"/>
      <c r="IK260" s="68"/>
      <c r="IL260" s="68"/>
      <c r="IM260" s="68"/>
      <c r="IN260" s="68"/>
      <c r="IO260" s="68"/>
      <c r="IP260" s="68"/>
      <c r="IQ260" s="68"/>
      <c r="IR260" s="68"/>
      <c r="IS260" s="68"/>
      <c r="IT260" s="68"/>
      <c r="IU260" s="68"/>
      <c r="IV260" s="68"/>
      <c r="IW260" s="68"/>
      <c r="IX260" s="68"/>
      <c r="IY260" s="68"/>
    </row>
    <row r="261" spans="2:259" hidden="1" x14ac:dyDescent="0.3"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  <c r="AV261" s="68"/>
      <c r="AW261" s="68"/>
      <c r="AX261" s="68"/>
      <c r="AY261" s="68"/>
      <c r="AZ261" s="68"/>
      <c r="BA261" s="68"/>
      <c r="BB261" s="67"/>
      <c r="BC261" s="67"/>
      <c r="BD261" s="67"/>
      <c r="BE261" s="67"/>
      <c r="BF261" s="67"/>
      <c r="BG261" s="67"/>
      <c r="BH261" s="67"/>
      <c r="BI261" s="67"/>
      <c r="BJ261" s="67"/>
      <c r="BK261" s="67"/>
      <c r="BL261" s="67"/>
      <c r="HB261" s="68"/>
      <c r="HC261" s="68"/>
      <c r="HD261" s="68"/>
      <c r="HE261" s="68"/>
      <c r="HF261" s="68"/>
      <c r="HG261" s="68"/>
      <c r="HH261" s="68"/>
      <c r="HI261" s="68"/>
      <c r="HJ261" s="68"/>
      <c r="HK261" s="68"/>
      <c r="HL261" s="68"/>
      <c r="HM261" s="68"/>
      <c r="HP261" s="68"/>
      <c r="HQ261" s="68"/>
      <c r="HR261" s="68"/>
      <c r="HS261" s="68"/>
      <c r="HT261" s="68"/>
      <c r="HU261" s="68"/>
      <c r="HV261" s="68"/>
      <c r="HW261" s="68"/>
      <c r="HX261" s="68"/>
      <c r="HY261" s="68"/>
      <c r="HZ261" s="68"/>
      <c r="IA261" s="68"/>
      <c r="IB261" s="68"/>
      <c r="IC261" s="68"/>
      <c r="ID261" s="68"/>
      <c r="IE261" s="68"/>
      <c r="IF261" s="68"/>
      <c r="IG261" s="68"/>
      <c r="IH261" s="68"/>
      <c r="II261" s="68"/>
      <c r="IJ261" s="68"/>
      <c r="IK261" s="68"/>
      <c r="IL261" s="68"/>
      <c r="IM261" s="68"/>
      <c r="IN261" s="68"/>
      <c r="IO261" s="68"/>
      <c r="IP261" s="68"/>
      <c r="IQ261" s="68"/>
      <c r="IR261" s="68"/>
      <c r="IS261" s="68"/>
      <c r="IT261" s="68"/>
      <c r="IU261" s="68"/>
      <c r="IV261" s="68"/>
      <c r="IW261" s="68"/>
      <c r="IX261" s="68"/>
      <c r="IY261" s="68"/>
    </row>
    <row r="262" spans="2:259" hidden="1" x14ac:dyDescent="0.3"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  <c r="AV262" s="68"/>
      <c r="AW262" s="68"/>
      <c r="AX262" s="68"/>
      <c r="AY262" s="68"/>
      <c r="AZ262" s="68"/>
      <c r="BA262" s="68"/>
      <c r="BB262" s="67"/>
      <c r="BC262" s="67"/>
      <c r="BD262" s="67"/>
      <c r="BE262" s="67"/>
      <c r="BF262" s="67"/>
      <c r="BG262" s="67"/>
      <c r="BH262" s="67"/>
      <c r="BI262" s="67"/>
      <c r="BJ262" s="67"/>
      <c r="BK262" s="67"/>
      <c r="BL262" s="67"/>
      <c r="HB262" s="68"/>
      <c r="HC262" s="68"/>
      <c r="HD262" s="68"/>
      <c r="HE262" s="68"/>
      <c r="HF262" s="68"/>
      <c r="HG262" s="68"/>
      <c r="HH262" s="68"/>
      <c r="HI262" s="68"/>
      <c r="HJ262" s="68"/>
      <c r="HK262" s="68"/>
      <c r="HL262" s="68"/>
      <c r="HM262" s="68"/>
      <c r="HP262" s="68"/>
      <c r="HQ262" s="68"/>
      <c r="HR262" s="68"/>
      <c r="HS262" s="68"/>
      <c r="HT262" s="68"/>
      <c r="HU262" s="68"/>
      <c r="HV262" s="68"/>
      <c r="HW262" s="68"/>
      <c r="HX262" s="68"/>
      <c r="HY262" s="68"/>
      <c r="HZ262" s="68"/>
      <c r="IA262" s="68"/>
      <c r="IB262" s="68"/>
      <c r="IC262" s="68"/>
      <c r="ID262" s="68"/>
      <c r="IE262" s="68"/>
      <c r="IF262" s="68"/>
      <c r="IG262" s="68"/>
      <c r="IH262" s="68"/>
      <c r="II262" s="68"/>
      <c r="IJ262" s="68"/>
      <c r="IK262" s="68"/>
      <c r="IL262" s="68"/>
      <c r="IM262" s="68"/>
      <c r="IN262" s="68"/>
      <c r="IO262" s="68"/>
      <c r="IP262" s="68"/>
      <c r="IQ262" s="68"/>
      <c r="IR262" s="68"/>
      <c r="IS262" s="68"/>
      <c r="IT262" s="68"/>
      <c r="IU262" s="68"/>
      <c r="IV262" s="68"/>
      <c r="IW262" s="68"/>
      <c r="IX262" s="68"/>
      <c r="IY262" s="68"/>
    </row>
    <row r="263" spans="2:259" hidden="1" x14ac:dyDescent="0.3"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  <c r="AV263" s="68"/>
      <c r="AW263" s="68"/>
      <c r="AX263" s="68"/>
      <c r="AY263" s="68"/>
      <c r="AZ263" s="68"/>
      <c r="BA263" s="68"/>
      <c r="BB263" s="67"/>
      <c r="BC263" s="67"/>
      <c r="BD263" s="67"/>
      <c r="BE263" s="67"/>
      <c r="BF263" s="67"/>
      <c r="BG263" s="67"/>
      <c r="BH263" s="67"/>
      <c r="BI263" s="67"/>
      <c r="BJ263" s="67"/>
      <c r="BK263" s="67"/>
      <c r="BL263" s="67"/>
      <c r="HB263" s="68"/>
      <c r="HC263" s="68"/>
      <c r="HD263" s="68"/>
      <c r="HE263" s="68"/>
      <c r="HF263" s="68"/>
      <c r="HG263" s="68"/>
      <c r="HH263" s="68"/>
      <c r="HI263" s="68"/>
      <c r="HJ263" s="68"/>
      <c r="HK263" s="68"/>
      <c r="HL263" s="68"/>
      <c r="HM263" s="68"/>
      <c r="HP263" s="68"/>
      <c r="HQ263" s="68"/>
      <c r="HR263" s="68"/>
      <c r="HS263" s="68"/>
      <c r="HT263" s="68"/>
      <c r="HU263" s="68"/>
      <c r="HV263" s="68"/>
      <c r="HW263" s="68"/>
      <c r="HX263" s="68"/>
      <c r="HY263" s="68"/>
      <c r="HZ263" s="68"/>
      <c r="IA263" s="68"/>
      <c r="IB263" s="68"/>
      <c r="IC263" s="68"/>
      <c r="ID263" s="68"/>
      <c r="IE263" s="68"/>
      <c r="IF263" s="68"/>
      <c r="IG263" s="68"/>
      <c r="IH263" s="68"/>
      <c r="II263" s="68"/>
      <c r="IJ263" s="68"/>
      <c r="IK263" s="68"/>
      <c r="IL263" s="68"/>
      <c r="IM263" s="68"/>
      <c r="IN263" s="68"/>
      <c r="IO263" s="68"/>
      <c r="IP263" s="68"/>
      <c r="IQ263" s="68"/>
      <c r="IR263" s="68"/>
      <c r="IS263" s="68"/>
      <c r="IT263" s="68"/>
      <c r="IU263" s="68"/>
      <c r="IV263" s="68"/>
      <c r="IW263" s="68"/>
      <c r="IX263" s="68"/>
      <c r="IY263" s="68"/>
    </row>
    <row r="264" spans="2:259" hidden="1" x14ac:dyDescent="0.3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  <c r="AV264" s="68"/>
      <c r="AW264" s="68"/>
      <c r="AX264" s="68"/>
      <c r="AY264" s="68"/>
      <c r="AZ264" s="68"/>
      <c r="BA264" s="68"/>
      <c r="BB264" s="67"/>
      <c r="BC264" s="67"/>
      <c r="BD264" s="67"/>
      <c r="BE264" s="67"/>
      <c r="BF264" s="67"/>
      <c r="BG264" s="67"/>
      <c r="BH264" s="67"/>
      <c r="BI264" s="67"/>
      <c r="BJ264" s="67"/>
      <c r="BK264" s="67"/>
      <c r="BL264" s="67"/>
      <c r="HB264" s="68"/>
      <c r="HC264" s="68"/>
      <c r="HD264" s="68"/>
      <c r="HE264" s="68"/>
      <c r="HF264" s="68"/>
      <c r="HG264" s="68"/>
      <c r="HH264" s="68"/>
      <c r="HI264" s="68"/>
      <c r="HJ264" s="68"/>
      <c r="HK264" s="68"/>
      <c r="HL264" s="68"/>
      <c r="HM264" s="68"/>
      <c r="HP264" s="68"/>
      <c r="HQ264" s="68"/>
      <c r="HR264" s="68"/>
      <c r="HS264" s="68"/>
      <c r="HT264" s="68"/>
      <c r="HU264" s="68"/>
      <c r="HV264" s="68"/>
      <c r="HW264" s="68"/>
      <c r="HX264" s="68"/>
      <c r="HY264" s="68"/>
      <c r="HZ264" s="68"/>
      <c r="IA264" s="68"/>
      <c r="IB264" s="68"/>
      <c r="IC264" s="68"/>
      <c r="ID264" s="68"/>
      <c r="IE264" s="68"/>
      <c r="IF264" s="68"/>
      <c r="IG264" s="68"/>
      <c r="IH264" s="68"/>
      <c r="II264" s="68"/>
      <c r="IJ264" s="68"/>
      <c r="IK264" s="68"/>
      <c r="IL264" s="68"/>
      <c r="IM264" s="68"/>
      <c r="IN264" s="68"/>
      <c r="IO264" s="68"/>
      <c r="IP264" s="68"/>
      <c r="IQ264" s="68"/>
      <c r="IR264" s="68"/>
      <c r="IS264" s="68"/>
      <c r="IT264" s="68"/>
      <c r="IU264" s="68"/>
      <c r="IV264" s="68"/>
      <c r="IW264" s="68"/>
      <c r="IX264" s="68"/>
      <c r="IY264" s="68"/>
    </row>
    <row r="265" spans="2:259" hidden="1" x14ac:dyDescent="0.3"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  <c r="AV265" s="68"/>
      <c r="AW265" s="68"/>
      <c r="AX265" s="68"/>
      <c r="AY265" s="68"/>
      <c r="AZ265" s="68"/>
      <c r="BA265" s="68"/>
      <c r="BB265" s="67"/>
      <c r="BC265" s="67"/>
      <c r="BD265" s="67"/>
      <c r="BE265" s="67"/>
      <c r="BF265" s="67"/>
      <c r="BG265" s="67"/>
      <c r="BH265" s="67"/>
      <c r="BI265" s="67"/>
      <c r="BJ265" s="67"/>
      <c r="BK265" s="67"/>
      <c r="BL265" s="67"/>
      <c r="HB265" s="68"/>
      <c r="HC265" s="68"/>
      <c r="HD265" s="68"/>
      <c r="HE265" s="68"/>
      <c r="HF265" s="68"/>
      <c r="HG265" s="68"/>
      <c r="HH265" s="68"/>
      <c r="HI265" s="68"/>
      <c r="HJ265" s="68"/>
      <c r="HK265" s="68"/>
      <c r="HL265" s="68"/>
      <c r="HM265" s="68"/>
      <c r="HP265" s="68"/>
      <c r="HQ265" s="68"/>
      <c r="HR265" s="68"/>
      <c r="HS265" s="68"/>
      <c r="HT265" s="68"/>
      <c r="HU265" s="68"/>
      <c r="HV265" s="68"/>
      <c r="HW265" s="68"/>
      <c r="HX265" s="68"/>
      <c r="HY265" s="68"/>
      <c r="HZ265" s="68"/>
      <c r="IA265" s="68"/>
      <c r="IB265" s="68"/>
      <c r="IC265" s="68"/>
      <c r="ID265" s="68"/>
      <c r="IE265" s="68"/>
      <c r="IF265" s="68"/>
      <c r="IG265" s="68"/>
      <c r="IH265" s="68"/>
      <c r="II265" s="68"/>
      <c r="IJ265" s="68"/>
      <c r="IK265" s="68"/>
      <c r="IL265" s="68"/>
      <c r="IM265" s="68"/>
      <c r="IN265" s="68"/>
      <c r="IO265" s="68"/>
      <c r="IP265" s="68"/>
      <c r="IQ265" s="68"/>
      <c r="IR265" s="68"/>
      <c r="IS265" s="68"/>
      <c r="IT265" s="68"/>
      <c r="IU265" s="68"/>
      <c r="IV265" s="68"/>
      <c r="IW265" s="68"/>
      <c r="IX265" s="68"/>
      <c r="IY265" s="68"/>
    </row>
    <row r="266" spans="2:259" hidden="1" x14ac:dyDescent="0.3"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  <c r="AV266" s="68"/>
      <c r="AW266" s="68"/>
      <c r="AX266" s="68"/>
      <c r="AY266" s="68"/>
      <c r="AZ266" s="68"/>
      <c r="BA266" s="68"/>
      <c r="BB266" s="67"/>
      <c r="BC266" s="67"/>
      <c r="BD266" s="67"/>
      <c r="BE266" s="67"/>
      <c r="BF266" s="67"/>
      <c r="BG266" s="67"/>
      <c r="BH266" s="67"/>
      <c r="BI266" s="67"/>
      <c r="BJ266" s="67"/>
      <c r="BK266" s="67"/>
      <c r="BL266" s="67"/>
      <c r="HB266" s="68"/>
      <c r="HC266" s="68"/>
      <c r="HD266" s="68"/>
      <c r="HE266" s="68"/>
      <c r="HF266" s="68"/>
      <c r="HG266" s="68"/>
      <c r="HH266" s="68"/>
      <c r="HI266" s="68"/>
      <c r="HJ266" s="68"/>
      <c r="HK266" s="68"/>
      <c r="HL266" s="68"/>
      <c r="HM266" s="68"/>
      <c r="HP266" s="68"/>
      <c r="HQ266" s="68"/>
      <c r="HR266" s="68"/>
      <c r="HS266" s="68"/>
      <c r="HT266" s="68"/>
      <c r="HU266" s="68"/>
      <c r="HV266" s="68"/>
      <c r="HW266" s="68"/>
      <c r="HX266" s="68"/>
      <c r="HY266" s="68"/>
      <c r="HZ266" s="68"/>
      <c r="IA266" s="68"/>
      <c r="IB266" s="68"/>
      <c r="IC266" s="68"/>
      <c r="ID266" s="68"/>
      <c r="IE266" s="68"/>
      <c r="IF266" s="68"/>
      <c r="IG266" s="68"/>
      <c r="IH266" s="68"/>
      <c r="II266" s="68"/>
      <c r="IJ266" s="68"/>
      <c r="IK266" s="68"/>
      <c r="IL266" s="68"/>
      <c r="IM266" s="68"/>
      <c r="IN266" s="68"/>
      <c r="IO266" s="68"/>
      <c r="IP266" s="68"/>
      <c r="IQ266" s="68"/>
      <c r="IR266" s="68"/>
      <c r="IS266" s="68"/>
      <c r="IT266" s="68"/>
      <c r="IU266" s="68"/>
      <c r="IV266" s="68"/>
      <c r="IW266" s="68"/>
      <c r="IX266" s="68"/>
      <c r="IY266" s="68"/>
    </row>
    <row r="267" spans="2:259" hidden="1" x14ac:dyDescent="0.3"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  <c r="AV267" s="68"/>
      <c r="AW267" s="68"/>
      <c r="AX267" s="68"/>
      <c r="AY267" s="68"/>
      <c r="AZ267" s="68"/>
      <c r="BA267" s="68"/>
      <c r="BB267" s="67"/>
      <c r="BC267" s="67"/>
      <c r="BD267" s="67"/>
      <c r="BE267" s="67"/>
      <c r="BF267" s="67"/>
      <c r="BG267" s="67"/>
      <c r="BH267" s="67"/>
      <c r="BI267" s="67"/>
      <c r="BJ267" s="67"/>
      <c r="BK267" s="67"/>
      <c r="BL267" s="67"/>
      <c r="HB267" s="68"/>
      <c r="HC267" s="68"/>
      <c r="HD267" s="68"/>
      <c r="HE267" s="68"/>
      <c r="HF267" s="68"/>
      <c r="HG267" s="68"/>
      <c r="HH267" s="68"/>
      <c r="HI267" s="68"/>
      <c r="HJ267" s="68"/>
      <c r="HK267" s="68"/>
      <c r="HL267" s="68"/>
      <c r="HM267" s="68"/>
      <c r="HP267" s="68"/>
      <c r="HQ267" s="68"/>
      <c r="HR267" s="68"/>
      <c r="HS267" s="68"/>
      <c r="HT267" s="68"/>
      <c r="HU267" s="68"/>
      <c r="HV267" s="68"/>
      <c r="HW267" s="68"/>
      <c r="HX267" s="68"/>
      <c r="HY267" s="68"/>
      <c r="HZ267" s="68"/>
      <c r="IA267" s="68"/>
      <c r="IB267" s="68"/>
      <c r="IC267" s="68"/>
      <c r="ID267" s="68"/>
      <c r="IE267" s="68"/>
      <c r="IF267" s="68"/>
      <c r="IG267" s="68"/>
      <c r="IH267" s="68"/>
      <c r="II267" s="68"/>
      <c r="IJ267" s="68"/>
      <c r="IK267" s="68"/>
      <c r="IL267" s="68"/>
      <c r="IM267" s="68"/>
      <c r="IN267" s="68"/>
      <c r="IO267" s="68"/>
      <c r="IP267" s="68"/>
      <c r="IQ267" s="68"/>
      <c r="IR267" s="68"/>
      <c r="IS267" s="68"/>
      <c r="IT267" s="68"/>
      <c r="IU267" s="68"/>
      <c r="IV267" s="68"/>
      <c r="IW267" s="68"/>
      <c r="IX267" s="68"/>
      <c r="IY267" s="68"/>
    </row>
    <row r="268" spans="2:259" hidden="1" x14ac:dyDescent="0.3"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  <c r="AV268" s="68"/>
      <c r="AW268" s="68"/>
      <c r="AX268" s="68"/>
      <c r="AY268" s="68"/>
      <c r="AZ268" s="68"/>
      <c r="BA268" s="68"/>
      <c r="BB268" s="67"/>
      <c r="BC268" s="67"/>
      <c r="BD268" s="67"/>
      <c r="BE268" s="67"/>
      <c r="BF268" s="67"/>
      <c r="BG268" s="67"/>
      <c r="BH268" s="67"/>
      <c r="BI268" s="67"/>
      <c r="BJ268" s="67"/>
      <c r="BK268" s="67"/>
      <c r="BL268" s="67"/>
      <c r="HB268" s="68"/>
      <c r="HC268" s="68"/>
      <c r="HD268" s="68"/>
      <c r="HE268" s="68"/>
      <c r="HF268" s="68"/>
      <c r="HG268" s="68"/>
      <c r="HH268" s="68"/>
      <c r="HI268" s="68"/>
      <c r="HJ268" s="68"/>
      <c r="HK268" s="68"/>
      <c r="HL268" s="68"/>
      <c r="HM268" s="68"/>
      <c r="HP268" s="68"/>
      <c r="HQ268" s="68"/>
      <c r="HR268" s="68"/>
      <c r="HS268" s="68"/>
      <c r="HT268" s="68"/>
      <c r="HU268" s="68"/>
      <c r="HV268" s="68"/>
      <c r="HW268" s="68"/>
      <c r="HX268" s="68"/>
      <c r="HY268" s="68"/>
      <c r="HZ268" s="68"/>
      <c r="IA268" s="68"/>
      <c r="IB268" s="68"/>
      <c r="IC268" s="68"/>
      <c r="ID268" s="68"/>
      <c r="IE268" s="68"/>
      <c r="IF268" s="68"/>
      <c r="IG268" s="68"/>
      <c r="IH268" s="68"/>
      <c r="II268" s="68"/>
      <c r="IJ268" s="68"/>
      <c r="IK268" s="68"/>
      <c r="IL268" s="68"/>
      <c r="IM268" s="68"/>
      <c r="IN268" s="68"/>
      <c r="IO268" s="68"/>
      <c r="IP268" s="68"/>
      <c r="IQ268" s="68"/>
      <c r="IR268" s="68"/>
      <c r="IS268" s="68"/>
      <c r="IT268" s="68"/>
      <c r="IU268" s="68"/>
      <c r="IV268" s="68"/>
      <c r="IW268" s="68"/>
      <c r="IX268" s="68"/>
      <c r="IY268" s="68"/>
    </row>
    <row r="269" spans="2:259" hidden="1" x14ac:dyDescent="0.3"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7"/>
      <c r="BC269" s="67"/>
      <c r="BD269" s="67"/>
      <c r="BE269" s="67"/>
      <c r="BF269" s="67"/>
      <c r="BG269" s="67"/>
      <c r="BH269" s="67"/>
      <c r="BI269" s="67"/>
      <c r="BJ269" s="67"/>
      <c r="BK269" s="67"/>
      <c r="BL269" s="67"/>
      <c r="HB269" s="68"/>
      <c r="HC269" s="68"/>
      <c r="HD269" s="68"/>
      <c r="HE269" s="68"/>
      <c r="HF269" s="68"/>
      <c r="HG269" s="68"/>
      <c r="HH269" s="68"/>
      <c r="HI269" s="68"/>
      <c r="HJ269" s="68"/>
      <c r="HK269" s="68"/>
      <c r="HL269" s="68"/>
      <c r="HM269" s="68"/>
      <c r="HP269" s="68"/>
      <c r="HQ269" s="68"/>
      <c r="HR269" s="68"/>
      <c r="HS269" s="68"/>
      <c r="HT269" s="68"/>
      <c r="HU269" s="68"/>
      <c r="HV269" s="68"/>
      <c r="HW269" s="68"/>
      <c r="HX269" s="68"/>
      <c r="HY269" s="68"/>
      <c r="HZ269" s="68"/>
      <c r="IA269" s="68"/>
      <c r="IB269" s="68"/>
      <c r="IC269" s="68"/>
      <c r="ID269" s="68"/>
      <c r="IE269" s="68"/>
      <c r="IF269" s="68"/>
      <c r="IG269" s="68"/>
      <c r="IH269" s="68"/>
      <c r="II269" s="68"/>
      <c r="IJ269" s="68"/>
      <c r="IK269" s="68"/>
      <c r="IL269" s="68"/>
      <c r="IM269" s="68"/>
      <c r="IN269" s="68"/>
      <c r="IO269" s="68"/>
      <c r="IP269" s="68"/>
      <c r="IQ269" s="68"/>
      <c r="IR269" s="68"/>
      <c r="IS269" s="68"/>
      <c r="IT269" s="68"/>
      <c r="IU269" s="68"/>
      <c r="IV269" s="68"/>
      <c r="IW269" s="68"/>
      <c r="IX269" s="68"/>
      <c r="IY269" s="68"/>
    </row>
    <row r="270" spans="2:259" hidden="1" x14ac:dyDescent="0.3"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  <c r="AV270" s="68"/>
      <c r="AW270" s="68"/>
      <c r="AX270" s="68"/>
      <c r="AY270" s="68"/>
      <c r="AZ270" s="68"/>
      <c r="BA270" s="68"/>
      <c r="BB270" s="67"/>
      <c r="BC270" s="67"/>
      <c r="BD270" s="67"/>
      <c r="BE270" s="67"/>
      <c r="BF270" s="67"/>
      <c r="BG270" s="67"/>
      <c r="BH270" s="67"/>
      <c r="BI270" s="67"/>
      <c r="BJ270" s="67"/>
      <c r="BK270" s="67"/>
      <c r="BL270" s="67"/>
      <c r="HB270" s="68"/>
      <c r="HC270" s="68"/>
      <c r="HD270" s="68"/>
      <c r="HE270" s="68"/>
      <c r="HF270" s="68"/>
      <c r="HG270" s="68"/>
      <c r="HH270" s="68"/>
      <c r="HI270" s="68"/>
      <c r="HJ270" s="68"/>
      <c r="HK270" s="68"/>
      <c r="HL270" s="68"/>
      <c r="HM270" s="68"/>
      <c r="HP270" s="68"/>
      <c r="HQ270" s="68"/>
      <c r="HR270" s="68"/>
      <c r="HS270" s="68"/>
      <c r="HT270" s="68"/>
      <c r="HU270" s="68"/>
      <c r="HV270" s="68"/>
      <c r="HW270" s="68"/>
      <c r="HX270" s="68"/>
      <c r="HY270" s="68"/>
      <c r="HZ270" s="68"/>
      <c r="IA270" s="68"/>
      <c r="IB270" s="68"/>
      <c r="IC270" s="68"/>
      <c r="ID270" s="68"/>
      <c r="IE270" s="68"/>
      <c r="IF270" s="68"/>
      <c r="IG270" s="68"/>
      <c r="IH270" s="68"/>
      <c r="II270" s="68"/>
      <c r="IJ270" s="68"/>
      <c r="IK270" s="68"/>
      <c r="IL270" s="68"/>
      <c r="IM270" s="68"/>
      <c r="IN270" s="68"/>
      <c r="IO270" s="68"/>
      <c r="IP270" s="68"/>
      <c r="IQ270" s="68"/>
      <c r="IR270" s="68"/>
      <c r="IS270" s="68"/>
      <c r="IT270" s="68"/>
      <c r="IU270" s="68"/>
      <c r="IV270" s="68"/>
      <c r="IW270" s="68"/>
      <c r="IX270" s="68"/>
      <c r="IY270" s="68"/>
    </row>
    <row r="271" spans="2:259" hidden="1" x14ac:dyDescent="0.3"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  <c r="AV271" s="68"/>
      <c r="AW271" s="68"/>
      <c r="AX271" s="68"/>
      <c r="AY271" s="68"/>
      <c r="AZ271" s="68"/>
      <c r="BA271" s="68"/>
      <c r="BB271" s="67"/>
      <c r="BC271" s="67"/>
      <c r="BD271" s="67"/>
      <c r="BE271" s="67"/>
      <c r="BF271" s="67"/>
      <c r="BG271" s="67"/>
      <c r="BH271" s="67"/>
      <c r="BI271" s="67"/>
      <c r="BJ271" s="67"/>
      <c r="BK271" s="67"/>
      <c r="BL271" s="67"/>
      <c r="HB271" s="68"/>
      <c r="HC271" s="68"/>
      <c r="HD271" s="68"/>
      <c r="HE271" s="68"/>
      <c r="HF271" s="68"/>
      <c r="HG271" s="68"/>
      <c r="HH271" s="68"/>
      <c r="HI271" s="68"/>
      <c r="HJ271" s="68"/>
      <c r="HK271" s="68"/>
      <c r="HL271" s="68"/>
      <c r="HM271" s="68"/>
      <c r="HP271" s="68"/>
      <c r="HQ271" s="68"/>
      <c r="HR271" s="68"/>
      <c r="HS271" s="68"/>
      <c r="HT271" s="68"/>
      <c r="HU271" s="68"/>
      <c r="HV271" s="68"/>
      <c r="HW271" s="68"/>
      <c r="HX271" s="68"/>
      <c r="HY271" s="68"/>
      <c r="HZ271" s="68"/>
      <c r="IA271" s="68"/>
      <c r="IB271" s="68"/>
      <c r="IC271" s="68"/>
      <c r="ID271" s="68"/>
      <c r="IE271" s="68"/>
      <c r="IF271" s="68"/>
      <c r="IG271" s="68"/>
      <c r="IH271" s="68"/>
      <c r="II271" s="68"/>
      <c r="IJ271" s="68"/>
      <c r="IK271" s="68"/>
      <c r="IL271" s="68"/>
      <c r="IM271" s="68"/>
      <c r="IN271" s="68"/>
      <c r="IO271" s="68"/>
      <c r="IP271" s="68"/>
      <c r="IQ271" s="68"/>
      <c r="IR271" s="68"/>
      <c r="IS271" s="68"/>
      <c r="IT271" s="68"/>
      <c r="IU271" s="68"/>
      <c r="IV271" s="68"/>
      <c r="IW271" s="68"/>
      <c r="IX271" s="68"/>
      <c r="IY271" s="68"/>
    </row>
    <row r="272" spans="2:259" hidden="1" x14ac:dyDescent="0.3"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  <c r="AV272" s="68"/>
      <c r="AW272" s="68"/>
      <c r="AX272" s="68"/>
      <c r="AY272" s="68"/>
      <c r="AZ272" s="68"/>
      <c r="BA272" s="68"/>
      <c r="BB272" s="67"/>
      <c r="BC272" s="67"/>
      <c r="BD272" s="67"/>
      <c r="BE272" s="67"/>
      <c r="BF272" s="67"/>
      <c r="BG272" s="67"/>
      <c r="BH272" s="67"/>
      <c r="BI272" s="67"/>
      <c r="BJ272" s="67"/>
      <c r="BK272" s="67"/>
      <c r="BL272" s="67"/>
      <c r="HB272" s="68"/>
      <c r="HC272" s="68"/>
      <c r="HD272" s="68"/>
      <c r="HE272" s="68"/>
      <c r="HF272" s="68"/>
      <c r="HG272" s="68"/>
      <c r="HH272" s="68"/>
      <c r="HI272" s="68"/>
      <c r="HJ272" s="68"/>
      <c r="HK272" s="68"/>
      <c r="HL272" s="68"/>
      <c r="HM272" s="68"/>
      <c r="HP272" s="68"/>
      <c r="HQ272" s="68"/>
      <c r="HR272" s="68"/>
      <c r="HS272" s="68"/>
      <c r="HT272" s="68"/>
      <c r="HU272" s="68"/>
      <c r="HV272" s="68"/>
      <c r="HW272" s="68"/>
      <c r="HX272" s="68"/>
      <c r="HY272" s="68"/>
      <c r="HZ272" s="68"/>
      <c r="IA272" s="68"/>
      <c r="IB272" s="68"/>
      <c r="IC272" s="68"/>
      <c r="ID272" s="68"/>
      <c r="IE272" s="68"/>
      <c r="IF272" s="68"/>
      <c r="IG272" s="68"/>
      <c r="IH272" s="68"/>
      <c r="II272" s="68"/>
      <c r="IJ272" s="68"/>
      <c r="IK272" s="68"/>
      <c r="IL272" s="68"/>
      <c r="IM272" s="68"/>
      <c r="IN272" s="68"/>
      <c r="IO272" s="68"/>
      <c r="IP272" s="68"/>
      <c r="IQ272" s="68"/>
      <c r="IR272" s="68"/>
      <c r="IS272" s="68"/>
      <c r="IT272" s="68"/>
      <c r="IU272" s="68"/>
      <c r="IV272" s="68"/>
      <c r="IW272" s="68"/>
      <c r="IX272" s="68"/>
      <c r="IY272" s="68"/>
    </row>
    <row r="273" spans="2:259" hidden="1" x14ac:dyDescent="0.3"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  <c r="AV273" s="68"/>
      <c r="AW273" s="68"/>
      <c r="AX273" s="68"/>
      <c r="AY273" s="68"/>
      <c r="AZ273" s="68"/>
      <c r="BA273" s="68"/>
      <c r="BB273" s="67"/>
      <c r="BC273" s="67"/>
      <c r="BD273" s="67"/>
      <c r="BE273" s="67"/>
      <c r="BF273" s="67"/>
      <c r="BG273" s="67"/>
      <c r="BH273" s="67"/>
      <c r="BI273" s="67"/>
      <c r="BJ273" s="67"/>
      <c r="BK273" s="67"/>
      <c r="BL273" s="67"/>
      <c r="HB273" s="68"/>
      <c r="HC273" s="68"/>
      <c r="HD273" s="68"/>
      <c r="HE273" s="68"/>
      <c r="HF273" s="68"/>
      <c r="HG273" s="68"/>
      <c r="HH273" s="68"/>
      <c r="HI273" s="68"/>
      <c r="HJ273" s="68"/>
      <c r="HK273" s="68"/>
      <c r="HL273" s="68"/>
      <c r="HM273" s="68"/>
      <c r="HP273" s="68"/>
      <c r="HQ273" s="68"/>
      <c r="HR273" s="68"/>
      <c r="HS273" s="68"/>
      <c r="HT273" s="68"/>
      <c r="HU273" s="68"/>
      <c r="HV273" s="68"/>
      <c r="HW273" s="68"/>
      <c r="HX273" s="68"/>
      <c r="HY273" s="68"/>
      <c r="HZ273" s="68"/>
      <c r="IA273" s="68"/>
      <c r="IB273" s="68"/>
      <c r="IC273" s="68"/>
      <c r="ID273" s="68"/>
      <c r="IE273" s="68"/>
      <c r="IF273" s="68"/>
      <c r="IG273" s="68"/>
      <c r="IH273" s="68"/>
      <c r="II273" s="68"/>
      <c r="IJ273" s="68"/>
      <c r="IK273" s="68"/>
      <c r="IL273" s="68"/>
      <c r="IM273" s="68"/>
      <c r="IN273" s="68"/>
      <c r="IO273" s="68"/>
      <c r="IP273" s="68"/>
      <c r="IQ273" s="68"/>
      <c r="IR273" s="68"/>
      <c r="IS273" s="68"/>
      <c r="IT273" s="68"/>
      <c r="IU273" s="68"/>
      <c r="IV273" s="68"/>
      <c r="IW273" s="68"/>
      <c r="IX273" s="68"/>
      <c r="IY273" s="68"/>
    </row>
    <row r="274" spans="2:259" hidden="1" x14ac:dyDescent="0.3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  <c r="AV274" s="68"/>
      <c r="AW274" s="68"/>
      <c r="AX274" s="68"/>
      <c r="AY274" s="68"/>
      <c r="AZ274" s="68"/>
      <c r="BA274" s="68"/>
      <c r="BB274" s="67"/>
      <c r="BC274" s="67"/>
      <c r="BD274" s="67"/>
      <c r="BE274" s="67"/>
      <c r="BF274" s="67"/>
      <c r="BG274" s="67"/>
      <c r="BH274" s="67"/>
      <c r="BI274" s="67"/>
      <c r="BJ274" s="67"/>
      <c r="BK274" s="67"/>
      <c r="BL274" s="67"/>
      <c r="HB274" s="68"/>
      <c r="HC274" s="68"/>
      <c r="HD274" s="68"/>
      <c r="HE274" s="68"/>
      <c r="HF274" s="68"/>
      <c r="HG274" s="68"/>
      <c r="HH274" s="68"/>
      <c r="HI274" s="68"/>
      <c r="HJ274" s="68"/>
      <c r="HK274" s="68"/>
      <c r="HL274" s="68"/>
      <c r="HM274" s="68"/>
      <c r="HP274" s="68"/>
      <c r="HQ274" s="68"/>
      <c r="HR274" s="68"/>
      <c r="HS274" s="68"/>
      <c r="HT274" s="68"/>
      <c r="HU274" s="68"/>
      <c r="HV274" s="68"/>
      <c r="HW274" s="68"/>
      <c r="HX274" s="68"/>
      <c r="HY274" s="68"/>
      <c r="HZ274" s="68"/>
      <c r="IA274" s="68"/>
      <c r="IB274" s="68"/>
      <c r="IC274" s="68"/>
      <c r="ID274" s="68"/>
      <c r="IE274" s="68"/>
      <c r="IF274" s="68"/>
      <c r="IG274" s="68"/>
      <c r="IH274" s="68"/>
      <c r="II274" s="68"/>
      <c r="IJ274" s="68"/>
      <c r="IK274" s="68"/>
      <c r="IL274" s="68"/>
      <c r="IM274" s="68"/>
      <c r="IN274" s="68"/>
      <c r="IO274" s="68"/>
      <c r="IP274" s="68"/>
      <c r="IQ274" s="68"/>
      <c r="IR274" s="68"/>
      <c r="IS274" s="68"/>
      <c r="IT274" s="68"/>
      <c r="IU274" s="68"/>
      <c r="IV274" s="68"/>
      <c r="IW274" s="68"/>
      <c r="IX274" s="68"/>
      <c r="IY274" s="68"/>
    </row>
    <row r="275" spans="2:259" hidden="1" x14ac:dyDescent="0.3"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  <c r="AV275" s="68"/>
      <c r="AW275" s="68"/>
      <c r="AX275" s="68"/>
      <c r="AY275" s="68"/>
      <c r="AZ275" s="68"/>
      <c r="BA275" s="68"/>
      <c r="BB275" s="67"/>
      <c r="BC275" s="67"/>
      <c r="BD275" s="67"/>
      <c r="BE275" s="67"/>
      <c r="BF275" s="67"/>
      <c r="BG275" s="67"/>
      <c r="BH275" s="67"/>
      <c r="BI275" s="67"/>
      <c r="BJ275" s="67"/>
      <c r="BK275" s="67"/>
      <c r="BL275" s="67"/>
      <c r="HB275" s="68"/>
      <c r="HC275" s="68"/>
      <c r="HD275" s="68"/>
      <c r="HE275" s="68"/>
      <c r="HF275" s="68"/>
      <c r="HG275" s="68"/>
      <c r="HH275" s="68"/>
      <c r="HI275" s="68"/>
      <c r="HJ275" s="68"/>
      <c r="HK275" s="68"/>
      <c r="HL275" s="68"/>
      <c r="HM275" s="68"/>
      <c r="HP275" s="68"/>
      <c r="HQ275" s="68"/>
      <c r="HR275" s="68"/>
      <c r="HS275" s="68"/>
      <c r="HT275" s="68"/>
      <c r="HU275" s="68"/>
      <c r="HV275" s="68"/>
      <c r="HW275" s="68"/>
      <c r="HX275" s="68"/>
      <c r="HY275" s="68"/>
      <c r="HZ275" s="68"/>
      <c r="IA275" s="68"/>
      <c r="IB275" s="68"/>
      <c r="IC275" s="68"/>
      <c r="ID275" s="68"/>
      <c r="IE275" s="68"/>
      <c r="IF275" s="68"/>
      <c r="IG275" s="68"/>
      <c r="IH275" s="68"/>
      <c r="II275" s="68"/>
      <c r="IJ275" s="68"/>
      <c r="IK275" s="68"/>
      <c r="IL275" s="68"/>
      <c r="IM275" s="68"/>
      <c r="IN275" s="68"/>
      <c r="IO275" s="68"/>
      <c r="IP275" s="68"/>
      <c r="IQ275" s="68"/>
      <c r="IR275" s="68"/>
      <c r="IS275" s="68"/>
      <c r="IT275" s="68"/>
      <c r="IU275" s="68"/>
      <c r="IV275" s="68"/>
      <c r="IW275" s="68"/>
      <c r="IX275" s="68"/>
      <c r="IY275" s="68"/>
    </row>
    <row r="276" spans="2:259" hidden="1" x14ac:dyDescent="0.3"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  <c r="AV276" s="68"/>
      <c r="AW276" s="68"/>
      <c r="AX276" s="68"/>
      <c r="AY276" s="68"/>
      <c r="AZ276" s="68"/>
      <c r="BA276" s="68"/>
      <c r="BB276" s="67"/>
      <c r="BC276" s="67"/>
      <c r="BD276" s="67"/>
      <c r="BE276" s="67"/>
      <c r="BF276" s="67"/>
      <c r="BG276" s="67"/>
      <c r="BH276" s="67"/>
      <c r="BI276" s="67"/>
      <c r="BJ276" s="67"/>
      <c r="BK276" s="67"/>
      <c r="BL276" s="67"/>
      <c r="HB276" s="68"/>
      <c r="HC276" s="68"/>
      <c r="HD276" s="68"/>
      <c r="HE276" s="68"/>
      <c r="HF276" s="68"/>
      <c r="HG276" s="68"/>
      <c r="HH276" s="68"/>
      <c r="HI276" s="68"/>
      <c r="HJ276" s="68"/>
      <c r="HK276" s="68"/>
      <c r="HL276" s="68"/>
      <c r="HM276" s="68"/>
      <c r="HP276" s="68"/>
      <c r="HQ276" s="68"/>
      <c r="HR276" s="68"/>
      <c r="HS276" s="68"/>
      <c r="HT276" s="68"/>
      <c r="HU276" s="68"/>
      <c r="HV276" s="68"/>
      <c r="HW276" s="68"/>
      <c r="HX276" s="68"/>
      <c r="HY276" s="68"/>
      <c r="HZ276" s="68"/>
      <c r="IA276" s="68"/>
      <c r="IB276" s="68"/>
      <c r="IC276" s="68"/>
      <c r="ID276" s="68"/>
      <c r="IE276" s="68"/>
      <c r="IF276" s="68"/>
      <c r="IG276" s="68"/>
      <c r="IH276" s="68"/>
      <c r="II276" s="68"/>
      <c r="IJ276" s="68"/>
      <c r="IK276" s="68"/>
      <c r="IL276" s="68"/>
      <c r="IM276" s="68"/>
      <c r="IN276" s="68"/>
      <c r="IO276" s="68"/>
      <c r="IP276" s="68"/>
      <c r="IQ276" s="68"/>
      <c r="IR276" s="68"/>
      <c r="IS276" s="68"/>
      <c r="IT276" s="68"/>
      <c r="IU276" s="68"/>
      <c r="IV276" s="68"/>
      <c r="IW276" s="68"/>
      <c r="IX276" s="68"/>
      <c r="IY276" s="68"/>
    </row>
    <row r="277" spans="2:259" hidden="1" x14ac:dyDescent="0.3"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  <c r="AV277" s="68"/>
      <c r="AW277" s="68"/>
      <c r="AX277" s="68"/>
      <c r="AY277" s="68"/>
      <c r="AZ277" s="68"/>
      <c r="BA277" s="68"/>
      <c r="BB277" s="67"/>
      <c r="BC277" s="67"/>
      <c r="BD277" s="67"/>
      <c r="BE277" s="67"/>
      <c r="BF277" s="67"/>
      <c r="BG277" s="67"/>
      <c r="BH277" s="67"/>
      <c r="BI277" s="67"/>
      <c r="BJ277" s="67"/>
      <c r="BK277" s="67"/>
      <c r="BL277" s="67"/>
      <c r="HB277" s="68"/>
      <c r="HC277" s="68"/>
      <c r="HD277" s="68"/>
      <c r="HE277" s="68"/>
      <c r="HF277" s="68"/>
      <c r="HG277" s="68"/>
      <c r="HH277" s="68"/>
      <c r="HI277" s="68"/>
      <c r="HJ277" s="68"/>
      <c r="HK277" s="68"/>
      <c r="HL277" s="68"/>
      <c r="HM277" s="68"/>
      <c r="HP277" s="68"/>
      <c r="HQ277" s="68"/>
      <c r="HR277" s="68"/>
      <c r="HS277" s="68"/>
      <c r="HT277" s="68"/>
      <c r="HU277" s="68"/>
      <c r="HV277" s="68"/>
      <c r="HW277" s="68"/>
      <c r="HX277" s="68"/>
      <c r="HY277" s="68"/>
      <c r="HZ277" s="68"/>
      <c r="IA277" s="68"/>
      <c r="IB277" s="68"/>
      <c r="IC277" s="68"/>
      <c r="ID277" s="68"/>
      <c r="IE277" s="68"/>
      <c r="IF277" s="68"/>
      <c r="IG277" s="68"/>
      <c r="IH277" s="68"/>
      <c r="II277" s="68"/>
      <c r="IJ277" s="68"/>
      <c r="IK277" s="68"/>
      <c r="IL277" s="68"/>
      <c r="IM277" s="68"/>
      <c r="IN277" s="68"/>
      <c r="IO277" s="68"/>
      <c r="IP277" s="68"/>
      <c r="IQ277" s="68"/>
      <c r="IR277" s="68"/>
      <c r="IS277" s="68"/>
      <c r="IT277" s="68"/>
      <c r="IU277" s="68"/>
      <c r="IV277" s="68"/>
      <c r="IW277" s="68"/>
      <c r="IX277" s="68"/>
      <c r="IY277" s="68"/>
    </row>
    <row r="278" spans="2:259" hidden="1" x14ac:dyDescent="0.3"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  <c r="AV278" s="68"/>
      <c r="AW278" s="68"/>
      <c r="AX278" s="68"/>
      <c r="AY278" s="68"/>
      <c r="AZ278" s="68"/>
      <c r="BA278" s="68"/>
      <c r="BB278" s="67"/>
      <c r="BC278" s="67"/>
      <c r="BD278" s="67"/>
      <c r="BE278" s="67"/>
      <c r="BF278" s="67"/>
      <c r="BG278" s="67"/>
      <c r="BH278" s="67"/>
      <c r="BI278" s="67"/>
      <c r="BJ278" s="67"/>
      <c r="BK278" s="67"/>
      <c r="BL278" s="67"/>
      <c r="HB278" s="68"/>
      <c r="HC278" s="68"/>
      <c r="HD278" s="68"/>
      <c r="HE278" s="68"/>
      <c r="HF278" s="68"/>
      <c r="HG278" s="68"/>
      <c r="HH278" s="68"/>
      <c r="HI278" s="68"/>
      <c r="HJ278" s="68"/>
      <c r="HK278" s="68"/>
      <c r="HL278" s="68"/>
      <c r="HM278" s="68"/>
      <c r="HP278" s="68"/>
      <c r="HQ278" s="68"/>
      <c r="HR278" s="68"/>
      <c r="HS278" s="68"/>
      <c r="HT278" s="68"/>
      <c r="HU278" s="68"/>
      <c r="HV278" s="68"/>
      <c r="HW278" s="68"/>
      <c r="HX278" s="68"/>
      <c r="HY278" s="68"/>
      <c r="HZ278" s="68"/>
      <c r="IA278" s="68"/>
      <c r="IB278" s="68"/>
      <c r="IC278" s="68"/>
      <c r="ID278" s="68"/>
      <c r="IE278" s="68"/>
      <c r="IF278" s="68"/>
      <c r="IG278" s="68"/>
      <c r="IH278" s="68"/>
      <c r="II278" s="68"/>
      <c r="IJ278" s="68"/>
      <c r="IK278" s="68"/>
      <c r="IL278" s="68"/>
      <c r="IM278" s="68"/>
      <c r="IN278" s="68"/>
      <c r="IO278" s="68"/>
      <c r="IP278" s="68"/>
      <c r="IQ278" s="68"/>
      <c r="IR278" s="68"/>
      <c r="IS278" s="68"/>
      <c r="IT278" s="68"/>
      <c r="IU278" s="68"/>
      <c r="IV278" s="68"/>
      <c r="IW278" s="68"/>
      <c r="IX278" s="68"/>
      <c r="IY278" s="68"/>
    </row>
    <row r="279" spans="2:259" hidden="1" x14ac:dyDescent="0.3"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  <c r="AV279" s="68"/>
      <c r="AW279" s="68"/>
      <c r="AX279" s="68"/>
      <c r="AY279" s="68"/>
      <c r="AZ279" s="68"/>
      <c r="BA279" s="68"/>
      <c r="BB279" s="67"/>
      <c r="BC279" s="67"/>
      <c r="BD279" s="67"/>
      <c r="BE279" s="67"/>
      <c r="BF279" s="67"/>
      <c r="BG279" s="67"/>
      <c r="BH279" s="67"/>
      <c r="BI279" s="67"/>
      <c r="BJ279" s="67"/>
      <c r="BK279" s="67"/>
      <c r="BL279" s="67"/>
      <c r="HB279" s="68"/>
      <c r="HC279" s="68"/>
      <c r="HD279" s="68"/>
      <c r="HE279" s="68"/>
      <c r="HF279" s="68"/>
      <c r="HG279" s="68"/>
      <c r="HH279" s="68"/>
      <c r="HI279" s="68"/>
      <c r="HJ279" s="68"/>
      <c r="HK279" s="68"/>
      <c r="HL279" s="68"/>
      <c r="HM279" s="68"/>
      <c r="HP279" s="68"/>
      <c r="HQ279" s="68"/>
      <c r="HR279" s="68"/>
      <c r="HS279" s="68"/>
      <c r="HT279" s="68"/>
      <c r="HU279" s="68"/>
      <c r="HV279" s="68"/>
      <c r="HW279" s="68"/>
      <c r="HX279" s="68"/>
      <c r="HY279" s="68"/>
      <c r="HZ279" s="68"/>
      <c r="IA279" s="68"/>
      <c r="IB279" s="68"/>
      <c r="IC279" s="68"/>
      <c r="ID279" s="68"/>
      <c r="IE279" s="68"/>
      <c r="IF279" s="68"/>
      <c r="IG279" s="68"/>
      <c r="IH279" s="68"/>
      <c r="II279" s="68"/>
      <c r="IJ279" s="68"/>
      <c r="IK279" s="68"/>
      <c r="IL279" s="68"/>
      <c r="IM279" s="68"/>
      <c r="IN279" s="68"/>
      <c r="IO279" s="68"/>
      <c r="IP279" s="68"/>
      <c r="IQ279" s="68"/>
      <c r="IR279" s="68"/>
      <c r="IS279" s="68"/>
      <c r="IT279" s="68"/>
      <c r="IU279" s="68"/>
      <c r="IV279" s="68"/>
      <c r="IW279" s="68"/>
      <c r="IX279" s="68"/>
      <c r="IY279" s="68"/>
    </row>
    <row r="280" spans="2:259" hidden="1" x14ac:dyDescent="0.3"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  <c r="AV280" s="68"/>
      <c r="AW280" s="68"/>
      <c r="AX280" s="68"/>
      <c r="AY280" s="68"/>
      <c r="AZ280" s="68"/>
      <c r="BA280" s="68"/>
      <c r="BB280" s="67"/>
      <c r="BC280" s="67"/>
      <c r="BD280" s="67"/>
      <c r="BE280" s="67"/>
      <c r="BF280" s="67"/>
      <c r="BG280" s="67"/>
      <c r="BH280" s="67"/>
      <c r="BI280" s="67"/>
      <c r="BJ280" s="67"/>
      <c r="BK280" s="67"/>
      <c r="BL280" s="67"/>
      <c r="HB280" s="68"/>
      <c r="HC280" s="68"/>
      <c r="HD280" s="68"/>
      <c r="HE280" s="68"/>
      <c r="HF280" s="68"/>
      <c r="HG280" s="68"/>
      <c r="HH280" s="68"/>
      <c r="HI280" s="68"/>
      <c r="HJ280" s="68"/>
      <c r="HK280" s="68"/>
      <c r="HL280" s="68"/>
      <c r="HM280" s="68"/>
      <c r="HP280" s="68"/>
      <c r="HQ280" s="68"/>
      <c r="HR280" s="68"/>
      <c r="HS280" s="68"/>
      <c r="HT280" s="68"/>
      <c r="HU280" s="68"/>
      <c r="HV280" s="68"/>
      <c r="HW280" s="68"/>
      <c r="HX280" s="68"/>
      <c r="HY280" s="68"/>
      <c r="HZ280" s="68"/>
      <c r="IA280" s="68"/>
      <c r="IB280" s="68"/>
      <c r="IC280" s="68"/>
      <c r="ID280" s="68"/>
      <c r="IE280" s="68"/>
      <c r="IF280" s="68"/>
      <c r="IG280" s="68"/>
      <c r="IH280" s="68"/>
      <c r="II280" s="68"/>
      <c r="IJ280" s="68"/>
      <c r="IK280" s="68"/>
      <c r="IL280" s="68"/>
      <c r="IM280" s="68"/>
      <c r="IN280" s="68"/>
      <c r="IO280" s="68"/>
      <c r="IP280" s="68"/>
      <c r="IQ280" s="68"/>
      <c r="IR280" s="68"/>
      <c r="IS280" s="68"/>
      <c r="IT280" s="68"/>
      <c r="IU280" s="68"/>
      <c r="IV280" s="68"/>
      <c r="IW280" s="68"/>
      <c r="IX280" s="68"/>
      <c r="IY280" s="68"/>
    </row>
    <row r="281" spans="2:259" hidden="1" x14ac:dyDescent="0.3"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  <c r="AV281" s="68"/>
      <c r="AW281" s="68"/>
      <c r="AX281" s="68"/>
      <c r="AY281" s="68"/>
      <c r="AZ281" s="68"/>
      <c r="BA281" s="68"/>
      <c r="BB281" s="67"/>
      <c r="BC281" s="67"/>
      <c r="BD281" s="67"/>
      <c r="BE281" s="67"/>
      <c r="BF281" s="67"/>
      <c r="BG281" s="67"/>
      <c r="BH281" s="67"/>
      <c r="BI281" s="67"/>
      <c r="BJ281" s="67"/>
      <c r="BK281" s="67"/>
      <c r="BL281" s="67"/>
      <c r="HB281" s="68"/>
      <c r="HC281" s="68"/>
      <c r="HD281" s="68"/>
      <c r="HE281" s="68"/>
      <c r="HF281" s="68"/>
      <c r="HG281" s="68"/>
      <c r="HH281" s="68"/>
      <c r="HI281" s="68"/>
      <c r="HJ281" s="68"/>
      <c r="HK281" s="68"/>
      <c r="HL281" s="68"/>
      <c r="HM281" s="68"/>
      <c r="HP281" s="68"/>
      <c r="HQ281" s="68"/>
      <c r="HR281" s="68"/>
      <c r="HS281" s="68"/>
      <c r="HT281" s="68"/>
      <c r="HU281" s="68"/>
      <c r="HV281" s="68"/>
      <c r="HW281" s="68"/>
      <c r="HX281" s="68"/>
      <c r="HY281" s="68"/>
      <c r="HZ281" s="68"/>
      <c r="IA281" s="68"/>
      <c r="IB281" s="68"/>
      <c r="IC281" s="68"/>
      <c r="ID281" s="68"/>
      <c r="IE281" s="68"/>
      <c r="IF281" s="68"/>
      <c r="IG281" s="68"/>
      <c r="IH281" s="68"/>
      <c r="II281" s="68"/>
      <c r="IJ281" s="68"/>
      <c r="IK281" s="68"/>
      <c r="IL281" s="68"/>
      <c r="IM281" s="68"/>
      <c r="IN281" s="68"/>
      <c r="IO281" s="68"/>
      <c r="IP281" s="68"/>
      <c r="IQ281" s="68"/>
      <c r="IR281" s="68"/>
      <c r="IS281" s="68"/>
      <c r="IT281" s="68"/>
      <c r="IU281" s="68"/>
      <c r="IV281" s="68"/>
      <c r="IW281" s="68"/>
      <c r="IX281" s="68"/>
      <c r="IY281" s="68"/>
    </row>
    <row r="282" spans="2:259" hidden="1" x14ac:dyDescent="0.3"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  <c r="AV282" s="68"/>
      <c r="AW282" s="68"/>
      <c r="AX282" s="68"/>
      <c r="AY282" s="68"/>
      <c r="AZ282" s="68"/>
      <c r="BA282" s="68"/>
      <c r="BB282" s="67"/>
      <c r="BC282" s="67"/>
      <c r="BD282" s="67"/>
      <c r="BE282" s="67"/>
      <c r="BF282" s="67"/>
      <c r="BG282" s="67"/>
      <c r="BH282" s="67"/>
      <c r="BI282" s="67"/>
      <c r="BJ282" s="67"/>
      <c r="BK282" s="67"/>
      <c r="BL282" s="67"/>
      <c r="HB282" s="68"/>
      <c r="HC282" s="68"/>
      <c r="HD282" s="68"/>
      <c r="HE282" s="68"/>
      <c r="HF282" s="68"/>
      <c r="HG282" s="68"/>
      <c r="HH282" s="68"/>
      <c r="HI282" s="68"/>
      <c r="HJ282" s="68"/>
      <c r="HK282" s="68"/>
      <c r="HL282" s="68"/>
      <c r="HM282" s="68"/>
      <c r="HP282" s="68"/>
      <c r="HQ282" s="68"/>
      <c r="HR282" s="68"/>
      <c r="HS282" s="68"/>
      <c r="HT282" s="68"/>
      <c r="HU282" s="68"/>
      <c r="HV282" s="68"/>
      <c r="HW282" s="68"/>
      <c r="HX282" s="68"/>
      <c r="HY282" s="68"/>
      <c r="HZ282" s="68"/>
      <c r="IA282" s="68"/>
      <c r="IB282" s="68"/>
      <c r="IC282" s="68"/>
      <c r="ID282" s="68"/>
      <c r="IE282" s="68"/>
      <c r="IF282" s="68"/>
      <c r="IG282" s="68"/>
      <c r="IH282" s="68"/>
      <c r="II282" s="68"/>
      <c r="IJ282" s="68"/>
      <c r="IK282" s="68"/>
      <c r="IL282" s="68"/>
      <c r="IM282" s="68"/>
      <c r="IN282" s="68"/>
      <c r="IO282" s="68"/>
      <c r="IP282" s="68"/>
      <c r="IQ282" s="68"/>
      <c r="IR282" s="68"/>
      <c r="IS282" s="68"/>
      <c r="IT282" s="68"/>
      <c r="IU282" s="68"/>
      <c r="IV282" s="68"/>
      <c r="IW282" s="68"/>
      <c r="IX282" s="68"/>
      <c r="IY282" s="68"/>
    </row>
    <row r="283" spans="2:259" hidden="1" x14ac:dyDescent="0.3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  <c r="AV283" s="68"/>
      <c r="AW283" s="68"/>
      <c r="AX283" s="68"/>
      <c r="AY283" s="68"/>
      <c r="AZ283" s="68"/>
      <c r="BA283" s="68"/>
      <c r="BB283" s="67"/>
      <c r="BC283" s="67"/>
      <c r="BD283" s="67"/>
      <c r="BE283" s="67"/>
      <c r="BF283" s="67"/>
      <c r="BG283" s="67"/>
      <c r="BH283" s="67"/>
      <c r="BI283" s="67"/>
      <c r="BJ283" s="67"/>
      <c r="BK283" s="67"/>
      <c r="BL283" s="67"/>
      <c r="HB283" s="68"/>
      <c r="HC283" s="68"/>
      <c r="HD283" s="68"/>
      <c r="HE283" s="68"/>
      <c r="HF283" s="68"/>
      <c r="HG283" s="68"/>
      <c r="HH283" s="68"/>
      <c r="HI283" s="68"/>
      <c r="HJ283" s="68"/>
      <c r="HK283" s="68"/>
      <c r="HL283" s="68"/>
      <c r="HM283" s="68"/>
      <c r="HP283" s="68"/>
      <c r="HQ283" s="68"/>
      <c r="HR283" s="68"/>
      <c r="HS283" s="68"/>
      <c r="HT283" s="68"/>
      <c r="HU283" s="68"/>
      <c r="HV283" s="68"/>
      <c r="HW283" s="68"/>
      <c r="HX283" s="68"/>
      <c r="HY283" s="68"/>
      <c r="HZ283" s="68"/>
      <c r="IA283" s="68"/>
      <c r="IB283" s="68"/>
      <c r="IC283" s="68"/>
      <c r="ID283" s="68"/>
      <c r="IE283" s="68"/>
      <c r="IF283" s="68"/>
      <c r="IG283" s="68"/>
      <c r="IH283" s="68"/>
      <c r="II283" s="68"/>
      <c r="IJ283" s="68"/>
      <c r="IK283" s="68"/>
      <c r="IL283" s="68"/>
      <c r="IM283" s="68"/>
      <c r="IN283" s="68"/>
      <c r="IO283" s="68"/>
      <c r="IP283" s="68"/>
      <c r="IQ283" s="68"/>
      <c r="IR283" s="68"/>
      <c r="IS283" s="68"/>
      <c r="IT283" s="68"/>
      <c r="IU283" s="68"/>
      <c r="IV283" s="68"/>
      <c r="IW283" s="68"/>
      <c r="IX283" s="68"/>
      <c r="IY283" s="68"/>
    </row>
    <row r="284" spans="2:259" hidden="1" x14ac:dyDescent="0.3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  <c r="AV284" s="68"/>
      <c r="AW284" s="68"/>
      <c r="AX284" s="68"/>
      <c r="AY284" s="68"/>
      <c r="AZ284" s="68"/>
      <c r="BA284" s="68"/>
      <c r="BB284" s="67"/>
      <c r="BC284" s="67"/>
      <c r="BD284" s="67"/>
      <c r="BE284" s="67"/>
      <c r="BF284" s="67"/>
      <c r="BG284" s="67"/>
      <c r="BH284" s="67"/>
      <c r="BI284" s="67"/>
      <c r="BJ284" s="67"/>
      <c r="BK284" s="67"/>
      <c r="BL284" s="67"/>
      <c r="HB284" s="68"/>
      <c r="HC284" s="68"/>
      <c r="HD284" s="68"/>
      <c r="HE284" s="68"/>
      <c r="HF284" s="68"/>
      <c r="HG284" s="68"/>
      <c r="HH284" s="68"/>
      <c r="HI284" s="68"/>
      <c r="HJ284" s="68"/>
      <c r="HK284" s="68"/>
      <c r="HL284" s="68"/>
      <c r="HM284" s="68"/>
      <c r="HP284" s="68"/>
      <c r="HQ284" s="68"/>
      <c r="HR284" s="68"/>
      <c r="HS284" s="68"/>
      <c r="HT284" s="68"/>
      <c r="HU284" s="68"/>
      <c r="HV284" s="68"/>
      <c r="HW284" s="68"/>
      <c r="HX284" s="68"/>
      <c r="HY284" s="68"/>
      <c r="HZ284" s="68"/>
      <c r="IA284" s="68"/>
      <c r="IB284" s="68"/>
      <c r="IC284" s="68"/>
      <c r="ID284" s="68"/>
      <c r="IE284" s="68"/>
      <c r="IF284" s="68"/>
      <c r="IG284" s="68"/>
      <c r="IH284" s="68"/>
      <c r="II284" s="68"/>
      <c r="IJ284" s="68"/>
      <c r="IK284" s="68"/>
      <c r="IL284" s="68"/>
      <c r="IM284" s="68"/>
      <c r="IN284" s="68"/>
      <c r="IO284" s="68"/>
      <c r="IP284" s="68"/>
      <c r="IQ284" s="68"/>
      <c r="IR284" s="68"/>
      <c r="IS284" s="68"/>
      <c r="IT284" s="68"/>
      <c r="IU284" s="68"/>
      <c r="IV284" s="68"/>
      <c r="IW284" s="68"/>
      <c r="IX284" s="68"/>
      <c r="IY284" s="68"/>
    </row>
    <row r="285" spans="2:259" hidden="1" x14ac:dyDescent="0.3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  <c r="AV285" s="68"/>
      <c r="AW285" s="68"/>
      <c r="AX285" s="68"/>
      <c r="AY285" s="68"/>
      <c r="AZ285" s="68"/>
      <c r="BA285" s="68"/>
      <c r="BB285" s="67"/>
      <c r="BC285" s="67"/>
      <c r="BD285" s="67"/>
      <c r="BE285" s="67"/>
      <c r="BF285" s="67"/>
      <c r="BG285" s="67"/>
      <c r="BH285" s="67"/>
      <c r="BI285" s="67"/>
      <c r="BJ285" s="67"/>
      <c r="BK285" s="67"/>
      <c r="BL285" s="67"/>
      <c r="HB285" s="68"/>
      <c r="HC285" s="68"/>
      <c r="HD285" s="68"/>
      <c r="HE285" s="68"/>
      <c r="HF285" s="68"/>
      <c r="HG285" s="68"/>
      <c r="HH285" s="68"/>
      <c r="HI285" s="68"/>
      <c r="HJ285" s="68"/>
      <c r="HK285" s="68"/>
      <c r="HL285" s="68"/>
      <c r="HM285" s="68"/>
      <c r="HP285" s="68"/>
      <c r="HQ285" s="68"/>
      <c r="HR285" s="68"/>
      <c r="HS285" s="68"/>
      <c r="HT285" s="68"/>
      <c r="HU285" s="68"/>
      <c r="HV285" s="68"/>
      <c r="HW285" s="68"/>
      <c r="HX285" s="68"/>
      <c r="HY285" s="68"/>
      <c r="HZ285" s="68"/>
      <c r="IA285" s="68"/>
      <c r="IB285" s="68"/>
      <c r="IC285" s="68"/>
      <c r="ID285" s="68"/>
      <c r="IE285" s="68"/>
      <c r="IF285" s="68"/>
      <c r="IG285" s="68"/>
      <c r="IH285" s="68"/>
      <c r="II285" s="68"/>
      <c r="IJ285" s="68"/>
      <c r="IK285" s="68"/>
      <c r="IL285" s="68"/>
      <c r="IM285" s="68"/>
      <c r="IN285" s="68"/>
      <c r="IO285" s="68"/>
      <c r="IP285" s="68"/>
      <c r="IQ285" s="68"/>
      <c r="IR285" s="68"/>
      <c r="IS285" s="68"/>
      <c r="IT285" s="68"/>
      <c r="IU285" s="68"/>
      <c r="IV285" s="68"/>
      <c r="IW285" s="68"/>
      <c r="IX285" s="68"/>
      <c r="IY285" s="68"/>
    </row>
    <row r="286" spans="2:259" hidden="1" x14ac:dyDescent="0.3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  <c r="AV286" s="68"/>
      <c r="AW286" s="68"/>
      <c r="AX286" s="68"/>
      <c r="AY286" s="68"/>
      <c r="AZ286" s="68"/>
      <c r="BA286" s="68"/>
      <c r="BB286" s="67"/>
      <c r="BC286" s="67"/>
      <c r="BD286" s="67"/>
      <c r="BE286" s="67"/>
      <c r="BF286" s="67"/>
      <c r="BG286" s="67"/>
      <c r="BH286" s="67"/>
      <c r="BI286" s="67"/>
      <c r="BJ286" s="67"/>
      <c r="BK286" s="67"/>
      <c r="BL286" s="67"/>
      <c r="HB286" s="68"/>
      <c r="HC286" s="68"/>
      <c r="HD286" s="68"/>
      <c r="HE286" s="68"/>
      <c r="HF286" s="68"/>
      <c r="HG286" s="68"/>
      <c r="HH286" s="68"/>
      <c r="HI286" s="68"/>
      <c r="HJ286" s="68"/>
      <c r="HK286" s="68"/>
      <c r="HL286" s="68"/>
      <c r="HM286" s="68"/>
      <c r="HP286" s="68"/>
      <c r="HQ286" s="68"/>
      <c r="HR286" s="68"/>
      <c r="HS286" s="68"/>
      <c r="HT286" s="68"/>
      <c r="HU286" s="68"/>
      <c r="HV286" s="68"/>
      <c r="HW286" s="68"/>
      <c r="HX286" s="68"/>
      <c r="HY286" s="68"/>
      <c r="HZ286" s="68"/>
      <c r="IA286" s="68"/>
      <c r="IB286" s="68"/>
      <c r="IC286" s="68"/>
      <c r="ID286" s="68"/>
      <c r="IE286" s="68"/>
      <c r="IF286" s="68"/>
      <c r="IG286" s="68"/>
      <c r="IH286" s="68"/>
      <c r="II286" s="68"/>
      <c r="IJ286" s="68"/>
      <c r="IK286" s="68"/>
      <c r="IL286" s="68"/>
      <c r="IM286" s="68"/>
      <c r="IN286" s="68"/>
      <c r="IO286" s="68"/>
      <c r="IP286" s="68"/>
      <c r="IQ286" s="68"/>
      <c r="IR286" s="68"/>
      <c r="IS286" s="68"/>
      <c r="IT286" s="68"/>
      <c r="IU286" s="68"/>
      <c r="IV286" s="68"/>
      <c r="IW286" s="68"/>
      <c r="IX286" s="68"/>
      <c r="IY286" s="68"/>
    </row>
    <row r="287" spans="2:259" hidden="1" x14ac:dyDescent="0.3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  <c r="AV287" s="68"/>
      <c r="AW287" s="68"/>
      <c r="AX287" s="68"/>
      <c r="AY287" s="68"/>
      <c r="AZ287" s="68"/>
      <c r="BA287" s="68"/>
      <c r="BB287" s="67"/>
      <c r="BC287" s="67"/>
      <c r="BD287" s="67"/>
      <c r="BE287" s="67"/>
      <c r="BF287" s="67"/>
      <c r="BG287" s="67"/>
      <c r="BH287" s="67"/>
      <c r="BI287" s="67"/>
      <c r="BJ287" s="67"/>
      <c r="BK287" s="67"/>
      <c r="BL287" s="67"/>
      <c r="HB287" s="68"/>
      <c r="HC287" s="68"/>
      <c r="HD287" s="68"/>
      <c r="HE287" s="68"/>
      <c r="HF287" s="68"/>
      <c r="HG287" s="68"/>
      <c r="HH287" s="68"/>
      <c r="HI287" s="68"/>
      <c r="HJ287" s="68"/>
      <c r="HK287" s="68"/>
      <c r="HL287" s="68"/>
      <c r="HM287" s="68"/>
      <c r="HP287" s="68"/>
      <c r="HQ287" s="68"/>
      <c r="HR287" s="68"/>
      <c r="HS287" s="68"/>
      <c r="HT287" s="68"/>
      <c r="HU287" s="68"/>
      <c r="HV287" s="68"/>
      <c r="HW287" s="68"/>
      <c r="HX287" s="68"/>
      <c r="HY287" s="68"/>
      <c r="HZ287" s="68"/>
      <c r="IA287" s="68"/>
      <c r="IB287" s="68"/>
      <c r="IC287" s="68"/>
      <c r="ID287" s="68"/>
      <c r="IE287" s="68"/>
      <c r="IF287" s="68"/>
      <c r="IG287" s="68"/>
      <c r="IH287" s="68"/>
      <c r="II287" s="68"/>
      <c r="IJ287" s="68"/>
      <c r="IK287" s="68"/>
      <c r="IL287" s="68"/>
      <c r="IM287" s="68"/>
      <c r="IN287" s="68"/>
      <c r="IO287" s="68"/>
      <c r="IP287" s="68"/>
      <c r="IQ287" s="68"/>
      <c r="IR287" s="68"/>
      <c r="IS287" s="68"/>
      <c r="IT287" s="68"/>
      <c r="IU287" s="68"/>
      <c r="IV287" s="68"/>
      <c r="IW287" s="68"/>
      <c r="IX287" s="68"/>
      <c r="IY287" s="68"/>
    </row>
    <row r="288" spans="2:259" hidden="1" x14ac:dyDescent="0.3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  <c r="AV288" s="68"/>
      <c r="AW288" s="68"/>
      <c r="AX288" s="68"/>
      <c r="AY288" s="68"/>
      <c r="AZ288" s="68"/>
      <c r="BA288" s="68"/>
      <c r="BB288" s="67"/>
      <c r="BC288" s="67"/>
      <c r="BD288" s="67"/>
      <c r="BE288" s="67"/>
      <c r="BF288" s="67"/>
      <c r="BG288" s="67"/>
      <c r="BH288" s="67"/>
      <c r="BI288" s="67"/>
      <c r="BJ288" s="67"/>
      <c r="BK288" s="67"/>
      <c r="BL288" s="67"/>
      <c r="HB288" s="68"/>
      <c r="HC288" s="68"/>
      <c r="HD288" s="68"/>
      <c r="HE288" s="68"/>
      <c r="HF288" s="68"/>
      <c r="HG288" s="68"/>
      <c r="HH288" s="68"/>
      <c r="HI288" s="68"/>
      <c r="HJ288" s="68"/>
      <c r="HK288" s="68"/>
      <c r="HL288" s="68"/>
      <c r="HM288" s="68"/>
      <c r="HP288" s="68"/>
      <c r="HQ288" s="68"/>
      <c r="HR288" s="68"/>
      <c r="HS288" s="68"/>
      <c r="HT288" s="68"/>
      <c r="HU288" s="68"/>
      <c r="HV288" s="68"/>
      <c r="HW288" s="68"/>
      <c r="HX288" s="68"/>
      <c r="HY288" s="68"/>
      <c r="HZ288" s="68"/>
      <c r="IA288" s="68"/>
      <c r="IB288" s="68"/>
      <c r="IC288" s="68"/>
      <c r="ID288" s="68"/>
      <c r="IE288" s="68"/>
      <c r="IF288" s="68"/>
      <c r="IG288" s="68"/>
      <c r="IH288" s="68"/>
      <c r="II288" s="68"/>
      <c r="IJ288" s="68"/>
      <c r="IK288" s="68"/>
      <c r="IL288" s="68"/>
      <c r="IM288" s="68"/>
      <c r="IN288" s="68"/>
      <c r="IO288" s="68"/>
      <c r="IP288" s="68"/>
      <c r="IQ288" s="68"/>
      <c r="IR288" s="68"/>
      <c r="IS288" s="68"/>
      <c r="IT288" s="68"/>
      <c r="IU288" s="68"/>
      <c r="IV288" s="68"/>
      <c r="IW288" s="68"/>
      <c r="IX288" s="68"/>
      <c r="IY288" s="68"/>
    </row>
    <row r="289" spans="2:259" hidden="1" x14ac:dyDescent="0.3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7"/>
      <c r="BC289" s="67"/>
      <c r="BD289" s="67"/>
      <c r="BE289" s="67"/>
      <c r="BF289" s="67"/>
      <c r="BG289" s="67"/>
      <c r="BH289" s="67"/>
      <c r="BI289" s="67"/>
      <c r="BJ289" s="67"/>
      <c r="BK289" s="67"/>
      <c r="BL289" s="67"/>
      <c r="HB289" s="68"/>
      <c r="HC289" s="68"/>
      <c r="HD289" s="68"/>
      <c r="HE289" s="68"/>
      <c r="HF289" s="68"/>
      <c r="HG289" s="68"/>
      <c r="HH289" s="68"/>
      <c r="HI289" s="68"/>
      <c r="HJ289" s="68"/>
      <c r="HK289" s="68"/>
      <c r="HL289" s="68"/>
      <c r="HM289" s="68"/>
      <c r="HP289" s="68"/>
      <c r="HQ289" s="68"/>
      <c r="HR289" s="68"/>
      <c r="HS289" s="68"/>
      <c r="HT289" s="68"/>
      <c r="HU289" s="68"/>
      <c r="HV289" s="68"/>
      <c r="HW289" s="68"/>
      <c r="HX289" s="68"/>
      <c r="HY289" s="68"/>
      <c r="HZ289" s="68"/>
      <c r="IA289" s="68"/>
      <c r="IB289" s="68"/>
      <c r="IC289" s="68"/>
      <c r="ID289" s="68"/>
      <c r="IE289" s="68"/>
      <c r="IF289" s="68"/>
      <c r="IG289" s="68"/>
      <c r="IH289" s="68"/>
      <c r="II289" s="68"/>
      <c r="IJ289" s="68"/>
      <c r="IK289" s="68"/>
      <c r="IL289" s="68"/>
      <c r="IM289" s="68"/>
      <c r="IN289" s="68"/>
      <c r="IO289" s="68"/>
      <c r="IP289" s="68"/>
      <c r="IQ289" s="68"/>
      <c r="IR289" s="68"/>
      <c r="IS289" s="68"/>
      <c r="IT289" s="68"/>
      <c r="IU289" s="68"/>
      <c r="IV289" s="68"/>
      <c r="IW289" s="68"/>
      <c r="IX289" s="68"/>
      <c r="IY289" s="68"/>
    </row>
    <row r="290" spans="2:259" hidden="1" x14ac:dyDescent="0.3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  <c r="AV290" s="68"/>
      <c r="AW290" s="68"/>
      <c r="AX290" s="68"/>
      <c r="AY290" s="68"/>
      <c r="AZ290" s="68"/>
      <c r="BA290" s="68"/>
      <c r="BB290" s="67"/>
      <c r="BC290" s="67"/>
      <c r="BD290" s="67"/>
      <c r="BE290" s="67"/>
      <c r="BF290" s="67"/>
      <c r="BG290" s="67"/>
      <c r="BH290" s="67"/>
      <c r="BI290" s="67"/>
      <c r="BJ290" s="67"/>
      <c r="BK290" s="67"/>
      <c r="BL290" s="67"/>
      <c r="HB290" s="68"/>
      <c r="HC290" s="68"/>
      <c r="HD290" s="68"/>
      <c r="HE290" s="68"/>
      <c r="HF290" s="68"/>
      <c r="HG290" s="68"/>
      <c r="HH290" s="68"/>
      <c r="HI290" s="68"/>
      <c r="HJ290" s="68"/>
      <c r="HK290" s="68"/>
      <c r="HL290" s="68"/>
      <c r="HM290" s="68"/>
      <c r="HP290" s="68"/>
      <c r="HQ290" s="68"/>
      <c r="HR290" s="68"/>
      <c r="HS290" s="68"/>
      <c r="HT290" s="68"/>
      <c r="HU290" s="68"/>
      <c r="HV290" s="68"/>
      <c r="HW290" s="68"/>
      <c r="HX290" s="68"/>
      <c r="HY290" s="68"/>
      <c r="HZ290" s="68"/>
      <c r="IA290" s="68"/>
      <c r="IB290" s="68"/>
      <c r="IC290" s="68"/>
      <c r="ID290" s="68"/>
      <c r="IE290" s="68"/>
      <c r="IF290" s="68"/>
      <c r="IG290" s="68"/>
      <c r="IH290" s="68"/>
      <c r="II290" s="68"/>
      <c r="IJ290" s="68"/>
      <c r="IK290" s="68"/>
      <c r="IL290" s="68"/>
      <c r="IM290" s="68"/>
      <c r="IN290" s="68"/>
      <c r="IO290" s="68"/>
      <c r="IP290" s="68"/>
      <c r="IQ290" s="68"/>
      <c r="IR290" s="68"/>
      <c r="IS290" s="68"/>
      <c r="IT290" s="68"/>
      <c r="IU290" s="68"/>
      <c r="IV290" s="68"/>
      <c r="IW290" s="68"/>
      <c r="IX290" s="68"/>
      <c r="IY290" s="68"/>
    </row>
    <row r="291" spans="2:259" hidden="1" x14ac:dyDescent="0.3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  <c r="AV291" s="68"/>
      <c r="AW291" s="68"/>
      <c r="AX291" s="68"/>
      <c r="AY291" s="68"/>
      <c r="AZ291" s="68"/>
      <c r="BA291" s="68"/>
      <c r="BB291" s="67"/>
      <c r="BC291" s="67"/>
      <c r="BD291" s="67"/>
      <c r="BE291" s="67"/>
      <c r="BF291" s="67"/>
      <c r="BG291" s="67"/>
      <c r="BH291" s="67"/>
      <c r="BI291" s="67"/>
      <c r="BJ291" s="67"/>
      <c r="BK291" s="67"/>
      <c r="BL291" s="67"/>
      <c r="HB291" s="68"/>
      <c r="HC291" s="68"/>
      <c r="HD291" s="68"/>
      <c r="HE291" s="68"/>
      <c r="HF291" s="68"/>
      <c r="HG291" s="68"/>
      <c r="HH291" s="68"/>
      <c r="HI291" s="68"/>
      <c r="HJ291" s="68"/>
      <c r="HK291" s="68"/>
      <c r="HL291" s="68"/>
      <c r="HM291" s="68"/>
      <c r="HP291" s="68"/>
      <c r="HQ291" s="68"/>
      <c r="HR291" s="68"/>
      <c r="HS291" s="68"/>
      <c r="HT291" s="68"/>
      <c r="HU291" s="68"/>
      <c r="HV291" s="68"/>
      <c r="HW291" s="68"/>
      <c r="HX291" s="68"/>
      <c r="HY291" s="68"/>
      <c r="HZ291" s="68"/>
      <c r="IA291" s="68"/>
      <c r="IB291" s="68"/>
      <c r="IC291" s="68"/>
      <c r="ID291" s="68"/>
      <c r="IE291" s="68"/>
      <c r="IF291" s="68"/>
      <c r="IG291" s="68"/>
      <c r="IH291" s="68"/>
      <c r="II291" s="68"/>
      <c r="IJ291" s="68"/>
      <c r="IK291" s="68"/>
      <c r="IL291" s="68"/>
      <c r="IM291" s="68"/>
      <c r="IN291" s="68"/>
      <c r="IO291" s="68"/>
      <c r="IP291" s="68"/>
      <c r="IQ291" s="68"/>
      <c r="IR291" s="68"/>
      <c r="IS291" s="68"/>
      <c r="IT291" s="68"/>
      <c r="IU291" s="68"/>
      <c r="IV291" s="68"/>
      <c r="IW291" s="68"/>
      <c r="IX291" s="68"/>
      <c r="IY291" s="68"/>
    </row>
    <row r="292" spans="2:259" hidden="1" x14ac:dyDescent="0.3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  <c r="AV292" s="68"/>
      <c r="AW292" s="68"/>
      <c r="AX292" s="68"/>
      <c r="AY292" s="68"/>
      <c r="AZ292" s="68"/>
      <c r="BA292" s="68"/>
      <c r="BB292" s="67"/>
      <c r="BC292" s="67"/>
      <c r="BD292" s="67"/>
      <c r="BE292" s="67"/>
      <c r="BF292" s="67"/>
      <c r="BG292" s="67"/>
      <c r="BH292" s="67"/>
      <c r="BI292" s="67"/>
      <c r="BJ292" s="67"/>
      <c r="BK292" s="67"/>
      <c r="BL292" s="67"/>
      <c r="HB292" s="68"/>
      <c r="HC292" s="68"/>
      <c r="HD292" s="68"/>
      <c r="HE292" s="68"/>
      <c r="HF292" s="68"/>
      <c r="HG292" s="68"/>
      <c r="HH292" s="68"/>
      <c r="HI292" s="68"/>
      <c r="HJ292" s="68"/>
      <c r="HK292" s="68"/>
      <c r="HL292" s="68"/>
      <c r="HM292" s="68"/>
      <c r="HP292" s="68"/>
      <c r="HQ292" s="68"/>
      <c r="HR292" s="68"/>
      <c r="HS292" s="68"/>
      <c r="HT292" s="68"/>
      <c r="HU292" s="68"/>
      <c r="HV292" s="68"/>
      <c r="HW292" s="68"/>
      <c r="HX292" s="68"/>
      <c r="HY292" s="68"/>
      <c r="HZ292" s="68"/>
      <c r="IA292" s="68"/>
      <c r="IB292" s="68"/>
      <c r="IC292" s="68"/>
      <c r="ID292" s="68"/>
      <c r="IE292" s="68"/>
      <c r="IF292" s="68"/>
      <c r="IG292" s="68"/>
      <c r="IH292" s="68"/>
      <c r="II292" s="68"/>
      <c r="IJ292" s="68"/>
      <c r="IK292" s="68"/>
      <c r="IL292" s="68"/>
      <c r="IM292" s="68"/>
      <c r="IN292" s="68"/>
      <c r="IO292" s="68"/>
      <c r="IP292" s="68"/>
      <c r="IQ292" s="68"/>
      <c r="IR292" s="68"/>
      <c r="IS292" s="68"/>
      <c r="IT292" s="68"/>
      <c r="IU292" s="68"/>
      <c r="IV292" s="68"/>
      <c r="IW292" s="68"/>
      <c r="IX292" s="68"/>
      <c r="IY292" s="68"/>
    </row>
    <row r="293" spans="2:259" hidden="1" x14ac:dyDescent="0.3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  <c r="AV293" s="68"/>
      <c r="AW293" s="68"/>
      <c r="AX293" s="68"/>
      <c r="AY293" s="68"/>
      <c r="AZ293" s="68"/>
      <c r="BA293" s="68"/>
      <c r="BB293" s="67"/>
      <c r="BC293" s="67"/>
      <c r="BD293" s="67"/>
      <c r="BE293" s="67"/>
      <c r="BF293" s="67"/>
      <c r="BG293" s="67"/>
      <c r="BH293" s="67"/>
      <c r="BI293" s="67"/>
      <c r="BJ293" s="67"/>
      <c r="BK293" s="67"/>
      <c r="BL293" s="67"/>
      <c r="HB293" s="68"/>
      <c r="HC293" s="68"/>
      <c r="HD293" s="68"/>
      <c r="HE293" s="68"/>
      <c r="HF293" s="68"/>
      <c r="HG293" s="68"/>
      <c r="HH293" s="68"/>
      <c r="HI293" s="68"/>
      <c r="HJ293" s="68"/>
      <c r="HK293" s="68"/>
      <c r="HL293" s="68"/>
      <c r="HM293" s="68"/>
      <c r="HP293" s="68"/>
      <c r="HQ293" s="68"/>
      <c r="HR293" s="68"/>
      <c r="HS293" s="68"/>
      <c r="HT293" s="68"/>
      <c r="HU293" s="68"/>
      <c r="HV293" s="68"/>
      <c r="HW293" s="68"/>
      <c r="HX293" s="68"/>
      <c r="HY293" s="68"/>
      <c r="HZ293" s="68"/>
      <c r="IA293" s="68"/>
      <c r="IB293" s="68"/>
      <c r="IC293" s="68"/>
      <c r="ID293" s="68"/>
      <c r="IE293" s="68"/>
      <c r="IF293" s="68"/>
      <c r="IG293" s="68"/>
      <c r="IH293" s="68"/>
      <c r="II293" s="68"/>
      <c r="IJ293" s="68"/>
      <c r="IK293" s="68"/>
      <c r="IL293" s="68"/>
      <c r="IM293" s="68"/>
      <c r="IN293" s="68"/>
      <c r="IO293" s="68"/>
      <c r="IP293" s="68"/>
      <c r="IQ293" s="68"/>
      <c r="IR293" s="68"/>
      <c r="IS293" s="68"/>
      <c r="IT293" s="68"/>
      <c r="IU293" s="68"/>
      <c r="IV293" s="68"/>
      <c r="IW293" s="68"/>
      <c r="IX293" s="68"/>
      <c r="IY293" s="68"/>
    </row>
    <row r="294" spans="2:259" hidden="1" x14ac:dyDescent="0.3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  <c r="AV294" s="68"/>
      <c r="AW294" s="68"/>
      <c r="AX294" s="68"/>
      <c r="AY294" s="68"/>
      <c r="AZ294" s="68"/>
      <c r="BA294" s="68"/>
      <c r="BB294" s="67"/>
      <c r="BC294" s="67"/>
      <c r="BD294" s="67"/>
      <c r="BE294" s="67"/>
      <c r="BF294" s="67"/>
      <c r="BG294" s="67"/>
      <c r="BH294" s="67"/>
      <c r="BI294" s="67"/>
      <c r="BJ294" s="67"/>
      <c r="BK294" s="67"/>
      <c r="BL294" s="67"/>
      <c r="HB294" s="68"/>
      <c r="HC294" s="68"/>
      <c r="HD294" s="68"/>
      <c r="HE294" s="68"/>
      <c r="HF294" s="68"/>
      <c r="HG294" s="68"/>
      <c r="HH294" s="68"/>
      <c r="HI294" s="68"/>
      <c r="HJ294" s="68"/>
      <c r="HK294" s="68"/>
      <c r="HL294" s="68"/>
      <c r="HM294" s="68"/>
      <c r="HP294" s="68"/>
      <c r="HQ294" s="68"/>
      <c r="HR294" s="68"/>
      <c r="HS294" s="68"/>
      <c r="HT294" s="68"/>
      <c r="HU294" s="68"/>
      <c r="HV294" s="68"/>
      <c r="HW294" s="68"/>
      <c r="HX294" s="68"/>
      <c r="HY294" s="68"/>
      <c r="HZ294" s="68"/>
      <c r="IA294" s="68"/>
      <c r="IB294" s="68"/>
      <c r="IC294" s="68"/>
      <c r="ID294" s="68"/>
      <c r="IE294" s="68"/>
      <c r="IF294" s="68"/>
      <c r="IG294" s="68"/>
      <c r="IH294" s="68"/>
      <c r="II294" s="68"/>
      <c r="IJ294" s="68"/>
      <c r="IK294" s="68"/>
      <c r="IL294" s="68"/>
      <c r="IM294" s="68"/>
      <c r="IN294" s="68"/>
      <c r="IO294" s="68"/>
      <c r="IP294" s="68"/>
      <c r="IQ294" s="68"/>
      <c r="IR294" s="68"/>
      <c r="IS294" s="68"/>
      <c r="IT294" s="68"/>
      <c r="IU294" s="68"/>
      <c r="IV294" s="68"/>
      <c r="IW294" s="68"/>
      <c r="IX294" s="68"/>
      <c r="IY294" s="68"/>
    </row>
    <row r="295" spans="2:259" hidden="1" x14ac:dyDescent="0.3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  <c r="AV295" s="68"/>
      <c r="AW295" s="68"/>
      <c r="AX295" s="68"/>
      <c r="AY295" s="68"/>
      <c r="AZ295" s="68"/>
      <c r="BA295" s="68"/>
      <c r="BB295" s="67"/>
      <c r="BC295" s="67"/>
      <c r="BD295" s="67"/>
      <c r="BE295" s="67"/>
      <c r="BF295" s="67"/>
      <c r="BG295" s="67"/>
      <c r="BH295" s="67"/>
      <c r="BI295" s="67"/>
      <c r="BJ295" s="67"/>
      <c r="BK295" s="67"/>
      <c r="BL295" s="67"/>
      <c r="HB295" s="68"/>
      <c r="HC295" s="68"/>
      <c r="HD295" s="68"/>
      <c r="HE295" s="68"/>
      <c r="HF295" s="68"/>
      <c r="HG295" s="68"/>
      <c r="HH295" s="68"/>
      <c r="HI295" s="68"/>
      <c r="HJ295" s="68"/>
      <c r="HK295" s="68"/>
      <c r="HL295" s="68"/>
      <c r="HM295" s="68"/>
      <c r="HP295" s="68"/>
      <c r="HQ295" s="68"/>
      <c r="HR295" s="68"/>
      <c r="HS295" s="68"/>
      <c r="HT295" s="68"/>
      <c r="HU295" s="68"/>
      <c r="HV295" s="68"/>
      <c r="HW295" s="68"/>
      <c r="HX295" s="68"/>
      <c r="HY295" s="68"/>
      <c r="HZ295" s="68"/>
      <c r="IA295" s="68"/>
      <c r="IB295" s="68"/>
      <c r="IC295" s="68"/>
      <c r="ID295" s="68"/>
      <c r="IE295" s="68"/>
      <c r="IF295" s="68"/>
      <c r="IG295" s="68"/>
      <c r="IH295" s="68"/>
      <c r="II295" s="68"/>
      <c r="IJ295" s="68"/>
      <c r="IK295" s="68"/>
      <c r="IL295" s="68"/>
      <c r="IM295" s="68"/>
      <c r="IN295" s="68"/>
      <c r="IO295" s="68"/>
      <c r="IP295" s="68"/>
      <c r="IQ295" s="68"/>
      <c r="IR295" s="68"/>
      <c r="IS295" s="68"/>
      <c r="IT295" s="68"/>
      <c r="IU295" s="68"/>
      <c r="IV295" s="68"/>
      <c r="IW295" s="68"/>
      <c r="IX295" s="68"/>
      <c r="IY295" s="68"/>
    </row>
    <row r="296" spans="2:259" hidden="1" x14ac:dyDescent="0.3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  <c r="AV296" s="68"/>
      <c r="AW296" s="68"/>
      <c r="AX296" s="68"/>
      <c r="AY296" s="68"/>
      <c r="AZ296" s="68"/>
      <c r="BA296" s="68"/>
      <c r="BB296" s="67"/>
      <c r="BC296" s="67"/>
      <c r="BD296" s="67"/>
      <c r="BE296" s="67"/>
      <c r="BF296" s="67"/>
      <c r="BG296" s="67"/>
      <c r="BH296" s="67"/>
      <c r="BI296" s="67"/>
      <c r="BJ296" s="67"/>
      <c r="BK296" s="67"/>
      <c r="BL296" s="67"/>
      <c r="HB296" s="68"/>
      <c r="HC296" s="68"/>
      <c r="HD296" s="68"/>
      <c r="HE296" s="68"/>
      <c r="HF296" s="68"/>
      <c r="HG296" s="68"/>
      <c r="HH296" s="68"/>
      <c r="HI296" s="68"/>
      <c r="HJ296" s="68"/>
      <c r="HK296" s="68"/>
      <c r="HL296" s="68"/>
      <c r="HM296" s="68"/>
      <c r="HP296" s="68"/>
      <c r="HQ296" s="68"/>
      <c r="HR296" s="68"/>
      <c r="HS296" s="68"/>
      <c r="HT296" s="68"/>
      <c r="HU296" s="68"/>
      <c r="HV296" s="68"/>
      <c r="HW296" s="68"/>
      <c r="HX296" s="68"/>
      <c r="HY296" s="68"/>
      <c r="HZ296" s="68"/>
      <c r="IA296" s="68"/>
      <c r="IB296" s="68"/>
      <c r="IC296" s="68"/>
      <c r="ID296" s="68"/>
      <c r="IE296" s="68"/>
      <c r="IF296" s="68"/>
      <c r="IG296" s="68"/>
      <c r="IH296" s="68"/>
      <c r="II296" s="68"/>
      <c r="IJ296" s="68"/>
      <c r="IK296" s="68"/>
      <c r="IL296" s="68"/>
      <c r="IM296" s="68"/>
      <c r="IN296" s="68"/>
      <c r="IO296" s="68"/>
      <c r="IP296" s="68"/>
      <c r="IQ296" s="68"/>
      <c r="IR296" s="68"/>
      <c r="IS296" s="68"/>
      <c r="IT296" s="68"/>
      <c r="IU296" s="68"/>
      <c r="IV296" s="68"/>
      <c r="IW296" s="68"/>
      <c r="IX296" s="68"/>
      <c r="IY296" s="68"/>
    </row>
    <row r="297" spans="2:259" hidden="1" x14ac:dyDescent="0.3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  <c r="AV297" s="68"/>
      <c r="AW297" s="68"/>
      <c r="AX297" s="68"/>
      <c r="AY297" s="68"/>
      <c r="AZ297" s="68"/>
      <c r="BA297" s="68"/>
      <c r="BB297" s="67"/>
      <c r="BC297" s="67"/>
      <c r="BD297" s="67"/>
      <c r="BE297" s="67"/>
      <c r="BF297" s="67"/>
      <c r="BG297" s="67"/>
      <c r="BH297" s="67"/>
      <c r="BI297" s="67"/>
      <c r="BJ297" s="67"/>
      <c r="BK297" s="67"/>
      <c r="BL297" s="67"/>
      <c r="HB297" s="68"/>
      <c r="HC297" s="68"/>
      <c r="HD297" s="68"/>
      <c r="HE297" s="68"/>
      <c r="HF297" s="68"/>
      <c r="HG297" s="68"/>
      <c r="HH297" s="68"/>
      <c r="HI297" s="68"/>
      <c r="HJ297" s="68"/>
      <c r="HK297" s="68"/>
      <c r="HL297" s="68"/>
      <c r="HM297" s="68"/>
      <c r="HP297" s="68"/>
      <c r="HQ297" s="68"/>
      <c r="HR297" s="68"/>
      <c r="HS297" s="68"/>
      <c r="HT297" s="68"/>
      <c r="HU297" s="68"/>
      <c r="HV297" s="68"/>
      <c r="HW297" s="68"/>
      <c r="HX297" s="68"/>
      <c r="HY297" s="68"/>
      <c r="HZ297" s="68"/>
      <c r="IA297" s="68"/>
      <c r="IB297" s="68"/>
      <c r="IC297" s="68"/>
      <c r="ID297" s="68"/>
      <c r="IE297" s="68"/>
      <c r="IF297" s="68"/>
      <c r="IG297" s="68"/>
      <c r="IH297" s="68"/>
      <c r="II297" s="68"/>
      <c r="IJ297" s="68"/>
      <c r="IK297" s="68"/>
      <c r="IL297" s="68"/>
      <c r="IM297" s="68"/>
      <c r="IN297" s="68"/>
      <c r="IO297" s="68"/>
      <c r="IP297" s="68"/>
      <c r="IQ297" s="68"/>
      <c r="IR297" s="68"/>
      <c r="IS297" s="68"/>
      <c r="IT297" s="68"/>
      <c r="IU297" s="68"/>
      <c r="IV297" s="68"/>
      <c r="IW297" s="68"/>
      <c r="IX297" s="68"/>
      <c r="IY297" s="68"/>
    </row>
    <row r="298" spans="2:259" hidden="1" x14ac:dyDescent="0.3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  <c r="AV298" s="68"/>
      <c r="AW298" s="68"/>
      <c r="AX298" s="68"/>
      <c r="AY298" s="68"/>
      <c r="AZ298" s="68"/>
      <c r="BA298" s="68"/>
      <c r="BB298" s="67"/>
      <c r="BC298" s="67"/>
      <c r="BD298" s="67"/>
      <c r="BE298" s="67"/>
      <c r="BF298" s="67"/>
      <c r="BG298" s="67"/>
      <c r="BH298" s="67"/>
      <c r="BI298" s="67"/>
      <c r="BJ298" s="67"/>
      <c r="BK298" s="67"/>
      <c r="BL298" s="67"/>
      <c r="HB298" s="68"/>
      <c r="HC298" s="68"/>
      <c r="HD298" s="68"/>
      <c r="HE298" s="68"/>
      <c r="HF298" s="68"/>
      <c r="HG298" s="68"/>
      <c r="HH298" s="68"/>
      <c r="HI298" s="68"/>
      <c r="HJ298" s="68"/>
      <c r="HK298" s="68"/>
      <c r="HL298" s="68"/>
      <c r="HM298" s="68"/>
      <c r="HP298" s="68"/>
      <c r="HQ298" s="68"/>
      <c r="HR298" s="68"/>
      <c r="HS298" s="68"/>
      <c r="HT298" s="68"/>
      <c r="HU298" s="68"/>
      <c r="HV298" s="68"/>
      <c r="HW298" s="68"/>
      <c r="HX298" s="68"/>
      <c r="HY298" s="68"/>
      <c r="HZ298" s="68"/>
      <c r="IA298" s="68"/>
      <c r="IB298" s="68"/>
      <c r="IC298" s="68"/>
      <c r="ID298" s="68"/>
      <c r="IE298" s="68"/>
      <c r="IF298" s="68"/>
      <c r="IG298" s="68"/>
      <c r="IH298" s="68"/>
      <c r="II298" s="68"/>
      <c r="IJ298" s="68"/>
      <c r="IK298" s="68"/>
      <c r="IL298" s="68"/>
      <c r="IM298" s="68"/>
      <c r="IN298" s="68"/>
      <c r="IO298" s="68"/>
      <c r="IP298" s="68"/>
      <c r="IQ298" s="68"/>
      <c r="IR298" s="68"/>
      <c r="IS298" s="68"/>
      <c r="IT298" s="68"/>
      <c r="IU298" s="68"/>
      <c r="IV298" s="68"/>
      <c r="IW298" s="68"/>
      <c r="IX298" s="68"/>
      <c r="IY298" s="68"/>
    </row>
    <row r="299" spans="2:259" hidden="1" x14ac:dyDescent="0.3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  <c r="AV299" s="68"/>
      <c r="AW299" s="68"/>
      <c r="AX299" s="68"/>
      <c r="AY299" s="68"/>
      <c r="AZ299" s="68"/>
      <c r="BA299" s="68"/>
      <c r="BB299" s="67"/>
      <c r="BC299" s="67"/>
      <c r="BD299" s="67"/>
      <c r="BE299" s="67"/>
      <c r="BF299" s="67"/>
      <c r="BG299" s="67"/>
      <c r="BH299" s="67"/>
      <c r="BI299" s="67"/>
      <c r="BJ299" s="67"/>
      <c r="BK299" s="67"/>
      <c r="BL299" s="67"/>
      <c r="HB299" s="68"/>
      <c r="HC299" s="68"/>
      <c r="HD299" s="68"/>
      <c r="HE299" s="68"/>
      <c r="HF299" s="68"/>
      <c r="HG299" s="68"/>
      <c r="HH299" s="68"/>
      <c r="HI299" s="68"/>
      <c r="HJ299" s="68"/>
      <c r="HK299" s="68"/>
      <c r="HL299" s="68"/>
      <c r="HM299" s="68"/>
      <c r="HP299" s="68"/>
      <c r="HQ299" s="68"/>
      <c r="HR299" s="68"/>
      <c r="HS299" s="68"/>
      <c r="HT299" s="68"/>
      <c r="HU299" s="68"/>
      <c r="HV299" s="68"/>
      <c r="HW299" s="68"/>
      <c r="HX299" s="68"/>
      <c r="HY299" s="68"/>
      <c r="HZ299" s="68"/>
      <c r="IA299" s="68"/>
      <c r="IB299" s="68"/>
      <c r="IC299" s="68"/>
      <c r="ID299" s="68"/>
      <c r="IE299" s="68"/>
      <c r="IF299" s="68"/>
      <c r="IG299" s="68"/>
      <c r="IH299" s="68"/>
      <c r="II299" s="68"/>
      <c r="IJ299" s="68"/>
      <c r="IK299" s="68"/>
      <c r="IL299" s="68"/>
      <c r="IM299" s="68"/>
      <c r="IN299" s="68"/>
      <c r="IO299" s="68"/>
      <c r="IP299" s="68"/>
      <c r="IQ299" s="68"/>
      <c r="IR299" s="68"/>
      <c r="IS299" s="68"/>
      <c r="IT299" s="68"/>
      <c r="IU299" s="68"/>
      <c r="IV299" s="68"/>
      <c r="IW299" s="68"/>
      <c r="IX299" s="68"/>
      <c r="IY299" s="68"/>
    </row>
    <row r="300" spans="2:259" hidden="1" x14ac:dyDescent="0.3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  <c r="AV300" s="68"/>
      <c r="AW300" s="68"/>
      <c r="AX300" s="68"/>
      <c r="AY300" s="68"/>
      <c r="AZ300" s="68"/>
      <c r="BA300" s="68"/>
      <c r="BB300" s="67"/>
      <c r="BC300" s="67"/>
      <c r="BD300" s="67"/>
      <c r="BE300" s="67"/>
      <c r="BF300" s="67"/>
      <c r="BG300" s="67"/>
      <c r="BH300" s="67"/>
      <c r="BI300" s="67"/>
      <c r="BJ300" s="67"/>
      <c r="BK300" s="67"/>
      <c r="BL300" s="67"/>
      <c r="HB300" s="68"/>
      <c r="HC300" s="68"/>
      <c r="HD300" s="68"/>
      <c r="HE300" s="68"/>
      <c r="HF300" s="68"/>
      <c r="HG300" s="68"/>
      <c r="HH300" s="68"/>
      <c r="HI300" s="68"/>
      <c r="HJ300" s="68"/>
      <c r="HK300" s="68"/>
      <c r="HL300" s="68"/>
      <c r="HM300" s="68"/>
      <c r="HP300" s="68"/>
      <c r="HQ300" s="68"/>
      <c r="HR300" s="68"/>
      <c r="HS300" s="68"/>
      <c r="HT300" s="68"/>
      <c r="HU300" s="68"/>
      <c r="HV300" s="68"/>
      <c r="HW300" s="68"/>
      <c r="HX300" s="68"/>
      <c r="HY300" s="68"/>
      <c r="HZ300" s="68"/>
      <c r="IA300" s="68"/>
      <c r="IB300" s="68"/>
      <c r="IC300" s="68"/>
      <c r="ID300" s="68"/>
      <c r="IE300" s="68"/>
      <c r="IF300" s="68"/>
      <c r="IG300" s="68"/>
      <c r="IH300" s="68"/>
      <c r="II300" s="68"/>
      <c r="IJ300" s="68"/>
      <c r="IK300" s="68"/>
      <c r="IL300" s="68"/>
      <c r="IM300" s="68"/>
      <c r="IN300" s="68"/>
      <c r="IO300" s="68"/>
      <c r="IP300" s="68"/>
      <c r="IQ300" s="68"/>
      <c r="IR300" s="68"/>
      <c r="IS300" s="68"/>
      <c r="IT300" s="68"/>
      <c r="IU300" s="68"/>
      <c r="IV300" s="68"/>
      <c r="IW300" s="68"/>
      <c r="IX300" s="68"/>
      <c r="IY300" s="68"/>
    </row>
    <row r="301" spans="2:259" hidden="1" x14ac:dyDescent="0.3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  <c r="AV301" s="68"/>
      <c r="AW301" s="68"/>
      <c r="AX301" s="68"/>
      <c r="AY301" s="68"/>
      <c r="AZ301" s="68"/>
      <c r="BA301" s="68"/>
      <c r="BB301" s="67"/>
      <c r="BC301" s="67"/>
      <c r="BD301" s="67"/>
      <c r="BE301" s="67"/>
      <c r="BF301" s="67"/>
      <c r="BG301" s="67"/>
      <c r="BH301" s="67"/>
      <c r="BI301" s="67"/>
      <c r="BJ301" s="67"/>
      <c r="BK301" s="67"/>
      <c r="BL301" s="67"/>
      <c r="HB301" s="68"/>
      <c r="HC301" s="68"/>
      <c r="HD301" s="68"/>
      <c r="HE301" s="68"/>
      <c r="HF301" s="68"/>
      <c r="HG301" s="68"/>
      <c r="HH301" s="68"/>
      <c r="HI301" s="68"/>
      <c r="HJ301" s="68"/>
      <c r="HK301" s="68"/>
      <c r="HL301" s="68"/>
      <c r="HM301" s="68"/>
      <c r="HP301" s="68"/>
      <c r="HQ301" s="68"/>
      <c r="HR301" s="68"/>
      <c r="HS301" s="68"/>
      <c r="HT301" s="68"/>
      <c r="HU301" s="68"/>
      <c r="HV301" s="68"/>
      <c r="HW301" s="68"/>
      <c r="HX301" s="68"/>
      <c r="HY301" s="68"/>
      <c r="HZ301" s="68"/>
      <c r="IA301" s="68"/>
      <c r="IB301" s="68"/>
      <c r="IC301" s="68"/>
      <c r="ID301" s="68"/>
      <c r="IE301" s="68"/>
      <c r="IF301" s="68"/>
      <c r="IG301" s="68"/>
      <c r="IH301" s="68"/>
      <c r="II301" s="68"/>
      <c r="IJ301" s="68"/>
      <c r="IK301" s="68"/>
      <c r="IL301" s="68"/>
      <c r="IM301" s="68"/>
      <c r="IN301" s="68"/>
      <c r="IO301" s="68"/>
      <c r="IP301" s="68"/>
      <c r="IQ301" s="68"/>
      <c r="IR301" s="68"/>
      <c r="IS301" s="68"/>
      <c r="IT301" s="68"/>
      <c r="IU301" s="68"/>
      <c r="IV301" s="68"/>
      <c r="IW301" s="68"/>
      <c r="IX301" s="68"/>
      <c r="IY301" s="68"/>
    </row>
    <row r="302" spans="2:259" hidden="1" x14ac:dyDescent="0.3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  <c r="AV302" s="68"/>
      <c r="AW302" s="68"/>
      <c r="AX302" s="68"/>
      <c r="AY302" s="68"/>
      <c r="AZ302" s="68"/>
      <c r="BA302" s="68"/>
      <c r="BB302" s="67"/>
      <c r="BC302" s="67"/>
      <c r="BD302" s="67"/>
      <c r="BE302" s="67"/>
      <c r="BF302" s="67"/>
      <c r="BG302" s="67"/>
      <c r="BH302" s="67"/>
      <c r="BI302" s="67"/>
      <c r="BJ302" s="67"/>
      <c r="BK302" s="67"/>
      <c r="BL302" s="67"/>
      <c r="HB302" s="68"/>
      <c r="HC302" s="68"/>
      <c r="HD302" s="68"/>
      <c r="HE302" s="68"/>
      <c r="HF302" s="68"/>
      <c r="HG302" s="68"/>
      <c r="HH302" s="68"/>
      <c r="HI302" s="68"/>
      <c r="HJ302" s="68"/>
      <c r="HK302" s="68"/>
      <c r="HL302" s="68"/>
      <c r="HM302" s="68"/>
      <c r="HP302" s="68"/>
      <c r="HQ302" s="68"/>
      <c r="HR302" s="68"/>
      <c r="HS302" s="68"/>
      <c r="HT302" s="68"/>
      <c r="HU302" s="68"/>
      <c r="HV302" s="68"/>
      <c r="HW302" s="68"/>
      <c r="HX302" s="68"/>
      <c r="HY302" s="68"/>
      <c r="HZ302" s="68"/>
      <c r="IA302" s="68"/>
      <c r="IB302" s="68"/>
      <c r="IC302" s="68"/>
      <c r="ID302" s="68"/>
      <c r="IE302" s="68"/>
      <c r="IF302" s="68"/>
      <c r="IG302" s="68"/>
      <c r="IH302" s="68"/>
      <c r="II302" s="68"/>
      <c r="IJ302" s="68"/>
      <c r="IK302" s="68"/>
      <c r="IL302" s="68"/>
      <c r="IM302" s="68"/>
      <c r="IN302" s="68"/>
      <c r="IO302" s="68"/>
      <c r="IP302" s="68"/>
      <c r="IQ302" s="68"/>
      <c r="IR302" s="68"/>
      <c r="IS302" s="68"/>
      <c r="IT302" s="68"/>
      <c r="IU302" s="68"/>
      <c r="IV302" s="68"/>
      <c r="IW302" s="68"/>
      <c r="IX302" s="68"/>
      <c r="IY302" s="68"/>
    </row>
    <row r="303" spans="2:259" hidden="1" x14ac:dyDescent="0.3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  <c r="AV303" s="68"/>
      <c r="AW303" s="68"/>
      <c r="AX303" s="68"/>
      <c r="AY303" s="68"/>
      <c r="AZ303" s="68"/>
      <c r="BA303" s="68"/>
      <c r="BB303" s="67"/>
      <c r="BC303" s="67"/>
      <c r="BD303" s="67"/>
      <c r="BE303" s="67"/>
      <c r="BF303" s="67"/>
      <c r="BG303" s="67"/>
      <c r="BH303" s="67"/>
      <c r="BI303" s="67"/>
      <c r="BJ303" s="67"/>
      <c r="BK303" s="67"/>
      <c r="BL303" s="67"/>
      <c r="HB303" s="68"/>
      <c r="HC303" s="68"/>
      <c r="HD303" s="68"/>
      <c r="HE303" s="68"/>
      <c r="HF303" s="68"/>
      <c r="HG303" s="68"/>
      <c r="HH303" s="68"/>
      <c r="HI303" s="68"/>
      <c r="HJ303" s="68"/>
      <c r="HK303" s="68"/>
      <c r="HL303" s="68"/>
      <c r="HM303" s="68"/>
      <c r="HP303" s="68"/>
      <c r="HQ303" s="68"/>
      <c r="HR303" s="68"/>
      <c r="HS303" s="68"/>
      <c r="HT303" s="68"/>
      <c r="HU303" s="68"/>
      <c r="HV303" s="68"/>
      <c r="HW303" s="68"/>
      <c r="HX303" s="68"/>
      <c r="HY303" s="68"/>
      <c r="HZ303" s="68"/>
      <c r="IA303" s="68"/>
      <c r="IB303" s="68"/>
      <c r="IC303" s="68"/>
      <c r="ID303" s="68"/>
      <c r="IE303" s="68"/>
      <c r="IF303" s="68"/>
      <c r="IG303" s="68"/>
      <c r="IH303" s="68"/>
      <c r="II303" s="68"/>
      <c r="IJ303" s="68"/>
      <c r="IK303" s="68"/>
      <c r="IL303" s="68"/>
      <c r="IM303" s="68"/>
      <c r="IN303" s="68"/>
      <c r="IO303" s="68"/>
      <c r="IP303" s="68"/>
      <c r="IQ303" s="68"/>
      <c r="IR303" s="68"/>
      <c r="IS303" s="68"/>
      <c r="IT303" s="68"/>
      <c r="IU303" s="68"/>
      <c r="IV303" s="68"/>
      <c r="IW303" s="68"/>
      <c r="IX303" s="68"/>
      <c r="IY303" s="68"/>
    </row>
    <row r="304" spans="2:259" hidden="1" x14ac:dyDescent="0.3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  <c r="AV304" s="68"/>
      <c r="AW304" s="68"/>
      <c r="AX304" s="68"/>
      <c r="AY304" s="68"/>
      <c r="AZ304" s="68"/>
      <c r="BA304" s="68"/>
      <c r="BB304" s="67"/>
      <c r="BC304" s="67"/>
      <c r="BD304" s="67"/>
      <c r="BE304" s="67"/>
      <c r="BF304" s="67"/>
      <c r="BG304" s="67"/>
      <c r="BH304" s="67"/>
      <c r="BI304" s="67"/>
      <c r="BJ304" s="67"/>
      <c r="BK304" s="67"/>
      <c r="BL304" s="67"/>
      <c r="HB304" s="68"/>
      <c r="HC304" s="68"/>
      <c r="HD304" s="68"/>
      <c r="HE304" s="68"/>
      <c r="HF304" s="68"/>
      <c r="HG304" s="68"/>
      <c r="HH304" s="68"/>
      <c r="HI304" s="68"/>
      <c r="HJ304" s="68"/>
      <c r="HK304" s="68"/>
      <c r="HL304" s="68"/>
      <c r="HM304" s="68"/>
      <c r="HP304" s="68"/>
      <c r="HQ304" s="68"/>
      <c r="HR304" s="68"/>
      <c r="HS304" s="68"/>
      <c r="HT304" s="68"/>
      <c r="HU304" s="68"/>
      <c r="HV304" s="68"/>
      <c r="HW304" s="68"/>
      <c r="HX304" s="68"/>
      <c r="HY304" s="68"/>
      <c r="HZ304" s="68"/>
      <c r="IA304" s="68"/>
      <c r="IB304" s="68"/>
      <c r="IC304" s="68"/>
      <c r="ID304" s="68"/>
      <c r="IE304" s="68"/>
      <c r="IF304" s="68"/>
      <c r="IG304" s="68"/>
      <c r="IH304" s="68"/>
      <c r="II304" s="68"/>
      <c r="IJ304" s="68"/>
      <c r="IK304" s="68"/>
      <c r="IL304" s="68"/>
      <c r="IM304" s="68"/>
      <c r="IN304" s="68"/>
      <c r="IO304" s="68"/>
      <c r="IP304" s="68"/>
      <c r="IQ304" s="68"/>
      <c r="IR304" s="68"/>
      <c r="IS304" s="68"/>
      <c r="IT304" s="68"/>
      <c r="IU304" s="68"/>
      <c r="IV304" s="68"/>
      <c r="IW304" s="68"/>
      <c r="IX304" s="68"/>
      <c r="IY304" s="68"/>
    </row>
    <row r="305" spans="2:259" hidden="1" x14ac:dyDescent="0.3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  <c r="AV305" s="68"/>
      <c r="AW305" s="68"/>
      <c r="AX305" s="68"/>
      <c r="AY305" s="68"/>
      <c r="AZ305" s="68"/>
      <c r="BA305" s="68"/>
      <c r="BB305" s="67"/>
      <c r="BC305" s="67"/>
      <c r="BD305" s="67"/>
      <c r="BE305" s="67"/>
      <c r="BF305" s="67"/>
      <c r="BG305" s="67"/>
      <c r="BH305" s="67"/>
      <c r="BI305" s="67"/>
      <c r="BJ305" s="67"/>
      <c r="BK305" s="67"/>
      <c r="BL305" s="67"/>
      <c r="HB305" s="68"/>
      <c r="HC305" s="68"/>
      <c r="HD305" s="68"/>
      <c r="HE305" s="68"/>
      <c r="HF305" s="68"/>
      <c r="HG305" s="68"/>
      <c r="HH305" s="68"/>
      <c r="HI305" s="68"/>
      <c r="HJ305" s="68"/>
      <c r="HK305" s="68"/>
      <c r="HL305" s="68"/>
      <c r="HM305" s="68"/>
      <c r="HP305" s="68"/>
      <c r="HQ305" s="68"/>
      <c r="HR305" s="68"/>
      <c r="HS305" s="68"/>
      <c r="HT305" s="68"/>
      <c r="HU305" s="68"/>
      <c r="HV305" s="68"/>
      <c r="HW305" s="68"/>
      <c r="HX305" s="68"/>
      <c r="HY305" s="68"/>
      <c r="HZ305" s="68"/>
      <c r="IA305" s="68"/>
      <c r="IB305" s="68"/>
      <c r="IC305" s="68"/>
      <c r="ID305" s="68"/>
      <c r="IE305" s="68"/>
      <c r="IF305" s="68"/>
      <c r="IG305" s="68"/>
      <c r="IH305" s="68"/>
      <c r="II305" s="68"/>
      <c r="IJ305" s="68"/>
      <c r="IK305" s="68"/>
      <c r="IL305" s="68"/>
      <c r="IM305" s="68"/>
      <c r="IN305" s="68"/>
      <c r="IO305" s="68"/>
      <c r="IP305" s="68"/>
      <c r="IQ305" s="68"/>
      <c r="IR305" s="68"/>
      <c r="IS305" s="68"/>
      <c r="IT305" s="68"/>
      <c r="IU305" s="68"/>
      <c r="IV305" s="68"/>
      <c r="IW305" s="68"/>
      <c r="IX305" s="68"/>
      <c r="IY305" s="68"/>
    </row>
    <row r="306" spans="2:259" hidden="1" x14ac:dyDescent="0.3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  <c r="AV306" s="68"/>
      <c r="AW306" s="68"/>
      <c r="AX306" s="68"/>
      <c r="AY306" s="68"/>
      <c r="AZ306" s="68"/>
      <c r="BA306" s="68"/>
      <c r="BB306" s="67"/>
      <c r="BC306" s="67"/>
      <c r="BD306" s="67"/>
      <c r="BE306" s="67"/>
      <c r="BF306" s="67"/>
      <c r="BG306" s="67"/>
      <c r="BH306" s="67"/>
      <c r="BI306" s="67"/>
      <c r="BJ306" s="67"/>
      <c r="BK306" s="67"/>
      <c r="BL306" s="67"/>
      <c r="HB306" s="68"/>
      <c r="HC306" s="68"/>
      <c r="HD306" s="68"/>
      <c r="HE306" s="68"/>
      <c r="HF306" s="68"/>
      <c r="HG306" s="68"/>
      <c r="HH306" s="68"/>
      <c r="HI306" s="68"/>
      <c r="HJ306" s="68"/>
      <c r="HK306" s="68"/>
      <c r="HL306" s="68"/>
      <c r="HM306" s="68"/>
      <c r="HP306" s="68"/>
      <c r="HQ306" s="68"/>
      <c r="HR306" s="68"/>
      <c r="HS306" s="68"/>
      <c r="HT306" s="68"/>
      <c r="HU306" s="68"/>
      <c r="HV306" s="68"/>
      <c r="HW306" s="68"/>
      <c r="HX306" s="68"/>
      <c r="HY306" s="68"/>
      <c r="HZ306" s="68"/>
      <c r="IA306" s="68"/>
      <c r="IB306" s="68"/>
      <c r="IC306" s="68"/>
      <c r="ID306" s="68"/>
      <c r="IE306" s="68"/>
      <c r="IF306" s="68"/>
      <c r="IG306" s="68"/>
      <c r="IH306" s="68"/>
      <c r="II306" s="68"/>
      <c r="IJ306" s="68"/>
      <c r="IK306" s="68"/>
      <c r="IL306" s="68"/>
      <c r="IM306" s="68"/>
      <c r="IN306" s="68"/>
      <c r="IO306" s="68"/>
      <c r="IP306" s="68"/>
      <c r="IQ306" s="68"/>
      <c r="IR306" s="68"/>
      <c r="IS306" s="68"/>
      <c r="IT306" s="68"/>
      <c r="IU306" s="68"/>
      <c r="IV306" s="68"/>
      <c r="IW306" s="68"/>
      <c r="IX306" s="68"/>
      <c r="IY306" s="68"/>
    </row>
    <row r="307" spans="2:259" hidden="1" x14ac:dyDescent="0.3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7"/>
      <c r="BC307" s="67"/>
      <c r="BD307" s="67"/>
      <c r="BE307" s="67"/>
      <c r="BF307" s="67"/>
      <c r="BG307" s="67"/>
      <c r="BH307" s="67"/>
      <c r="BI307" s="67"/>
      <c r="BJ307" s="67"/>
      <c r="BK307" s="67"/>
      <c r="BL307" s="67"/>
      <c r="HB307" s="68"/>
      <c r="HC307" s="68"/>
      <c r="HD307" s="68"/>
      <c r="HE307" s="68"/>
      <c r="HF307" s="68"/>
      <c r="HG307" s="68"/>
      <c r="HH307" s="68"/>
      <c r="HI307" s="68"/>
      <c r="HJ307" s="68"/>
      <c r="HK307" s="68"/>
      <c r="HL307" s="68"/>
      <c r="HM307" s="68"/>
      <c r="HP307" s="68"/>
      <c r="HQ307" s="68"/>
      <c r="HR307" s="68"/>
      <c r="HS307" s="68"/>
      <c r="HT307" s="68"/>
      <c r="HU307" s="68"/>
      <c r="HV307" s="68"/>
      <c r="HW307" s="68"/>
      <c r="HX307" s="68"/>
      <c r="HY307" s="68"/>
      <c r="HZ307" s="68"/>
      <c r="IA307" s="68"/>
      <c r="IB307" s="68"/>
      <c r="IC307" s="68"/>
      <c r="ID307" s="68"/>
      <c r="IE307" s="68"/>
      <c r="IF307" s="68"/>
      <c r="IG307" s="68"/>
      <c r="IH307" s="68"/>
      <c r="II307" s="68"/>
      <c r="IJ307" s="68"/>
      <c r="IK307" s="68"/>
      <c r="IL307" s="68"/>
      <c r="IM307" s="68"/>
      <c r="IN307" s="68"/>
      <c r="IO307" s="68"/>
      <c r="IP307" s="68"/>
      <c r="IQ307" s="68"/>
      <c r="IR307" s="68"/>
      <c r="IS307" s="68"/>
      <c r="IT307" s="68"/>
      <c r="IU307" s="68"/>
      <c r="IV307" s="68"/>
      <c r="IW307" s="68"/>
      <c r="IX307" s="68"/>
      <c r="IY307" s="68"/>
    </row>
    <row r="308" spans="2:259" hidden="1" x14ac:dyDescent="0.3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  <c r="AV308" s="68"/>
      <c r="AW308" s="68"/>
      <c r="AX308" s="68"/>
      <c r="AY308" s="68"/>
      <c r="AZ308" s="68"/>
      <c r="BA308" s="68"/>
      <c r="BB308" s="67"/>
      <c r="BC308" s="67"/>
      <c r="BD308" s="67"/>
      <c r="BE308" s="67"/>
      <c r="BF308" s="67"/>
      <c r="BG308" s="67"/>
      <c r="BH308" s="67"/>
      <c r="BI308" s="67"/>
      <c r="BJ308" s="67"/>
      <c r="BK308" s="67"/>
      <c r="BL308" s="67"/>
      <c r="HB308" s="68"/>
      <c r="HC308" s="68"/>
      <c r="HD308" s="68"/>
      <c r="HE308" s="68"/>
      <c r="HF308" s="68"/>
      <c r="HG308" s="68"/>
      <c r="HH308" s="68"/>
      <c r="HI308" s="68"/>
      <c r="HJ308" s="68"/>
      <c r="HK308" s="68"/>
      <c r="HL308" s="68"/>
      <c r="HM308" s="68"/>
      <c r="HP308" s="68"/>
      <c r="HQ308" s="68"/>
      <c r="HR308" s="68"/>
      <c r="HS308" s="68"/>
      <c r="HT308" s="68"/>
      <c r="HU308" s="68"/>
      <c r="HV308" s="68"/>
      <c r="HW308" s="68"/>
      <c r="HX308" s="68"/>
      <c r="HY308" s="68"/>
      <c r="HZ308" s="68"/>
      <c r="IA308" s="68"/>
      <c r="IB308" s="68"/>
      <c r="IC308" s="68"/>
      <c r="ID308" s="68"/>
      <c r="IE308" s="68"/>
      <c r="IF308" s="68"/>
      <c r="IG308" s="68"/>
      <c r="IH308" s="68"/>
      <c r="II308" s="68"/>
      <c r="IJ308" s="68"/>
      <c r="IK308" s="68"/>
      <c r="IL308" s="68"/>
      <c r="IM308" s="68"/>
      <c r="IN308" s="68"/>
      <c r="IO308" s="68"/>
      <c r="IP308" s="68"/>
      <c r="IQ308" s="68"/>
      <c r="IR308" s="68"/>
      <c r="IS308" s="68"/>
      <c r="IT308" s="68"/>
      <c r="IU308" s="68"/>
      <c r="IV308" s="68"/>
      <c r="IW308" s="68"/>
      <c r="IX308" s="68"/>
      <c r="IY308" s="68"/>
    </row>
    <row r="309" spans="2:259" hidden="1" x14ac:dyDescent="0.3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  <c r="AV309" s="68"/>
      <c r="AW309" s="68"/>
      <c r="AX309" s="68"/>
      <c r="AY309" s="68"/>
      <c r="AZ309" s="68"/>
      <c r="BA309" s="68"/>
      <c r="BB309" s="67"/>
      <c r="BC309" s="67"/>
      <c r="BD309" s="67"/>
      <c r="BE309" s="67"/>
      <c r="BF309" s="67"/>
      <c r="BG309" s="67"/>
      <c r="BH309" s="67"/>
      <c r="BI309" s="67"/>
      <c r="BJ309" s="67"/>
      <c r="BK309" s="67"/>
      <c r="BL309" s="67"/>
      <c r="HB309" s="68"/>
      <c r="HC309" s="68"/>
      <c r="HD309" s="68"/>
      <c r="HE309" s="68"/>
      <c r="HF309" s="68"/>
      <c r="HG309" s="68"/>
      <c r="HH309" s="68"/>
      <c r="HI309" s="68"/>
      <c r="HJ309" s="68"/>
      <c r="HK309" s="68"/>
      <c r="HL309" s="68"/>
      <c r="HM309" s="68"/>
      <c r="HP309" s="68"/>
      <c r="HQ309" s="68"/>
      <c r="HR309" s="68"/>
      <c r="HS309" s="68"/>
      <c r="HT309" s="68"/>
      <c r="HU309" s="68"/>
      <c r="HV309" s="68"/>
      <c r="HW309" s="68"/>
      <c r="HX309" s="68"/>
      <c r="HY309" s="68"/>
      <c r="HZ309" s="68"/>
      <c r="IA309" s="68"/>
      <c r="IB309" s="68"/>
      <c r="IC309" s="68"/>
      <c r="ID309" s="68"/>
      <c r="IE309" s="68"/>
      <c r="IF309" s="68"/>
      <c r="IG309" s="68"/>
      <c r="IH309" s="68"/>
      <c r="II309" s="68"/>
      <c r="IJ309" s="68"/>
      <c r="IK309" s="68"/>
      <c r="IL309" s="68"/>
      <c r="IM309" s="68"/>
      <c r="IN309" s="68"/>
      <c r="IO309" s="68"/>
      <c r="IP309" s="68"/>
      <c r="IQ309" s="68"/>
      <c r="IR309" s="68"/>
      <c r="IS309" s="68"/>
      <c r="IT309" s="68"/>
      <c r="IU309" s="68"/>
      <c r="IV309" s="68"/>
      <c r="IW309" s="68"/>
      <c r="IX309" s="68"/>
      <c r="IY309" s="68"/>
    </row>
    <row r="310" spans="2:259" hidden="1" x14ac:dyDescent="0.3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  <c r="AV310" s="68"/>
      <c r="AW310" s="68"/>
      <c r="AX310" s="68"/>
      <c r="AY310" s="68"/>
      <c r="AZ310" s="68"/>
      <c r="BA310" s="68"/>
      <c r="BB310" s="67"/>
      <c r="BC310" s="67"/>
      <c r="BD310" s="67"/>
      <c r="BE310" s="67"/>
      <c r="BF310" s="67"/>
      <c r="BG310" s="67"/>
      <c r="BH310" s="67"/>
      <c r="BI310" s="67"/>
      <c r="BJ310" s="67"/>
      <c r="BK310" s="67"/>
      <c r="BL310" s="67"/>
      <c r="HB310" s="68"/>
      <c r="HC310" s="68"/>
      <c r="HD310" s="68"/>
      <c r="HE310" s="68"/>
      <c r="HF310" s="68"/>
      <c r="HG310" s="68"/>
      <c r="HH310" s="68"/>
      <c r="HI310" s="68"/>
      <c r="HJ310" s="68"/>
      <c r="HK310" s="68"/>
      <c r="HL310" s="68"/>
      <c r="HM310" s="68"/>
      <c r="HP310" s="68"/>
      <c r="HQ310" s="68"/>
      <c r="HR310" s="68"/>
      <c r="HS310" s="68"/>
      <c r="HT310" s="68"/>
      <c r="HU310" s="68"/>
      <c r="HV310" s="68"/>
      <c r="HW310" s="68"/>
      <c r="HX310" s="68"/>
      <c r="HY310" s="68"/>
      <c r="HZ310" s="68"/>
      <c r="IA310" s="68"/>
      <c r="IB310" s="68"/>
      <c r="IC310" s="68"/>
      <c r="ID310" s="68"/>
      <c r="IE310" s="68"/>
      <c r="IF310" s="68"/>
      <c r="IG310" s="68"/>
      <c r="IH310" s="68"/>
      <c r="II310" s="68"/>
      <c r="IJ310" s="68"/>
      <c r="IK310" s="68"/>
      <c r="IL310" s="68"/>
      <c r="IM310" s="68"/>
      <c r="IN310" s="68"/>
      <c r="IO310" s="68"/>
      <c r="IP310" s="68"/>
      <c r="IQ310" s="68"/>
      <c r="IR310" s="68"/>
      <c r="IS310" s="68"/>
      <c r="IT310" s="68"/>
      <c r="IU310" s="68"/>
      <c r="IV310" s="68"/>
      <c r="IW310" s="68"/>
      <c r="IX310" s="68"/>
      <c r="IY310" s="68"/>
    </row>
    <row r="311" spans="2:259" hidden="1" x14ac:dyDescent="0.3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  <c r="AV311" s="68"/>
      <c r="AW311" s="68"/>
      <c r="AX311" s="68"/>
      <c r="AY311" s="68"/>
      <c r="AZ311" s="68"/>
      <c r="BA311" s="68"/>
      <c r="BB311" s="67"/>
      <c r="BC311" s="67"/>
      <c r="BD311" s="67"/>
      <c r="BE311" s="67"/>
      <c r="BF311" s="67"/>
      <c r="BG311" s="67"/>
      <c r="BH311" s="67"/>
      <c r="BI311" s="67"/>
      <c r="BJ311" s="67"/>
      <c r="BK311" s="67"/>
      <c r="BL311" s="67"/>
      <c r="HB311" s="68"/>
      <c r="HC311" s="68"/>
      <c r="HD311" s="68"/>
      <c r="HE311" s="68"/>
      <c r="HF311" s="68"/>
      <c r="HG311" s="68"/>
      <c r="HH311" s="68"/>
      <c r="HI311" s="68"/>
      <c r="HJ311" s="68"/>
      <c r="HK311" s="68"/>
      <c r="HL311" s="68"/>
      <c r="HM311" s="68"/>
      <c r="HP311" s="68"/>
      <c r="HQ311" s="68"/>
      <c r="HR311" s="68"/>
      <c r="HS311" s="68"/>
      <c r="HT311" s="68"/>
      <c r="HU311" s="68"/>
      <c r="HV311" s="68"/>
      <c r="HW311" s="68"/>
      <c r="HX311" s="68"/>
      <c r="HY311" s="68"/>
      <c r="HZ311" s="68"/>
      <c r="IA311" s="68"/>
      <c r="IB311" s="68"/>
      <c r="IC311" s="68"/>
      <c r="ID311" s="68"/>
      <c r="IE311" s="68"/>
      <c r="IF311" s="68"/>
      <c r="IG311" s="68"/>
      <c r="IH311" s="68"/>
      <c r="II311" s="68"/>
      <c r="IJ311" s="68"/>
      <c r="IK311" s="68"/>
      <c r="IL311" s="68"/>
      <c r="IM311" s="68"/>
      <c r="IN311" s="68"/>
      <c r="IO311" s="68"/>
      <c r="IP311" s="68"/>
      <c r="IQ311" s="68"/>
      <c r="IR311" s="68"/>
      <c r="IS311" s="68"/>
      <c r="IT311" s="68"/>
      <c r="IU311" s="68"/>
      <c r="IV311" s="68"/>
      <c r="IW311" s="68"/>
      <c r="IX311" s="68"/>
      <c r="IY311" s="68"/>
    </row>
    <row r="312" spans="2:259" hidden="1" x14ac:dyDescent="0.3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  <c r="AV312" s="68"/>
      <c r="AW312" s="68"/>
      <c r="AX312" s="68"/>
      <c r="AY312" s="68"/>
      <c r="AZ312" s="68"/>
      <c r="BA312" s="68"/>
      <c r="BB312" s="67"/>
      <c r="BC312" s="67"/>
      <c r="BD312" s="67"/>
      <c r="BE312" s="67"/>
      <c r="BF312" s="67"/>
      <c r="BG312" s="67"/>
      <c r="BH312" s="67"/>
      <c r="BI312" s="67"/>
      <c r="BJ312" s="67"/>
      <c r="BK312" s="67"/>
      <c r="BL312" s="67"/>
      <c r="HB312" s="68"/>
      <c r="HC312" s="68"/>
      <c r="HD312" s="68"/>
      <c r="HE312" s="68"/>
      <c r="HF312" s="68"/>
      <c r="HG312" s="68"/>
      <c r="HH312" s="68"/>
      <c r="HI312" s="68"/>
      <c r="HJ312" s="68"/>
      <c r="HK312" s="68"/>
      <c r="HL312" s="68"/>
      <c r="HM312" s="68"/>
      <c r="HP312" s="68"/>
      <c r="HQ312" s="68"/>
      <c r="HR312" s="68"/>
      <c r="HS312" s="68"/>
      <c r="HT312" s="68"/>
      <c r="HU312" s="68"/>
      <c r="HV312" s="68"/>
      <c r="HW312" s="68"/>
      <c r="HX312" s="68"/>
      <c r="HY312" s="68"/>
      <c r="HZ312" s="68"/>
      <c r="IA312" s="68"/>
      <c r="IB312" s="68"/>
      <c r="IC312" s="68"/>
      <c r="ID312" s="68"/>
      <c r="IE312" s="68"/>
      <c r="IF312" s="68"/>
      <c r="IG312" s="68"/>
      <c r="IH312" s="68"/>
      <c r="II312" s="68"/>
      <c r="IJ312" s="68"/>
      <c r="IK312" s="68"/>
      <c r="IL312" s="68"/>
      <c r="IM312" s="68"/>
      <c r="IN312" s="68"/>
      <c r="IO312" s="68"/>
      <c r="IP312" s="68"/>
      <c r="IQ312" s="68"/>
      <c r="IR312" s="68"/>
      <c r="IS312" s="68"/>
      <c r="IT312" s="68"/>
      <c r="IU312" s="68"/>
      <c r="IV312" s="68"/>
      <c r="IW312" s="68"/>
      <c r="IX312" s="68"/>
      <c r="IY312" s="68"/>
    </row>
    <row r="313" spans="2:259" hidden="1" x14ac:dyDescent="0.3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  <c r="AV313" s="68"/>
      <c r="AW313" s="68"/>
      <c r="AX313" s="68"/>
      <c r="AY313" s="68"/>
      <c r="AZ313" s="68"/>
      <c r="BA313" s="68"/>
      <c r="BB313" s="67"/>
      <c r="BC313" s="67"/>
      <c r="BD313" s="67"/>
      <c r="BE313" s="67"/>
      <c r="BF313" s="67"/>
      <c r="BG313" s="67"/>
      <c r="BH313" s="67"/>
      <c r="BI313" s="67"/>
      <c r="BJ313" s="67"/>
      <c r="BK313" s="67"/>
      <c r="BL313" s="67"/>
      <c r="HB313" s="68"/>
      <c r="HC313" s="68"/>
      <c r="HD313" s="68"/>
      <c r="HE313" s="68"/>
      <c r="HF313" s="68"/>
      <c r="HG313" s="68"/>
      <c r="HH313" s="68"/>
      <c r="HI313" s="68"/>
      <c r="HJ313" s="68"/>
      <c r="HK313" s="68"/>
      <c r="HL313" s="68"/>
      <c r="HM313" s="68"/>
      <c r="HP313" s="68"/>
      <c r="HQ313" s="68"/>
      <c r="HR313" s="68"/>
      <c r="HS313" s="68"/>
      <c r="HT313" s="68"/>
      <c r="HU313" s="68"/>
      <c r="HV313" s="68"/>
      <c r="HW313" s="68"/>
      <c r="HX313" s="68"/>
      <c r="HY313" s="68"/>
      <c r="HZ313" s="68"/>
      <c r="IA313" s="68"/>
      <c r="IB313" s="68"/>
      <c r="IC313" s="68"/>
      <c r="ID313" s="68"/>
      <c r="IE313" s="68"/>
      <c r="IF313" s="68"/>
      <c r="IG313" s="68"/>
      <c r="IH313" s="68"/>
      <c r="II313" s="68"/>
      <c r="IJ313" s="68"/>
      <c r="IK313" s="68"/>
      <c r="IL313" s="68"/>
      <c r="IM313" s="68"/>
      <c r="IN313" s="68"/>
      <c r="IO313" s="68"/>
      <c r="IP313" s="68"/>
      <c r="IQ313" s="68"/>
      <c r="IR313" s="68"/>
      <c r="IS313" s="68"/>
      <c r="IT313" s="68"/>
      <c r="IU313" s="68"/>
      <c r="IV313" s="68"/>
      <c r="IW313" s="68"/>
      <c r="IX313" s="68"/>
      <c r="IY313" s="68"/>
    </row>
    <row r="314" spans="2:259" hidden="1" x14ac:dyDescent="0.3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  <c r="AV314" s="68"/>
      <c r="AW314" s="68"/>
      <c r="AX314" s="68"/>
      <c r="AY314" s="68"/>
      <c r="AZ314" s="68"/>
      <c r="BA314" s="68"/>
      <c r="BB314" s="67"/>
      <c r="BC314" s="67"/>
      <c r="BD314" s="67"/>
      <c r="BE314" s="67"/>
      <c r="BF314" s="67"/>
      <c r="BG314" s="67"/>
      <c r="BH314" s="67"/>
      <c r="BI314" s="67"/>
      <c r="BJ314" s="67"/>
      <c r="BK314" s="67"/>
      <c r="BL314" s="67"/>
      <c r="HB314" s="68"/>
      <c r="HC314" s="68"/>
      <c r="HD314" s="68"/>
      <c r="HE314" s="68"/>
      <c r="HF314" s="68"/>
      <c r="HG314" s="68"/>
      <c r="HH314" s="68"/>
      <c r="HI314" s="68"/>
      <c r="HJ314" s="68"/>
      <c r="HK314" s="68"/>
      <c r="HL314" s="68"/>
      <c r="HM314" s="68"/>
      <c r="HP314" s="68"/>
      <c r="HQ314" s="68"/>
      <c r="HR314" s="68"/>
      <c r="HS314" s="68"/>
      <c r="HT314" s="68"/>
      <c r="HU314" s="68"/>
      <c r="HV314" s="68"/>
      <c r="HW314" s="68"/>
      <c r="HX314" s="68"/>
      <c r="HY314" s="68"/>
      <c r="HZ314" s="68"/>
      <c r="IA314" s="68"/>
      <c r="IB314" s="68"/>
      <c r="IC314" s="68"/>
      <c r="ID314" s="68"/>
      <c r="IE314" s="68"/>
      <c r="IF314" s="68"/>
      <c r="IG314" s="68"/>
      <c r="IH314" s="68"/>
      <c r="II314" s="68"/>
      <c r="IJ314" s="68"/>
      <c r="IK314" s="68"/>
      <c r="IL314" s="68"/>
      <c r="IM314" s="68"/>
      <c r="IN314" s="68"/>
      <c r="IO314" s="68"/>
      <c r="IP314" s="68"/>
      <c r="IQ314" s="68"/>
      <c r="IR314" s="68"/>
      <c r="IS314" s="68"/>
      <c r="IT314" s="68"/>
      <c r="IU314" s="68"/>
      <c r="IV314" s="68"/>
      <c r="IW314" s="68"/>
      <c r="IX314" s="68"/>
      <c r="IY314" s="68"/>
    </row>
    <row r="315" spans="2:259" hidden="1" x14ac:dyDescent="0.3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  <c r="AV315" s="68"/>
      <c r="AW315" s="68"/>
      <c r="AX315" s="68"/>
      <c r="AY315" s="68"/>
      <c r="AZ315" s="68"/>
      <c r="BA315" s="68"/>
      <c r="BB315" s="67"/>
      <c r="BC315" s="67"/>
      <c r="BD315" s="67"/>
      <c r="BE315" s="67"/>
      <c r="BF315" s="67"/>
      <c r="BG315" s="67"/>
      <c r="BH315" s="67"/>
      <c r="BI315" s="67"/>
      <c r="BJ315" s="67"/>
      <c r="BK315" s="67"/>
      <c r="BL315" s="67"/>
      <c r="HB315" s="68"/>
      <c r="HC315" s="68"/>
      <c r="HD315" s="68"/>
      <c r="HE315" s="68"/>
      <c r="HF315" s="68"/>
      <c r="HG315" s="68"/>
      <c r="HH315" s="68"/>
      <c r="HI315" s="68"/>
      <c r="HJ315" s="68"/>
      <c r="HK315" s="68"/>
      <c r="HL315" s="68"/>
      <c r="HM315" s="68"/>
      <c r="HP315" s="68"/>
      <c r="HQ315" s="68"/>
      <c r="HR315" s="68"/>
      <c r="HS315" s="68"/>
      <c r="HT315" s="68"/>
      <c r="HU315" s="68"/>
      <c r="HV315" s="68"/>
      <c r="HW315" s="68"/>
      <c r="HX315" s="68"/>
      <c r="HY315" s="68"/>
      <c r="HZ315" s="68"/>
      <c r="IA315" s="68"/>
      <c r="IB315" s="68"/>
      <c r="IC315" s="68"/>
      <c r="ID315" s="68"/>
      <c r="IE315" s="68"/>
      <c r="IF315" s="68"/>
      <c r="IG315" s="68"/>
      <c r="IH315" s="68"/>
      <c r="II315" s="68"/>
      <c r="IJ315" s="68"/>
      <c r="IK315" s="68"/>
      <c r="IL315" s="68"/>
      <c r="IM315" s="68"/>
      <c r="IN315" s="68"/>
      <c r="IO315" s="68"/>
      <c r="IP315" s="68"/>
      <c r="IQ315" s="68"/>
      <c r="IR315" s="68"/>
      <c r="IS315" s="68"/>
      <c r="IT315" s="68"/>
      <c r="IU315" s="68"/>
      <c r="IV315" s="68"/>
      <c r="IW315" s="68"/>
      <c r="IX315" s="68"/>
      <c r="IY315" s="68"/>
    </row>
    <row r="316" spans="2:259" hidden="1" x14ac:dyDescent="0.3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  <c r="AV316" s="68"/>
      <c r="AW316" s="68"/>
      <c r="AX316" s="68"/>
      <c r="AY316" s="68"/>
      <c r="AZ316" s="68"/>
      <c r="BA316" s="68"/>
      <c r="BB316" s="67"/>
      <c r="BC316" s="67"/>
      <c r="BD316" s="67"/>
      <c r="BE316" s="67"/>
      <c r="BF316" s="67"/>
      <c r="BG316" s="67"/>
      <c r="BH316" s="67"/>
      <c r="BI316" s="67"/>
      <c r="BJ316" s="67"/>
      <c r="BK316" s="67"/>
      <c r="BL316" s="67"/>
      <c r="HB316" s="68"/>
      <c r="HC316" s="68"/>
      <c r="HD316" s="68"/>
      <c r="HE316" s="68"/>
      <c r="HF316" s="68"/>
      <c r="HG316" s="68"/>
      <c r="HH316" s="68"/>
      <c r="HI316" s="68"/>
      <c r="HJ316" s="68"/>
      <c r="HK316" s="68"/>
      <c r="HL316" s="68"/>
      <c r="HM316" s="68"/>
      <c r="HP316" s="68"/>
      <c r="HQ316" s="68"/>
      <c r="HR316" s="68"/>
      <c r="HS316" s="68"/>
      <c r="HT316" s="68"/>
      <c r="HU316" s="68"/>
      <c r="HV316" s="68"/>
      <c r="HW316" s="68"/>
      <c r="HX316" s="68"/>
      <c r="HY316" s="68"/>
      <c r="HZ316" s="68"/>
      <c r="IA316" s="68"/>
      <c r="IB316" s="68"/>
      <c r="IC316" s="68"/>
      <c r="ID316" s="68"/>
      <c r="IE316" s="68"/>
      <c r="IF316" s="68"/>
      <c r="IG316" s="68"/>
      <c r="IH316" s="68"/>
      <c r="II316" s="68"/>
      <c r="IJ316" s="68"/>
      <c r="IK316" s="68"/>
      <c r="IL316" s="68"/>
      <c r="IM316" s="68"/>
      <c r="IN316" s="68"/>
      <c r="IO316" s="68"/>
      <c r="IP316" s="68"/>
      <c r="IQ316" s="68"/>
      <c r="IR316" s="68"/>
      <c r="IS316" s="68"/>
      <c r="IT316" s="68"/>
      <c r="IU316" s="68"/>
      <c r="IV316" s="68"/>
      <c r="IW316" s="68"/>
      <c r="IX316" s="68"/>
      <c r="IY316" s="68"/>
    </row>
    <row r="317" spans="2:259" hidden="1" x14ac:dyDescent="0.3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  <c r="AV317" s="68"/>
      <c r="AW317" s="68"/>
      <c r="AX317" s="68"/>
      <c r="AY317" s="68"/>
      <c r="AZ317" s="68"/>
      <c r="BA317" s="68"/>
      <c r="BB317" s="67"/>
      <c r="BC317" s="67"/>
      <c r="BD317" s="67"/>
      <c r="BE317" s="67"/>
      <c r="BF317" s="67"/>
      <c r="BG317" s="67"/>
      <c r="BH317" s="67"/>
      <c r="BI317" s="67"/>
      <c r="BJ317" s="67"/>
      <c r="BK317" s="67"/>
      <c r="BL317" s="67"/>
      <c r="HB317" s="68"/>
      <c r="HC317" s="68"/>
      <c r="HD317" s="68"/>
      <c r="HE317" s="68"/>
      <c r="HF317" s="68"/>
      <c r="HG317" s="68"/>
      <c r="HH317" s="68"/>
      <c r="HI317" s="68"/>
      <c r="HJ317" s="68"/>
      <c r="HK317" s="68"/>
      <c r="HL317" s="68"/>
      <c r="HM317" s="68"/>
      <c r="HP317" s="68"/>
      <c r="HQ317" s="68"/>
      <c r="HR317" s="68"/>
      <c r="HS317" s="68"/>
      <c r="HT317" s="68"/>
      <c r="HU317" s="68"/>
      <c r="HV317" s="68"/>
      <c r="HW317" s="68"/>
      <c r="HX317" s="68"/>
      <c r="HY317" s="68"/>
      <c r="HZ317" s="68"/>
      <c r="IA317" s="68"/>
      <c r="IB317" s="68"/>
      <c r="IC317" s="68"/>
      <c r="ID317" s="68"/>
      <c r="IE317" s="68"/>
      <c r="IF317" s="68"/>
      <c r="IG317" s="68"/>
      <c r="IH317" s="68"/>
      <c r="II317" s="68"/>
      <c r="IJ317" s="68"/>
      <c r="IK317" s="68"/>
      <c r="IL317" s="68"/>
      <c r="IM317" s="68"/>
      <c r="IN317" s="68"/>
      <c r="IO317" s="68"/>
      <c r="IP317" s="68"/>
      <c r="IQ317" s="68"/>
      <c r="IR317" s="68"/>
      <c r="IS317" s="68"/>
      <c r="IT317" s="68"/>
      <c r="IU317" s="68"/>
      <c r="IV317" s="68"/>
      <c r="IW317" s="68"/>
      <c r="IX317" s="68"/>
      <c r="IY317" s="68"/>
    </row>
    <row r="318" spans="2:259" hidden="1" x14ac:dyDescent="0.3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  <c r="AV318" s="68"/>
      <c r="AW318" s="68"/>
      <c r="AX318" s="68"/>
      <c r="AY318" s="68"/>
      <c r="AZ318" s="68"/>
      <c r="BA318" s="68"/>
      <c r="BB318" s="67"/>
      <c r="BC318" s="67"/>
      <c r="BD318" s="67"/>
      <c r="BE318" s="67"/>
      <c r="BF318" s="67"/>
      <c r="BG318" s="67"/>
      <c r="BH318" s="67"/>
      <c r="BI318" s="67"/>
      <c r="BJ318" s="67"/>
      <c r="BK318" s="67"/>
      <c r="BL318" s="67"/>
      <c r="HB318" s="68"/>
      <c r="HC318" s="68"/>
      <c r="HD318" s="68"/>
      <c r="HE318" s="68"/>
      <c r="HF318" s="68"/>
      <c r="HG318" s="68"/>
      <c r="HH318" s="68"/>
      <c r="HI318" s="68"/>
      <c r="HJ318" s="68"/>
      <c r="HK318" s="68"/>
      <c r="HL318" s="68"/>
      <c r="HM318" s="68"/>
      <c r="HP318" s="68"/>
      <c r="HQ318" s="68"/>
      <c r="HR318" s="68"/>
      <c r="HS318" s="68"/>
      <c r="HT318" s="68"/>
      <c r="HU318" s="68"/>
      <c r="HV318" s="68"/>
      <c r="HW318" s="68"/>
      <c r="HX318" s="68"/>
      <c r="HY318" s="68"/>
      <c r="HZ318" s="68"/>
      <c r="IA318" s="68"/>
      <c r="IB318" s="68"/>
      <c r="IC318" s="68"/>
      <c r="ID318" s="68"/>
      <c r="IE318" s="68"/>
      <c r="IF318" s="68"/>
      <c r="IG318" s="68"/>
      <c r="IH318" s="68"/>
      <c r="II318" s="68"/>
      <c r="IJ318" s="68"/>
      <c r="IK318" s="68"/>
      <c r="IL318" s="68"/>
      <c r="IM318" s="68"/>
      <c r="IN318" s="68"/>
      <c r="IO318" s="68"/>
      <c r="IP318" s="68"/>
      <c r="IQ318" s="68"/>
      <c r="IR318" s="68"/>
      <c r="IS318" s="68"/>
      <c r="IT318" s="68"/>
      <c r="IU318" s="68"/>
      <c r="IV318" s="68"/>
      <c r="IW318" s="68"/>
      <c r="IX318" s="68"/>
      <c r="IY318" s="68"/>
    </row>
    <row r="319" spans="2:259" hidden="1" x14ac:dyDescent="0.3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  <c r="AV319" s="68"/>
      <c r="AW319" s="68"/>
      <c r="AX319" s="68"/>
      <c r="AY319" s="68"/>
      <c r="AZ319" s="68"/>
      <c r="BA319" s="68"/>
      <c r="BB319" s="67"/>
      <c r="BC319" s="67"/>
      <c r="BD319" s="67"/>
      <c r="BE319" s="67"/>
      <c r="BF319" s="67"/>
      <c r="BG319" s="67"/>
      <c r="BH319" s="67"/>
      <c r="BI319" s="67"/>
      <c r="BJ319" s="67"/>
      <c r="BK319" s="67"/>
      <c r="BL319" s="67"/>
      <c r="HB319" s="68"/>
      <c r="HC319" s="68"/>
      <c r="HD319" s="68"/>
      <c r="HE319" s="68"/>
      <c r="HF319" s="68"/>
      <c r="HG319" s="68"/>
      <c r="HH319" s="68"/>
      <c r="HI319" s="68"/>
      <c r="HJ319" s="68"/>
      <c r="HK319" s="68"/>
      <c r="HL319" s="68"/>
      <c r="HM319" s="68"/>
      <c r="HP319" s="68"/>
      <c r="HQ319" s="68"/>
      <c r="HR319" s="68"/>
      <c r="HS319" s="68"/>
      <c r="HT319" s="68"/>
      <c r="HU319" s="68"/>
      <c r="HV319" s="68"/>
      <c r="HW319" s="68"/>
      <c r="HX319" s="68"/>
      <c r="HY319" s="68"/>
      <c r="HZ319" s="68"/>
      <c r="IA319" s="68"/>
      <c r="IB319" s="68"/>
      <c r="IC319" s="68"/>
      <c r="ID319" s="68"/>
      <c r="IE319" s="68"/>
      <c r="IF319" s="68"/>
      <c r="IG319" s="68"/>
      <c r="IH319" s="68"/>
      <c r="II319" s="68"/>
      <c r="IJ319" s="68"/>
      <c r="IK319" s="68"/>
      <c r="IL319" s="68"/>
      <c r="IM319" s="68"/>
      <c r="IN319" s="68"/>
      <c r="IO319" s="68"/>
      <c r="IP319" s="68"/>
      <c r="IQ319" s="68"/>
      <c r="IR319" s="68"/>
      <c r="IS319" s="68"/>
      <c r="IT319" s="68"/>
      <c r="IU319" s="68"/>
      <c r="IV319" s="68"/>
      <c r="IW319" s="68"/>
      <c r="IX319" s="68"/>
      <c r="IY319" s="68"/>
    </row>
    <row r="320" spans="2:259" hidden="1" x14ac:dyDescent="0.3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  <c r="AV320" s="68"/>
      <c r="AW320" s="68"/>
      <c r="AX320" s="68"/>
      <c r="AY320" s="68"/>
      <c r="AZ320" s="68"/>
      <c r="BA320" s="68"/>
      <c r="BB320" s="67"/>
      <c r="BC320" s="67"/>
      <c r="BD320" s="67"/>
      <c r="BE320" s="67"/>
      <c r="BF320" s="67"/>
      <c r="BG320" s="67"/>
      <c r="BH320" s="67"/>
      <c r="BI320" s="67"/>
      <c r="BJ320" s="67"/>
      <c r="BK320" s="67"/>
      <c r="BL320" s="67"/>
      <c r="HB320" s="68"/>
      <c r="HC320" s="68"/>
      <c r="HD320" s="68"/>
      <c r="HE320" s="68"/>
      <c r="HF320" s="68"/>
      <c r="HG320" s="68"/>
      <c r="HH320" s="68"/>
      <c r="HI320" s="68"/>
      <c r="HJ320" s="68"/>
      <c r="HK320" s="68"/>
      <c r="HL320" s="68"/>
      <c r="HM320" s="68"/>
      <c r="HP320" s="68"/>
      <c r="HQ320" s="68"/>
      <c r="HR320" s="68"/>
      <c r="HS320" s="68"/>
      <c r="HT320" s="68"/>
      <c r="HU320" s="68"/>
      <c r="HV320" s="68"/>
      <c r="HW320" s="68"/>
      <c r="HX320" s="68"/>
      <c r="HY320" s="68"/>
      <c r="HZ320" s="68"/>
      <c r="IA320" s="68"/>
      <c r="IB320" s="68"/>
      <c r="IC320" s="68"/>
      <c r="ID320" s="68"/>
      <c r="IE320" s="68"/>
      <c r="IF320" s="68"/>
      <c r="IG320" s="68"/>
      <c r="IH320" s="68"/>
      <c r="II320" s="68"/>
      <c r="IJ320" s="68"/>
      <c r="IK320" s="68"/>
      <c r="IL320" s="68"/>
      <c r="IM320" s="68"/>
      <c r="IN320" s="68"/>
      <c r="IO320" s="68"/>
      <c r="IP320" s="68"/>
      <c r="IQ320" s="68"/>
      <c r="IR320" s="68"/>
      <c r="IS320" s="68"/>
      <c r="IT320" s="68"/>
      <c r="IU320" s="68"/>
      <c r="IV320" s="68"/>
      <c r="IW320" s="68"/>
      <c r="IX320" s="68"/>
      <c r="IY320" s="68"/>
    </row>
    <row r="321" spans="2:259" hidden="1" x14ac:dyDescent="0.3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  <c r="AV321" s="68"/>
      <c r="AW321" s="68"/>
      <c r="AX321" s="68"/>
      <c r="AY321" s="68"/>
      <c r="AZ321" s="68"/>
      <c r="BA321" s="68"/>
      <c r="BB321" s="67"/>
      <c r="BC321" s="67"/>
      <c r="BD321" s="67"/>
      <c r="BE321" s="67"/>
      <c r="BF321" s="67"/>
      <c r="BG321" s="67"/>
      <c r="BH321" s="67"/>
      <c r="BI321" s="67"/>
      <c r="BJ321" s="67"/>
      <c r="BK321" s="67"/>
      <c r="BL321" s="67"/>
      <c r="HB321" s="68"/>
      <c r="HC321" s="68"/>
      <c r="HD321" s="68"/>
      <c r="HE321" s="68"/>
      <c r="HF321" s="68"/>
      <c r="HG321" s="68"/>
      <c r="HH321" s="68"/>
      <c r="HI321" s="68"/>
      <c r="HJ321" s="68"/>
      <c r="HK321" s="68"/>
      <c r="HL321" s="68"/>
      <c r="HM321" s="68"/>
      <c r="HP321" s="68"/>
      <c r="HQ321" s="68"/>
      <c r="HR321" s="68"/>
      <c r="HS321" s="68"/>
      <c r="HT321" s="68"/>
      <c r="HU321" s="68"/>
      <c r="HV321" s="68"/>
      <c r="HW321" s="68"/>
      <c r="HX321" s="68"/>
      <c r="HY321" s="68"/>
      <c r="HZ321" s="68"/>
      <c r="IA321" s="68"/>
      <c r="IB321" s="68"/>
      <c r="IC321" s="68"/>
      <c r="ID321" s="68"/>
      <c r="IE321" s="68"/>
      <c r="IF321" s="68"/>
      <c r="IG321" s="68"/>
      <c r="IH321" s="68"/>
      <c r="II321" s="68"/>
      <c r="IJ321" s="68"/>
      <c r="IK321" s="68"/>
      <c r="IL321" s="68"/>
      <c r="IM321" s="68"/>
      <c r="IN321" s="68"/>
      <c r="IO321" s="68"/>
      <c r="IP321" s="68"/>
      <c r="IQ321" s="68"/>
      <c r="IR321" s="68"/>
      <c r="IS321" s="68"/>
      <c r="IT321" s="68"/>
      <c r="IU321" s="68"/>
      <c r="IV321" s="68"/>
      <c r="IW321" s="68"/>
      <c r="IX321" s="68"/>
      <c r="IY321" s="68"/>
    </row>
    <row r="322" spans="2:259" hidden="1" x14ac:dyDescent="0.3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  <c r="AV322" s="68"/>
      <c r="AW322" s="68"/>
      <c r="AX322" s="68"/>
      <c r="AY322" s="68"/>
      <c r="AZ322" s="68"/>
      <c r="BA322" s="68"/>
      <c r="BB322" s="67"/>
      <c r="BC322" s="67"/>
      <c r="BD322" s="67"/>
      <c r="BE322" s="67"/>
      <c r="BF322" s="67"/>
      <c r="BG322" s="67"/>
      <c r="BH322" s="67"/>
      <c r="BI322" s="67"/>
      <c r="BJ322" s="67"/>
      <c r="BK322" s="67"/>
      <c r="BL322" s="67"/>
      <c r="HB322" s="68"/>
      <c r="HC322" s="68"/>
      <c r="HD322" s="68"/>
      <c r="HE322" s="68"/>
      <c r="HF322" s="68"/>
      <c r="HG322" s="68"/>
      <c r="HH322" s="68"/>
      <c r="HI322" s="68"/>
      <c r="HJ322" s="68"/>
      <c r="HK322" s="68"/>
      <c r="HL322" s="68"/>
      <c r="HM322" s="68"/>
      <c r="HP322" s="68"/>
      <c r="HQ322" s="68"/>
      <c r="HR322" s="68"/>
      <c r="HS322" s="68"/>
      <c r="HT322" s="68"/>
      <c r="HU322" s="68"/>
      <c r="HV322" s="68"/>
      <c r="HW322" s="68"/>
      <c r="HX322" s="68"/>
      <c r="HY322" s="68"/>
      <c r="HZ322" s="68"/>
      <c r="IA322" s="68"/>
      <c r="IB322" s="68"/>
      <c r="IC322" s="68"/>
      <c r="ID322" s="68"/>
      <c r="IE322" s="68"/>
      <c r="IF322" s="68"/>
      <c r="IG322" s="68"/>
      <c r="IH322" s="68"/>
      <c r="II322" s="68"/>
      <c r="IJ322" s="68"/>
      <c r="IK322" s="68"/>
      <c r="IL322" s="68"/>
      <c r="IM322" s="68"/>
      <c r="IN322" s="68"/>
      <c r="IO322" s="68"/>
      <c r="IP322" s="68"/>
      <c r="IQ322" s="68"/>
      <c r="IR322" s="68"/>
      <c r="IS322" s="68"/>
      <c r="IT322" s="68"/>
      <c r="IU322" s="68"/>
      <c r="IV322" s="68"/>
      <c r="IW322" s="68"/>
      <c r="IX322" s="68"/>
      <c r="IY322" s="68"/>
    </row>
    <row r="323" spans="2:259" hidden="1" x14ac:dyDescent="0.3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  <c r="AV323" s="68"/>
      <c r="AW323" s="68"/>
      <c r="AX323" s="68"/>
      <c r="AY323" s="68"/>
      <c r="AZ323" s="68"/>
      <c r="BA323" s="68"/>
      <c r="BB323" s="67"/>
      <c r="BC323" s="67"/>
      <c r="BD323" s="67"/>
      <c r="BE323" s="67"/>
      <c r="BF323" s="67"/>
      <c r="BG323" s="67"/>
      <c r="BH323" s="67"/>
      <c r="BI323" s="67"/>
      <c r="BJ323" s="67"/>
      <c r="BK323" s="67"/>
      <c r="BL323" s="67"/>
      <c r="HB323" s="68"/>
      <c r="HC323" s="68"/>
      <c r="HD323" s="68"/>
      <c r="HE323" s="68"/>
      <c r="HF323" s="68"/>
      <c r="HG323" s="68"/>
      <c r="HH323" s="68"/>
      <c r="HI323" s="68"/>
      <c r="HJ323" s="68"/>
      <c r="HK323" s="68"/>
      <c r="HL323" s="68"/>
      <c r="HM323" s="68"/>
      <c r="HP323" s="68"/>
      <c r="HQ323" s="68"/>
      <c r="HR323" s="68"/>
      <c r="HS323" s="68"/>
      <c r="HT323" s="68"/>
      <c r="HU323" s="68"/>
      <c r="HV323" s="68"/>
      <c r="HW323" s="68"/>
      <c r="HX323" s="68"/>
      <c r="HY323" s="68"/>
      <c r="HZ323" s="68"/>
      <c r="IA323" s="68"/>
      <c r="IB323" s="68"/>
      <c r="IC323" s="68"/>
      <c r="ID323" s="68"/>
      <c r="IE323" s="68"/>
      <c r="IF323" s="68"/>
      <c r="IG323" s="68"/>
      <c r="IH323" s="68"/>
      <c r="II323" s="68"/>
      <c r="IJ323" s="68"/>
      <c r="IK323" s="68"/>
      <c r="IL323" s="68"/>
      <c r="IM323" s="68"/>
      <c r="IN323" s="68"/>
      <c r="IO323" s="68"/>
      <c r="IP323" s="68"/>
      <c r="IQ323" s="68"/>
      <c r="IR323" s="68"/>
      <c r="IS323" s="68"/>
      <c r="IT323" s="68"/>
      <c r="IU323" s="68"/>
      <c r="IV323" s="68"/>
      <c r="IW323" s="68"/>
      <c r="IX323" s="68"/>
      <c r="IY323" s="68"/>
    </row>
    <row r="324" spans="2:259" hidden="1" x14ac:dyDescent="0.3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  <c r="AV324" s="68"/>
      <c r="AW324" s="68"/>
      <c r="AX324" s="68"/>
      <c r="AY324" s="68"/>
      <c r="AZ324" s="68"/>
      <c r="BA324" s="68"/>
      <c r="BB324" s="67"/>
      <c r="BC324" s="67"/>
      <c r="BD324" s="67"/>
      <c r="BE324" s="67"/>
      <c r="BF324" s="67"/>
      <c r="BG324" s="67"/>
      <c r="BH324" s="67"/>
      <c r="BI324" s="67"/>
      <c r="BJ324" s="67"/>
      <c r="BK324" s="67"/>
      <c r="BL324" s="67"/>
      <c r="HB324" s="68"/>
      <c r="HC324" s="68"/>
      <c r="HD324" s="68"/>
      <c r="HE324" s="68"/>
      <c r="HF324" s="68"/>
      <c r="HG324" s="68"/>
      <c r="HH324" s="68"/>
      <c r="HI324" s="68"/>
      <c r="HJ324" s="68"/>
      <c r="HK324" s="68"/>
      <c r="HL324" s="68"/>
      <c r="HM324" s="68"/>
      <c r="HP324" s="68"/>
      <c r="HQ324" s="68"/>
      <c r="HR324" s="68"/>
      <c r="HS324" s="68"/>
      <c r="HT324" s="68"/>
      <c r="HU324" s="68"/>
      <c r="HV324" s="68"/>
      <c r="HW324" s="68"/>
      <c r="HX324" s="68"/>
      <c r="HY324" s="68"/>
      <c r="HZ324" s="68"/>
      <c r="IA324" s="68"/>
      <c r="IB324" s="68"/>
      <c r="IC324" s="68"/>
      <c r="ID324" s="68"/>
      <c r="IE324" s="68"/>
      <c r="IF324" s="68"/>
      <c r="IG324" s="68"/>
      <c r="IH324" s="68"/>
      <c r="II324" s="68"/>
      <c r="IJ324" s="68"/>
      <c r="IK324" s="68"/>
      <c r="IL324" s="68"/>
      <c r="IM324" s="68"/>
      <c r="IN324" s="68"/>
      <c r="IO324" s="68"/>
      <c r="IP324" s="68"/>
      <c r="IQ324" s="68"/>
      <c r="IR324" s="68"/>
      <c r="IS324" s="68"/>
      <c r="IT324" s="68"/>
      <c r="IU324" s="68"/>
      <c r="IV324" s="68"/>
      <c r="IW324" s="68"/>
      <c r="IX324" s="68"/>
      <c r="IY324" s="68"/>
    </row>
    <row r="325" spans="2:259" hidden="1" x14ac:dyDescent="0.3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  <c r="AV325" s="68"/>
      <c r="AW325" s="68"/>
      <c r="AX325" s="68"/>
      <c r="AY325" s="68"/>
      <c r="AZ325" s="68"/>
      <c r="BA325" s="68"/>
      <c r="BB325" s="67"/>
      <c r="BC325" s="67"/>
      <c r="BD325" s="67"/>
      <c r="BE325" s="67"/>
      <c r="BF325" s="67"/>
      <c r="BG325" s="67"/>
      <c r="BH325" s="67"/>
      <c r="BI325" s="67"/>
      <c r="BJ325" s="67"/>
      <c r="BK325" s="67"/>
      <c r="BL325" s="67"/>
      <c r="HB325" s="68"/>
      <c r="HC325" s="68"/>
      <c r="HD325" s="68"/>
      <c r="HE325" s="68"/>
      <c r="HF325" s="68"/>
      <c r="HG325" s="68"/>
      <c r="HH325" s="68"/>
      <c r="HI325" s="68"/>
      <c r="HJ325" s="68"/>
      <c r="HK325" s="68"/>
      <c r="HL325" s="68"/>
      <c r="HM325" s="68"/>
      <c r="HP325" s="68"/>
      <c r="HQ325" s="68"/>
      <c r="HR325" s="68"/>
      <c r="HS325" s="68"/>
      <c r="HT325" s="68"/>
      <c r="HU325" s="68"/>
      <c r="HV325" s="68"/>
      <c r="HW325" s="68"/>
      <c r="HX325" s="68"/>
      <c r="HY325" s="68"/>
      <c r="HZ325" s="68"/>
      <c r="IA325" s="68"/>
      <c r="IB325" s="68"/>
      <c r="IC325" s="68"/>
      <c r="ID325" s="68"/>
      <c r="IE325" s="68"/>
      <c r="IF325" s="68"/>
      <c r="IG325" s="68"/>
      <c r="IH325" s="68"/>
      <c r="II325" s="68"/>
      <c r="IJ325" s="68"/>
      <c r="IK325" s="68"/>
      <c r="IL325" s="68"/>
      <c r="IM325" s="68"/>
      <c r="IN325" s="68"/>
      <c r="IO325" s="68"/>
      <c r="IP325" s="68"/>
      <c r="IQ325" s="68"/>
      <c r="IR325" s="68"/>
      <c r="IS325" s="68"/>
      <c r="IT325" s="68"/>
      <c r="IU325" s="68"/>
      <c r="IV325" s="68"/>
      <c r="IW325" s="68"/>
      <c r="IX325" s="68"/>
      <c r="IY325" s="68"/>
    </row>
    <row r="326" spans="2:259" hidden="1" x14ac:dyDescent="0.3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  <c r="AV326" s="68"/>
      <c r="AW326" s="68"/>
      <c r="AX326" s="68"/>
      <c r="AY326" s="68"/>
      <c r="AZ326" s="68"/>
      <c r="BA326" s="68"/>
      <c r="BB326" s="67"/>
      <c r="BC326" s="67"/>
      <c r="BD326" s="67"/>
      <c r="BE326" s="67"/>
      <c r="BF326" s="67"/>
      <c r="BG326" s="67"/>
      <c r="BH326" s="67"/>
      <c r="BI326" s="67"/>
      <c r="BJ326" s="67"/>
      <c r="BK326" s="67"/>
      <c r="BL326" s="67"/>
      <c r="HB326" s="68"/>
      <c r="HC326" s="68"/>
      <c r="HD326" s="68"/>
      <c r="HE326" s="68"/>
      <c r="HF326" s="68"/>
      <c r="HG326" s="68"/>
      <c r="HH326" s="68"/>
      <c r="HI326" s="68"/>
      <c r="HJ326" s="68"/>
      <c r="HK326" s="68"/>
      <c r="HL326" s="68"/>
      <c r="HM326" s="68"/>
      <c r="HP326" s="68"/>
      <c r="HQ326" s="68"/>
      <c r="HR326" s="68"/>
      <c r="HS326" s="68"/>
      <c r="HT326" s="68"/>
      <c r="HU326" s="68"/>
      <c r="HV326" s="68"/>
      <c r="HW326" s="68"/>
      <c r="HX326" s="68"/>
      <c r="HY326" s="68"/>
      <c r="HZ326" s="68"/>
      <c r="IA326" s="68"/>
      <c r="IB326" s="68"/>
      <c r="IC326" s="68"/>
      <c r="ID326" s="68"/>
      <c r="IE326" s="68"/>
      <c r="IF326" s="68"/>
      <c r="IG326" s="68"/>
      <c r="IH326" s="68"/>
      <c r="II326" s="68"/>
      <c r="IJ326" s="68"/>
      <c r="IK326" s="68"/>
      <c r="IL326" s="68"/>
      <c r="IM326" s="68"/>
      <c r="IN326" s="68"/>
      <c r="IO326" s="68"/>
      <c r="IP326" s="68"/>
      <c r="IQ326" s="68"/>
      <c r="IR326" s="68"/>
      <c r="IS326" s="68"/>
      <c r="IT326" s="68"/>
      <c r="IU326" s="68"/>
      <c r="IV326" s="68"/>
      <c r="IW326" s="68"/>
      <c r="IX326" s="68"/>
      <c r="IY326" s="68"/>
    </row>
    <row r="327" spans="2:259" hidden="1" x14ac:dyDescent="0.3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  <c r="AV327" s="68"/>
      <c r="AW327" s="68"/>
      <c r="AX327" s="68"/>
      <c r="AY327" s="68"/>
      <c r="AZ327" s="68"/>
      <c r="BA327" s="68"/>
      <c r="BB327" s="67"/>
      <c r="BC327" s="67"/>
      <c r="BD327" s="67"/>
      <c r="BE327" s="67"/>
      <c r="BF327" s="67"/>
      <c r="BG327" s="67"/>
      <c r="BH327" s="67"/>
      <c r="BI327" s="67"/>
      <c r="BJ327" s="67"/>
      <c r="BK327" s="67"/>
      <c r="BL327" s="67"/>
      <c r="HB327" s="68"/>
      <c r="HC327" s="68"/>
      <c r="HD327" s="68"/>
      <c r="HE327" s="68"/>
      <c r="HF327" s="68"/>
      <c r="HG327" s="68"/>
      <c r="HH327" s="68"/>
      <c r="HI327" s="68"/>
      <c r="HJ327" s="68"/>
      <c r="HK327" s="68"/>
      <c r="HL327" s="68"/>
      <c r="HM327" s="68"/>
      <c r="HP327" s="68"/>
      <c r="HQ327" s="68"/>
      <c r="HR327" s="68"/>
      <c r="HS327" s="68"/>
      <c r="HT327" s="68"/>
      <c r="HU327" s="68"/>
      <c r="HV327" s="68"/>
      <c r="HW327" s="68"/>
      <c r="HX327" s="68"/>
      <c r="HY327" s="68"/>
      <c r="HZ327" s="68"/>
      <c r="IA327" s="68"/>
      <c r="IB327" s="68"/>
      <c r="IC327" s="68"/>
      <c r="ID327" s="68"/>
      <c r="IE327" s="68"/>
      <c r="IF327" s="68"/>
      <c r="IG327" s="68"/>
      <c r="IH327" s="68"/>
      <c r="II327" s="68"/>
      <c r="IJ327" s="68"/>
      <c r="IK327" s="68"/>
      <c r="IL327" s="68"/>
      <c r="IM327" s="68"/>
      <c r="IN327" s="68"/>
      <c r="IO327" s="68"/>
      <c r="IP327" s="68"/>
      <c r="IQ327" s="68"/>
      <c r="IR327" s="68"/>
      <c r="IS327" s="68"/>
      <c r="IT327" s="68"/>
      <c r="IU327" s="68"/>
      <c r="IV327" s="68"/>
      <c r="IW327" s="68"/>
      <c r="IX327" s="68"/>
      <c r="IY327" s="68"/>
    </row>
    <row r="328" spans="2:259" hidden="1" x14ac:dyDescent="0.3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  <c r="AV328" s="68"/>
      <c r="AW328" s="68"/>
      <c r="AX328" s="68"/>
      <c r="AY328" s="68"/>
      <c r="AZ328" s="68"/>
      <c r="BA328" s="68"/>
      <c r="BB328" s="67"/>
      <c r="BC328" s="67"/>
      <c r="BD328" s="67"/>
      <c r="BE328" s="67"/>
      <c r="BF328" s="67"/>
      <c r="BG328" s="67"/>
      <c r="BH328" s="67"/>
      <c r="BI328" s="67"/>
      <c r="BJ328" s="67"/>
      <c r="BK328" s="67"/>
      <c r="BL328" s="67"/>
      <c r="HB328" s="68"/>
      <c r="HC328" s="68"/>
      <c r="HD328" s="68"/>
      <c r="HE328" s="68"/>
      <c r="HF328" s="68"/>
      <c r="HG328" s="68"/>
      <c r="HH328" s="68"/>
      <c r="HI328" s="68"/>
      <c r="HJ328" s="68"/>
      <c r="HK328" s="68"/>
      <c r="HL328" s="68"/>
      <c r="HM328" s="68"/>
      <c r="HP328" s="68"/>
      <c r="HQ328" s="68"/>
      <c r="HR328" s="68"/>
      <c r="HS328" s="68"/>
      <c r="HT328" s="68"/>
      <c r="HU328" s="68"/>
      <c r="HV328" s="68"/>
      <c r="HW328" s="68"/>
      <c r="HX328" s="68"/>
      <c r="HY328" s="68"/>
      <c r="HZ328" s="68"/>
      <c r="IA328" s="68"/>
      <c r="IB328" s="68"/>
      <c r="IC328" s="68"/>
      <c r="ID328" s="68"/>
      <c r="IE328" s="68"/>
      <c r="IF328" s="68"/>
      <c r="IG328" s="68"/>
      <c r="IH328" s="68"/>
      <c r="II328" s="68"/>
      <c r="IJ328" s="68"/>
      <c r="IK328" s="68"/>
      <c r="IL328" s="68"/>
      <c r="IM328" s="68"/>
      <c r="IN328" s="68"/>
      <c r="IO328" s="68"/>
      <c r="IP328" s="68"/>
      <c r="IQ328" s="68"/>
      <c r="IR328" s="68"/>
      <c r="IS328" s="68"/>
      <c r="IT328" s="68"/>
      <c r="IU328" s="68"/>
      <c r="IV328" s="68"/>
      <c r="IW328" s="68"/>
      <c r="IX328" s="68"/>
      <c r="IY328" s="68"/>
    </row>
    <row r="329" spans="2:259" hidden="1" x14ac:dyDescent="0.3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  <c r="AV329" s="68"/>
      <c r="AW329" s="68"/>
      <c r="AX329" s="68"/>
      <c r="AY329" s="68"/>
      <c r="AZ329" s="68"/>
      <c r="BA329" s="68"/>
      <c r="BB329" s="67"/>
      <c r="BC329" s="67"/>
      <c r="BD329" s="67"/>
      <c r="BE329" s="67"/>
      <c r="BF329" s="67"/>
      <c r="BG329" s="67"/>
      <c r="BH329" s="67"/>
      <c r="BI329" s="67"/>
      <c r="BJ329" s="67"/>
      <c r="BK329" s="67"/>
      <c r="BL329" s="67"/>
      <c r="HB329" s="68"/>
      <c r="HC329" s="68"/>
      <c r="HD329" s="68"/>
      <c r="HE329" s="68"/>
      <c r="HF329" s="68"/>
      <c r="HG329" s="68"/>
      <c r="HH329" s="68"/>
      <c r="HI329" s="68"/>
      <c r="HJ329" s="68"/>
      <c r="HK329" s="68"/>
      <c r="HL329" s="68"/>
      <c r="HM329" s="68"/>
      <c r="HP329" s="68"/>
      <c r="HQ329" s="68"/>
      <c r="HR329" s="68"/>
      <c r="HS329" s="68"/>
      <c r="HT329" s="68"/>
      <c r="HU329" s="68"/>
      <c r="HV329" s="68"/>
      <c r="HW329" s="68"/>
      <c r="HX329" s="68"/>
      <c r="HY329" s="68"/>
      <c r="HZ329" s="68"/>
      <c r="IA329" s="68"/>
      <c r="IB329" s="68"/>
      <c r="IC329" s="68"/>
      <c r="ID329" s="68"/>
      <c r="IE329" s="68"/>
      <c r="IF329" s="68"/>
      <c r="IG329" s="68"/>
      <c r="IH329" s="68"/>
      <c r="II329" s="68"/>
      <c r="IJ329" s="68"/>
      <c r="IK329" s="68"/>
      <c r="IL329" s="68"/>
      <c r="IM329" s="68"/>
      <c r="IN329" s="68"/>
      <c r="IO329" s="68"/>
      <c r="IP329" s="68"/>
      <c r="IQ329" s="68"/>
      <c r="IR329" s="68"/>
      <c r="IS329" s="68"/>
      <c r="IT329" s="68"/>
      <c r="IU329" s="68"/>
      <c r="IV329" s="68"/>
      <c r="IW329" s="68"/>
      <c r="IX329" s="68"/>
      <c r="IY329" s="68"/>
    </row>
    <row r="330" spans="2:259" hidden="1" x14ac:dyDescent="0.3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  <c r="AV330" s="68"/>
      <c r="AW330" s="68"/>
      <c r="AX330" s="68"/>
      <c r="AY330" s="68"/>
      <c r="AZ330" s="68"/>
      <c r="BA330" s="68"/>
      <c r="BB330" s="67"/>
      <c r="BC330" s="67"/>
      <c r="BD330" s="67"/>
      <c r="BE330" s="67"/>
      <c r="BF330" s="67"/>
      <c r="BG330" s="67"/>
      <c r="BH330" s="67"/>
      <c r="BI330" s="67"/>
      <c r="BJ330" s="67"/>
      <c r="BK330" s="67"/>
      <c r="BL330" s="67"/>
      <c r="HB330" s="68"/>
      <c r="HC330" s="68"/>
      <c r="HD330" s="68"/>
      <c r="HE330" s="68"/>
      <c r="HF330" s="68"/>
      <c r="HG330" s="68"/>
      <c r="HH330" s="68"/>
      <c r="HI330" s="68"/>
      <c r="HJ330" s="68"/>
      <c r="HK330" s="68"/>
      <c r="HL330" s="68"/>
      <c r="HM330" s="68"/>
      <c r="HP330" s="68"/>
      <c r="HQ330" s="68"/>
      <c r="HR330" s="68"/>
      <c r="HS330" s="68"/>
      <c r="HT330" s="68"/>
      <c r="HU330" s="68"/>
      <c r="HV330" s="68"/>
      <c r="HW330" s="68"/>
      <c r="HX330" s="68"/>
      <c r="HY330" s="68"/>
      <c r="HZ330" s="68"/>
      <c r="IA330" s="68"/>
      <c r="IB330" s="68"/>
      <c r="IC330" s="68"/>
      <c r="ID330" s="68"/>
      <c r="IE330" s="68"/>
      <c r="IF330" s="68"/>
      <c r="IG330" s="68"/>
      <c r="IH330" s="68"/>
      <c r="II330" s="68"/>
      <c r="IJ330" s="68"/>
      <c r="IK330" s="68"/>
      <c r="IL330" s="68"/>
      <c r="IM330" s="68"/>
      <c r="IN330" s="68"/>
      <c r="IO330" s="68"/>
      <c r="IP330" s="68"/>
      <c r="IQ330" s="68"/>
      <c r="IR330" s="68"/>
      <c r="IS330" s="68"/>
      <c r="IT330" s="68"/>
      <c r="IU330" s="68"/>
      <c r="IV330" s="68"/>
      <c r="IW330" s="68"/>
      <c r="IX330" s="68"/>
      <c r="IY330" s="68"/>
    </row>
    <row r="331" spans="2:259" hidden="1" x14ac:dyDescent="0.3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  <c r="AV331" s="68"/>
      <c r="AW331" s="68"/>
      <c r="AX331" s="68"/>
      <c r="AY331" s="68"/>
      <c r="AZ331" s="68"/>
      <c r="BA331" s="68"/>
      <c r="BB331" s="67"/>
      <c r="BC331" s="67"/>
      <c r="BD331" s="67"/>
      <c r="BE331" s="67"/>
      <c r="BF331" s="67"/>
      <c r="BG331" s="67"/>
      <c r="BH331" s="67"/>
      <c r="BI331" s="67"/>
      <c r="BJ331" s="67"/>
      <c r="BK331" s="67"/>
      <c r="BL331" s="67"/>
      <c r="HB331" s="68"/>
      <c r="HC331" s="68"/>
      <c r="HD331" s="68"/>
      <c r="HE331" s="68"/>
      <c r="HF331" s="68"/>
      <c r="HG331" s="68"/>
      <c r="HH331" s="68"/>
      <c r="HI331" s="68"/>
      <c r="HJ331" s="68"/>
      <c r="HK331" s="68"/>
      <c r="HL331" s="68"/>
      <c r="HM331" s="68"/>
      <c r="HP331" s="68"/>
      <c r="HQ331" s="68"/>
      <c r="HR331" s="68"/>
      <c r="HS331" s="68"/>
      <c r="HT331" s="68"/>
      <c r="HU331" s="68"/>
      <c r="HV331" s="68"/>
      <c r="HW331" s="68"/>
      <c r="HX331" s="68"/>
      <c r="HY331" s="68"/>
      <c r="HZ331" s="68"/>
      <c r="IA331" s="68"/>
      <c r="IB331" s="68"/>
      <c r="IC331" s="68"/>
      <c r="ID331" s="68"/>
      <c r="IE331" s="68"/>
      <c r="IF331" s="68"/>
      <c r="IG331" s="68"/>
      <c r="IH331" s="68"/>
      <c r="II331" s="68"/>
      <c r="IJ331" s="68"/>
      <c r="IK331" s="68"/>
      <c r="IL331" s="68"/>
      <c r="IM331" s="68"/>
      <c r="IN331" s="68"/>
      <c r="IO331" s="68"/>
      <c r="IP331" s="68"/>
      <c r="IQ331" s="68"/>
      <c r="IR331" s="68"/>
      <c r="IS331" s="68"/>
      <c r="IT331" s="68"/>
      <c r="IU331" s="68"/>
      <c r="IV331" s="68"/>
      <c r="IW331" s="68"/>
      <c r="IX331" s="68"/>
      <c r="IY331" s="68"/>
    </row>
    <row r="332" spans="2:259" hidden="1" x14ac:dyDescent="0.3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  <c r="AV332" s="68"/>
      <c r="AW332" s="68"/>
      <c r="AX332" s="68"/>
      <c r="AY332" s="68"/>
      <c r="AZ332" s="68"/>
      <c r="BA332" s="68"/>
      <c r="BB332" s="67"/>
      <c r="BC332" s="67"/>
      <c r="BD332" s="67"/>
      <c r="BE332" s="67"/>
      <c r="BF332" s="67"/>
      <c r="BG332" s="67"/>
      <c r="BH332" s="67"/>
      <c r="BI332" s="67"/>
      <c r="BJ332" s="67"/>
      <c r="BK332" s="67"/>
      <c r="BL332" s="67"/>
      <c r="HB332" s="68"/>
      <c r="HC332" s="68"/>
      <c r="HD332" s="68"/>
      <c r="HE332" s="68"/>
      <c r="HF332" s="68"/>
      <c r="HG332" s="68"/>
      <c r="HH332" s="68"/>
      <c r="HI332" s="68"/>
      <c r="HJ332" s="68"/>
      <c r="HK332" s="68"/>
      <c r="HL332" s="68"/>
      <c r="HM332" s="68"/>
      <c r="HP332" s="68"/>
      <c r="HQ332" s="68"/>
      <c r="HR332" s="68"/>
      <c r="HS332" s="68"/>
      <c r="HT332" s="68"/>
      <c r="HU332" s="68"/>
      <c r="HV332" s="68"/>
      <c r="HW332" s="68"/>
      <c r="HX332" s="68"/>
      <c r="HY332" s="68"/>
      <c r="HZ332" s="68"/>
      <c r="IA332" s="68"/>
      <c r="IB332" s="68"/>
      <c r="IC332" s="68"/>
      <c r="ID332" s="68"/>
      <c r="IE332" s="68"/>
      <c r="IF332" s="68"/>
      <c r="IG332" s="68"/>
      <c r="IH332" s="68"/>
      <c r="II332" s="68"/>
      <c r="IJ332" s="68"/>
      <c r="IK332" s="68"/>
      <c r="IL332" s="68"/>
      <c r="IM332" s="68"/>
      <c r="IN332" s="68"/>
      <c r="IO332" s="68"/>
      <c r="IP332" s="68"/>
      <c r="IQ332" s="68"/>
      <c r="IR332" s="68"/>
      <c r="IS332" s="68"/>
      <c r="IT332" s="68"/>
      <c r="IU332" s="68"/>
      <c r="IV332" s="68"/>
      <c r="IW332" s="68"/>
      <c r="IX332" s="68"/>
      <c r="IY332" s="68"/>
    </row>
    <row r="333" spans="2:259" hidden="1" x14ac:dyDescent="0.3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  <c r="AV333" s="68"/>
      <c r="AW333" s="68"/>
      <c r="AX333" s="68"/>
      <c r="AY333" s="68"/>
      <c r="AZ333" s="68"/>
      <c r="BA333" s="68"/>
      <c r="BB333" s="67"/>
      <c r="BC333" s="67"/>
      <c r="BD333" s="67"/>
      <c r="BE333" s="67"/>
      <c r="BF333" s="67"/>
      <c r="BG333" s="67"/>
      <c r="BH333" s="67"/>
      <c r="BI333" s="67"/>
      <c r="BJ333" s="67"/>
      <c r="BK333" s="67"/>
      <c r="BL333" s="67"/>
      <c r="HB333" s="68"/>
      <c r="HC333" s="68"/>
      <c r="HD333" s="68"/>
      <c r="HE333" s="68"/>
      <c r="HF333" s="68"/>
      <c r="HG333" s="68"/>
      <c r="HH333" s="68"/>
      <c r="HI333" s="68"/>
      <c r="HJ333" s="68"/>
      <c r="HK333" s="68"/>
      <c r="HL333" s="68"/>
      <c r="HM333" s="68"/>
      <c r="HP333" s="68"/>
      <c r="HQ333" s="68"/>
      <c r="HR333" s="68"/>
      <c r="HS333" s="68"/>
      <c r="HT333" s="68"/>
      <c r="HU333" s="68"/>
      <c r="HV333" s="68"/>
      <c r="HW333" s="68"/>
      <c r="HX333" s="68"/>
      <c r="HY333" s="68"/>
      <c r="HZ333" s="68"/>
      <c r="IA333" s="68"/>
      <c r="IB333" s="68"/>
      <c r="IC333" s="68"/>
      <c r="ID333" s="68"/>
      <c r="IE333" s="68"/>
      <c r="IF333" s="68"/>
      <c r="IG333" s="68"/>
      <c r="IH333" s="68"/>
      <c r="II333" s="68"/>
      <c r="IJ333" s="68"/>
      <c r="IK333" s="68"/>
      <c r="IL333" s="68"/>
      <c r="IM333" s="68"/>
      <c r="IN333" s="68"/>
      <c r="IO333" s="68"/>
      <c r="IP333" s="68"/>
      <c r="IQ333" s="68"/>
      <c r="IR333" s="68"/>
      <c r="IS333" s="68"/>
      <c r="IT333" s="68"/>
      <c r="IU333" s="68"/>
      <c r="IV333" s="68"/>
      <c r="IW333" s="68"/>
      <c r="IX333" s="68"/>
      <c r="IY333" s="68"/>
    </row>
    <row r="334" spans="2:259" hidden="1" x14ac:dyDescent="0.3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  <c r="AV334" s="68"/>
      <c r="AW334" s="68"/>
      <c r="AX334" s="68"/>
      <c r="AY334" s="68"/>
      <c r="AZ334" s="68"/>
      <c r="BA334" s="68"/>
      <c r="BB334" s="67"/>
      <c r="BC334" s="67"/>
      <c r="BD334" s="67"/>
      <c r="BE334" s="67"/>
      <c r="BF334" s="67"/>
      <c r="BG334" s="67"/>
      <c r="BH334" s="67"/>
      <c r="BI334" s="67"/>
      <c r="BJ334" s="67"/>
      <c r="BK334" s="67"/>
      <c r="BL334" s="67"/>
      <c r="HB334" s="68"/>
      <c r="HC334" s="68"/>
      <c r="HD334" s="68"/>
      <c r="HE334" s="68"/>
      <c r="HF334" s="68"/>
      <c r="HG334" s="68"/>
      <c r="HH334" s="68"/>
      <c r="HI334" s="68"/>
      <c r="HJ334" s="68"/>
      <c r="HK334" s="68"/>
      <c r="HL334" s="68"/>
      <c r="HM334" s="68"/>
      <c r="HP334" s="68"/>
      <c r="HQ334" s="68"/>
      <c r="HR334" s="68"/>
      <c r="HS334" s="68"/>
      <c r="HT334" s="68"/>
      <c r="HU334" s="68"/>
      <c r="HV334" s="68"/>
      <c r="HW334" s="68"/>
      <c r="HX334" s="68"/>
      <c r="HY334" s="68"/>
      <c r="HZ334" s="68"/>
      <c r="IA334" s="68"/>
      <c r="IB334" s="68"/>
      <c r="IC334" s="68"/>
      <c r="ID334" s="68"/>
      <c r="IE334" s="68"/>
      <c r="IF334" s="68"/>
      <c r="IG334" s="68"/>
      <c r="IH334" s="68"/>
      <c r="II334" s="68"/>
      <c r="IJ334" s="68"/>
      <c r="IK334" s="68"/>
      <c r="IL334" s="68"/>
      <c r="IM334" s="68"/>
      <c r="IN334" s="68"/>
      <c r="IO334" s="68"/>
      <c r="IP334" s="68"/>
      <c r="IQ334" s="68"/>
      <c r="IR334" s="68"/>
      <c r="IS334" s="68"/>
      <c r="IT334" s="68"/>
      <c r="IU334" s="68"/>
      <c r="IV334" s="68"/>
      <c r="IW334" s="68"/>
      <c r="IX334" s="68"/>
      <c r="IY334" s="68"/>
    </row>
    <row r="335" spans="2:259" hidden="1" x14ac:dyDescent="0.3"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  <c r="AV335" s="68"/>
      <c r="AW335" s="68"/>
      <c r="AX335" s="68"/>
      <c r="AY335" s="68"/>
      <c r="AZ335" s="68"/>
      <c r="BA335" s="68"/>
      <c r="BB335" s="67"/>
      <c r="BC335" s="67"/>
      <c r="BD335" s="67"/>
      <c r="BE335" s="67"/>
      <c r="BF335" s="67"/>
      <c r="BG335" s="67"/>
      <c r="BH335" s="67"/>
      <c r="BI335" s="67"/>
      <c r="BJ335" s="67"/>
      <c r="BK335" s="67"/>
      <c r="BL335" s="67"/>
      <c r="HB335" s="68"/>
      <c r="HC335" s="68"/>
      <c r="HD335" s="68"/>
      <c r="HE335" s="68"/>
      <c r="HF335" s="68"/>
      <c r="HG335" s="68"/>
      <c r="HH335" s="68"/>
      <c r="HI335" s="68"/>
      <c r="HJ335" s="68"/>
      <c r="HK335" s="68"/>
      <c r="HL335" s="68"/>
      <c r="HM335" s="68"/>
      <c r="HP335" s="68"/>
      <c r="HQ335" s="68"/>
      <c r="HR335" s="68"/>
      <c r="HS335" s="68"/>
      <c r="HT335" s="68"/>
      <c r="HU335" s="68"/>
      <c r="HV335" s="68"/>
      <c r="HW335" s="68"/>
      <c r="HX335" s="68"/>
      <c r="HY335" s="68"/>
      <c r="HZ335" s="68"/>
      <c r="IA335" s="68"/>
      <c r="IB335" s="68"/>
      <c r="IC335" s="68"/>
      <c r="ID335" s="68"/>
      <c r="IE335" s="68"/>
      <c r="IF335" s="68"/>
      <c r="IG335" s="68"/>
      <c r="IH335" s="68"/>
      <c r="II335" s="68"/>
      <c r="IJ335" s="68"/>
      <c r="IK335" s="68"/>
      <c r="IL335" s="68"/>
      <c r="IM335" s="68"/>
      <c r="IN335" s="68"/>
      <c r="IO335" s="68"/>
      <c r="IP335" s="68"/>
      <c r="IQ335" s="68"/>
      <c r="IR335" s="68"/>
      <c r="IS335" s="68"/>
      <c r="IT335" s="68"/>
      <c r="IU335" s="68"/>
      <c r="IV335" s="68"/>
      <c r="IW335" s="68"/>
      <c r="IX335" s="68"/>
      <c r="IY335" s="68"/>
    </row>
    <row r="336" spans="2:259" hidden="1" x14ac:dyDescent="0.3"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  <c r="AV336" s="68"/>
      <c r="AW336" s="68"/>
      <c r="AX336" s="68"/>
      <c r="AY336" s="68"/>
      <c r="AZ336" s="68"/>
      <c r="BA336" s="68"/>
      <c r="BB336" s="67"/>
      <c r="BC336" s="67"/>
      <c r="BD336" s="67"/>
      <c r="BE336" s="67"/>
      <c r="BF336" s="67"/>
      <c r="BG336" s="67"/>
      <c r="BH336" s="67"/>
      <c r="BI336" s="67"/>
      <c r="BJ336" s="67"/>
      <c r="BK336" s="67"/>
      <c r="BL336" s="67"/>
      <c r="HB336" s="68"/>
      <c r="HC336" s="68"/>
      <c r="HD336" s="68"/>
      <c r="HE336" s="68"/>
      <c r="HF336" s="68"/>
      <c r="HG336" s="68"/>
      <c r="HH336" s="68"/>
      <c r="HI336" s="68"/>
      <c r="HJ336" s="68"/>
      <c r="HK336" s="68"/>
      <c r="HL336" s="68"/>
      <c r="HM336" s="68"/>
      <c r="HP336" s="68"/>
      <c r="HQ336" s="68"/>
      <c r="HR336" s="68"/>
      <c r="HS336" s="68"/>
      <c r="HT336" s="68"/>
      <c r="HU336" s="68"/>
      <c r="HV336" s="68"/>
      <c r="HW336" s="68"/>
      <c r="HX336" s="68"/>
      <c r="HY336" s="68"/>
      <c r="HZ336" s="68"/>
      <c r="IA336" s="68"/>
      <c r="IB336" s="68"/>
      <c r="IC336" s="68"/>
      <c r="ID336" s="68"/>
      <c r="IE336" s="68"/>
      <c r="IF336" s="68"/>
      <c r="IG336" s="68"/>
      <c r="IH336" s="68"/>
      <c r="II336" s="68"/>
      <c r="IJ336" s="68"/>
      <c r="IK336" s="68"/>
      <c r="IL336" s="68"/>
      <c r="IM336" s="68"/>
      <c r="IN336" s="68"/>
      <c r="IO336" s="68"/>
      <c r="IP336" s="68"/>
      <c r="IQ336" s="68"/>
      <c r="IR336" s="68"/>
      <c r="IS336" s="68"/>
      <c r="IT336" s="68"/>
      <c r="IU336" s="68"/>
      <c r="IV336" s="68"/>
      <c r="IW336" s="68"/>
      <c r="IX336" s="68"/>
      <c r="IY336" s="68"/>
    </row>
    <row r="337" spans="2:259" hidden="1" x14ac:dyDescent="0.3"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  <c r="AV337" s="68"/>
      <c r="AW337" s="68"/>
      <c r="AX337" s="68"/>
      <c r="AY337" s="68"/>
      <c r="AZ337" s="68"/>
      <c r="BA337" s="68"/>
      <c r="BB337" s="67"/>
      <c r="BC337" s="67"/>
      <c r="BD337" s="67"/>
      <c r="BE337" s="67"/>
      <c r="BF337" s="67"/>
      <c r="BG337" s="67"/>
      <c r="BH337" s="67"/>
      <c r="BI337" s="67"/>
      <c r="BJ337" s="67"/>
      <c r="BK337" s="67"/>
      <c r="BL337" s="67"/>
      <c r="HB337" s="68"/>
      <c r="HC337" s="68"/>
      <c r="HD337" s="68"/>
      <c r="HE337" s="68"/>
      <c r="HF337" s="68"/>
      <c r="HG337" s="68"/>
      <c r="HH337" s="68"/>
      <c r="HI337" s="68"/>
      <c r="HJ337" s="68"/>
      <c r="HK337" s="68"/>
      <c r="HL337" s="68"/>
      <c r="HM337" s="68"/>
      <c r="HP337" s="68"/>
      <c r="HQ337" s="68"/>
      <c r="HR337" s="68"/>
      <c r="HS337" s="68"/>
      <c r="HT337" s="68"/>
      <c r="HU337" s="68"/>
      <c r="HV337" s="68"/>
      <c r="HW337" s="68"/>
      <c r="HX337" s="68"/>
      <c r="HY337" s="68"/>
      <c r="HZ337" s="68"/>
      <c r="IA337" s="68"/>
      <c r="IB337" s="68"/>
      <c r="IC337" s="68"/>
      <c r="ID337" s="68"/>
      <c r="IE337" s="68"/>
      <c r="IF337" s="68"/>
      <c r="IG337" s="68"/>
      <c r="IH337" s="68"/>
      <c r="II337" s="68"/>
      <c r="IJ337" s="68"/>
      <c r="IK337" s="68"/>
      <c r="IL337" s="68"/>
      <c r="IM337" s="68"/>
      <c r="IN337" s="68"/>
      <c r="IO337" s="68"/>
      <c r="IP337" s="68"/>
      <c r="IQ337" s="68"/>
      <c r="IR337" s="68"/>
      <c r="IS337" s="68"/>
      <c r="IT337" s="68"/>
      <c r="IU337" s="68"/>
      <c r="IV337" s="68"/>
      <c r="IW337" s="68"/>
      <c r="IX337" s="68"/>
      <c r="IY337" s="68"/>
    </row>
    <row r="338" spans="2:259" hidden="1" x14ac:dyDescent="0.3"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  <c r="AV338" s="68"/>
      <c r="AW338" s="68"/>
      <c r="AX338" s="68"/>
      <c r="AY338" s="68"/>
      <c r="AZ338" s="68"/>
      <c r="BA338" s="68"/>
      <c r="BB338" s="67"/>
      <c r="BC338" s="67"/>
      <c r="BD338" s="67"/>
      <c r="BE338" s="67"/>
      <c r="BF338" s="67"/>
      <c r="BG338" s="67"/>
      <c r="BH338" s="67"/>
      <c r="BI338" s="67"/>
      <c r="BJ338" s="67"/>
      <c r="BK338" s="67"/>
      <c r="BL338" s="67"/>
      <c r="HB338" s="68"/>
      <c r="HC338" s="68"/>
      <c r="HD338" s="68"/>
      <c r="HE338" s="68"/>
      <c r="HF338" s="68"/>
      <c r="HG338" s="68"/>
      <c r="HH338" s="68"/>
      <c r="HI338" s="68"/>
      <c r="HJ338" s="68"/>
      <c r="HK338" s="68"/>
      <c r="HL338" s="68"/>
      <c r="HM338" s="68"/>
      <c r="HP338" s="68"/>
      <c r="HQ338" s="68"/>
      <c r="HR338" s="68"/>
      <c r="HS338" s="68"/>
      <c r="HT338" s="68"/>
      <c r="HU338" s="68"/>
      <c r="HV338" s="68"/>
      <c r="HW338" s="68"/>
      <c r="HX338" s="68"/>
      <c r="HY338" s="68"/>
      <c r="HZ338" s="68"/>
      <c r="IA338" s="68"/>
      <c r="IB338" s="68"/>
      <c r="IC338" s="68"/>
      <c r="ID338" s="68"/>
      <c r="IE338" s="68"/>
      <c r="IF338" s="68"/>
      <c r="IG338" s="68"/>
      <c r="IH338" s="68"/>
      <c r="II338" s="68"/>
      <c r="IJ338" s="68"/>
      <c r="IK338" s="68"/>
      <c r="IL338" s="68"/>
      <c r="IM338" s="68"/>
      <c r="IN338" s="68"/>
      <c r="IO338" s="68"/>
      <c r="IP338" s="68"/>
      <c r="IQ338" s="68"/>
      <c r="IR338" s="68"/>
      <c r="IS338" s="68"/>
      <c r="IT338" s="68"/>
      <c r="IU338" s="68"/>
      <c r="IV338" s="68"/>
      <c r="IW338" s="68"/>
      <c r="IX338" s="68"/>
      <c r="IY338" s="68"/>
    </row>
    <row r="339" spans="2:259" hidden="1" x14ac:dyDescent="0.3"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  <c r="AV339" s="68"/>
      <c r="AW339" s="68"/>
      <c r="AX339" s="68"/>
      <c r="AY339" s="68"/>
      <c r="AZ339" s="68"/>
      <c r="BA339" s="68"/>
      <c r="BB339" s="67"/>
      <c r="BC339" s="67"/>
      <c r="BD339" s="67"/>
      <c r="BE339" s="67"/>
      <c r="BF339" s="67"/>
      <c r="BG339" s="67"/>
      <c r="BH339" s="67"/>
      <c r="BI339" s="67"/>
      <c r="BJ339" s="67"/>
      <c r="BK339" s="67"/>
      <c r="BL339" s="67"/>
      <c r="HB339" s="68"/>
      <c r="HC339" s="68"/>
      <c r="HD339" s="68"/>
      <c r="HE339" s="68"/>
      <c r="HF339" s="68"/>
      <c r="HG339" s="68"/>
      <c r="HH339" s="68"/>
      <c r="HI339" s="68"/>
      <c r="HJ339" s="68"/>
      <c r="HK339" s="68"/>
      <c r="HL339" s="68"/>
      <c r="HM339" s="68"/>
      <c r="HP339" s="68"/>
      <c r="HQ339" s="68"/>
      <c r="HR339" s="68"/>
      <c r="HS339" s="68"/>
      <c r="HT339" s="68"/>
      <c r="HU339" s="68"/>
      <c r="HV339" s="68"/>
      <c r="HW339" s="68"/>
      <c r="HX339" s="68"/>
      <c r="HY339" s="68"/>
      <c r="HZ339" s="68"/>
      <c r="IA339" s="68"/>
      <c r="IB339" s="68"/>
      <c r="IC339" s="68"/>
      <c r="ID339" s="68"/>
      <c r="IE339" s="68"/>
      <c r="IF339" s="68"/>
      <c r="IG339" s="68"/>
      <c r="IH339" s="68"/>
      <c r="II339" s="68"/>
      <c r="IJ339" s="68"/>
      <c r="IK339" s="68"/>
      <c r="IL339" s="68"/>
      <c r="IM339" s="68"/>
      <c r="IN339" s="68"/>
      <c r="IO339" s="68"/>
      <c r="IP339" s="68"/>
      <c r="IQ339" s="68"/>
      <c r="IR339" s="68"/>
      <c r="IS339" s="68"/>
      <c r="IT339" s="68"/>
      <c r="IU339" s="68"/>
      <c r="IV339" s="68"/>
      <c r="IW339" s="68"/>
      <c r="IX339" s="68"/>
      <c r="IY339" s="68"/>
    </row>
    <row r="340" spans="2:259" hidden="1" x14ac:dyDescent="0.3"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  <c r="AV340" s="68"/>
      <c r="AW340" s="68"/>
      <c r="AX340" s="68"/>
      <c r="AY340" s="68"/>
      <c r="AZ340" s="68"/>
      <c r="BA340" s="68"/>
      <c r="BB340" s="67"/>
      <c r="BC340" s="67"/>
      <c r="BD340" s="67"/>
      <c r="BE340" s="67"/>
      <c r="BF340" s="67"/>
      <c r="BG340" s="67"/>
      <c r="BH340" s="67"/>
      <c r="BI340" s="67"/>
      <c r="BJ340" s="67"/>
      <c r="BK340" s="67"/>
      <c r="BL340" s="67"/>
      <c r="HB340" s="68"/>
      <c r="HC340" s="68"/>
      <c r="HD340" s="68"/>
      <c r="HE340" s="68"/>
      <c r="HF340" s="68"/>
      <c r="HG340" s="68"/>
      <c r="HH340" s="68"/>
      <c r="HI340" s="68"/>
      <c r="HJ340" s="68"/>
      <c r="HK340" s="68"/>
      <c r="HL340" s="68"/>
      <c r="HM340" s="68"/>
      <c r="HP340" s="68"/>
      <c r="HQ340" s="68"/>
      <c r="HR340" s="68"/>
      <c r="HS340" s="68"/>
      <c r="HT340" s="68"/>
      <c r="HU340" s="68"/>
      <c r="HV340" s="68"/>
      <c r="HW340" s="68"/>
      <c r="HX340" s="68"/>
      <c r="HY340" s="68"/>
      <c r="HZ340" s="68"/>
      <c r="IA340" s="68"/>
      <c r="IB340" s="68"/>
      <c r="IC340" s="68"/>
      <c r="ID340" s="68"/>
      <c r="IE340" s="68"/>
      <c r="IF340" s="68"/>
      <c r="IG340" s="68"/>
      <c r="IH340" s="68"/>
      <c r="II340" s="68"/>
      <c r="IJ340" s="68"/>
      <c r="IK340" s="68"/>
      <c r="IL340" s="68"/>
      <c r="IM340" s="68"/>
      <c r="IN340" s="68"/>
      <c r="IO340" s="68"/>
      <c r="IP340" s="68"/>
      <c r="IQ340" s="68"/>
      <c r="IR340" s="68"/>
      <c r="IS340" s="68"/>
      <c r="IT340" s="68"/>
      <c r="IU340" s="68"/>
      <c r="IV340" s="68"/>
      <c r="IW340" s="68"/>
      <c r="IX340" s="68"/>
      <c r="IY340" s="68"/>
    </row>
    <row r="341" spans="2:259" hidden="1" x14ac:dyDescent="0.3"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  <c r="AV341" s="68"/>
      <c r="AW341" s="68"/>
      <c r="AX341" s="68"/>
      <c r="AY341" s="68"/>
      <c r="AZ341" s="68"/>
      <c r="BA341" s="68"/>
      <c r="BB341" s="67"/>
      <c r="BC341" s="67"/>
      <c r="BD341" s="67"/>
      <c r="BE341" s="67"/>
      <c r="BF341" s="67"/>
      <c r="BG341" s="67"/>
      <c r="BH341" s="67"/>
      <c r="BI341" s="67"/>
      <c r="BJ341" s="67"/>
      <c r="BK341" s="67"/>
      <c r="BL341" s="67"/>
      <c r="HB341" s="68"/>
      <c r="HC341" s="68"/>
      <c r="HD341" s="68"/>
      <c r="HE341" s="68"/>
      <c r="HF341" s="68"/>
      <c r="HG341" s="68"/>
      <c r="HH341" s="68"/>
      <c r="HI341" s="68"/>
      <c r="HJ341" s="68"/>
      <c r="HK341" s="68"/>
      <c r="HL341" s="68"/>
      <c r="HM341" s="68"/>
      <c r="HP341" s="68"/>
      <c r="HQ341" s="68"/>
      <c r="HR341" s="68"/>
      <c r="HS341" s="68"/>
      <c r="HT341" s="68"/>
      <c r="HU341" s="68"/>
      <c r="HV341" s="68"/>
      <c r="HW341" s="68"/>
      <c r="HX341" s="68"/>
      <c r="HY341" s="68"/>
      <c r="HZ341" s="68"/>
      <c r="IA341" s="68"/>
      <c r="IB341" s="68"/>
      <c r="IC341" s="68"/>
      <c r="ID341" s="68"/>
      <c r="IE341" s="68"/>
      <c r="IF341" s="68"/>
      <c r="IG341" s="68"/>
      <c r="IH341" s="68"/>
      <c r="II341" s="68"/>
      <c r="IJ341" s="68"/>
      <c r="IK341" s="68"/>
      <c r="IL341" s="68"/>
      <c r="IM341" s="68"/>
      <c r="IN341" s="68"/>
      <c r="IO341" s="68"/>
      <c r="IP341" s="68"/>
      <c r="IQ341" s="68"/>
      <c r="IR341" s="68"/>
      <c r="IS341" s="68"/>
      <c r="IT341" s="68"/>
      <c r="IU341" s="68"/>
      <c r="IV341" s="68"/>
      <c r="IW341" s="68"/>
      <c r="IX341" s="68"/>
      <c r="IY341" s="68"/>
    </row>
    <row r="342" spans="2:259" hidden="1" x14ac:dyDescent="0.3"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  <c r="AV342" s="68"/>
      <c r="AW342" s="68"/>
      <c r="AX342" s="68"/>
      <c r="AY342" s="68"/>
      <c r="AZ342" s="68"/>
      <c r="BA342" s="68"/>
      <c r="BB342" s="67"/>
      <c r="BC342" s="67"/>
      <c r="BD342" s="67"/>
      <c r="BE342" s="67"/>
      <c r="BF342" s="67"/>
      <c r="BG342" s="67"/>
      <c r="BH342" s="67"/>
      <c r="BI342" s="67"/>
      <c r="BJ342" s="67"/>
      <c r="BK342" s="67"/>
      <c r="BL342" s="67"/>
      <c r="HB342" s="68"/>
      <c r="HC342" s="68"/>
      <c r="HD342" s="68"/>
      <c r="HE342" s="68"/>
      <c r="HF342" s="68"/>
      <c r="HG342" s="68"/>
      <c r="HH342" s="68"/>
      <c r="HI342" s="68"/>
      <c r="HJ342" s="68"/>
      <c r="HK342" s="68"/>
      <c r="HL342" s="68"/>
      <c r="HM342" s="68"/>
      <c r="HP342" s="68"/>
      <c r="HQ342" s="68"/>
      <c r="HR342" s="68"/>
      <c r="HS342" s="68"/>
      <c r="HT342" s="68"/>
      <c r="HU342" s="68"/>
      <c r="HV342" s="68"/>
      <c r="HW342" s="68"/>
      <c r="HX342" s="68"/>
      <c r="HY342" s="68"/>
      <c r="HZ342" s="68"/>
      <c r="IA342" s="68"/>
      <c r="IB342" s="68"/>
      <c r="IC342" s="68"/>
      <c r="ID342" s="68"/>
      <c r="IE342" s="68"/>
      <c r="IF342" s="68"/>
      <c r="IG342" s="68"/>
      <c r="IH342" s="68"/>
      <c r="II342" s="68"/>
      <c r="IJ342" s="68"/>
      <c r="IK342" s="68"/>
      <c r="IL342" s="68"/>
      <c r="IM342" s="68"/>
      <c r="IN342" s="68"/>
      <c r="IO342" s="68"/>
      <c r="IP342" s="68"/>
      <c r="IQ342" s="68"/>
      <c r="IR342" s="68"/>
      <c r="IS342" s="68"/>
      <c r="IT342" s="68"/>
      <c r="IU342" s="68"/>
      <c r="IV342" s="68"/>
      <c r="IW342" s="68"/>
      <c r="IX342" s="68"/>
      <c r="IY342" s="68"/>
    </row>
    <row r="343" spans="2:259" hidden="1" x14ac:dyDescent="0.3"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  <c r="AV343" s="68"/>
      <c r="AW343" s="68"/>
      <c r="AX343" s="68"/>
      <c r="AY343" s="68"/>
      <c r="AZ343" s="68"/>
      <c r="BA343" s="68"/>
      <c r="BB343" s="67"/>
      <c r="BC343" s="67"/>
      <c r="BD343" s="67"/>
      <c r="BE343" s="67"/>
      <c r="BF343" s="67"/>
      <c r="BG343" s="67"/>
      <c r="BH343" s="67"/>
      <c r="BI343" s="67"/>
      <c r="BJ343" s="67"/>
      <c r="BK343" s="67"/>
      <c r="BL343" s="67"/>
      <c r="HB343" s="68"/>
      <c r="HC343" s="68"/>
      <c r="HD343" s="68"/>
      <c r="HE343" s="68"/>
      <c r="HF343" s="68"/>
      <c r="HG343" s="68"/>
      <c r="HH343" s="68"/>
      <c r="HI343" s="68"/>
      <c r="HJ343" s="68"/>
      <c r="HK343" s="68"/>
      <c r="HL343" s="68"/>
      <c r="HM343" s="68"/>
      <c r="HP343" s="68"/>
      <c r="HQ343" s="68"/>
      <c r="HR343" s="68"/>
      <c r="HS343" s="68"/>
      <c r="HT343" s="68"/>
      <c r="HU343" s="68"/>
      <c r="HV343" s="68"/>
      <c r="HW343" s="68"/>
      <c r="HX343" s="68"/>
      <c r="HY343" s="68"/>
      <c r="HZ343" s="68"/>
      <c r="IA343" s="68"/>
      <c r="IB343" s="68"/>
      <c r="IC343" s="68"/>
      <c r="ID343" s="68"/>
      <c r="IE343" s="68"/>
      <c r="IF343" s="68"/>
      <c r="IG343" s="68"/>
      <c r="IH343" s="68"/>
      <c r="II343" s="68"/>
      <c r="IJ343" s="68"/>
      <c r="IK343" s="68"/>
      <c r="IL343" s="68"/>
      <c r="IM343" s="68"/>
      <c r="IN343" s="68"/>
      <c r="IO343" s="68"/>
      <c r="IP343" s="68"/>
      <c r="IQ343" s="68"/>
      <c r="IR343" s="68"/>
      <c r="IS343" s="68"/>
      <c r="IT343" s="68"/>
      <c r="IU343" s="68"/>
      <c r="IV343" s="68"/>
      <c r="IW343" s="68"/>
      <c r="IX343" s="68"/>
      <c r="IY343" s="68"/>
    </row>
    <row r="344" spans="2:259" hidden="1" x14ac:dyDescent="0.3"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  <c r="AV344" s="68"/>
      <c r="AW344" s="68"/>
      <c r="AX344" s="68"/>
      <c r="AY344" s="68"/>
      <c r="AZ344" s="68"/>
      <c r="BA344" s="68"/>
      <c r="BB344" s="67"/>
      <c r="BC344" s="67"/>
      <c r="BD344" s="67"/>
      <c r="BE344" s="67"/>
      <c r="BF344" s="67"/>
      <c r="BG344" s="67"/>
      <c r="BH344" s="67"/>
      <c r="BI344" s="67"/>
      <c r="BJ344" s="67"/>
      <c r="BK344" s="67"/>
      <c r="BL344" s="67"/>
      <c r="HB344" s="68"/>
      <c r="HC344" s="68"/>
      <c r="HD344" s="68"/>
      <c r="HE344" s="68"/>
      <c r="HF344" s="68"/>
      <c r="HG344" s="68"/>
      <c r="HH344" s="68"/>
      <c r="HI344" s="68"/>
      <c r="HJ344" s="68"/>
      <c r="HK344" s="68"/>
      <c r="HL344" s="68"/>
      <c r="HM344" s="68"/>
      <c r="HP344" s="68"/>
      <c r="HQ344" s="68"/>
      <c r="HR344" s="68"/>
      <c r="HS344" s="68"/>
      <c r="HT344" s="68"/>
      <c r="HU344" s="68"/>
      <c r="HV344" s="68"/>
      <c r="HW344" s="68"/>
      <c r="HX344" s="68"/>
      <c r="HY344" s="68"/>
      <c r="HZ344" s="68"/>
      <c r="IA344" s="68"/>
      <c r="IB344" s="68"/>
      <c r="IC344" s="68"/>
      <c r="ID344" s="68"/>
      <c r="IE344" s="68"/>
      <c r="IF344" s="68"/>
      <c r="IG344" s="68"/>
      <c r="IH344" s="68"/>
      <c r="II344" s="68"/>
      <c r="IJ344" s="68"/>
      <c r="IK344" s="68"/>
      <c r="IL344" s="68"/>
      <c r="IM344" s="68"/>
      <c r="IN344" s="68"/>
      <c r="IO344" s="68"/>
      <c r="IP344" s="68"/>
      <c r="IQ344" s="68"/>
      <c r="IR344" s="68"/>
      <c r="IS344" s="68"/>
      <c r="IT344" s="68"/>
      <c r="IU344" s="68"/>
      <c r="IV344" s="68"/>
      <c r="IW344" s="68"/>
      <c r="IX344" s="68"/>
      <c r="IY344" s="68"/>
    </row>
    <row r="345" spans="2:259" hidden="1" x14ac:dyDescent="0.3"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7"/>
      <c r="BC345" s="67"/>
      <c r="BD345" s="67"/>
      <c r="BE345" s="67"/>
      <c r="BF345" s="67"/>
      <c r="BG345" s="67"/>
      <c r="BH345" s="67"/>
      <c r="BI345" s="67"/>
      <c r="BJ345" s="67"/>
      <c r="BK345" s="67"/>
      <c r="BL345" s="67"/>
      <c r="HB345" s="68"/>
      <c r="HC345" s="68"/>
      <c r="HD345" s="68"/>
      <c r="HE345" s="68"/>
      <c r="HF345" s="68"/>
      <c r="HG345" s="68"/>
      <c r="HH345" s="68"/>
      <c r="HI345" s="68"/>
      <c r="HJ345" s="68"/>
      <c r="HK345" s="68"/>
      <c r="HL345" s="68"/>
      <c r="HM345" s="68"/>
      <c r="HP345" s="68"/>
      <c r="HQ345" s="68"/>
      <c r="HR345" s="68"/>
      <c r="HS345" s="68"/>
      <c r="HT345" s="68"/>
      <c r="HU345" s="68"/>
      <c r="HV345" s="68"/>
      <c r="HW345" s="68"/>
      <c r="HX345" s="68"/>
      <c r="HY345" s="68"/>
      <c r="HZ345" s="68"/>
      <c r="IA345" s="68"/>
      <c r="IB345" s="68"/>
      <c r="IC345" s="68"/>
      <c r="ID345" s="68"/>
      <c r="IE345" s="68"/>
      <c r="IF345" s="68"/>
      <c r="IG345" s="68"/>
      <c r="IH345" s="68"/>
      <c r="II345" s="68"/>
      <c r="IJ345" s="68"/>
      <c r="IK345" s="68"/>
      <c r="IL345" s="68"/>
      <c r="IM345" s="68"/>
      <c r="IN345" s="68"/>
      <c r="IO345" s="68"/>
      <c r="IP345" s="68"/>
      <c r="IQ345" s="68"/>
      <c r="IR345" s="68"/>
      <c r="IS345" s="68"/>
      <c r="IT345" s="68"/>
      <c r="IU345" s="68"/>
      <c r="IV345" s="68"/>
      <c r="IW345" s="68"/>
      <c r="IX345" s="68"/>
      <c r="IY345" s="68"/>
    </row>
    <row r="346" spans="2:259" hidden="1" x14ac:dyDescent="0.3"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  <c r="AV346" s="68"/>
      <c r="AW346" s="68"/>
      <c r="AX346" s="68"/>
      <c r="AY346" s="68"/>
      <c r="AZ346" s="68"/>
      <c r="BA346" s="68"/>
      <c r="BB346" s="67"/>
      <c r="BC346" s="67"/>
      <c r="BD346" s="67"/>
      <c r="BE346" s="67"/>
      <c r="BF346" s="67"/>
      <c r="BG346" s="67"/>
      <c r="BH346" s="67"/>
      <c r="BI346" s="67"/>
      <c r="BJ346" s="67"/>
      <c r="BK346" s="67"/>
      <c r="BL346" s="67"/>
      <c r="HB346" s="68"/>
      <c r="HC346" s="68"/>
      <c r="HD346" s="68"/>
      <c r="HE346" s="68"/>
      <c r="HF346" s="68"/>
      <c r="HG346" s="68"/>
      <c r="HH346" s="68"/>
      <c r="HI346" s="68"/>
      <c r="HJ346" s="68"/>
      <c r="HK346" s="68"/>
      <c r="HL346" s="68"/>
      <c r="HM346" s="68"/>
      <c r="HP346" s="68"/>
      <c r="HQ346" s="68"/>
      <c r="HR346" s="68"/>
      <c r="HS346" s="68"/>
      <c r="HT346" s="68"/>
      <c r="HU346" s="68"/>
      <c r="HV346" s="68"/>
      <c r="HW346" s="68"/>
      <c r="HX346" s="68"/>
      <c r="HY346" s="68"/>
      <c r="HZ346" s="68"/>
      <c r="IA346" s="68"/>
      <c r="IB346" s="68"/>
      <c r="IC346" s="68"/>
      <c r="ID346" s="68"/>
      <c r="IE346" s="68"/>
      <c r="IF346" s="68"/>
      <c r="IG346" s="68"/>
      <c r="IH346" s="68"/>
      <c r="II346" s="68"/>
      <c r="IJ346" s="68"/>
      <c r="IK346" s="68"/>
      <c r="IL346" s="68"/>
      <c r="IM346" s="68"/>
      <c r="IN346" s="68"/>
      <c r="IO346" s="68"/>
      <c r="IP346" s="68"/>
      <c r="IQ346" s="68"/>
      <c r="IR346" s="68"/>
      <c r="IS346" s="68"/>
      <c r="IT346" s="68"/>
      <c r="IU346" s="68"/>
      <c r="IV346" s="68"/>
      <c r="IW346" s="68"/>
      <c r="IX346" s="68"/>
      <c r="IY346" s="68"/>
    </row>
    <row r="347" spans="2:259" hidden="1" x14ac:dyDescent="0.3"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  <c r="AV347" s="68"/>
      <c r="AW347" s="68"/>
      <c r="AX347" s="68"/>
      <c r="AY347" s="68"/>
      <c r="AZ347" s="68"/>
      <c r="BA347" s="68"/>
      <c r="BB347" s="67"/>
      <c r="BC347" s="67"/>
      <c r="BD347" s="67"/>
      <c r="BE347" s="67"/>
      <c r="BF347" s="67"/>
      <c r="BG347" s="67"/>
      <c r="BH347" s="67"/>
      <c r="BI347" s="67"/>
      <c r="BJ347" s="67"/>
      <c r="BK347" s="67"/>
      <c r="BL347" s="67"/>
      <c r="HB347" s="68"/>
      <c r="HC347" s="68"/>
      <c r="HD347" s="68"/>
      <c r="HE347" s="68"/>
      <c r="HF347" s="68"/>
      <c r="HG347" s="68"/>
      <c r="HH347" s="68"/>
      <c r="HI347" s="68"/>
      <c r="HJ347" s="68"/>
      <c r="HK347" s="68"/>
      <c r="HL347" s="68"/>
      <c r="HM347" s="68"/>
      <c r="HP347" s="68"/>
      <c r="HQ347" s="68"/>
      <c r="HR347" s="68"/>
      <c r="HS347" s="68"/>
      <c r="HT347" s="68"/>
      <c r="HU347" s="68"/>
      <c r="HV347" s="68"/>
      <c r="HW347" s="68"/>
      <c r="HX347" s="68"/>
      <c r="HY347" s="68"/>
      <c r="HZ347" s="68"/>
      <c r="IA347" s="68"/>
      <c r="IB347" s="68"/>
      <c r="IC347" s="68"/>
      <c r="ID347" s="68"/>
      <c r="IE347" s="68"/>
      <c r="IF347" s="68"/>
      <c r="IG347" s="68"/>
      <c r="IH347" s="68"/>
      <c r="II347" s="68"/>
      <c r="IJ347" s="68"/>
      <c r="IK347" s="68"/>
      <c r="IL347" s="68"/>
      <c r="IM347" s="68"/>
      <c r="IN347" s="68"/>
      <c r="IO347" s="68"/>
      <c r="IP347" s="68"/>
      <c r="IQ347" s="68"/>
      <c r="IR347" s="68"/>
      <c r="IS347" s="68"/>
      <c r="IT347" s="68"/>
      <c r="IU347" s="68"/>
      <c r="IV347" s="68"/>
      <c r="IW347" s="68"/>
      <c r="IX347" s="68"/>
      <c r="IY347" s="68"/>
    </row>
    <row r="348" spans="2:259" hidden="1" x14ac:dyDescent="0.3"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  <c r="AV348" s="68"/>
      <c r="AW348" s="68"/>
      <c r="AX348" s="68"/>
      <c r="AY348" s="68"/>
      <c r="AZ348" s="68"/>
      <c r="BA348" s="68"/>
      <c r="BB348" s="67"/>
      <c r="BC348" s="67"/>
      <c r="BD348" s="67"/>
      <c r="BE348" s="67"/>
      <c r="BF348" s="67"/>
      <c r="BG348" s="67"/>
      <c r="BH348" s="67"/>
      <c r="BI348" s="67"/>
      <c r="BJ348" s="67"/>
      <c r="BK348" s="67"/>
      <c r="BL348" s="67"/>
      <c r="HB348" s="68"/>
      <c r="HC348" s="68"/>
      <c r="HD348" s="68"/>
      <c r="HE348" s="68"/>
      <c r="HF348" s="68"/>
      <c r="HG348" s="68"/>
      <c r="HH348" s="68"/>
      <c r="HI348" s="68"/>
      <c r="HJ348" s="68"/>
      <c r="HK348" s="68"/>
      <c r="HL348" s="68"/>
      <c r="HM348" s="68"/>
      <c r="HP348" s="68"/>
      <c r="HQ348" s="68"/>
      <c r="HR348" s="68"/>
      <c r="HS348" s="68"/>
      <c r="HT348" s="68"/>
      <c r="HU348" s="68"/>
      <c r="HV348" s="68"/>
      <c r="HW348" s="68"/>
      <c r="HX348" s="68"/>
      <c r="HY348" s="68"/>
      <c r="HZ348" s="68"/>
      <c r="IA348" s="68"/>
      <c r="IB348" s="68"/>
      <c r="IC348" s="68"/>
      <c r="ID348" s="68"/>
      <c r="IE348" s="68"/>
      <c r="IF348" s="68"/>
      <c r="IG348" s="68"/>
      <c r="IH348" s="68"/>
      <c r="II348" s="68"/>
      <c r="IJ348" s="68"/>
      <c r="IK348" s="68"/>
      <c r="IL348" s="68"/>
      <c r="IM348" s="68"/>
      <c r="IN348" s="68"/>
      <c r="IO348" s="68"/>
      <c r="IP348" s="68"/>
      <c r="IQ348" s="68"/>
      <c r="IR348" s="68"/>
      <c r="IS348" s="68"/>
      <c r="IT348" s="68"/>
      <c r="IU348" s="68"/>
      <c r="IV348" s="68"/>
      <c r="IW348" s="68"/>
      <c r="IX348" s="68"/>
      <c r="IY348" s="68"/>
    </row>
    <row r="349" spans="2:259" hidden="1" x14ac:dyDescent="0.3"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  <c r="AV349" s="68"/>
      <c r="AW349" s="68"/>
      <c r="AX349" s="68"/>
      <c r="AY349" s="68"/>
      <c r="AZ349" s="68"/>
      <c r="BA349" s="68"/>
      <c r="BB349" s="67"/>
      <c r="BC349" s="67"/>
      <c r="BD349" s="67"/>
      <c r="BE349" s="67"/>
      <c r="BF349" s="67"/>
      <c r="BG349" s="67"/>
      <c r="BH349" s="67"/>
      <c r="BI349" s="67"/>
      <c r="BJ349" s="67"/>
      <c r="BK349" s="67"/>
      <c r="BL349" s="67"/>
      <c r="HB349" s="68"/>
      <c r="HC349" s="68"/>
      <c r="HD349" s="68"/>
      <c r="HE349" s="68"/>
      <c r="HF349" s="68"/>
      <c r="HG349" s="68"/>
      <c r="HH349" s="68"/>
      <c r="HI349" s="68"/>
      <c r="HJ349" s="68"/>
      <c r="HK349" s="68"/>
      <c r="HL349" s="68"/>
      <c r="HM349" s="68"/>
      <c r="HP349" s="68"/>
      <c r="HQ349" s="68"/>
      <c r="HR349" s="68"/>
      <c r="HS349" s="68"/>
      <c r="HT349" s="68"/>
      <c r="HU349" s="68"/>
      <c r="HV349" s="68"/>
      <c r="HW349" s="68"/>
      <c r="HX349" s="68"/>
      <c r="HY349" s="68"/>
      <c r="HZ349" s="68"/>
      <c r="IA349" s="68"/>
      <c r="IB349" s="68"/>
      <c r="IC349" s="68"/>
      <c r="ID349" s="68"/>
      <c r="IE349" s="68"/>
      <c r="IF349" s="68"/>
      <c r="IG349" s="68"/>
      <c r="IH349" s="68"/>
      <c r="II349" s="68"/>
      <c r="IJ349" s="68"/>
      <c r="IK349" s="68"/>
      <c r="IL349" s="68"/>
      <c r="IM349" s="68"/>
      <c r="IN349" s="68"/>
      <c r="IO349" s="68"/>
      <c r="IP349" s="68"/>
      <c r="IQ349" s="68"/>
      <c r="IR349" s="68"/>
      <c r="IS349" s="68"/>
      <c r="IT349" s="68"/>
      <c r="IU349" s="68"/>
      <c r="IV349" s="68"/>
      <c r="IW349" s="68"/>
      <c r="IX349" s="68"/>
      <c r="IY349" s="68"/>
    </row>
    <row r="350" spans="2:259" hidden="1" x14ac:dyDescent="0.3"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  <c r="AV350" s="68"/>
      <c r="AW350" s="68"/>
      <c r="AX350" s="68"/>
      <c r="AY350" s="68"/>
      <c r="AZ350" s="68"/>
      <c r="BA350" s="68"/>
      <c r="BB350" s="67"/>
      <c r="BC350" s="67"/>
      <c r="BD350" s="67"/>
      <c r="BE350" s="67"/>
      <c r="BF350" s="67"/>
      <c r="BG350" s="67"/>
      <c r="BH350" s="67"/>
      <c r="BI350" s="67"/>
      <c r="BJ350" s="67"/>
      <c r="BK350" s="67"/>
      <c r="BL350" s="67"/>
      <c r="HB350" s="68"/>
      <c r="HC350" s="68"/>
      <c r="HD350" s="68"/>
      <c r="HE350" s="68"/>
      <c r="HF350" s="68"/>
      <c r="HG350" s="68"/>
      <c r="HH350" s="68"/>
      <c r="HI350" s="68"/>
      <c r="HJ350" s="68"/>
      <c r="HK350" s="68"/>
      <c r="HL350" s="68"/>
      <c r="HM350" s="68"/>
      <c r="HP350" s="68"/>
      <c r="HQ350" s="68"/>
      <c r="HR350" s="68"/>
      <c r="HS350" s="68"/>
      <c r="HT350" s="68"/>
      <c r="HU350" s="68"/>
      <c r="HV350" s="68"/>
      <c r="HW350" s="68"/>
      <c r="HX350" s="68"/>
      <c r="HY350" s="68"/>
      <c r="HZ350" s="68"/>
      <c r="IA350" s="68"/>
      <c r="IB350" s="68"/>
      <c r="IC350" s="68"/>
      <c r="ID350" s="68"/>
      <c r="IE350" s="68"/>
      <c r="IF350" s="68"/>
      <c r="IG350" s="68"/>
      <c r="IH350" s="68"/>
      <c r="II350" s="68"/>
      <c r="IJ350" s="68"/>
      <c r="IK350" s="68"/>
      <c r="IL350" s="68"/>
      <c r="IM350" s="68"/>
      <c r="IN350" s="68"/>
      <c r="IO350" s="68"/>
      <c r="IP350" s="68"/>
      <c r="IQ350" s="68"/>
      <c r="IR350" s="68"/>
      <c r="IS350" s="68"/>
      <c r="IT350" s="68"/>
      <c r="IU350" s="68"/>
      <c r="IV350" s="68"/>
      <c r="IW350" s="68"/>
      <c r="IX350" s="68"/>
      <c r="IY350" s="68"/>
    </row>
    <row r="351" spans="2:259" hidden="1" x14ac:dyDescent="0.3"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  <c r="AV351" s="68"/>
      <c r="AW351" s="68"/>
      <c r="AX351" s="68"/>
      <c r="AY351" s="68"/>
      <c r="AZ351" s="68"/>
      <c r="BA351" s="68"/>
      <c r="BB351" s="67"/>
      <c r="BC351" s="67"/>
      <c r="BD351" s="67"/>
      <c r="BE351" s="67"/>
      <c r="BF351" s="67"/>
      <c r="BG351" s="67"/>
      <c r="BH351" s="67"/>
      <c r="BI351" s="67"/>
      <c r="BJ351" s="67"/>
      <c r="BK351" s="67"/>
      <c r="BL351" s="67"/>
      <c r="HB351" s="68"/>
      <c r="HC351" s="68"/>
      <c r="HD351" s="68"/>
      <c r="HE351" s="68"/>
      <c r="HF351" s="68"/>
      <c r="HG351" s="68"/>
      <c r="HH351" s="68"/>
      <c r="HI351" s="68"/>
      <c r="HJ351" s="68"/>
      <c r="HK351" s="68"/>
      <c r="HL351" s="68"/>
      <c r="HM351" s="68"/>
      <c r="HP351" s="68"/>
      <c r="HQ351" s="68"/>
      <c r="HR351" s="68"/>
      <c r="HS351" s="68"/>
      <c r="HT351" s="68"/>
      <c r="HU351" s="68"/>
      <c r="HV351" s="68"/>
      <c r="HW351" s="68"/>
      <c r="HX351" s="68"/>
      <c r="HY351" s="68"/>
      <c r="HZ351" s="68"/>
      <c r="IA351" s="68"/>
      <c r="IB351" s="68"/>
      <c r="IC351" s="68"/>
      <c r="ID351" s="68"/>
      <c r="IE351" s="68"/>
      <c r="IF351" s="68"/>
      <c r="IG351" s="68"/>
      <c r="IH351" s="68"/>
      <c r="II351" s="68"/>
      <c r="IJ351" s="68"/>
      <c r="IK351" s="68"/>
      <c r="IL351" s="68"/>
      <c r="IM351" s="68"/>
      <c r="IN351" s="68"/>
      <c r="IO351" s="68"/>
      <c r="IP351" s="68"/>
      <c r="IQ351" s="68"/>
      <c r="IR351" s="68"/>
      <c r="IS351" s="68"/>
      <c r="IT351" s="68"/>
      <c r="IU351" s="68"/>
      <c r="IV351" s="68"/>
      <c r="IW351" s="68"/>
      <c r="IX351" s="68"/>
      <c r="IY351" s="68"/>
    </row>
    <row r="352" spans="2:259" hidden="1" x14ac:dyDescent="0.3"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  <c r="AV352" s="68"/>
      <c r="AW352" s="68"/>
      <c r="AX352" s="68"/>
      <c r="AY352" s="68"/>
      <c r="AZ352" s="68"/>
      <c r="BA352" s="68"/>
      <c r="BB352" s="67"/>
      <c r="BC352" s="67"/>
      <c r="BD352" s="67"/>
      <c r="BE352" s="67"/>
      <c r="BF352" s="67"/>
      <c r="BG352" s="67"/>
      <c r="BH352" s="67"/>
      <c r="BI352" s="67"/>
      <c r="BJ352" s="67"/>
      <c r="BK352" s="67"/>
      <c r="BL352" s="67"/>
      <c r="HB352" s="68"/>
      <c r="HC352" s="68"/>
      <c r="HD352" s="68"/>
      <c r="HE352" s="68"/>
      <c r="HF352" s="68"/>
      <c r="HG352" s="68"/>
      <c r="HH352" s="68"/>
      <c r="HI352" s="68"/>
      <c r="HJ352" s="68"/>
      <c r="HK352" s="68"/>
      <c r="HL352" s="68"/>
      <c r="HM352" s="68"/>
      <c r="HP352" s="68"/>
      <c r="HQ352" s="68"/>
      <c r="HR352" s="68"/>
      <c r="HS352" s="68"/>
      <c r="HT352" s="68"/>
      <c r="HU352" s="68"/>
      <c r="HV352" s="68"/>
      <c r="HW352" s="68"/>
      <c r="HX352" s="68"/>
      <c r="HY352" s="68"/>
      <c r="HZ352" s="68"/>
      <c r="IA352" s="68"/>
      <c r="IB352" s="68"/>
      <c r="IC352" s="68"/>
      <c r="ID352" s="68"/>
      <c r="IE352" s="68"/>
      <c r="IF352" s="68"/>
      <c r="IG352" s="68"/>
      <c r="IH352" s="68"/>
      <c r="II352" s="68"/>
      <c r="IJ352" s="68"/>
      <c r="IK352" s="68"/>
      <c r="IL352" s="68"/>
      <c r="IM352" s="68"/>
      <c r="IN352" s="68"/>
      <c r="IO352" s="68"/>
      <c r="IP352" s="68"/>
      <c r="IQ352" s="68"/>
      <c r="IR352" s="68"/>
      <c r="IS352" s="68"/>
      <c r="IT352" s="68"/>
      <c r="IU352" s="68"/>
      <c r="IV352" s="68"/>
      <c r="IW352" s="68"/>
      <c r="IX352" s="68"/>
      <c r="IY352" s="68"/>
    </row>
    <row r="353" spans="2:259" hidden="1" x14ac:dyDescent="0.3"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  <c r="AV353" s="68"/>
      <c r="AW353" s="68"/>
      <c r="AX353" s="68"/>
      <c r="AY353" s="68"/>
      <c r="AZ353" s="68"/>
      <c r="BA353" s="68"/>
      <c r="BB353" s="67"/>
      <c r="BC353" s="67"/>
      <c r="BD353" s="67"/>
      <c r="BE353" s="67"/>
      <c r="BF353" s="67"/>
      <c r="BG353" s="67"/>
      <c r="BH353" s="67"/>
      <c r="BI353" s="67"/>
      <c r="BJ353" s="67"/>
      <c r="BK353" s="67"/>
      <c r="BL353" s="67"/>
      <c r="HB353" s="68"/>
      <c r="HC353" s="68"/>
      <c r="HD353" s="68"/>
      <c r="HE353" s="68"/>
      <c r="HF353" s="68"/>
      <c r="HG353" s="68"/>
      <c r="HH353" s="68"/>
      <c r="HI353" s="68"/>
      <c r="HJ353" s="68"/>
      <c r="HK353" s="68"/>
      <c r="HL353" s="68"/>
      <c r="HM353" s="68"/>
      <c r="HP353" s="68"/>
      <c r="HQ353" s="68"/>
      <c r="HR353" s="68"/>
      <c r="HS353" s="68"/>
      <c r="HT353" s="68"/>
      <c r="HU353" s="68"/>
      <c r="HV353" s="68"/>
      <c r="HW353" s="68"/>
      <c r="HX353" s="68"/>
      <c r="HY353" s="68"/>
      <c r="HZ353" s="68"/>
      <c r="IA353" s="68"/>
      <c r="IB353" s="68"/>
      <c r="IC353" s="68"/>
      <c r="ID353" s="68"/>
      <c r="IE353" s="68"/>
      <c r="IF353" s="68"/>
      <c r="IG353" s="68"/>
      <c r="IH353" s="68"/>
      <c r="II353" s="68"/>
      <c r="IJ353" s="68"/>
      <c r="IK353" s="68"/>
      <c r="IL353" s="68"/>
      <c r="IM353" s="68"/>
      <c r="IN353" s="68"/>
      <c r="IO353" s="68"/>
      <c r="IP353" s="68"/>
      <c r="IQ353" s="68"/>
      <c r="IR353" s="68"/>
      <c r="IS353" s="68"/>
      <c r="IT353" s="68"/>
      <c r="IU353" s="68"/>
      <c r="IV353" s="68"/>
      <c r="IW353" s="68"/>
      <c r="IX353" s="68"/>
      <c r="IY353" s="68"/>
    </row>
    <row r="354" spans="2:259" hidden="1" x14ac:dyDescent="0.3"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  <c r="AV354" s="68"/>
      <c r="AW354" s="68"/>
      <c r="AX354" s="68"/>
      <c r="AY354" s="68"/>
      <c r="AZ354" s="68"/>
      <c r="BA354" s="68"/>
      <c r="BB354" s="67"/>
      <c r="BC354" s="67"/>
      <c r="BD354" s="67"/>
      <c r="BE354" s="67"/>
      <c r="BF354" s="67"/>
      <c r="BG354" s="67"/>
      <c r="BH354" s="67"/>
      <c r="BI354" s="67"/>
      <c r="BJ354" s="67"/>
      <c r="BK354" s="67"/>
      <c r="BL354" s="67"/>
      <c r="HB354" s="68"/>
      <c r="HC354" s="68"/>
      <c r="HD354" s="68"/>
      <c r="HE354" s="68"/>
      <c r="HF354" s="68"/>
      <c r="HG354" s="68"/>
      <c r="HH354" s="68"/>
      <c r="HI354" s="68"/>
      <c r="HJ354" s="68"/>
      <c r="HK354" s="68"/>
      <c r="HL354" s="68"/>
      <c r="HM354" s="68"/>
      <c r="HP354" s="68"/>
      <c r="HQ354" s="68"/>
      <c r="HR354" s="68"/>
      <c r="HS354" s="68"/>
      <c r="HT354" s="68"/>
      <c r="HU354" s="68"/>
      <c r="HV354" s="68"/>
      <c r="HW354" s="68"/>
      <c r="HX354" s="68"/>
      <c r="HY354" s="68"/>
      <c r="HZ354" s="68"/>
      <c r="IA354" s="68"/>
      <c r="IB354" s="68"/>
      <c r="IC354" s="68"/>
      <c r="ID354" s="68"/>
      <c r="IE354" s="68"/>
      <c r="IF354" s="68"/>
      <c r="IG354" s="68"/>
      <c r="IH354" s="68"/>
      <c r="II354" s="68"/>
      <c r="IJ354" s="68"/>
      <c r="IK354" s="68"/>
      <c r="IL354" s="68"/>
      <c r="IM354" s="68"/>
      <c r="IN354" s="68"/>
      <c r="IO354" s="68"/>
      <c r="IP354" s="68"/>
      <c r="IQ354" s="68"/>
      <c r="IR354" s="68"/>
      <c r="IS354" s="68"/>
      <c r="IT354" s="68"/>
      <c r="IU354" s="68"/>
      <c r="IV354" s="68"/>
      <c r="IW354" s="68"/>
      <c r="IX354" s="68"/>
      <c r="IY354" s="68"/>
    </row>
    <row r="355" spans="2:259" hidden="1" x14ac:dyDescent="0.3"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  <c r="AV355" s="68"/>
      <c r="AW355" s="68"/>
      <c r="AX355" s="68"/>
      <c r="AY355" s="68"/>
      <c r="AZ355" s="68"/>
      <c r="BA355" s="68"/>
      <c r="BB355" s="67"/>
      <c r="BC355" s="67"/>
      <c r="BD355" s="67"/>
      <c r="BE355" s="67"/>
      <c r="BF355" s="67"/>
      <c r="BG355" s="67"/>
      <c r="BH355" s="67"/>
      <c r="BI355" s="67"/>
      <c r="BJ355" s="67"/>
      <c r="BK355" s="67"/>
      <c r="BL355" s="67"/>
      <c r="HB355" s="68"/>
      <c r="HC355" s="68"/>
      <c r="HD355" s="68"/>
      <c r="HE355" s="68"/>
      <c r="HF355" s="68"/>
      <c r="HG355" s="68"/>
      <c r="HH355" s="68"/>
      <c r="HI355" s="68"/>
      <c r="HJ355" s="68"/>
      <c r="HK355" s="68"/>
      <c r="HL355" s="68"/>
      <c r="HM355" s="68"/>
      <c r="HP355" s="68"/>
      <c r="HQ355" s="68"/>
      <c r="HR355" s="68"/>
      <c r="HS355" s="68"/>
      <c r="HT355" s="68"/>
      <c r="HU355" s="68"/>
      <c r="HV355" s="68"/>
      <c r="HW355" s="68"/>
      <c r="HX355" s="68"/>
      <c r="HY355" s="68"/>
      <c r="HZ355" s="68"/>
      <c r="IA355" s="68"/>
      <c r="IB355" s="68"/>
      <c r="IC355" s="68"/>
      <c r="ID355" s="68"/>
      <c r="IE355" s="68"/>
      <c r="IF355" s="68"/>
      <c r="IG355" s="68"/>
      <c r="IH355" s="68"/>
      <c r="II355" s="68"/>
      <c r="IJ355" s="68"/>
      <c r="IK355" s="68"/>
      <c r="IL355" s="68"/>
      <c r="IM355" s="68"/>
      <c r="IN355" s="68"/>
      <c r="IO355" s="68"/>
      <c r="IP355" s="68"/>
      <c r="IQ355" s="68"/>
      <c r="IR355" s="68"/>
      <c r="IS355" s="68"/>
      <c r="IT355" s="68"/>
      <c r="IU355" s="68"/>
      <c r="IV355" s="68"/>
      <c r="IW355" s="68"/>
      <c r="IX355" s="68"/>
      <c r="IY355" s="68"/>
    </row>
    <row r="356" spans="2:259" hidden="1" x14ac:dyDescent="0.3"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  <c r="AV356" s="68"/>
      <c r="AW356" s="68"/>
      <c r="AX356" s="68"/>
      <c r="AY356" s="68"/>
      <c r="AZ356" s="68"/>
      <c r="BA356" s="68"/>
      <c r="BB356" s="67"/>
      <c r="BC356" s="67"/>
      <c r="BD356" s="67"/>
      <c r="BE356" s="67"/>
      <c r="BF356" s="67"/>
      <c r="BG356" s="67"/>
      <c r="BH356" s="67"/>
      <c r="BI356" s="67"/>
      <c r="BJ356" s="67"/>
      <c r="BK356" s="67"/>
      <c r="BL356" s="67"/>
      <c r="HB356" s="68"/>
      <c r="HC356" s="68"/>
      <c r="HD356" s="68"/>
      <c r="HE356" s="68"/>
      <c r="HF356" s="68"/>
      <c r="HG356" s="68"/>
      <c r="HH356" s="68"/>
      <c r="HI356" s="68"/>
      <c r="HJ356" s="68"/>
      <c r="HK356" s="68"/>
      <c r="HL356" s="68"/>
      <c r="HM356" s="68"/>
      <c r="HP356" s="68"/>
      <c r="HQ356" s="68"/>
      <c r="HR356" s="68"/>
      <c r="HS356" s="68"/>
      <c r="HT356" s="68"/>
      <c r="HU356" s="68"/>
      <c r="HV356" s="68"/>
      <c r="HW356" s="68"/>
      <c r="HX356" s="68"/>
      <c r="HY356" s="68"/>
      <c r="HZ356" s="68"/>
      <c r="IA356" s="68"/>
      <c r="IB356" s="68"/>
      <c r="IC356" s="68"/>
      <c r="ID356" s="68"/>
      <c r="IE356" s="68"/>
      <c r="IF356" s="68"/>
      <c r="IG356" s="68"/>
      <c r="IH356" s="68"/>
      <c r="II356" s="68"/>
      <c r="IJ356" s="68"/>
      <c r="IK356" s="68"/>
      <c r="IL356" s="68"/>
      <c r="IM356" s="68"/>
      <c r="IN356" s="68"/>
      <c r="IO356" s="68"/>
      <c r="IP356" s="68"/>
      <c r="IQ356" s="68"/>
      <c r="IR356" s="68"/>
      <c r="IS356" s="68"/>
      <c r="IT356" s="68"/>
      <c r="IU356" s="68"/>
      <c r="IV356" s="68"/>
      <c r="IW356" s="68"/>
      <c r="IX356" s="68"/>
      <c r="IY356" s="68"/>
    </row>
    <row r="357" spans="2:259" hidden="1" x14ac:dyDescent="0.3"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  <c r="AV357" s="68"/>
      <c r="AW357" s="68"/>
      <c r="AX357" s="68"/>
      <c r="AY357" s="68"/>
      <c r="AZ357" s="68"/>
      <c r="BA357" s="68"/>
      <c r="BB357" s="67"/>
      <c r="BC357" s="67"/>
      <c r="BD357" s="67"/>
      <c r="BE357" s="67"/>
      <c r="BF357" s="67"/>
      <c r="BG357" s="67"/>
      <c r="BH357" s="67"/>
      <c r="BI357" s="67"/>
      <c r="BJ357" s="67"/>
      <c r="BK357" s="67"/>
      <c r="BL357" s="67"/>
      <c r="HB357" s="68"/>
      <c r="HC357" s="68"/>
      <c r="HD357" s="68"/>
      <c r="HE357" s="68"/>
      <c r="HF357" s="68"/>
      <c r="HG357" s="68"/>
      <c r="HH357" s="68"/>
      <c r="HI357" s="68"/>
      <c r="HJ357" s="68"/>
      <c r="HK357" s="68"/>
      <c r="HL357" s="68"/>
      <c r="HM357" s="68"/>
      <c r="HP357" s="68"/>
      <c r="HQ357" s="68"/>
      <c r="HR357" s="68"/>
      <c r="HS357" s="68"/>
      <c r="HT357" s="68"/>
      <c r="HU357" s="68"/>
      <c r="HV357" s="68"/>
      <c r="HW357" s="68"/>
      <c r="HX357" s="68"/>
      <c r="HY357" s="68"/>
      <c r="HZ357" s="68"/>
      <c r="IA357" s="68"/>
      <c r="IB357" s="68"/>
      <c r="IC357" s="68"/>
      <c r="ID357" s="68"/>
      <c r="IE357" s="68"/>
      <c r="IF357" s="68"/>
      <c r="IG357" s="68"/>
      <c r="IH357" s="68"/>
      <c r="II357" s="68"/>
      <c r="IJ357" s="68"/>
      <c r="IK357" s="68"/>
      <c r="IL357" s="68"/>
      <c r="IM357" s="68"/>
      <c r="IN357" s="68"/>
      <c r="IO357" s="68"/>
      <c r="IP357" s="68"/>
      <c r="IQ357" s="68"/>
      <c r="IR357" s="68"/>
      <c r="IS357" s="68"/>
      <c r="IT357" s="68"/>
      <c r="IU357" s="68"/>
      <c r="IV357" s="68"/>
      <c r="IW357" s="68"/>
      <c r="IX357" s="68"/>
      <c r="IY357" s="68"/>
    </row>
    <row r="358" spans="2:259" hidden="1" x14ac:dyDescent="0.3"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  <c r="AV358" s="68"/>
      <c r="AW358" s="68"/>
      <c r="AX358" s="68"/>
      <c r="AY358" s="68"/>
      <c r="AZ358" s="68"/>
      <c r="BA358" s="68"/>
      <c r="BB358" s="67"/>
      <c r="BC358" s="67"/>
      <c r="BD358" s="67"/>
      <c r="BE358" s="67"/>
      <c r="BF358" s="67"/>
      <c r="BG358" s="67"/>
      <c r="BH358" s="67"/>
      <c r="BI358" s="67"/>
      <c r="BJ358" s="67"/>
      <c r="BK358" s="67"/>
      <c r="BL358" s="67"/>
      <c r="HB358" s="68"/>
      <c r="HC358" s="68"/>
      <c r="HD358" s="68"/>
      <c r="HE358" s="68"/>
      <c r="HF358" s="68"/>
      <c r="HG358" s="68"/>
      <c r="HH358" s="68"/>
      <c r="HI358" s="68"/>
      <c r="HJ358" s="68"/>
      <c r="HK358" s="68"/>
      <c r="HL358" s="68"/>
      <c r="HM358" s="68"/>
      <c r="HP358" s="68"/>
      <c r="HQ358" s="68"/>
      <c r="HR358" s="68"/>
      <c r="HS358" s="68"/>
      <c r="HT358" s="68"/>
      <c r="HU358" s="68"/>
      <c r="HV358" s="68"/>
      <c r="HW358" s="68"/>
      <c r="HX358" s="68"/>
      <c r="HY358" s="68"/>
      <c r="HZ358" s="68"/>
      <c r="IA358" s="68"/>
      <c r="IB358" s="68"/>
      <c r="IC358" s="68"/>
      <c r="ID358" s="68"/>
      <c r="IE358" s="68"/>
      <c r="IF358" s="68"/>
      <c r="IG358" s="68"/>
      <c r="IH358" s="68"/>
      <c r="II358" s="68"/>
      <c r="IJ358" s="68"/>
      <c r="IK358" s="68"/>
      <c r="IL358" s="68"/>
      <c r="IM358" s="68"/>
      <c r="IN358" s="68"/>
      <c r="IO358" s="68"/>
      <c r="IP358" s="68"/>
      <c r="IQ358" s="68"/>
      <c r="IR358" s="68"/>
      <c r="IS358" s="68"/>
      <c r="IT358" s="68"/>
      <c r="IU358" s="68"/>
      <c r="IV358" s="68"/>
      <c r="IW358" s="68"/>
      <c r="IX358" s="68"/>
      <c r="IY358" s="68"/>
    </row>
    <row r="359" spans="2:259" hidden="1" x14ac:dyDescent="0.3"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  <c r="AV359" s="68"/>
      <c r="AW359" s="68"/>
      <c r="AX359" s="68"/>
      <c r="AY359" s="68"/>
      <c r="AZ359" s="68"/>
      <c r="BA359" s="68"/>
      <c r="BB359" s="67"/>
      <c r="BC359" s="67"/>
      <c r="BD359" s="67"/>
      <c r="BE359" s="67"/>
      <c r="BF359" s="67"/>
      <c r="BG359" s="67"/>
      <c r="BH359" s="67"/>
      <c r="BI359" s="67"/>
      <c r="BJ359" s="67"/>
      <c r="BK359" s="67"/>
      <c r="BL359" s="67"/>
      <c r="HB359" s="68"/>
      <c r="HC359" s="68"/>
      <c r="HD359" s="68"/>
      <c r="HE359" s="68"/>
      <c r="HF359" s="68"/>
      <c r="HG359" s="68"/>
      <c r="HH359" s="68"/>
      <c r="HI359" s="68"/>
      <c r="HJ359" s="68"/>
      <c r="HK359" s="68"/>
      <c r="HL359" s="68"/>
      <c r="HM359" s="68"/>
      <c r="HP359" s="68"/>
      <c r="HQ359" s="68"/>
      <c r="HR359" s="68"/>
      <c r="HS359" s="68"/>
      <c r="HT359" s="68"/>
      <c r="HU359" s="68"/>
      <c r="HV359" s="68"/>
      <c r="HW359" s="68"/>
      <c r="HX359" s="68"/>
      <c r="HY359" s="68"/>
      <c r="HZ359" s="68"/>
      <c r="IA359" s="68"/>
      <c r="IB359" s="68"/>
      <c r="IC359" s="68"/>
      <c r="ID359" s="68"/>
      <c r="IE359" s="68"/>
      <c r="IF359" s="68"/>
      <c r="IG359" s="68"/>
      <c r="IH359" s="68"/>
      <c r="II359" s="68"/>
      <c r="IJ359" s="68"/>
      <c r="IK359" s="68"/>
      <c r="IL359" s="68"/>
      <c r="IM359" s="68"/>
      <c r="IN359" s="68"/>
      <c r="IO359" s="68"/>
      <c r="IP359" s="68"/>
      <c r="IQ359" s="68"/>
      <c r="IR359" s="68"/>
      <c r="IS359" s="68"/>
      <c r="IT359" s="68"/>
      <c r="IU359" s="68"/>
      <c r="IV359" s="68"/>
      <c r="IW359" s="68"/>
      <c r="IX359" s="68"/>
      <c r="IY359" s="68"/>
    </row>
    <row r="360" spans="2:259" hidden="1" x14ac:dyDescent="0.3"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  <c r="AV360" s="68"/>
      <c r="AW360" s="68"/>
      <c r="AX360" s="68"/>
      <c r="AY360" s="68"/>
      <c r="AZ360" s="68"/>
      <c r="BA360" s="68"/>
      <c r="BB360" s="67"/>
      <c r="BC360" s="67"/>
      <c r="BD360" s="67"/>
      <c r="BE360" s="67"/>
      <c r="BF360" s="67"/>
      <c r="BG360" s="67"/>
      <c r="BH360" s="67"/>
      <c r="BI360" s="67"/>
      <c r="BJ360" s="67"/>
      <c r="BK360" s="67"/>
      <c r="BL360" s="67"/>
      <c r="HB360" s="68"/>
      <c r="HC360" s="68"/>
      <c r="HD360" s="68"/>
      <c r="HE360" s="68"/>
      <c r="HF360" s="68"/>
      <c r="HG360" s="68"/>
      <c r="HH360" s="68"/>
      <c r="HI360" s="68"/>
      <c r="HJ360" s="68"/>
      <c r="HK360" s="68"/>
      <c r="HL360" s="68"/>
      <c r="HM360" s="68"/>
      <c r="HP360" s="68"/>
      <c r="HQ360" s="68"/>
      <c r="HR360" s="68"/>
      <c r="HS360" s="68"/>
      <c r="HT360" s="68"/>
      <c r="HU360" s="68"/>
      <c r="HV360" s="68"/>
      <c r="HW360" s="68"/>
      <c r="HX360" s="68"/>
      <c r="HY360" s="68"/>
      <c r="HZ360" s="68"/>
      <c r="IA360" s="68"/>
      <c r="IB360" s="68"/>
      <c r="IC360" s="68"/>
      <c r="ID360" s="68"/>
      <c r="IE360" s="68"/>
      <c r="IF360" s="68"/>
      <c r="IG360" s="68"/>
      <c r="IH360" s="68"/>
      <c r="II360" s="68"/>
      <c r="IJ360" s="68"/>
      <c r="IK360" s="68"/>
      <c r="IL360" s="68"/>
      <c r="IM360" s="68"/>
      <c r="IN360" s="68"/>
      <c r="IO360" s="68"/>
      <c r="IP360" s="68"/>
      <c r="IQ360" s="68"/>
      <c r="IR360" s="68"/>
      <c r="IS360" s="68"/>
      <c r="IT360" s="68"/>
      <c r="IU360" s="68"/>
      <c r="IV360" s="68"/>
      <c r="IW360" s="68"/>
      <c r="IX360" s="68"/>
      <c r="IY360" s="68"/>
    </row>
    <row r="361" spans="2:259" hidden="1" x14ac:dyDescent="0.3"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  <c r="AV361" s="68"/>
      <c r="AW361" s="68"/>
      <c r="AX361" s="68"/>
      <c r="AY361" s="68"/>
      <c r="AZ361" s="68"/>
      <c r="BA361" s="68"/>
      <c r="BB361" s="67"/>
      <c r="BC361" s="67"/>
      <c r="BD361" s="67"/>
      <c r="BE361" s="67"/>
      <c r="BF361" s="67"/>
      <c r="BG361" s="67"/>
      <c r="BH361" s="67"/>
      <c r="BI361" s="67"/>
      <c r="BJ361" s="67"/>
      <c r="BK361" s="67"/>
      <c r="BL361" s="67"/>
      <c r="HB361" s="68"/>
      <c r="HC361" s="68"/>
      <c r="HD361" s="68"/>
      <c r="HE361" s="68"/>
      <c r="HF361" s="68"/>
      <c r="HG361" s="68"/>
      <c r="HH361" s="68"/>
      <c r="HI361" s="68"/>
      <c r="HJ361" s="68"/>
      <c r="HK361" s="68"/>
      <c r="HL361" s="68"/>
      <c r="HM361" s="68"/>
      <c r="HP361" s="68"/>
      <c r="HQ361" s="68"/>
      <c r="HR361" s="68"/>
      <c r="HS361" s="68"/>
      <c r="HT361" s="68"/>
      <c r="HU361" s="68"/>
      <c r="HV361" s="68"/>
      <c r="HW361" s="68"/>
      <c r="HX361" s="68"/>
      <c r="HY361" s="68"/>
      <c r="HZ361" s="68"/>
      <c r="IA361" s="68"/>
      <c r="IB361" s="68"/>
      <c r="IC361" s="68"/>
      <c r="ID361" s="68"/>
      <c r="IE361" s="68"/>
      <c r="IF361" s="68"/>
      <c r="IG361" s="68"/>
      <c r="IH361" s="68"/>
      <c r="II361" s="68"/>
      <c r="IJ361" s="68"/>
      <c r="IK361" s="68"/>
      <c r="IL361" s="68"/>
      <c r="IM361" s="68"/>
      <c r="IN361" s="68"/>
      <c r="IO361" s="68"/>
      <c r="IP361" s="68"/>
      <c r="IQ361" s="68"/>
      <c r="IR361" s="68"/>
      <c r="IS361" s="68"/>
      <c r="IT361" s="68"/>
      <c r="IU361" s="68"/>
      <c r="IV361" s="68"/>
      <c r="IW361" s="68"/>
      <c r="IX361" s="68"/>
      <c r="IY361" s="68"/>
    </row>
    <row r="362" spans="2:259" hidden="1" x14ac:dyDescent="0.3"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  <c r="AV362" s="68"/>
      <c r="AW362" s="68"/>
      <c r="AX362" s="68"/>
      <c r="AY362" s="68"/>
      <c r="AZ362" s="68"/>
      <c r="BA362" s="68"/>
      <c r="BB362" s="67"/>
      <c r="BC362" s="67"/>
      <c r="BD362" s="67"/>
      <c r="BE362" s="67"/>
      <c r="BF362" s="67"/>
      <c r="BG362" s="67"/>
      <c r="BH362" s="67"/>
      <c r="BI362" s="67"/>
      <c r="BJ362" s="67"/>
      <c r="BK362" s="67"/>
      <c r="BL362" s="67"/>
      <c r="HB362" s="68"/>
      <c r="HC362" s="68"/>
      <c r="HD362" s="68"/>
      <c r="HE362" s="68"/>
      <c r="HF362" s="68"/>
      <c r="HG362" s="68"/>
      <c r="HH362" s="68"/>
      <c r="HI362" s="68"/>
      <c r="HJ362" s="68"/>
      <c r="HK362" s="68"/>
      <c r="HL362" s="68"/>
      <c r="HM362" s="68"/>
      <c r="HP362" s="68"/>
      <c r="HQ362" s="68"/>
      <c r="HR362" s="68"/>
      <c r="HS362" s="68"/>
      <c r="HT362" s="68"/>
      <c r="HU362" s="68"/>
      <c r="HV362" s="68"/>
      <c r="HW362" s="68"/>
      <c r="HX362" s="68"/>
      <c r="HY362" s="68"/>
      <c r="HZ362" s="68"/>
      <c r="IA362" s="68"/>
      <c r="IB362" s="68"/>
      <c r="IC362" s="68"/>
      <c r="ID362" s="68"/>
      <c r="IE362" s="68"/>
      <c r="IF362" s="68"/>
      <c r="IG362" s="68"/>
      <c r="IH362" s="68"/>
      <c r="II362" s="68"/>
      <c r="IJ362" s="68"/>
      <c r="IK362" s="68"/>
      <c r="IL362" s="68"/>
      <c r="IM362" s="68"/>
      <c r="IN362" s="68"/>
      <c r="IO362" s="68"/>
      <c r="IP362" s="68"/>
      <c r="IQ362" s="68"/>
      <c r="IR362" s="68"/>
      <c r="IS362" s="68"/>
      <c r="IT362" s="68"/>
      <c r="IU362" s="68"/>
      <c r="IV362" s="68"/>
      <c r="IW362" s="68"/>
      <c r="IX362" s="68"/>
      <c r="IY362" s="68"/>
    </row>
    <row r="363" spans="2:259" hidden="1" x14ac:dyDescent="0.3"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  <c r="AV363" s="68"/>
      <c r="AW363" s="68"/>
      <c r="AX363" s="68"/>
      <c r="AY363" s="68"/>
      <c r="AZ363" s="68"/>
      <c r="BA363" s="68"/>
      <c r="BB363" s="67"/>
      <c r="BC363" s="67"/>
      <c r="BD363" s="67"/>
      <c r="BE363" s="67"/>
      <c r="BF363" s="67"/>
      <c r="BG363" s="67"/>
      <c r="BH363" s="67"/>
      <c r="BI363" s="67"/>
      <c r="BJ363" s="67"/>
      <c r="BK363" s="67"/>
      <c r="BL363" s="67"/>
      <c r="HB363" s="68"/>
      <c r="HC363" s="68"/>
      <c r="HD363" s="68"/>
      <c r="HE363" s="68"/>
      <c r="HF363" s="68"/>
      <c r="HG363" s="68"/>
      <c r="HH363" s="68"/>
      <c r="HI363" s="68"/>
      <c r="HJ363" s="68"/>
      <c r="HK363" s="68"/>
      <c r="HL363" s="68"/>
      <c r="HM363" s="68"/>
      <c r="HP363" s="68"/>
      <c r="HQ363" s="68"/>
      <c r="HR363" s="68"/>
      <c r="HS363" s="68"/>
      <c r="HT363" s="68"/>
      <c r="HU363" s="68"/>
      <c r="HV363" s="68"/>
      <c r="HW363" s="68"/>
      <c r="HX363" s="68"/>
      <c r="HY363" s="68"/>
      <c r="HZ363" s="68"/>
      <c r="IA363" s="68"/>
      <c r="IB363" s="68"/>
      <c r="IC363" s="68"/>
      <c r="ID363" s="68"/>
      <c r="IE363" s="68"/>
      <c r="IF363" s="68"/>
      <c r="IG363" s="68"/>
      <c r="IH363" s="68"/>
      <c r="II363" s="68"/>
      <c r="IJ363" s="68"/>
      <c r="IK363" s="68"/>
      <c r="IL363" s="68"/>
      <c r="IM363" s="68"/>
      <c r="IN363" s="68"/>
      <c r="IO363" s="68"/>
      <c r="IP363" s="68"/>
      <c r="IQ363" s="68"/>
      <c r="IR363" s="68"/>
      <c r="IS363" s="68"/>
      <c r="IT363" s="68"/>
      <c r="IU363" s="68"/>
      <c r="IV363" s="68"/>
      <c r="IW363" s="68"/>
      <c r="IX363" s="68"/>
      <c r="IY363" s="68"/>
    </row>
    <row r="364" spans="2:259" hidden="1" x14ac:dyDescent="0.3"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  <c r="AV364" s="68"/>
      <c r="AW364" s="68"/>
      <c r="AX364" s="68"/>
      <c r="AY364" s="68"/>
      <c r="AZ364" s="68"/>
      <c r="BA364" s="68"/>
      <c r="BB364" s="67"/>
      <c r="BC364" s="67"/>
      <c r="BD364" s="67"/>
      <c r="BE364" s="67"/>
      <c r="BF364" s="67"/>
      <c r="BG364" s="67"/>
      <c r="BH364" s="67"/>
      <c r="BI364" s="67"/>
      <c r="BJ364" s="67"/>
      <c r="BK364" s="67"/>
      <c r="BL364" s="67"/>
      <c r="HB364" s="68"/>
      <c r="HC364" s="68"/>
      <c r="HD364" s="68"/>
      <c r="HE364" s="68"/>
      <c r="HF364" s="68"/>
      <c r="HG364" s="68"/>
      <c r="HH364" s="68"/>
      <c r="HI364" s="68"/>
      <c r="HJ364" s="68"/>
      <c r="HK364" s="68"/>
      <c r="HL364" s="68"/>
      <c r="HM364" s="68"/>
      <c r="HP364" s="68"/>
      <c r="HQ364" s="68"/>
      <c r="HR364" s="68"/>
      <c r="HS364" s="68"/>
      <c r="HT364" s="68"/>
      <c r="HU364" s="68"/>
      <c r="HV364" s="68"/>
      <c r="HW364" s="68"/>
      <c r="HX364" s="68"/>
      <c r="HY364" s="68"/>
      <c r="HZ364" s="68"/>
      <c r="IA364" s="68"/>
      <c r="IB364" s="68"/>
      <c r="IC364" s="68"/>
      <c r="ID364" s="68"/>
      <c r="IE364" s="68"/>
      <c r="IF364" s="68"/>
      <c r="IG364" s="68"/>
      <c r="IH364" s="68"/>
      <c r="II364" s="68"/>
      <c r="IJ364" s="68"/>
      <c r="IK364" s="68"/>
      <c r="IL364" s="68"/>
      <c r="IM364" s="68"/>
      <c r="IN364" s="68"/>
      <c r="IO364" s="68"/>
      <c r="IP364" s="68"/>
      <c r="IQ364" s="68"/>
      <c r="IR364" s="68"/>
      <c r="IS364" s="68"/>
      <c r="IT364" s="68"/>
      <c r="IU364" s="68"/>
      <c r="IV364" s="68"/>
      <c r="IW364" s="68"/>
      <c r="IX364" s="68"/>
      <c r="IY364" s="68"/>
    </row>
    <row r="365" spans="2:259" hidden="1" x14ac:dyDescent="0.3"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  <c r="AV365" s="68"/>
      <c r="AW365" s="68"/>
      <c r="AX365" s="68"/>
      <c r="AY365" s="68"/>
      <c r="AZ365" s="68"/>
      <c r="BA365" s="68"/>
      <c r="BB365" s="67"/>
      <c r="BC365" s="67"/>
      <c r="BD365" s="67"/>
      <c r="BE365" s="67"/>
      <c r="BF365" s="67"/>
      <c r="BG365" s="67"/>
      <c r="BH365" s="67"/>
      <c r="BI365" s="67"/>
      <c r="BJ365" s="67"/>
      <c r="BK365" s="67"/>
      <c r="BL365" s="67"/>
      <c r="HB365" s="68"/>
      <c r="HC365" s="68"/>
      <c r="HD365" s="68"/>
      <c r="HE365" s="68"/>
      <c r="HF365" s="68"/>
      <c r="HG365" s="68"/>
      <c r="HH365" s="68"/>
      <c r="HI365" s="68"/>
      <c r="HJ365" s="68"/>
      <c r="HK365" s="68"/>
      <c r="HL365" s="68"/>
      <c r="HM365" s="68"/>
      <c r="HP365" s="68"/>
      <c r="HQ365" s="68"/>
      <c r="HR365" s="68"/>
      <c r="HS365" s="68"/>
      <c r="HT365" s="68"/>
      <c r="HU365" s="68"/>
      <c r="HV365" s="68"/>
      <c r="HW365" s="68"/>
      <c r="HX365" s="68"/>
      <c r="HY365" s="68"/>
      <c r="HZ365" s="68"/>
      <c r="IA365" s="68"/>
      <c r="IB365" s="68"/>
      <c r="IC365" s="68"/>
      <c r="ID365" s="68"/>
      <c r="IE365" s="68"/>
      <c r="IF365" s="68"/>
      <c r="IG365" s="68"/>
      <c r="IH365" s="68"/>
      <c r="II365" s="68"/>
      <c r="IJ365" s="68"/>
      <c r="IK365" s="68"/>
      <c r="IL365" s="68"/>
      <c r="IM365" s="68"/>
      <c r="IN365" s="68"/>
      <c r="IO365" s="68"/>
      <c r="IP365" s="68"/>
      <c r="IQ365" s="68"/>
      <c r="IR365" s="68"/>
      <c r="IS365" s="68"/>
      <c r="IT365" s="68"/>
      <c r="IU365" s="68"/>
      <c r="IV365" s="68"/>
      <c r="IW365" s="68"/>
      <c r="IX365" s="68"/>
      <c r="IY365" s="68"/>
    </row>
    <row r="366" spans="2:259" hidden="1" x14ac:dyDescent="0.3"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  <c r="AV366" s="68"/>
      <c r="AW366" s="68"/>
      <c r="AX366" s="68"/>
      <c r="AY366" s="68"/>
      <c r="AZ366" s="68"/>
      <c r="BA366" s="68"/>
      <c r="BB366" s="67"/>
      <c r="BC366" s="67"/>
      <c r="BD366" s="67"/>
      <c r="BE366" s="67"/>
      <c r="BF366" s="67"/>
      <c r="BG366" s="67"/>
      <c r="BH366" s="67"/>
      <c r="BI366" s="67"/>
      <c r="BJ366" s="67"/>
      <c r="BK366" s="67"/>
      <c r="BL366" s="67"/>
      <c r="HB366" s="68"/>
      <c r="HC366" s="68"/>
      <c r="HD366" s="68"/>
      <c r="HE366" s="68"/>
      <c r="HF366" s="68"/>
      <c r="HG366" s="68"/>
      <c r="HH366" s="68"/>
      <c r="HI366" s="68"/>
      <c r="HJ366" s="68"/>
      <c r="HK366" s="68"/>
      <c r="HL366" s="68"/>
      <c r="HM366" s="68"/>
      <c r="HP366" s="68"/>
      <c r="HQ366" s="68"/>
      <c r="HR366" s="68"/>
      <c r="HS366" s="68"/>
      <c r="HT366" s="68"/>
      <c r="HU366" s="68"/>
      <c r="HV366" s="68"/>
      <c r="HW366" s="68"/>
      <c r="HX366" s="68"/>
      <c r="HY366" s="68"/>
      <c r="HZ366" s="68"/>
      <c r="IA366" s="68"/>
      <c r="IB366" s="68"/>
      <c r="IC366" s="68"/>
      <c r="ID366" s="68"/>
      <c r="IE366" s="68"/>
      <c r="IF366" s="68"/>
      <c r="IG366" s="68"/>
      <c r="IH366" s="68"/>
      <c r="II366" s="68"/>
      <c r="IJ366" s="68"/>
      <c r="IK366" s="68"/>
      <c r="IL366" s="68"/>
      <c r="IM366" s="68"/>
      <c r="IN366" s="68"/>
      <c r="IO366" s="68"/>
      <c r="IP366" s="68"/>
      <c r="IQ366" s="68"/>
      <c r="IR366" s="68"/>
      <c r="IS366" s="68"/>
      <c r="IT366" s="68"/>
      <c r="IU366" s="68"/>
      <c r="IV366" s="68"/>
      <c r="IW366" s="68"/>
      <c r="IX366" s="68"/>
      <c r="IY366" s="68"/>
    </row>
    <row r="367" spans="2:259" hidden="1" x14ac:dyDescent="0.3"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  <c r="AV367" s="68"/>
      <c r="AW367" s="68"/>
      <c r="AX367" s="68"/>
      <c r="AY367" s="68"/>
      <c r="AZ367" s="68"/>
      <c r="BA367" s="68"/>
      <c r="BB367" s="67"/>
      <c r="BC367" s="67"/>
      <c r="BD367" s="67"/>
      <c r="BE367" s="67"/>
      <c r="BF367" s="67"/>
      <c r="BG367" s="67"/>
      <c r="BH367" s="67"/>
      <c r="BI367" s="67"/>
      <c r="BJ367" s="67"/>
      <c r="BK367" s="67"/>
      <c r="BL367" s="67"/>
      <c r="HB367" s="68"/>
      <c r="HC367" s="68"/>
      <c r="HD367" s="68"/>
      <c r="HE367" s="68"/>
      <c r="HF367" s="68"/>
      <c r="HG367" s="68"/>
      <c r="HH367" s="68"/>
      <c r="HI367" s="68"/>
      <c r="HJ367" s="68"/>
      <c r="HK367" s="68"/>
      <c r="HL367" s="68"/>
      <c r="HM367" s="68"/>
      <c r="HP367" s="68"/>
      <c r="HQ367" s="68"/>
      <c r="HR367" s="68"/>
      <c r="HS367" s="68"/>
      <c r="HT367" s="68"/>
      <c r="HU367" s="68"/>
      <c r="HV367" s="68"/>
      <c r="HW367" s="68"/>
      <c r="HX367" s="68"/>
      <c r="HY367" s="68"/>
      <c r="HZ367" s="68"/>
      <c r="IA367" s="68"/>
      <c r="IB367" s="68"/>
      <c r="IC367" s="68"/>
      <c r="ID367" s="68"/>
      <c r="IE367" s="68"/>
      <c r="IF367" s="68"/>
      <c r="IG367" s="68"/>
      <c r="IH367" s="68"/>
      <c r="II367" s="68"/>
      <c r="IJ367" s="68"/>
      <c r="IK367" s="68"/>
      <c r="IL367" s="68"/>
      <c r="IM367" s="68"/>
      <c r="IN367" s="68"/>
      <c r="IO367" s="68"/>
      <c r="IP367" s="68"/>
      <c r="IQ367" s="68"/>
      <c r="IR367" s="68"/>
      <c r="IS367" s="68"/>
      <c r="IT367" s="68"/>
      <c r="IU367" s="68"/>
      <c r="IV367" s="68"/>
      <c r="IW367" s="68"/>
      <c r="IX367" s="68"/>
      <c r="IY367" s="68"/>
    </row>
    <row r="368" spans="2:259" hidden="1" x14ac:dyDescent="0.3"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  <c r="AV368" s="68"/>
      <c r="AW368" s="68"/>
      <c r="AX368" s="68"/>
      <c r="AY368" s="68"/>
      <c r="AZ368" s="68"/>
      <c r="BA368" s="68"/>
      <c r="BB368" s="67"/>
      <c r="BC368" s="67"/>
      <c r="BD368" s="67"/>
      <c r="BE368" s="67"/>
      <c r="BF368" s="67"/>
      <c r="BG368" s="67"/>
      <c r="BH368" s="67"/>
      <c r="BI368" s="67"/>
      <c r="BJ368" s="67"/>
      <c r="BK368" s="67"/>
      <c r="BL368" s="67"/>
      <c r="HB368" s="68"/>
      <c r="HC368" s="68"/>
      <c r="HD368" s="68"/>
      <c r="HE368" s="68"/>
      <c r="HF368" s="68"/>
      <c r="HG368" s="68"/>
      <c r="HH368" s="68"/>
      <c r="HI368" s="68"/>
      <c r="HJ368" s="68"/>
      <c r="HK368" s="68"/>
      <c r="HL368" s="68"/>
      <c r="HM368" s="68"/>
      <c r="HP368" s="68"/>
      <c r="HQ368" s="68"/>
      <c r="HR368" s="68"/>
      <c r="HS368" s="68"/>
      <c r="HT368" s="68"/>
      <c r="HU368" s="68"/>
      <c r="HV368" s="68"/>
      <c r="HW368" s="68"/>
      <c r="HX368" s="68"/>
      <c r="HY368" s="68"/>
      <c r="HZ368" s="68"/>
      <c r="IA368" s="68"/>
      <c r="IB368" s="68"/>
      <c r="IC368" s="68"/>
      <c r="ID368" s="68"/>
      <c r="IE368" s="68"/>
      <c r="IF368" s="68"/>
      <c r="IG368" s="68"/>
      <c r="IH368" s="68"/>
      <c r="II368" s="68"/>
      <c r="IJ368" s="68"/>
      <c r="IK368" s="68"/>
      <c r="IL368" s="68"/>
      <c r="IM368" s="68"/>
      <c r="IN368" s="68"/>
      <c r="IO368" s="68"/>
      <c r="IP368" s="68"/>
      <c r="IQ368" s="68"/>
      <c r="IR368" s="68"/>
      <c r="IS368" s="68"/>
      <c r="IT368" s="68"/>
      <c r="IU368" s="68"/>
      <c r="IV368" s="68"/>
      <c r="IW368" s="68"/>
      <c r="IX368" s="68"/>
      <c r="IY368" s="68"/>
    </row>
    <row r="369" spans="2:259" hidden="1" x14ac:dyDescent="0.3"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  <c r="AV369" s="68"/>
      <c r="AW369" s="68"/>
      <c r="AX369" s="68"/>
      <c r="AY369" s="68"/>
      <c r="AZ369" s="68"/>
      <c r="BA369" s="68"/>
      <c r="BB369" s="67"/>
      <c r="BC369" s="67"/>
      <c r="BD369" s="67"/>
      <c r="BE369" s="67"/>
      <c r="BF369" s="67"/>
      <c r="BG369" s="67"/>
      <c r="BH369" s="67"/>
      <c r="BI369" s="67"/>
      <c r="BJ369" s="67"/>
      <c r="BK369" s="67"/>
      <c r="BL369" s="67"/>
      <c r="HB369" s="68"/>
      <c r="HC369" s="68"/>
      <c r="HD369" s="68"/>
      <c r="HE369" s="68"/>
      <c r="HF369" s="68"/>
      <c r="HG369" s="68"/>
      <c r="HH369" s="68"/>
      <c r="HI369" s="68"/>
      <c r="HJ369" s="68"/>
      <c r="HK369" s="68"/>
      <c r="HL369" s="68"/>
      <c r="HM369" s="68"/>
      <c r="HP369" s="68"/>
      <c r="HQ369" s="68"/>
      <c r="HR369" s="68"/>
      <c r="HS369" s="68"/>
      <c r="HT369" s="68"/>
      <c r="HU369" s="68"/>
      <c r="HV369" s="68"/>
      <c r="HW369" s="68"/>
      <c r="HX369" s="68"/>
      <c r="HY369" s="68"/>
      <c r="HZ369" s="68"/>
      <c r="IA369" s="68"/>
      <c r="IB369" s="68"/>
      <c r="IC369" s="68"/>
      <c r="ID369" s="68"/>
      <c r="IE369" s="68"/>
      <c r="IF369" s="68"/>
      <c r="IG369" s="68"/>
      <c r="IH369" s="68"/>
      <c r="II369" s="68"/>
      <c r="IJ369" s="68"/>
      <c r="IK369" s="68"/>
      <c r="IL369" s="68"/>
      <c r="IM369" s="68"/>
      <c r="IN369" s="68"/>
      <c r="IO369" s="68"/>
      <c r="IP369" s="68"/>
      <c r="IQ369" s="68"/>
      <c r="IR369" s="68"/>
      <c r="IS369" s="68"/>
      <c r="IT369" s="68"/>
      <c r="IU369" s="68"/>
      <c r="IV369" s="68"/>
      <c r="IW369" s="68"/>
      <c r="IX369" s="68"/>
      <c r="IY369" s="68"/>
    </row>
    <row r="370" spans="2:259" hidden="1" x14ac:dyDescent="0.3"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  <c r="AV370" s="68"/>
      <c r="AW370" s="68"/>
      <c r="AX370" s="68"/>
      <c r="AY370" s="68"/>
      <c r="AZ370" s="68"/>
      <c r="BA370" s="68"/>
      <c r="BB370" s="67"/>
      <c r="BC370" s="67"/>
      <c r="BD370" s="67"/>
      <c r="BE370" s="67"/>
      <c r="BF370" s="67"/>
      <c r="BG370" s="67"/>
      <c r="BH370" s="67"/>
      <c r="BI370" s="67"/>
      <c r="BJ370" s="67"/>
      <c r="BK370" s="67"/>
      <c r="BL370" s="67"/>
      <c r="HB370" s="68"/>
      <c r="HC370" s="68"/>
      <c r="HD370" s="68"/>
      <c r="HE370" s="68"/>
      <c r="HF370" s="68"/>
      <c r="HG370" s="68"/>
      <c r="HH370" s="68"/>
      <c r="HI370" s="68"/>
      <c r="HJ370" s="68"/>
      <c r="HK370" s="68"/>
      <c r="HL370" s="68"/>
      <c r="HM370" s="68"/>
      <c r="HP370" s="68"/>
      <c r="HQ370" s="68"/>
      <c r="HR370" s="68"/>
      <c r="HS370" s="68"/>
      <c r="HT370" s="68"/>
      <c r="HU370" s="68"/>
      <c r="HV370" s="68"/>
      <c r="HW370" s="68"/>
      <c r="HX370" s="68"/>
      <c r="HY370" s="68"/>
      <c r="HZ370" s="68"/>
      <c r="IA370" s="68"/>
      <c r="IB370" s="68"/>
      <c r="IC370" s="68"/>
      <c r="ID370" s="68"/>
      <c r="IE370" s="68"/>
      <c r="IF370" s="68"/>
      <c r="IG370" s="68"/>
      <c r="IH370" s="68"/>
      <c r="II370" s="68"/>
      <c r="IJ370" s="68"/>
      <c r="IK370" s="68"/>
      <c r="IL370" s="68"/>
      <c r="IM370" s="68"/>
      <c r="IN370" s="68"/>
      <c r="IO370" s="68"/>
      <c r="IP370" s="68"/>
      <c r="IQ370" s="68"/>
      <c r="IR370" s="68"/>
      <c r="IS370" s="68"/>
      <c r="IT370" s="68"/>
      <c r="IU370" s="68"/>
      <c r="IV370" s="68"/>
      <c r="IW370" s="68"/>
      <c r="IX370" s="68"/>
      <c r="IY370" s="68"/>
    </row>
    <row r="371" spans="2:259" hidden="1" x14ac:dyDescent="0.3"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  <c r="AV371" s="68"/>
      <c r="AW371" s="68"/>
      <c r="AX371" s="68"/>
      <c r="AY371" s="68"/>
      <c r="AZ371" s="68"/>
      <c r="BA371" s="68"/>
      <c r="BB371" s="67"/>
      <c r="BC371" s="67"/>
      <c r="BD371" s="67"/>
      <c r="BE371" s="67"/>
      <c r="BF371" s="67"/>
      <c r="BG371" s="67"/>
      <c r="BH371" s="67"/>
      <c r="BI371" s="67"/>
      <c r="BJ371" s="67"/>
      <c r="BK371" s="67"/>
      <c r="BL371" s="67"/>
      <c r="HB371" s="68"/>
      <c r="HC371" s="68"/>
      <c r="HD371" s="68"/>
      <c r="HE371" s="68"/>
      <c r="HF371" s="68"/>
      <c r="HG371" s="68"/>
      <c r="HH371" s="68"/>
      <c r="HI371" s="68"/>
      <c r="HJ371" s="68"/>
      <c r="HK371" s="68"/>
      <c r="HL371" s="68"/>
      <c r="HM371" s="68"/>
      <c r="HP371" s="68"/>
      <c r="HQ371" s="68"/>
      <c r="HR371" s="68"/>
      <c r="HS371" s="68"/>
      <c r="HT371" s="68"/>
      <c r="HU371" s="68"/>
      <c r="HV371" s="68"/>
      <c r="HW371" s="68"/>
      <c r="HX371" s="68"/>
      <c r="HY371" s="68"/>
      <c r="HZ371" s="68"/>
      <c r="IA371" s="68"/>
      <c r="IB371" s="68"/>
      <c r="IC371" s="68"/>
      <c r="ID371" s="68"/>
      <c r="IE371" s="68"/>
      <c r="IF371" s="68"/>
      <c r="IG371" s="68"/>
      <c r="IH371" s="68"/>
      <c r="II371" s="68"/>
      <c r="IJ371" s="68"/>
      <c r="IK371" s="68"/>
      <c r="IL371" s="68"/>
      <c r="IM371" s="68"/>
      <c r="IN371" s="68"/>
      <c r="IO371" s="68"/>
      <c r="IP371" s="68"/>
      <c r="IQ371" s="68"/>
      <c r="IR371" s="68"/>
      <c r="IS371" s="68"/>
      <c r="IT371" s="68"/>
      <c r="IU371" s="68"/>
      <c r="IV371" s="68"/>
      <c r="IW371" s="68"/>
      <c r="IX371" s="68"/>
      <c r="IY371" s="68"/>
    </row>
    <row r="372" spans="2:259" hidden="1" x14ac:dyDescent="0.3"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  <c r="AV372" s="68"/>
      <c r="AW372" s="68"/>
      <c r="AX372" s="68"/>
      <c r="AY372" s="68"/>
      <c r="AZ372" s="68"/>
      <c r="BA372" s="68"/>
      <c r="BB372" s="67"/>
      <c r="BC372" s="67"/>
      <c r="BD372" s="67"/>
      <c r="BE372" s="67"/>
      <c r="BF372" s="67"/>
      <c r="BG372" s="67"/>
      <c r="BH372" s="67"/>
      <c r="BI372" s="67"/>
      <c r="BJ372" s="67"/>
      <c r="BK372" s="67"/>
      <c r="BL372" s="67"/>
      <c r="HB372" s="68"/>
      <c r="HC372" s="68"/>
      <c r="HD372" s="68"/>
      <c r="HE372" s="68"/>
      <c r="HF372" s="68"/>
      <c r="HG372" s="68"/>
      <c r="HH372" s="68"/>
      <c r="HI372" s="68"/>
      <c r="HJ372" s="68"/>
      <c r="HK372" s="68"/>
      <c r="HL372" s="68"/>
      <c r="HM372" s="68"/>
      <c r="HP372" s="68"/>
      <c r="HQ372" s="68"/>
      <c r="HR372" s="68"/>
      <c r="HS372" s="68"/>
      <c r="HT372" s="68"/>
      <c r="HU372" s="68"/>
      <c r="HV372" s="68"/>
      <c r="HW372" s="68"/>
      <c r="HX372" s="68"/>
      <c r="HY372" s="68"/>
      <c r="HZ372" s="68"/>
      <c r="IA372" s="68"/>
      <c r="IB372" s="68"/>
      <c r="IC372" s="68"/>
      <c r="ID372" s="68"/>
      <c r="IE372" s="68"/>
      <c r="IF372" s="68"/>
      <c r="IG372" s="68"/>
      <c r="IH372" s="68"/>
      <c r="II372" s="68"/>
      <c r="IJ372" s="68"/>
      <c r="IK372" s="68"/>
      <c r="IL372" s="68"/>
      <c r="IM372" s="68"/>
      <c r="IN372" s="68"/>
      <c r="IO372" s="68"/>
      <c r="IP372" s="68"/>
      <c r="IQ372" s="68"/>
      <c r="IR372" s="68"/>
      <c r="IS372" s="68"/>
      <c r="IT372" s="68"/>
      <c r="IU372" s="68"/>
      <c r="IV372" s="68"/>
      <c r="IW372" s="68"/>
      <c r="IX372" s="68"/>
      <c r="IY372" s="68"/>
    </row>
    <row r="373" spans="2:259" hidden="1" x14ac:dyDescent="0.3"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  <c r="AV373" s="68"/>
      <c r="AW373" s="68"/>
      <c r="AX373" s="68"/>
      <c r="AY373" s="68"/>
      <c r="AZ373" s="68"/>
      <c r="BA373" s="68"/>
      <c r="BB373" s="67"/>
      <c r="BC373" s="67"/>
      <c r="BD373" s="67"/>
      <c r="BE373" s="67"/>
      <c r="BF373" s="67"/>
      <c r="BG373" s="67"/>
      <c r="BH373" s="67"/>
      <c r="BI373" s="67"/>
      <c r="BJ373" s="67"/>
      <c r="BK373" s="67"/>
      <c r="BL373" s="67"/>
      <c r="HB373" s="68"/>
      <c r="HC373" s="68"/>
      <c r="HD373" s="68"/>
      <c r="HE373" s="68"/>
      <c r="HF373" s="68"/>
      <c r="HG373" s="68"/>
      <c r="HH373" s="68"/>
      <c r="HI373" s="68"/>
      <c r="HJ373" s="68"/>
      <c r="HK373" s="68"/>
      <c r="HL373" s="68"/>
      <c r="HM373" s="68"/>
      <c r="HP373" s="68"/>
      <c r="HQ373" s="68"/>
      <c r="HR373" s="68"/>
      <c r="HS373" s="68"/>
      <c r="HT373" s="68"/>
      <c r="HU373" s="68"/>
      <c r="HV373" s="68"/>
      <c r="HW373" s="68"/>
      <c r="HX373" s="68"/>
      <c r="HY373" s="68"/>
      <c r="HZ373" s="68"/>
      <c r="IA373" s="68"/>
      <c r="IB373" s="68"/>
      <c r="IC373" s="68"/>
      <c r="ID373" s="68"/>
      <c r="IE373" s="68"/>
      <c r="IF373" s="68"/>
      <c r="IG373" s="68"/>
      <c r="IH373" s="68"/>
      <c r="II373" s="68"/>
      <c r="IJ373" s="68"/>
      <c r="IK373" s="68"/>
      <c r="IL373" s="68"/>
      <c r="IM373" s="68"/>
      <c r="IN373" s="68"/>
      <c r="IO373" s="68"/>
      <c r="IP373" s="68"/>
      <c r="IQ373" s="68"/>
      <c r="IR373" s="68"/>
      <c r="IS373" s="68"/>
      <c r="IT373" s="68"/>
      <c r="IU373" s="68"/>
      <c r="IV373" s="68"/>
      <c r="IW373" s="68"/>
      <c r="IX373" s="68"/>
      <c r="IY373" s="68"/>
    </row>
    <row r="374" spans="2:259" hidden="1" x14ac:dyDescent="0.3"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  <c r="AV374" s="68"/>
      <c r="AW374" s="68"/>
      <c r="AX374" s="68"/>
      <c r="AY374" s="68"/>
      <c r="AZ374" s="68"/>
      <c r="BA374" s="68"/>
      <c r="BB374" s="67"/>
      <c r="BC374" s="67"/>
      <c r="BD374" s="67"/>
      <c r="BE374" s="67"/>
      <c r="BF374" s="67"/>
      <c r="BG374" s="67"/>
      <c r="BH374" s="67"/>
      <c r="BI374" s="67"/>
      <c r="BJ374" s="67"/>
      <c r="BK374" s="67"/>
      <c r="BL374" s="67"/>
      <c r="HB374" s="68"/>
      <c r="HC374" s="68"/>
      <c r="HD374" s="68"/>
      <c r="HE374" s="68"/>
      <c r="HF374" s="68"/>
      <c r="HG374" s="68"/>
      <c r="HH374" s="68"/>
      <c r="HI374" s="68"/>
      <c r="HJ374" s="68"/>
      <c r="HK374" s="68"/>
      <c r="HL374" s="68"/>
      <c r="HM374" s="68"/>
      <c r="HP374" s="68"/>
      <c r="HQ374" s="68"/>
      <c r="HR374" s="68"/>
      <c r="HS374" s="68"/>
      <c r="HT374" s="68"/>
      <c r="HU374" s="68"/>
      <c r="HV374" s="68"/>
      <c r="HW374" s="68"/>
      <c r="HX374" s="68"/>
      <c r="HY374" s="68"/>
      <c r="HZ374" s="68"/>
      <c r="IA374" s="68"/>
      <c r="IB374" s="68"/>
      <c r="IC374" s="68"/>
      <c r="ID374" s="68"/>
      <c r="IE374" s="68"/>
      <c r="IF374" s="68"/>
      <c r="IG374" s="68"/>
      <c r="IH374" s="68"/>
      <c r="II374" s="68"/>
      <c r="IJ374" s="68"/>
      <c r="IK374" s="68"/>
      <c r="IL374" s="68"/>
      <c r="IM374" s="68"/>
      <c r="IN374" s="68"/>
      <c r="IO374" s="68"/>
      <c r="IP374" s="68"/>
      <c r="IQ374" s="68"/>
      <c r="IR374" s="68"/>
      <c r="IS374" s="68"/>
      <c r="IT374" s="68"/>
      <c r="IU374" s="68"/>
      <c r="IV374" s="68"/>
      <c r="IW374" s="68"/>
      <c r="IX374" s="68"/>
      <c r="IY374" s="68"/>
    </row>
    <row r="375" spans="2:259" hidden="1" x14ac:dyDescent="0.3"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  <c r="AV375" s="68"/>
      <c r="AW375" s="68"/>
      <c r="AX375" s="68"/>
      <c r="AY375" s="68"/>
      <c r="AZ375" s="68"/>
      <c r="BA375" s="68"/>
      <c r="BB375" s="67"/>
      <c r="BC375" s="67"/>
      <c r="BD375" s="67"/>
      <c r="BE375" s="67"/>
      <c r="BF375" s="67"/>
      <c r="BG375" s="67"/>
      <c r="BH375" s="67"/>
      <c r="BI375" s="67"/>
      <c r="BJ375" s="67"/>
      <c r="BK375" s="67"/>
      <c r="BL375" s="67"/>
      <c r="HB375" s="68"/>
      <c r="HC375" s="68"/>
      <c r="HD375" s="68"/>
      <c r="HE375" s="68"/>
      <c r="HF375" s="68"/>
      <c r="HG375" s="68"/>
      <c r="HH375" s="68"/>
      <c r="HI375" s="68"/>
      <c r="HJ375" s="68"/>
      <c r="HK375" s="68"/>
      <c r="HL375" s="68"/>
      <c r="HM375" s="68"/>
      <c r="HP375" s="68"/>
      <c r="HQ375" s="68"/>
      <c r="HR375" s="68"/>
      <c r="HS375" s="68"/>
      <c r="HT375" s="68"/>
      <c r="HU375" s="68"/>
      <c r="HV375" s="68"/>
      <c r="HW375" s="68"/>
      <c r="HX375" s="68"/>
      <c r="HY375" s="68"/>
      <c r="HZ375" s="68"/>
      <c r="IA375" s="68"/>
      <c r="IB375" s="68"/>
      <c r="IC375" s="68"/>
      <c r="ID375" s="68"/>
      <c r="IE375" s="68"/>
      <c r="IF375" s="68"/>
      <c r="IG375" s="68"/>
      <c r="IH375" s="68"/>
      <c r="II375" s="68"/>
      <c r="IJ375" s="68"/>
      <c r="IK375" s="68"/>
      <c r="IL375" s="68"/>
      <c r="IM375" s="68"/>
      <c r="IN375" s="68"/>
      <c r="IO375" s="68"/>
      <c r="IP375" s="68"/>
      <c r="IQ375" s="68"/>
      <c r="IR375" s="68"/>
      <c r="IS375" s="68"/>
      <c r="IT375" s="68"/>
      <c r="IU375" s="68"/>
      <c r="IV375" s="68"/>
      <c r="IW375" s="68"/>
      <c r="IX375" s="68"/>
      <c r="IY375" s="68"/>
    </row>
    <row r="376" spans="2:259" hidden="1" x14ac:dyDescent="0.3"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  <c r="AV376" s="68"/>
      <c r="AW376" s="68"/>
      <c r="AX376" s="68"/>
      <c r="AY376" s="68"/>
      <c r="AZ376" s="68"/>
      <c r="BA376" s="68"/>
      <c r="BB376" s="67"/>
      <c r="BC376" s="67"/>
      <c r="BD376" s="67"/>
      <c r="BE376" s="67"/>
      <c r="BF376" s="67"/>
      <c r="BG376" s="67"/>
      <c r="BH376" s="67"/>
      <c r="BI376" s="67"/>
      <c r="BJ376" s="67"/>
      <c r="BK376" s="67"/>
      <c r="BL376" s="67"/>
      <c r="HB376" s="68"/>
      <c r="HC376" s="68"/>
      <c r="HD376" s="68"/>
      <c r="HE376" s="68"/>
      <c r="HF376" s="68"/>
      <c r="HG376" s="68"/>
      <c r="HH376" s="68"/>
      <c r="HI376" s="68"/>
      <c r="HJ376" s="68"/>
      <c r="HK376" s="68"/>
      <c r="HL376" s="68"/>
      <c r="HM376" s="68"/>
      <c r="HP376" s="68"/>
      <c r="HQ376" s="68"/>
      <c r="HR376" s="68"/>
      <c r="HS376" s="68"/>
      <c r="HT376" s="68"/>
      <c r="HU376" s="68"/>
      <c r="HV376" s="68"/>
      <c r="HW376" s="68"/>
      <c r="HX376" s="68"/>
      <c r="HY376" s="68"/>
      <c r="HZ376" s="68"/>
      <c r="IA376" s="68"/>
      <c r="IB376" s="68"/>
      <c r="IC376" s="68"/>
      <c r="ID376" s="68"/>
      <c r="IE376" s="68"/>
      <c r="IF376" s="68"/>
      <c r="IG376" s="68"/>
      <c r="IH376" s="68"/>
      <c r="II376" s="68"/>
      <c r="IJ376" s="68"/>
      <c r="IK376" s="68"/>
      <c r="IL376" s="68"/>
      <c r="IM376" s="68"/>
      <c r="IN376" s="68"/>
      <c r="IO376" s="68"/>
      <c r="IP376" s="68"/>
      <c r="IQ376" s="68"/>
      <c r="IR376" s="68"/>
      <c r="IS376" s="68"/>
      <c r="IT376" s="68"/>
      <c r="IU376" s="68"/>
      <c r="IV376" s="68"/>
      <c r="IW376" s="68"/>
      <c r="IX376" s="68"/>
      <c r="IY376" s="68"/>
    </row>
    <row r="377" spans="2:259" hidden="1" x14ac:dyDescent="0.3"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  <c r="AV377" s="68"/>
      <c r="AW377" s="68"/>
      <c r="AX377" s="68"/>
      <c r="AY377" s="68"/>
      <c r="AZ377" s="68"/>
      <c r="BA377" s="68"/>
      <c r="BB377" s="67"/>
      <c r="BC377" s="67"/>
      <c r="BD377" s="67"/>
      <c r="BE377" s="67"/>
      <c r="BF377" s="67"/>
      <c r="BG377" s="67"/>
      <c r="BH377" s="67"/>
      <c r="BI377" s="67"/>
      <c r="BJ377" s="67"/>
      <c r="BK377" s="67"/>
      <c r="BL377" s="67"/>
      <c r="HB377" s="68"/>
      <c r="HC377" s="68"/>
      <c r="HD377" s="68"/>
      <c r="HE377" s="68"/>
      <c r="HF377" s="68"/>
      <c r="HG377" s="68"/>
      <c r="HH377" s="68"/>
      <c r="HI377" s="68"/>
      <c r="HJ377" s="68"/>
      <c r="HK377" s="68"/>
      <c r="HL377" s="68"/>
      <c r="HM377" s="68"/>
      <c r="HP377" s="68"/>
      <c r="HQ377" s="68"/>
      <c r="HR377" s="68"/>
      <c r="HS377" s="68"/>
      <c r="HT377" s="68"/>
      <c r="HU377" s="68"/>
      <c r="HV377" s="68"/>
      <c r="HW377" s="68"/>
      <c r="HX377" s="68"/>
      <c r="HY377" s="68"/>
      <c r="HZ377" s="68"/>
      <c r="IA377" s="68"/>
      <c r="IB377" s="68"/>
      <c r="IC377" s="68"/>
      <c r="ID377" s="68"/>
      <c r="IE377" s="68"/>
      <c r="IF377" s="68"/>
      <c r="IG377" s="68"/>
      <c r="IH377" s="68"/>
      <c r="II377" s="68"/>
      <c r="IJ377" s="68"/>
      <c r="IK377" s="68"/>
      <c r="IL377" s="68"/>
      <c r="IM377" s="68"/>
      <c r="IN377" s="68"/>
      <c r="IO377" s="68"/>
      <c r="IP377" s="68"/>
      <c r="IQ377" s="68"/>
      <c r="IR377" s="68"/>
      <c r="IS377" s="68"/>
      <c r="IT377" s="68"/>
      <c r="IU377" s="68"/>
      <c r="IV377" s="68"/>
      <c r="IW377" s="68"/>
      <c r="IX377" s="68"/>
      <c r="IY377" s="68"/>
    </row>
    <row r="378" spans="2:259" hidden="1" x14ac:dyDescent="0.3"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  <c r="AV378" s="68"/>
      <c r="AW378" s="68"/>
      <c r="AX378" s="68"/>
      <c r="AY378" s="68"/>
      <c r="AZ378" s="68"/>
      <c r="BA378" s="68"/>
      <c r="BB378" s="67"/>
      <c r="BC378" s="67"/>
      <c r="BD378" s="67"/>
      <c r="BE378" s="67"/>
      <c r="BF378" s="67"/>
      <c r="BG378" s="67"/>
      <c r="BH378" s="67"/>
      <c r="BI378" s="67"/>
      <c r="BJ378" s="67"/>
      <c r="BK378" s="67"/>
      <c r="BL378" s="67"/>
      <c r="HB378" s="68"/>
      <c r="HC378" s="68"/>
      <c r="HD378" s="68"/>
      <c r="HE378" s="68"/>
      <c r="HF378" s="68"/>
      <c r="HG378" s="68"/>
      <c r="HH378" s="68"/>
      <c r="HI378" s="68"/>
      <c r="HJ378" s="68"/>
      <c r="HK378" s="68"/>
      <c r="HL378" s="68"/>
      <c r="HM378" s="68"/>
      <c r="HP378" s="68"/>
      <c r="HQ378" s="68"/>
      <c r="HR378" s="68"/>
      <c r="HS378" s="68"/>
      <c r="HT378" s="68"/>
      <c r="HU378" s="68"/>
      <c r="HV378" s="68"/>
      <c r="HW378" s="68"/>
      <c r="HX378" s="68"/>
      <c r="HY378" s="68"/>
      <c r="HZ378" s="68"/>
      <c r="IA378" s="68"/>
      <c r="IB378" s="68"/>
      <c r="IC378" s="68"/>
      <c r="ID378" s="68"/>
      <c r="IE378" s="68"/>
      <c r="IF378" s="68"/>
      <c r="IG378" s="68"/>
      <c r="IH378" s="68"/>
      <c r="II378" s="68"/>
      <c r="IJ378" s="68"/>
      <c r="IK378" s="68"/>
      <c r="IL378" s="68"/>
      <c r="IM378" s="68"/>
      <c r="IN378" s="68"/>
      <c r="IO378" s="68"/>
      <c r="IP378" s="68"/>
      <c r="IQ378" s="68"/>
      <c r="IR378" s="68"/>
      <c r="IS378" s="68"/>
      <c r="IT378" s="68"/>
      <c r="IU378" s="68"/>
      <c r="IV378" s="68"/>
      <c r="IW378" s="68"/>
      <c r="IX378" s="68"/>
      <c r="IY378" s="68"/>
    </row>
    <row r="379" spans="2:259" hidden="1" x14ac:dyDescent="0.3"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  <c r="AV379" s="68"/>
      <c r="AW379" s="68"/>
      <c r="AX379" s="68"/>
      <c r="AY379" s="68"/>
      <c r="AZ379" s="68"/>
      <c r="BA379" s="68"/>
      <c r="BB379" s="67"/>
      <c r="BC379" s="67"/>
      <c r="BD379" s="67"/>
      <c r="BE379" s="67"/>
      <c r="BF379" s="67"/>
      <c r="BG379" s="67"/>
      <c r="BH379" s="67"/>
      <c r="BI379" s="67"/>
      <c r="BJ379" s="67"/>
      <c r="BK379" s="67"/>
      <c r="BL379" s="67"/>
      <c r="HB379" s="68"/>
      <c r="HC379" s="68"/>
      <c r="HD379" s="68"/>
      <c r="HE379" s="68"/>
      <c r="HF379" s="68"/>
      <c r="HG379" s="68"/>
      <c r="HH379" s="68"/>
      <c r="HI379" s="68"/>
      <c r="HJ379" s="68"/>
      <c r="HK379" s="68"/>
      <c r="HL379" s="68"/>
      <c r="HM379" s="68"/>
      <c r="HP379" s="68"/>
      <c r="HQ379" s="68"/>
      <c r="HR379" s="68"/>
      <c r="HS379" s="68"/>
      <c r="HT379" s="68"/>
      <c r="HU379" s="68"/>
      <c r="HV379" s="68"/>
      <c r="HW379" s="68"/>
      <c r="HX379" s="68"/>
      <c r="HY379" s="68"/>
      <c r="HZ379" s="68"/>
      <c r="IA379" s="68"/>
      <c r="IB379" s="68"/>
      <c r="IC379" s="68"/>
      <c r="ID379" s="68"/>
      <c r="IE379" s="68"/>
      <c r="IF379" s="68"/>
      <c r="IG379" s="68"/>
      <c r="IH379" s="68"/>
      <c r="II379" s="68"/>
      <c r="IJ379" s="68"/>
      <c r="IK379" s="68"/>
      <c r="IL379" s="68"/>
      <c r="IM379" s="68"/>
      <c r="IN379" s="68"/>
      <c r="IO379" s="68"/>
      <c r="IP379" s="68"/>
      <c r="IQ379" s="68"/>
      <c r="IR379" s="68"/>
      <c r="IS379" s="68"/>
      <c r="IT379" s="68"/>
      <c r="IU379" s="68"/>
      <c r="IV379" s="68"/>
      <c r="IW379" s="68"/>
      <c r="IX379" s="68"/>
      <c r="IY379" s="68"/>
    </row>
    <row r="380" spans="2:259" hidden="1" x14ac:dyDescent="0.3"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  <c r="AV380" s="68"/>
      <c r="AW380" s="68"/>
      <c r="AX380" s="68"/>
      <c r="AY380" s="68"/>
      <c r="AZ380" s="68"/>
      <c r="BA380" s="68"/>
      <c r="BB380" s="67"/>
      <c r="BC380" s="67"/>
      <c r="BD380" s="67"/>
      <c r="BE380" s="67"/>
      <c r="BF380" s="67"/>
      <c r="BG380" s="67"/>
      <c r="BH380" s="67"/>
      <c r="BI380" s="67"/>
      <c r="BJ380" s="67"/>
      <c r="BK380" s="67"/>
      <c r="BL380" s="67"/>
      <c r="HB380" s="68"/>
      <c r="HC380" s="68"/>
      <c r="HD380" s="68"/>
      <c r="HE380" s="68"/>
      <c r="HF380" s="68"/>
      <c r="HG380" s="68"/>
      <c r="HH380" s="68"/>
      <c r="HI380" s="68"/>
      <c r="HJ380" s="68"/>
      <c r="HK380" s="68"/>
      <c r="HL380" s="68"/>
      <c r="HM380" s="68"/>
      <c r="HP380" s="68"/>
      <c r="HQ380" s="68"/>
      <c r="HR380" s="68"/>
      <c r="HS380" s="68"/>
      <c r="HT380" s="68"/>
      <c r="HU380" s="68"/>
      <c r="HV380" s="68"/>
      <c r="HW380" s="68"/>
      <c r="HX380" s="68"/>
      <c r="HY380" s="68"/>
      <c r="HZ380" s="68"/>
      <c r="IA380" s="68"/>
      <c r="IB380" s="68"/>
      <c r="IC380" s="68"/>
      <c r="ID380" s="68"/>
      <c r="IE380" s="68"/>
      <c r="IF380" s="68"/>
      <c r="IG380" s="68"/>
      <c r="IH380" s="68"/>
      <c r="II380" s="68"/>
      <c r="IJ380" s="68"/>
      <c r="IK380" s="68"/>
      <c r="IL380" s="68"/>
      <c r="IM380" s="68"/>
      <c r="IN380" s="68"/>
      <c r="IO380" s="68"/>
      <c r="IP380" s="68"/>
      <c r="IQ380" s="68"/>
      <c r="IR380" s="68"/>
      <c r="IS380" s="68"/>
      <c r="IT380" s="68"/>
      <c r="IU380" s="68"/>
      <c r="IV380" s="68"/>
      <c r="IW380" s="68"/>
      <c r="IX380" s="68"/>
      <c r="IY380" s="68"/>
    </row>
    <row r="381" spans="2:259" hidden="1" x14ac:dyDescent="0.3"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  <c r="AV381" s="68"/>
      <c r="AW381" s="68"/>
      <c r="AX381" s="68"/>
      <c r="AY381" s="68"/>
      <c r="AZ381" s="68"/>
      <c r="BA381" s="68"/>
      <c r="BB381" s="67"/>
      <c r="BC381" s="67"/>
      <c r="BD381" s="67"/>
      <c r="BE381" s="67"/>
      <c r="BF381" s="67"/>
      <c r="BG381" s="67"/>
      <c r="BH381" s="67"/>
      <c r="BI381" s="67"/>
      <c r="BJ381" s="67"/>
      <c r="BK381" s="67"/>
      <c r="BL381" s="67"/>
      <c r="HB381" s="68"/>
      <c r="HC381" s="68"/>
      <c r="HD381" s="68"/>
      <c r="HE381" s="68"/>
      <c r="HF381" s="68"/>
      <c r="HG381" s="68"/>
      <c r="HH381" s="68"/>
      <c r="HI381" s="68"/>
      <c r="HJ381" s="68"/>
      <c r="HK381" s="68"/>
      <c r="HL381" s="68"/>
      <c r="HM381" s="68"/>
      <c r="HP381" s="68"/>
      <c r="HQ381" s="68"/>
      <c r="HR381" s="68"/>
      <c r="HS381" s="68"/>
      <c r="HT381" s="68"/>
      <c r="HU381" s="68"/>
      <c r="HV381" s="68"/>
      <c r="HW381" s="68"/>
      <c r="HX381" s="68"/>
      <c r="HY381" s="68"/>
      <c r="HZ381" s="68"/>
      <c r="IA381" s="68"/>
      <c r="IB381" s="68"/>
      <c r="IC381" s="68"/>
      <c r="ID381" s="68"/>
      <c r="IE381" s="68"/>
      <c r="IF381" s="68"/>
      <c r="IG381" s="68"/>
      <c r="IH381" s="68"/>
      <c r="II381" s="68"/>
      <c r="IJ381" s="68"/>
      <c r="IK381" s="68"/>
      <c r="IL381" s="68"/>
      <c r="IM381" s="68"/>
      <c r="IN381" s="68"/>
      <c r="IO381" s="68"/>
      <c r="IP381" s="68"/>
      <c r="IQ381" s="68"/>
      <c r="IR381" s="68"/>
      <c r="IS381" s="68"/>
      <c r="IT381" s="68"/>
      <c r="IU381" s="68"/>
      <c r="IV381" s="68"/>
      <c r="IW381" s="68"/>
      <c r="IX381" s="68"/>
      <c r="IY381" s="68"/>
    </row>
    <row r="382" spans="2:259" hidden="1" x14ac:dyDescent="0.3"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  <c r="AV382" s="68"/>
      <c r="AW382" s="68"/>
      <c r="AX382" s="68"/>
      <c r="AY382" s="68"/>
      <c r="AZ382" s="68"/>
      <c r="BA382" s="68"/>
      <c r="BB382" s="67"/>
      <c r="BC382" s="67"/>
      <c r="BD382" s="67"/>
      <c r="BE382" s="67"/>
      <c r="BF382" s="67"/>
      <c r="BG382" s="67"/>
      <c r="BH382" s="67"/>
      <c r="BI382" s="67"/>
      <c r="BJ382" s="67"/>
      <c r="BK382" s="67"/>
      <c r="BL382" s="67"/>
      <c r="HB382" s="68"/>
      <c r="HC382" s="68"/>
      <c r="HD382" s="68"/>
      <c r="HE382" s="68"/>
      <c r="HF382" s="68"/>
      <c r="HG382" s="68"/>
      <c r="HH382" s="68"/>
      <c r="HI382" s="68"/>
      <c r="HJ382" s="68"/>
      <c r="HK382" s="68"/>
      <c r="HL382" s="68"/>
      <c r="HM382" s="68"/>
      <c r="HP382" s="68"/>
      <c r="HQ382" s="68"/>
      <c r="HR382" s="68"/>
      <c r="HS382" s="68"/>
      <c r="HT382" s="68"/>
      <c r="HU382" s="68"/>
      <c r="HV382" s="68"/>
      <c r="HW382" s="68"/>
      <c r="HX382" s="68"/>
      <c r="HY382" s="68"/>
      <c r="HZ382" s="68"/>
      <c r="IA382" s="68"/>
      <c r="IB382" s="68"/>
      <c r="IC382" s="68"/>
      <c r="ID382" s="68"/>
      <c r="IE382" s="68"/>
      <c r="IF382" s="68"/>
      <c r="IG382" s="68"/>
      <c r="IH382" s="68"/>
      <c r="II382" s="68"/>
      <c r="IJ382" s="68"/>
      <c r="IK382" s="68"/>
      <c r="IL382" s="68"/>
      <c r="IM382" s="68"/>
      <c r="IN382" s="68"/>
      <c r="IO382" s="68"/>
      <c r="IP382" s="68"/>
      <c r="IQ382" s="68"/>
      <c r="IR382" s="68"/>
      <c r="IS382" s="68"/>
      <c r="IT382" s="68"/>
      <c r="IU382" s="68"/>
      <c r="IV382" s="68"/>
      <c r="IW382" s="68"/>
      <c r="IX382" s="68"/>
      <c r="IY382" s="68"/>
    </row>
    <row r="383" spans="2:259" hidden="1" x14ac:dyDescent="0.3"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7"/>
      <c r="BC383" s="67"/>
      <c r="BD383" s="67"/>
      <c r="BE383" s="67"/>
      <c r="BF383" s="67"/>
      <c r="BG383" s="67"/>
      <c r="BH383" s="67"/>
      <c r="BI383" s="67"/>
      <c r="BJ383" s="67"/>
      <c r="BK383" s="67"/>
      <c r="BL383" s="67"/>
      <c r="HB383" s="68"/>
      <c r="HC383" s="68"/>
      <c r="HD383" s="68"/>
      <c r="HE383" s="68"/>
      <c r="HF383" s="68"/>
      <c r="HG383" s="68"/>
      <c r="HH383" s="68"/>
      <c r="HI383" s="68"/>
      <c r="HJ383" s="68"/>
      <c r="HK383" s="68"/>
      <c r="HL383" s="68"/>
      <c r="HM383" s="68"/>
      <c r="HP383" s="68"/>
      <c r="HQ383" s="68"/>
      <c r="HR383" s="68"/>
      <c r="HS383" s="68"/>
      <c r="HT383" s="68"/>
      <c r="HU383" s="68"/>
      <c r="HV383" s="68"/>
      <c r="HW383" s="68"/>
      <c r="HX383" s="68"/>
      <c r="HY383" s="68"/>
      <c r="HZ383" s="68"/>
      <c r="IA383" s="68"/>
      <c r="IB383" s="68"/>
      <c r="IC383" s="68"/>
      <c r="ID383" s="68"/>
      <c r="IE383" s="68"/>
      <c r="IF383" s="68"/>
      <c r="IG383" s="68"/>
      <c r="IH383" s="68"/>
      <c r="II383" s="68"/>
      <c r="IJ383" s="68"/>
      <c r="IK383" s="68"/>
      <c r="IL383" s="68"/>
      <c r="IM383" s="68"/>
      <c r="IN383" s="68"/>
      <c r="IO383" s="68"/>
      <c r="IP383" s="68"/>
      <c r="IQ383" s="68"/>
      <c r="IR383" s="68"/>
      <c r="IS383" s="68"/>
      <c r="IT383" s="68"/>
      <c r="IU383" s="68"/>
      <c r="IV383" s="68"/>
      <c r="IW383" s="68"/>
      <c r="IX383" s="68"/>
      <c r="IY383" s="68"/>
    </row>
    <row r="384" spans="2:259" hidden="1" x14ac:dyDescent="0.3"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  <c r="AV384" s="68"/>
      <c r="AW384" s="68"/>
      <c r="AX384" s="68"/>
      <c r="AY384" s="68"/>
      <c r="AZ384" s="68"/>
      <c r="BA384" s="68"/>
      <c r="BB384" s="67"/>
      <c r="BC384" s="67"/>
      <c r="BD384" s="67"/>
      <c r="BE384" s="67"/>
      <c r="BF384" s="67"/>
      <c r="BG384" s="67"/>
      <c r="BH384" s="67"/>
      <c r="BI384" s="67"/>
      <c r="BJ384" s="67"/>
      <c r="BK384" s="67"/>
      <c r="BL384" s="67"/>
      <c r="HB384" s="68"/>
      <c r="HC384" s="68"/>
      <c r="HD384" s="68"/>
      <c r="HE384" s="68"/>
      <c r="HF384" s="68"/>
      <c r="HG384" s="68"/>
      <c r="HH384" s="68"/>
      <c r="HI384" s="68"/>
      <c r="HJ384" s="68"/>
      <c r="HK384" s="68"/>
      <c r="HL384" s="68"/>
      <c r="HM384" s="68"/>
      <c r="HP384" s="68"/>
      <c r="HQ384" s="68"/>
      <c r="HR384" s="68"/>
      <c r="HS384" s="68"/>
      <c r="HT384" s="68"/>
      <c r="HU384" s="68"/>
      <c r="HV384" s="68"/>
      <c r="HW384" s="68"/>
      <c r="HX384" s="68"/>
      <c r="HY384" s="68"/>
      <c r="HZ384" s="68"/>
      <c r="IA384" s="68"/>
      <c r="IB384" s="68"/>
      <c r="IC384" s="68"/>
      <c r="ID384" s="68"/>
      <c r="IE384" s="68"/>
      <c r="IF384" s="68"/>
      <c r="IG384" s="68"/>
      <c r="IH384" s="68"/>
      <c r="II384" s="68"/>
      <c r="IJ384" s="68"/>
      <c r="IK384" s="68"/>
      <c r="IL384" s="68"/>
      <c r="IM384" s="68"/>
      <c r="IN384" s="68"/>
      <c r="IO384" s="68"/>
      <c r="IP384" s="68"/>
      <c r="IQ384" s="68"/>
      <c r="IR384" s="68"/>
      <c r="IS384" s="68"/>
      <c r="IT384" s="68"/>
      <c r="IU384" s="68"/>
      <c r="IV384" s="68"/>
      <c r="IW384" s="68"/>
      <c r="IX384" s="68"/>
      <c r="IY384" s="68"/>
    </row>
    <row r="385" spans="2:259" hidden="1" x14ac:dyDescent="0.3"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  <c r="AV385" s="68"/>
      <c r="AW385" s="68"/>
      <c r="AX385" s="68"/>
      <c r="AY385" s="68"/>
      <c r="AZ385" s="68"/>
      <c r="BA385" s="68"/>
      <c r="BB385" s="67"/>
      <c r="BC385" s="67"/>
      <c r="BD385" s="67"/>
      <c r="BE385" s="67"/>
      <c r="BF385" s="67"/>
      <c r="BG385" s="67"/>
      <c r="BH385" s="67"/>
      <c r="BI385" s="67"/>
      <c r="BJ385" s="67"/>
      <c r="BK385" s="67"/>
      <c r="BL385" s="67"/>
      <c r="HB385" s="68"/>
      <c r="HC385" s="68"/>
      <c r="HD385" s="68"/>
      <c r="HE385" s="68"/>
      <c r="HF385" s="68"/>
      <c r="HG385" s="68"/>
      <c r="HH385" s="68"/>
      <c r="HI385" s="68"/>
      <c r="HJ385" s="68"/>
      <c r="HK385" s="68"/>
      <c r="HL385" s="68"/>
      <c r="HM385" s="68"/>
      <c r="HP385" s="68"/>
      <c r="HQ385" s="68"/>
      <c r="HR385" s="68"/>
      <c r="HS385" s="68"/>
      <c r="HT385" s="68"/>
      <c r="HU385" s="68"/>
      <c r="HV385" s="68"/>
      <c r="HW385" s="68"/>
      <c r="HX385" s="68"/>
      <c r="HY385" s="68"/>
      <c r="HZ385" s="68"/>
      <c r="IA385" s="68"/>
      <c r="IB385" s="68"/>
      <c r="IC385" s="68"/>
      <c r="ID385" s="68"/>
      <c r="IE385" s="68"/>
      <c r="IF385" s="68"/>
      <c r="IG385" s="68"/>
      <c r="IH385" s="68"/>
      <c r="II385" s="68"/>
      <c r="IJ385" s="68"/>
      <c r="IK385" s="68"/>
      <c r="IL385" s="68"/>
      <c r="IM385" s="68"/>
      <c r="IN385" s="68"/>
      <c r="IO385" s="68"/>
      <c r="IP385" s="68"/>
      <c r="IQ385" s="68"/>
      <c r="IR385" s="68"/>
      <c r="IS385" s="68"/>
      <c r="IT385" s="68"/>
      <c r="IU385" s="68"/>
      <c r="IV385" s="68"/>
      <c r="IW385" s="68"/>
      <c r="IX385" s="68"/>
      <c r="IY385" s="68"/>
    </row>
    <row r="386" spans="2:259" hidden="1" x14ac:dyDescent="0.3"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  <c r="AV386" s="68"/>
      <c r="AW386" s="68"/>
      <c r="AX386" s="68"/>
      <c r="AY386" s="68"/>
      <c r="AZ386" s="68"/>
      <c r="BA386" s="68"/>
      <c r="BB386" s="67"/>
      <c r="BC386" s="67"/>
      <c r="BD386" s="67"/>
      <c r="BE386" s="67"/>
      <c r="BF386" s="67"/>
      <c r="BG386" s="67"/>
      <c r="BH386" s="67"/>
      <c r="BI386" s="67"/>
      <c r="BJ386" s="67"/>
      <c r="BK386" s="67"/>
      <c r="BL386" s="67"/>
      <c r="HB386" s="68"/>
      <c r="HC386" s="68"/>
      <c r="HD386" s="68"/>
      <c r="HE386" s="68"/>
      <c r="HF386" s="68"/>
      <c r="HG386" s="68"/>
      <c r="HH386" s="68"/>
      <c r="HI386" s="68"/>
      <c r="HJ386" s="68"/>
      <c r="HK386" s="68"/>
      <c r="HL386" s="68"/>
      <c r="HM386" s="68"/>
      <c r="HP386" s="68"/>
      <c r="HQ386" s="68"/>
      <c r="HR386" s="68"/>
      <c r="HS386" s="68"/>
      <c r="HT386" s="68"/>
      <c r="HU386" s="68"/>
      <c r="HV386" s="68"/>
      <c r="HW386" s="68"/>
      <c r="HX386" s="68"/>
      <c r="HY386" s="68"/>
      <c r="HZ386" s="68"/>
      <c r="IA386" s="68"/>
      <c r="IB386" s="68"/>
      <c r="IC386" s="68"/>
      <c r="ID386" s="68"/>
      <c r="IE386" s="68"/>
      <c r="IF386" s="68"/>
      <c r="IG386" s="68"/>
      <c r="IH386" s="68"/>
      <c r="II386" s="68"/>
      <c r="IJ386" s="68"/>
      <c r="IK386" s="68"/>
      <c r="IL386" s="68"/>
      <c r="IM386" s="68"/>
      <c r="IN386" s="68"/>
      <c r="IO386" s="68"/>
      <c r="IP386" s="68"/>
      <c r="IQ386" s="68"/>
      <c r="IR386" s="68"/>
      <c r="IS386" s="68"/>
      <c r="IT386" s="68"/>
      <c r="IU386" s="68"/>
      <c r="IV386" s="68"/>
      <c r="IW386" s="68"/>
      <c r="IX386" s="68"/>
      <c r="IY386" s="68"/>
    </row>
    <row r="387" spans="2:259" hidden="1" x14ac:dyDescent="0.3"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  <c r="AV387" s="68"/>
      <c r="AW387" s="68"/>
      <c r="AX387" s="68"/>
      <c r="AY387" s="68"/>
      <c r="AZ387" s="68"/>
      <c r="BA387" s="68"/>
      <c r="BB387" s="67"/>
      <c r="BC387" s="67"/>
      <c r="BD387" s="67"/>
      <c r="BE387" s="67"/>
      <c r="BF387" s="67"/>
      <c r="BG387" s="67"/>
      <c r="BH387" s="67"/>
      <c r="BI387" s="67"/>
      <c r="BJ387" s="67"/>
      <c r="BK387" s="67"/>
      <c r="BL387" s="67"/>
      <c r="HB387" s="68"/>
      <c r="HC387" s="68"/>
      <c r="HD387" s="68"/>
      <c r="HE387" s="68"/>
      <c r="HF387" s="68"/>
      <c r="HG387" s="68"/>
      <c r="HH387" s="68"/>
      <c r="HI387" s="68"/>
      <c r="HJ387" s="68"/>
      <c r="HK387" s="68"/>
      <c r="HL387" s="68"/>
      <c r="HM387" s="68"/>
      <c r="HP387" s="68"/>
      <c r="HQ387" s="68"/>
      <c r="HR387" s="68"/>
      <c r="HS387" s="68"/>
      <c r="HT387" s="68"/>
      <c r="HU387" s="68"/>
      <c r="HV387" s="68"/>
      <c r="HW387" s="68"/>
      <c r="HX387" s="68"/>
      <c r="HY387" s="68"/>
      <c r="HZ387" s="68"/>
      <c r="IA387" s="68"/>
      <c r="IB387" s="68"/>
      <c r="IC387" s="68"/>
      <c r="ID387" s="68"/>
      <c r="IE387" s="68"/>
      <c r="IF387" s="68"/>
      <c r="IG387" s="68"/>
      <c r="IH387" s="68"/>
      <c r="II387" s="68"/>
      <c r="IJ387" s="68"/>
      <c r="IK387" s="68"/>
      <c r="IL387" s="68"/>
      <c r="IM387" s="68"/>
      <c r="IN387" s="68"/>
      <c r="IO387" s="68"/>
      <c r="IP387" s="68"/>
      <c r="IQ387" s="68"/>
      <c r="IR387" s="68"/>
      <c r="IS387" s="68"/>
      <c r="IT387" s="68"/>
      <c r="IU387" s="68"/>
      <c r="IV387" s="68"/>
      <c r="IW387" s="68"/>
      <c r="IX387" s="68"/>
      <c r="IY387" s="68"/>
    </row>
    <row r="388" spans="2:259" hidden="1" x14ac:dyDescent="0.3"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  <c r="AV388" s="68"/>
      <c r="AW388" s="68"/>
      <c r="AX388" s="68"/>
      <c r="AY388" s="68"/>
      <c r="AZ388" s="68"/>
      <c r="BA388" s="68"/>
      <c r="BB388" s="67"/>
      <c r="BC388" s="67"/>
      <c r="BD388" s="67"/>
      <c r="BE388" s="67"/>
      <c r="BF388" s="67"/>
      <c r="BG388" s="67"/>
      <c r="BH388" s="67"/>
      <c r="BI388" s="67"/>
      <c r="BJ388" s="67"/>
      <c r="BK388" s="67"/>
      <c r="BL388" s="67"/>
      <c r="HB388" s="68"/>
      <c r="HC388" s="68"/>
      <c r="HD388" s="68"/>
      <c r="HE388" s="68"/>
      <c r="HF388" s="68"/>
      <c r="HG388" s="68"/>
      <c r="HH388" s="68"/>
      <c r="HI388" s="68"/>
      <c r="HJ388" s="68"/>
      <c r="HK388" s="68"/>
      <c r="HL388" s="68"/>
      <c r="HM388" s="68"/>
      <c r="HP388" s="68"/>
      <c r="HQ388" s="68"/>
      <c r="HR388" s="68"/>
      <c r="HS388" s="68"/>
      <c r="HT388" s="68"/>
      <c r="HU388" s="68"/>
      <c r="HV388" s="68"/>
      <c r="HW388" s="68"/>
      <c r="HX388" s="68"/>
      <c r="HY388" s="68"/>
      <c r="HZ388" s="68"/>
      <c r="IA388" s="68"/>
      <c r="IB388" s="68"/>
      <c r="IC388" s="68"/>
      <c r="ID388" s="68"/>
      <c r="IE388" s="68"/>
      <c r="IF388" s="68"/>
      <c r="IG388" s="68"/>
      <c r="IH388" s="68"/>
      <c r="II388" s="68"/>
      <c r="IJ388" s="68"/>
      <c r="IK388" s="68"/>
      <c r="IL388" s="68"/>
      <c r="IM388" s="68"/>
      <c r="IN388" s="68"/>
      <c r="IO388" s="68"/>
      <c r="IP388" s="68"/>
      <c r="IQ388" s="68"/>
      <c r="IR388" s="68"/>
      <c r="IS388" s="68"/>
      <c r="IT388" s="68"/>
      <c r="IU388" s="68"/>
      <c r="IV388" s="68"/>
      <c r="IW388" s="68"/>
      <c r="IX388" s="68"/>
      <c r="IY388" s="68"/>
    </row>
    <row r="389" spans="2:259" hidden="1" x14ac:dyDescent="0.3"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  <c r="AV389" s="68"/>
      <c r="AW389" s="68"/>
      <c r="AX389" s="68"/>
      <c r="AY389" s="68"/>
      <c r="AZ389" s="68"/>
      <c r="BA389" s="68"/>
      <c r="BB389" s="67"/>
      <c r="BC389" s="67"/>
      <c r="BD389" s="67"/>
      <c r="BE389" s="67"/>
      <c r="BF389" s="67"/>
      <c r="BG389" s="67"/>
      <c r="BH389" s="67"/>
      <c r="BI389" s="67"/>
      <c r="BJ389" s="67"/>
      <c r="BK389" s="67"/>
      <c r="BL389" s="67"/>
      <c r="HB389" s="68"/>
      <c r="HC389" s="68"/>
      <c r="HD389" s="68"/>
      <c r="HE389" s="68"/>
      <c r="HF389" s="68"/>
      <c r="HG389" s="68"/>
      <c r="HH389" s="68"/>
      <c r="HI389" s="68"/>
      <c r="HJ389" s="68"/>
      <c r="HK389" s="68"/>
      <c r="HL389" s="68"/>
      <c r="HM389" s="68"/>
      <c r="HP389" s="68"/>
      <c r="HQ389" s="68"/>
      <c r="HR389" s="68"/>
      <c r="HS389" s="68"/>
      <c r="HT389" s="68"/>
      <c r="HU389" s="68"/>
      <c r="HV389" s="68"/>
      <c r="HW389" s="68"/>
      <c r="HX389" s="68"/>
      <c r="HY389" s="68"/>
      <c r="HZ389" s="68"/>
      <c r="IA389" s="68"/>
      <c r="IB389" s="68"/>
      <c r="IC389" s="68"/>
      <c r="ID389" s="68"/>
      <c r="IE389" s="68"/>
      <c r="IF389" s="68"/>
      <c r="IG389" s="68"/>
      <c r="IH389" s="68"/>
      <c r="II389" s="68"/>
      <c r="IJ389" s="68"/>
      <c r="IK389" s="68"/>
      <c r="IL389" s="68"/>
      <c r="IM389" s="68"/>
      <c r="IN389" s="68"/>
      <c r="IO389" s="68"/>
      <c r="IP389" s="68"/>
      <c r="IQ389" s="68"/>
      <c r="IR389" s="68"/>
      <c r="IS389" s="68"/>
      <c r="IT389" s="68"/>
      <c r="IU389" s="68"/>
      <c r="IV389" s="68"/>
      <c r="IW389" s="68"/>
      <c r="IX389" s="68"/>
      <c r="IY389" s="68"/>
    </row>
    <row r="390" spans="2:259" hidden="1" x14ac:dyDescent="0.3"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  <c r="AV390" s="68"/>
      <c r="AW390" s="68"/>
      <c r="AX390" s="68"/>
      <c r="AY390" s="68"/>
      <c r="AZ390" s="68"/>
      <c r="BA390" s="68"/>
      <c r="BB390" s="67"/>
      <c r="BC390" s="67"/>
      <c r="BD390" s="67"/>
      <c r="BE390" s="67"/>
      <c r="BF390" s="67"/>
      <c r="BG390" s="67"/>
      <c r="BH390" s="67"/>
      <c r="BI390" s="67"/>
      <c r="BJ390" s="67"/>
      <c r="BK390" s="67"/>
      <c r="BL390" s="67"/>
      <c r="HB390" s="68"/>
      <c r="HC390" s="68"/>
      <c r="HD390" s="68"/>
      <c r="HE390" s="68"/>
      <c r="HF390" s="68"/>
      <c r="HG390" s="68"/>
      <c r="HH390" s="68"/>
      <c r="HI390" s="68"/>
      <c r="HJ390" s="68"/>
      <c r="HK390" s="68"/>
      <c r="HL390" s="68"/>
      <c r="HM390" s="68"/>
      <c r="HP390" s="68"/>
      <c r="HQ390" s="68"/>
      <c r="HR390" s="68"/>
      <c r="HS390" s="68"/>
      <c r="HT390" s="68"/>
      <c r="HU390" s="68"/>
      <c r="HV390" s="68"/>
      <c r="HW390" s="68"/>
      <c r="HX390" s="68"/>
      <c r="HY390" s="68"/>
      <c r="HZ390" s="68"/>
      <c r="IA390" s="68"/>
      <c r="IB390" s="68"/>
      <c r="IC390" s="68"/>
      <c r="ID390" s="68"/>
      <c r="IE390" s="68"/>
      <c r="IF390" s="68"/>
      <c r="IG390" s="68"/>
      <c r="IH390" s="68"/>
      <c r="II390" s="68"/>
      <c r="IJ390" s="68"/>
      <c r="IK390" s="68"/>
      <c r="IL390" s="68"/>
      <c r="IM390" s="68"/>
      <c r="IN390" s="68"/>
      <c r="IO390" s="68"/>
      <c r="IP390" s="68"/>
      <c r="IQ390" s="68"/>
      <c r="IR390" s="68"/>
      <c r="IS390" s="68"/>
      <c r="IT390" s="68"/>
      <c r="IU390" s="68"/>
      <c r="IV390" s="68"/>
      <c r="IW390" s="68"/>
      <c r="IX390" s="68"/>
      <c r="IY390" s="68"/>
    </row>
    <row r="391" spans="2:259" hidden="1" x14ac:dyDescent="0.3"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  <c r="AV391" s="68"/>
      <c r="AW391" s="68"/>
      <c r="AX391" s="68"/>
      <c r="AY391" s="68"/>
      <c r="AZ391" s="68"/>
      <c r="BA391" s="68"/>
      <c r="BB391" s="67"/>
      <c r="BC391" s="67"/>
      <c r="BD391" s="67"/>
      <c r="BE391" s="67"/>
      <c r="BF391" s="67"/>
      <c r="BG391" s="67"/>
      <c r="BH391" s="67"/>
      <c r="BI391" s="67"/>
      <c r="BJ391" s="67"/>
      <c r="BK391" s="67"/>
      <c r="BL391" s="67"/>
      <c r="HB391" s="68"/>
      <c r="HC391" s="68"/>
      <c r="HD391" s="68"/>
      <c r="HE391" s="68"/>
      <c r="HF391" s="68"/>
      <c r="HG391" s="68"/>
      <c r="HH391" s="68"/>
      <c r="HI391" s="68"/>
      <c r="HJ391" s="68"/>
      <c r="HK391" s="68"/>
      <c r="HL391" s="68"/>
      <c r="HM391" s="68"/>
      <c r="HP391" s="68"/>
      <c r="HQ391" s="68"/>
      <c r="HR391" s="68"/>
      <c r="HS391" s="68"/>
      <c r="HT391" s="68"/>
      <c r="HU391" s="68"/>
      <c r="HV391" s="68"/>
      <c r="HW391" s="68"/>
      <c r="HX391" s="68"/>
      <c r="HY391" s="68"/>
      <c r="HZ391" s="68"/>
      <c r="IA391" s="68"/>
      <c r="IB391" s="68"/>
      <c r="IC391" s="68"/>
      <c r="ID391" s="68"/>
      <c r="IE391" s="68"/>
      <c r="IF391" s="68"/>
      <c r="IG391" s="68"/>
      <c r="IH391" s="68"/>
      <c r="II391" s="68"/>
      <c r="IJ391" s="68"/>
      <c r="IK391" s="68"/>
      <c r="IL391" s="68"/>
      <c r="IM391" s="68"/>
      <c r="IN391" s="68"/>
      <c r="IO391" s="68"/>
      <c r="IP391" s="68"/>
      <c r="IQ391" s="68"/>
      <c r="IR391" s="68"/>
      <c r="IS391" s="68"/>
      <c r="IT391" s="68"/>
      <c r="IU391" s="68"/>
      <c r="IV391" s="68"/>
      <c r="IW391" s="68"/>
      <c r="IX391" s="68"/>
      <c r="IY391" s="68"/>
    </row>
    <row r="392" spans="2:259" hidden="1" x14ac:dyDescent="0.3"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  <c r="AV392" s="68"/>
      <c r="AW392" s="68"/>
      <c r="AX392" s="68"/>
      <c r="AY392" s="68"/>
      <c r="AZ392" s="68"/>
      <c r="BA392" s="68"/>
      <c r="BB392" s="67"/>
      <c r="BC392" s="67"/>
      <c r="BD392" s="67"/>
      <c r="BE392" s="67"/>
      <c r="BF392" s="67"/>
      <c r="BG392" s="67"/>
      <c r="BH392" s="67"/>
      <c r="BI392" s="67"/>
      <c r="BJ392" s="67"/>
      <c r="BK392" s="67"/>
      <c r="BL392" s="67"/>
      <c r="HB392" s="68"/>
      <c r="HC392" s="68"/>
      <c r="HD392" s="68"/>
      <c r="HE392" s="68"/>
      <c r="HF392" s="68"/>
      <c r="HG392" s="68"/>
      <c r="HH392" s="68"/>
      <c r="HI392" s="68"/>
      <c r="HJ392" s="68"/>
      <c r="HK392" s="68"/>
      <c r="HL392" s="68"/>
      <c r="HM392" s="68"/>
      <c r="HP392" s="68"/>
      <c r="HQ392" s="68"/>
      <c r="HR392" s="68"/>
      <c r="HS392" s="68"/>
      <c r="HT392" s="68"/>
      <c r="HU392" s="68"/>
      <c r="HV392" s="68"/>
      <c r="HW392" s="68"/>
      <c r="HX392" s="68"/>
      <c r="HY392" s="68"/>
      <c r="HZ392" s="68"/>
      <c r="IA392" s="68"/>
      <c r="IB392" s="68"/>
      <c r="IC392" s="68"/>
      <c r="ID392" s="68"/>
      <c r="IE392" s="68"/>
      <c r="IF392" s="68"/>
      <c r="IG392" s="68"/>
      <c r="IH392" s="68"/>
      <c r="II392" s="68"/>
      <c r="IJ392" s="68"/>
      <c r="IK392" s="68"/>
      <c r="IL392" s="68"/>
      <c r="IM392" s="68"/>
      <c r="IN392" s="68"/>
      <c r="IO392" s="68"/>
      <c r="IP392" s="68"/>
      <c r="IQ392" s="68"/>
      <c r="IR392" s="68"/>
      <c r="IS392" s="68"/>
      <c r="IT392" s="68"/>
      <c r="IU392" s="68"/>
      <c r="IV392" s="68"/>
      <c r="IW392" s="68"/>
      <c r="IX392" s="68"/>
      <c r="IY392" s="68"/>
    </row>
    <row r="393" spans="2:259" hidden="1" x14ac:dyDescent="0.3"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  <c r="AV393" s="68"/>
      <c r="AW393" s="68"/>
      <c r="AX393" s="68"/>
      <c r="AY393" s="68"/>
      <c r="AZ393" s="68"/>
      <c r="BA393" s="68"/>
      <c r="BB393" s="67"/>
      <c r="BC393" s="67"/>
      <c r="BD393" s="67"/>
      <c r="BE393" s="67"/>
      <c r="BF393" s="67"/>
      <c r="BG393" s="67"/>
      <c r="BH393" s="67"/>
      <c r="BI393" s="67"/>
      <c r="BJ393" s="67"/>
      <c r="BK393" s="67"/>
      <c r="BL393" s="67"/>
      <c r="HB393" s="68"/>
      <c r="HC393" s="68"/>
      <c r="HD393" s="68"/>
      <c r="HE393" s="68"/>
      <c r="HF393" s="68"/>
      <c r="HG393" s="68"/>
      <c r="HH393" s="68"/>
      <c r="HI393" s="68"/>
      <c r="HJ393" s="68"/>
      <c r="HK393" s="68"/>
      <c r="HL393" s="68"/>
      <c r="HM393" s="68"/>
      <c r="HP393" s="68"/>
      <c r="HQ393" s="68"/>
      <c r="HR393" s="68"/>
      <c r="HS393" s="68"/>
      <c r="HT393" s="68"/>
      <c r="HU393" s="68"/>
      <c r="HV393" s="68"/>
      <c r="HW393" s="68"/>
      <c r="HX393" s="68"/>
      <c r="HY393" s="68"/>
      <c r="HZ393" s="68"/>
      <c r="IA393" s="68"/>
      <c r="IB393" s="68"/>
      <c r="IC393" s="68"/>
      <c r="ID393" s="68"/>
      <c r="IE393" s="68"/>
      <c r="IF393" s="68"/>
      <c r="IG393" s="68"/>
      <c r="IH393" s="68"/>
      <c r="II393" s="68"/>
      <c r="IJ393" s="68"/>
      <c r="IK393" s="68"/>
      <c r="IL393" s="68"/>
      <c r="IM393" s="68"/>
      <c r="IN393" s="68"/>
      <c r="IO393" s="68"/>
      <c r="IP393" s="68"/>
      <c r="IQ393" s="68"/>
      <c r="IR393" s="68"/>
      <c r="IS393" s="68"/>
      <c r="IT393" s="68"/>
      <c r="IU393" s="68"/>
      <c r="IV393" s="68"/>
      <c r="IW393" s="68"/>
      <c r="IX393" s="68"/>
      <c r="IY393" s="68"/>
    </row>
    <row r="394" spans="2:259" hidden="1" x14ac:dyDescent="0.3"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  <c r="AV394" s="68"/>
      <c r="AW394" s="68"/>
      <c r="AX394" s="68"/>
      <c r="AY394" s="68"/>
      <c r="AZ394" s="68"/>
      <c r="BA394" s="68"/>
      <c r="BB394" s="67"/>
      <c r="BC394" s="67"/>
      <c r="BD394" s="67"/>
      <c r="BE394" s="67"/>
      <c r="BF394" s="67"/>
      <c r="BG394" s="67"/>
      <c r="BH394" s="67"/>
      <c r="BI394" s="67"/>
      <c r="BJ394" s="67"/>
      <c r="BK394" s="67"/>
      <c r="BL394" s="67"/>
      <c r="HB394" s="68"/>
      <c r="HC394" s="68"/>
      <c r="HD394" s="68"/>
      <c r="HE394" s="68"/>
      <c r="HF394" s="68"/>
      <c r="HG394" s="68"/>
      <c r="HH394" s="68"/>
      <c r="HI394" s="68"/>
      <c r="HJ394" s="68"/>
      <c r="HK394" s="68"/>
      <c r="HL394" s="68"/>
      <c r="HM394" s="68"/>
      <c r="HP394" s="68"/>
      <c r="HQ394" s="68"/>
      <c r="HR394" s="68"/>
      <c r="HS394" s="68"/>
      <c r="HT394" s="68"/>
      <c r="HU394" s="68"/>
      <c r="HV394" s="68"/>
      <c r="HW394" s="68"/>
      <c r="HX394" s="68"/>
      <c r="HY394" s="68"/>
      <c r="HZ394" s="68"/>
      <c r="IA394" s="68"/>
      <c r="IB394" s="68"/>
      <c r="IC394" s="68"/>
      <c r="ID394" s="68"/>
      <c r="IE394" s="68"/>
      <c r="IF394" s="68"/>
      <c r="IG394" s="68"/>
      <c r="IH394" s="68"/>
      <c r="II394" s="68"/>
      <c r="IJ394" s="68"/>
      <c r="IK394" s="68"/>
      <c r="IL394" s="68"/>
      <c r="IM394" s="68"/>
      <c r="IN394" s="68"/>
      <c r="IO394" s="68"/>
      <c r="IP394" s="68"/>
      <c r="IQ394" s="68"/>
      <c r="IR394" s="68"/>
      <c r="IS394" s="68"/>
      <c r="IT394" s="68"/>
      <c r="IU394" s="68"/>
      <c r="IV394" s="68"/>
      <c r="IW394" s="68"/>
      <c r="IX394" s="68"/>
      <c r="IY394" s="68"/>
    </row>
    <row r="395" spans="2:259" hidden="1" x14ac:dyDescent="0.3"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  <c r="AV395" s="68"/>
      <c r="AW395" s="68"/>
      <c r="AX395" s="68"/>
      <c r="AY395" s="68"/>
      <c r="AZ395" s="68"/>
      <c r="BA395" s="68"/>
      <c r="BB395" s="67"/>
      <c r="BC395" s="67"/>
      <c r="BD395" s="67"/>
      <c r="BE395" s="67"/>
      <c r="BF395" s="67"/>
      <c r="BG395" s="67"/>
      <c r="BH395" s="67"/>
      <c r="BI395" s="67"/>
      <c r="BJ395" s="67"/>
      <c r="BK395" s="67"/>
      <c r="BL395" s="67"/>
      <c r="HB395" s="68"/>
      <c r="HC395" s="68"/>
      <c r="HD395" s="68"/>
      <c r="HE395" s="68"/>
      <c r="HF395" s="68"/>
      <c r="HG395" s="68"/>
      <c r="HH395" s="68"/>
      <c r="HI395" s="68"/>
      <c r="HJ395" s="68"/>
      <c r="HK395" s="68"/>
      <c r="HL395" s="68"/>
      <c r="HM395" s="68"/>
      <c r="HP395" s="68"/>
      <c r="HQ395" s="68"/>
      <c r="HR395" s="68"/>
      <c r="HS395" s="68"/>
      <c r="HT395" s="68"/>
      <c r="HU395" s="68"/>
      <c r="HV395" s="68"/>
      <c r="HW395" s="68"/>
      <c r="HX395" s="68"/>
      <c r="HY395" s="68"/>
      <c r="HZ395" s="68"/>
      <c r="IA395" s="68"/>
      <c r="IB395" s="68"/>
      <c r="IC395" s="68"/>
      <c r="ID395" s="68"/>
      <c r="IE395" s="68"/>
      <c r="IF395" s="68"/>
      <c r="IG395" s="68"/>
      <c r="IH395" s="68"/>
      <c r="II395" s="68"/>
      <c r="IJ395" s="68"/>
      <c r="IK395" s="68"/>
      <c r="IL395" s="68"/>
      <c r="IM395" s="68"/>
      <c r="IN395" s="68"/>
      <c r="IO395" s="68"/>
      <c r="IP395" s="68"/>
      <c r="IQ395" s="68"/>
      <c r="IR395" s="68"/>
      <c r="IS395" s="68"/>
      <c r="IT395" s="68"/>
      <c r="IU395" s="68"/>
      <c r="IV395" s="68"/>
      <c r="IW395" s="68"/>
      <c r="IX395" s="68"/>
      <c r="IY395" s="68"/>
    </row>
    <row r="396" spans="2:259" hidden="1" x14ac:dyDescent="0.3"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  <c r="AV396" s="68"/>
      <c r="AW396" s="68"/>
      <c r="AX396" s="68"/>
      <c r="AY396" s="68"/>
      <c r="AZ396" s="68"/>
      <c r="BA396" s="68"/>
      <c r="BB396" s="67"/>
      <c r="BC396" s="67"/>
      <c r="BD396" s="67"/>
      <c r="BE396" s="67"/>
      <c r="BF396" s="67"/>
      <c r="BG396" s="67"/>
      <c r="BH396" s="67"/>
      <c r="BI396" s="67"/>
      <c r="BJ396" s="67"/>
      <c r="BK396" s="67"/>
      <c r="BL396" s="67"/>
      <c r="HB396" s="68"/>
      <c r="HC396" s="68"/>
      <c r="HD396" s="68"/>
      <c r="HE396" s="68"/>
      <c r="HF396" s="68"/>
      <c r="HG396" s="68"/>
      <c r="HH396" s="68"/>
      <c r="HI396" s="68"/>
      <c r="HJ396" s="68"/>
      <c r="HK396" s="68"/>
      <c r="HL396" s="68"/>
      <c r="HM396" s="68"/>
      <c r="HP396" s="68"/>
      <c r="HQ396" s="68"/>
      <c r="HR396" s="68"/>
      <c r="HS396" s="68"/>
      <c r="HT396" s="68"/>
      <c r="HU396" s="68"/>
      <c r="HV396" s="68"/>
      <c r="HW396" s="68"/>
      <c r="HX396" s="68"/>
      <c r="HY396" s="68"/>
      <c r="HZ396" s="68"/>
      <c r="IA396" s="68"/>
      <c r="IB396" s="68"/>
      <c r="IC396" s="68"/>
      <c r="ID396" s="68"/>
      <c r="IE396" s="68"/>
      <c r="IF396" s="68"/>
      <c r="IG396" s="68"/>
      <c r="IH396" s="68"/>
      <c r="II396" s="68"/>
      <c r="IJ396" s="68"/>
      <c r="IK396" s="68"/>
      <c r="IL396" s="68"/>
      <c r="IM396" s="68"/>
      <c r="IN396" s="68"/>
      <c r="IO396" s="68"/>
      <c r="IP396" s="68"/>
      <c r="IQ396" s="68"/>
      <c r="IR396" s="68"/>
      <c r="IS396" s="68"/>
      <c r="IT396" s="68"/>
      <c r="IU396" s="68"/>
      <c r="IV396" s="68"/>
      <c r="IW396" s="68"/>
      <c r="IX396" s="68"/>
      <c r="IY396" s="68"/>
    </row>
    <row r="397" spans="2:259" hidden="1" x14ac:dyDescent="0.3"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  <c r="AV397" s="68"/>
      <c r="AW397" s="68"/>
      <c r="AX397" s="68"/>
      <c r="AY397" s="68"/>
      <c r="AZ397" s="68"/>
      <c r="BA397" s="68"/>
      <c r="BB397" s="67"/>
      <c r="BC397" s="67"/>
      <c r="BD397" s="67"/>
      <c r="BE397" s="67"/>
      <c r="BF397" s="67"/>
      <c r="BG397" s="67"/>
      <c r="BH397" s="67"/>
      <c r="BI397" s="67"/>
      <c r="BJ397" s="67"/>
      <c r="BK397" s="67"/>
      <c r="BL397" s="67"/>
      <c r="HB397" s="68"/>
      <c r="HC397" s="68"/>
      <c r="HD397" s="68"/>
      <c r="HE397" s="68"/>
      <c r="HF397" s="68"/>
      <c r="HG397" s="68"/>
      <c r="HH397" s="68"/>
      <c r="HI397" s="68"/>
      <c r="HJ397" s="68"/>
      <c r="HK397" s="68"/>
      <c r="HL397" s="68"/>
      <c r="HM397" s="68"/>
      <c r="HP397" s="68"/>
      <c r="HQ397" s="68"/>
      <c r="HR397" s="68"/>
      <c r="HS397" s="68"/>
      <c r="HT397" s="68"/>
      <c r="HU397" s="68"/>
      <c r="HV397" s="68"/>
      <c r="HW397" s="68"/>
      <c r="HX397" s="68"/>
      <c r="HY397" s="68"/>
      <c r="HZ397" s="68"/>
      <c r="IA397" s="68"/>
      <c r="IB397" s="68"/>
      <c r="IC397" s="68"/>
      <c r="ID397" s="68"/>
      <c r="IE397" s="68"/>
      <c r="IF397" s="68"/>
      <c r="IG397" s="68"/>
      <c r="IH397" s="68"/>
      <c r="II397" s="68"/>
      <c r="IJ397" s="68"/>
      <c r="IK397" s="68"/>
      <c r="IL397" s="68"/>
      <c r="IM397" s="68"/>
      <c r="IN397" s="68"/>
      <c r="IO397" s="68"/>
      <c r="IP397" s="68"/>
      <c r="IQ397" s="68"/>
      <c r="IR397" s="68"/>
      <c r="IS397" s="68"/>
      <c r="IT397" s="68"/>
      <c r="IU397" s="68"/>
      <c r="IV397" s="68"/>
      <c r="IW397" s="68"/>
      <c r="IX397" s="68"/>
      <c r="IY397" s="68"/>
    </row>
    <row r="398" spans="2:259" hidden="1" x14ac:dyDescent="0.3"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  <c r="AV398" s="68"/>
      <c r="AW398" s="68"/>
      <c r="AX398" s="68"/>
      <c r="AY398" s="68"/>
      <c r="AZ398" s="68"/>
      <c r="BA398" s="68"/>
      <c r="BB398" s="67"/>
      <c r="BC398" s="67"/>
      <c r="BD398" s="67"/>
      <c r="BE398" s="67"/>
      <c r="BF398" s="67"/>
      <c r="BG398" s="67"/>
      <c r="BH398" s="67"/>
      <c r="BI398" s="67"/>
      <c r="BJ398" s="67"/>
      <c r="BK398" s="67"/>
      <c r="BL398" s="67"/>
      <c r="HB398" s="68"/>
      <c r="HC398" s="68"/>
      <c r="HD398" s="68"/>
      <c r="HE398" s="68"/>
      <c r="HF398" s="68"/>
      <c r="HG398" s="68"/>
      <c r="HH398" s="68"/>
      <c r="HI398" s="68"/>
      <c r="HJ398" s="68"/>
      <c r="HK398" s="68"/>
      <c r="HL398" s="68"/>
      <c r="HM398" s="68"/>
      <c r="HP398" s="68"/>
      <c r="HQ398" s="68"/>
      <c r="HR398" s="68"/>
      <c r="HS398" s="68"/>
      <c r="HT398" s="68"/>
      <c r="HU398" s="68"/>
      <c r="HV398" s="68"/>
      <c r="HW398" s="68"/>
      <c r="HX398" s="68"/>
      <c r="HY398" s="68"/>
      <c r="HZ398" s="68"/>
      <c r="IA398" s="68"/>
      <c r="IB398" s="68"/>
      <c r="IC398" s="68"/>
      <c r="ID398" s="68"/>
      <c r="IE398" s="68"/>
      <c r="IF398" s="68"/>
      <c r="IG398" s="68"/>
      <c r="IH398" s="68"/>
      <c r="II398" s="68"/>
      <c r="IJ398" s="68"/>
      <c r="IK398" s="68"/>
      <c r="IL398" s="68"/>
      <c r="IM398" s="68"/>
      <c r="IN398" s="68"/>
      <c r="IO398" s="68"/>
      <c r="IP398" s="68"/>
      <c r="IQ398" s="68"/>
      <c r="IR398" s="68"/>
      <c r="IS398" s="68"/>
      <c r="IT398" s="68"/>
      <c r="IU398" s="68"/>
      <c r="IV398" s="68"/>
      <c r="IW398" s="68"/>
      <c r="IX398" s="68"/>
      <c r="IY398" s="68"/>
    </row>
    <row r="399" spans="2:259" hidden="1" x14ac:dyDescent="0.3"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  <c r="AV399" s="68"/>
      <c r="AW399" s="68"/>
      <c r="AX399" s="68"/>
      <c r="AY399" s="68"/>
      <c r="AZ399" s="68"/>
      <c r="BA399" s="68"/>
      <c r="BB399" s="67"/>
      <c r="BC399" s="67"/>
      <c r="BD399" s="67"/>
      <c r="BE399" s="67"/>
      <c r="BF399" s="67"/>
      <c r="BG399" s="67"/>
      <c r="BH399" s="67"/>
      <c r="BI399" s="67"/>
      <c r="BJ399" s="67"/>
      <c r="BK399" s="67"/>
      <c r="BL399" s="67"/>
      <c r="HB399" s="68"/>
      <c r="HC399" s="68"/>
      <c r="HD399" s="68"/>
      <c r="HE399" s="68"/>
      <c r="HF399" s="68"/>
      <c r="HG399" s="68"/>
      <c r="HH399" s="68"/>
      <c r="HI399" s="68"/>
      <c r="HJ399" s="68"/>
      <c r="HK399" s="68"/>
      <c r="HL399" s="68"/>
      <c r="HM399" s="68"/>
      <c r="HP399" s="68"/>
      <c r="HQ399" s="68"/>
      <c r="HR399" s="68"/>
      <c r="HS399" s="68"/>
      <c r="HT399" s="68"/>
      <c r="HU399" s="68"/>
      <c r="HV399" s="68"/>
      <c r="HW399" s="68"/>
      <c r="HX399" s="68"/>
      <c r="HY399" s="68"/>
      <c r="HZ399" s="68"/>
      <c r="IA399" s="68"/>
      <c r="IB399" s="68"/>
      <c r="IC399" s="68"/>
      <c r="ID399" s="68"/>
      <c r="IE399" s="68"/>
      <c r="IF399" s="68"/>
      <c r="IG399" s="68"/>
      <c r="IH399" s="68"/>
      <c r="II399" s="68"/>
      <c r="IJ399" s="68"/>
      <c r="IK399" s="68"/>
      <c r="IL399" s="68"/>
      <c r="IM399" s="68"/>
      <c r="IN399" s="68"/>
      <c r="IO399" s="68"/>
      <c r="IP399" s="68"/>
      <c r="IQ399" s="68"/>
      <c r="IR399" s="68"/>
      <c r="IS399" s="68"/>
      <c r="IT399" s="68"/>
      <c r="IU399" s="68"/>
      <c r="IV399" s="68"/>
      <c r="IW399" s="68"/>
      <c r="IX399" s="68"/>
      <c r="IY399" s="68"/>
    </row>
    <row r="400" spans="2:259" hidden="1" x14ac:dyDescent="0.3"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  <c r="AV400" s="68"/>
      <c r="AW400" s="68"/>
      <c r="AX400" s="68"/>
      <c r="AY400" s="68"/>
      <c r="AZ400" s="68"/>
      <c r="BA400" s="68"/>
      <c r="BB400" s="67"/>
      <c r="BC400" s="67"/>
      <c r="BD400" s="67"/>
      <c r="BE400" s="67"/>
      <c r="BF400" s="67"/>
      <c r="BG400" s="67"/>
      <c r="BH400" s="67"/>
      <c r="BI400" s="67"/>
      <c r="BJ400" s="67"/>
      <c r="BK400" s="67"/>
      <c r="BL400" s="67"/>
      <c r="HB400" s="68"/>
      <c r="HC400" s="68"/>
      <c r="HD400" s="68"/>
      <c r="HE400" s="68"/>
      <c r="HF400" s="68"/>
      <c r="HG400" s="68"/>
      <c r="HH400" s="68"/>
      <c r="HI400" s="68"/>
      <c r="HJ400" s="68"/>
      <c r="HK400" s="68"/>
      <c r="HL400" s="68"/>
      <c r="HM400" s="68"/>
      <c r="HP400" s="68"/>
      <c r="HQ400" s="68"/>
      <c r="HR400" s="68"/>
      <c r="HS400" s="68"/>
      <c r="HT400" s="68"/>
      <c r="HU400" s="68"/>
      <c r="HV400" s="68"/>
      <c r="HW400" s="68"/>
      <c r="HX400" s="68"/>
      <c r="HY400" s="68"/>
      <c r="HZ400" s="68"/>
      <c r="IA400" s="68"/>
      <c r="IB400" s="68"/>
      <c r="IC400" s="68"/>
      <c r="ID400" s="68"/>
      <c r="IE400" s="68"/>
      <c r="IF400" s="68"/>
      <c r="IG400" s="68"/>
      <c r="IH400" s="68"/>
      <c r="II400" s="68"/>
      <c r="IJ400" s="68"/>
      <c r="IK400" s="68"/>
      <c r="IL400" s="68"/>
      <c r="IM400" s="68"/>
      <c r="IN400" s="68"/>
      <c r="IO400" s="68"/>
      <c r="IP400" s="68"/>
      <c r="IQ400" s="68"/>
      <c r="IR400" s="68"/>
      <c r="IS400" s="68"/>
      <c r="IT400" s="68"/>
      <c r="IU400" s="68"/>
      <c r="IV400" s="68"/>
      <c r="IW400" s="68"/>
      <c r="IX400" s="68"/>
      <c r="IY400" s="68"/>
    </row>
    <row r="401" spans="2:259" hidden="1" x14ac:dyDescent="0.3"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  <c r="AV401" s="68"/>
      <c r="AW401" s="68"/>
      <c r="AX401" s="68"/>
      <c r="AY401" s="68"/>
      <c r="AZ401" s="68"/>
      <c r="BA401" s="68"/>
      <c r="BB401" s="67"/>
      <c r="BC401" s="67"/>
      <c r="BD401" s="67"/>
      <c r="BE401" s="67"/>
      <c r="BF401" s="67"/>
      <c r="BG401" s="67"/>
      <c r="BH401" s="67"/>
      <c r="BI401" s="67"/>
      <c r="BJ401" s="67"/>
      <c r="BK401" s="67"/>
      <c r="BL401" s="67"/>
      <c r="HB401" s="68"/>
      <c r="HC401" s="68"/>
      <c r="HD401" s="68"/>
      <c r="HE401" s="68"/>
      <c r="HF401" s="68"/>
      <c r="HG401" s="68"/>
      <c r="HH401" s="68"/>
      <c r="HI401" s="68"/>
      <c r="HJ401" s="68"/>
      <c r="HK401" s="68"/>
      <c r="HL401" s="68"/>
      <c r="HM401" s="68"/>
      <c r="HP401" s="68"/>
      <c r="HQ401" s="68"/>
      <c r="HR401" s="68"/>
      <c r="HS401" s="68"/>
      <c r="HT401" s="68"/>
      <c r="HU401" s="68"/>
      <c r="HV401" s="68"/>
      <c r="HW401" s="68"/>
      <c r="HX401" s="68"/>
      <c r="HY401" s="68"/>
      <c r="HZ401" s="68"/>
      <c r="IA401" s="68"/>
      <c r="IB401" s="68"/>
      <c r="IC401" s="68"/>
      <c r="ID401" s="68"/>
      <c r="IE401" s="68"/>
      <c r="IF401" s="68"/>
      <c r="IG401" s="68"/>
      <c r="IH401" s="68"/>
      <c r="II401" s="68"/>
      <c r="IJ401" s="68"/>
      <c r="IK401" s="68"/>
      <c r="IL401" s="68"/>
      <c r="IM401" s="68"/>
      <c r="IN401" s="68"/>
      <c r="IO401" s="68"/>
      <c r="IP401" s="68"/>
      <c r="IQ401" s="68"/>
      <c r="IR401" s="68"/>
      <c r="IS401" s="68"/>
      <c r="IT401" s="68"/>
      <c r="IU401" s="68"/>
      <c r="IV401" s="68"/>
      <c r="IW401" s="68"/>
      <c r="IX401" s="68"/>
      <c r="IY401" s="68"/>
    </row>
    <row r="402" spans="2:259" hidden="1" x14ac:dyDescent="0.3"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  <c r="AV402" s="68"/>
      <c r="AW402" s="68"/>
      <c r="AX402" s="68"/>
      <c r="AY402" s="68"/>
      <c r="AZ402" s="68"/>
      <c r="BA402" s="68"/>
      <c r="BB402" s="67"/>
      <c r="BC402" s="67"/>
      <c r="BD402" s="67"/>
      <c r="BE402" s="67"/>
      <c r="BF402" s="67"/>
      <c r="BG402" s="67"/>
      <c r="BH402" s="67"/>
      <c r="BI402" s="67"/>
      <c r="BJ402" s="67"/>
      <c r="BK402" s="67"/>
      <c r="BL402" s="67"/>
      <c r="HB402" s="68"/>
      <c r="HC402" s="68"/>
      <c r="HD402" s="68"/>
      <c r="HE402" s="68"/>
      <c r="HF402" s="68"/>
      <c r="HG402" s="68"/>
      <c r="HH402" s="68"/>
      <c r="HI402" s="68"/>
      <c r="HJ402" s="68"/>
      <c r="HK402" s="68"/>
      <c r="HL402" s="68"/>
      <c r="HM402" s="68"/>
      <c r="HP402" s="68"/>
      <c r="HQ402" s="68"/>
      <c r="HR402" s="68"/>
      <c r="HS402" s="68"/>
      <c r="HT402" s="68"/>
      <c r="HU402" s="68"/>
      <c r="HV402" s="68"/>
      <c r="HW402" s="68"/>
      <c r="HX402" s="68"/>
      <c r="HY402" s="68"/>
      <c r="HZ402" s="68"/>
      <c r="IA402" s="68"/>
      <c r="IB402" s="68"/>
      <c r="IC402" s="68"/>
      <c r="ID402" s="68"/>
      <c r="IE402" s="68"/>
      <c r="IF402" s="68"/>
      <c r="IG402" s="68"/>
      <c r="IH402" s="68"/>
      <c r="II402" s="68"/>
      <c r="IJ402" s="68"/>
      <c r="IK402" s="68"/>
      <c r="IL402" s="68"/>
      <c r="IM402" s="68"/>
      <c r="IN402" s="68"/>
      <c r="IO402" s="68"/>
      <c r="IP402" s="68"/>
      <c r="IQ402" s="68"/>
      <c r="IR402" s="68"/>
      <c r="IS402" s="68"/>
      <c r="IT402" s="68"/>
      <c r="IU402" s="68"/>
      <c r="IV402" s="68"/>
      <c r="IW402" s="68"/>
      <c r="IX402" s="68"/>
      <c r="IY402" s="68"/>
    </row>
    <row r="403" spans="2:259" hidden="1" x14ac:dyDescent="0.3"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  <c r="AV403" s="68"/>
      <c r="AW403" s="68"/>
      <c r="AX403" s="68"/>
      <c r="AY403" s="68"/>
      <c r="AZ403" s="68"/>
      <c r="BA403" s="68"/>
      <c r="BB403" s="67"/>
      <c r="BC403" s="67"/>
      <c r="BD403" s="67"/>
      <c r="BE403" s="67"/>
      <c r="BF403" s="67"/>
      <c r="BG403" s="67"/>
      <c r="BH403" s="67"/>
      <c r="BI403" s="67"/>
      <c r="BJ403" s="67"/>
      <c r="BK403" s="67"/>
      <c r="BL403" s="67"/>
      <c r="HB403" s="68"/>
      <c r="HC403" s="68"/>
      <c r="HD403" s="68"/>
      <c r="HE403" s="68"/>
      <c r="HF403" s="68"/>
      <c r="HG403" s="68"/>
      <c r="HH403" s="68"/>
      <c r="HI403" s="68"/>
      <c r="HJ403" s="68"/>
      <c r="HK403" s="68"/>
      <c r="HL403" s="68"/>
      <c r="HM403" s="68"/>
      <c r="HP403" s="68"/>
      <c r="HQ403" s="68"/>
      <c r="HR403" s="68"/>
      <c r="HS403" s="68"/>
      <c r="HT403" s="68"/>
      <c r="HU403" s="68"/>
      <c r="HV403" s="68"/>
      <c r="HW403" s="68"/>
      <c r="HX403" s="68"/>
      <c r="HY403" s="68"/>
      <c r="HZ403" s="68"/>
      <c r="IA403" s="68"/>
      <c r="IB403" s="68"/>
      <c r="IC403" s="68"/>
      <c r="ID403" s="68"/>
      <c r="IE403" s="68"/>
      <c r="IF403" s="68"/>
      <c r="IG403" s="68"/>
      <c r="IH403" s="68"/>
      <c r="II403" s="68"/>
      <c r="IJ403" s="68"/>
      <c r="IK403" s="68"/>
      <c r="IL403" s="68"/>
      <c r="IM403" s="68"/>
      <c r="IN403" s="68"/>
      <c r="IO403" s="68"/>
      <c r="IP403" s="68"/>
      <c r="IQ403" s="68"/>
      <c r="IR403" s="68"/>
      <c r="IS403" s="68"/>
      <c r="IT403" s="68"/>
      <c r="IU403" s="68"/>
      <c r="IV403" s="68"/>
      <c r="IW403" s="68"/>
      <c r="IX403" s="68"/>
      <c r="IY403" s="68"/>
    </row>
    <row r="404" spans="2:259" hidden="1" x14ac:dyDescent="0.3"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  <c r="AV404" s="68"/>
      <c r="AW404" s="68"/>
      <c r="AX404" s="68"/>
      <c r="AY404" s="68"/>
      <c r="AZ404" s="68"/>
      <c r="BA404" s="68"/>
      <c r="BB404" s="67"/>
      <c r="BC404" s="67"/>
      <c r="BD404" s="67"/>
      <c r="BE404" s="67"/>
      <c r="BF404" s="67"/>
      <c r="BG404" s="67"/>
      <c r="BH404" s="67"/>
      <c r="BI404" s="67"/>
      <c r="BJ404" s="67"/>
      <c r="BK404" s="67"/>
      <c r="BL404" s="67"/>
      <c r="HB404" s="68"/>
      <c r="HC404" s="68"/>
      <c r="HD404" s="68"/>
      <c r="HE404" s="68"/>
      <c r="HF404" s="68"/>
      <c r="HG404" s="68"/>
      <c r="HH404" s="68"/>
      <c r="HI404" s="68"/>
      <c r="HJ404" s="68"/>
      <c r="HK404" s="68"/>
      <c r="HL404" s="68"/>
      <c r="HM404" s="68"/>
      <c r="HP404" s="68"/>
      <c r="HQ404" s="68"/>
      <c r="HR404" s="68"/>
      <c r="HS404" s="68"/>
      <c r="HT404" s="68"/>
      <c r="HU404" s="68"/>
      <c r="HV404" s="68"/>
      <c r="HW404" s="68"/>
      <c r="HX404" s="68"/>
      <c r="HY404" s="68"/>
      <c r="HZ404" s="68"/>
      <c r="IA404" s="68"/>
      <c r="IB404" s="68"/>
      <c r="IC404" s="68"/>
      <c r="ID404" s="68"/>
      <c r="IE404" s="68"/>
      <c r="IF404" s="68"/>
      <c r="IG404" s="68"/>
      <c r="IH404" s="68"/>
      <c r="II404" s="68"/>
      <c r="IJ404" s="68"/>
      <c r="IK404" s="68"/>
      <c r="IL404" s="68"/>
      <c r="IM404" s="68"/>
      <c r="IN404" s="68"/>
      <c r="IO404" s="68"/>
      <c r="IP404" s="68"/>
      <c r="IQ404" s="68"/>
      <c r="IR404" s="68"/>
      <c r="IS404" s="68"/>
      <c r="IT404" s="68"/>
      <c r="IU404" s="68"/>
      <c r="IV404" s="68"/>
      <c r="IW404" s="68"/>
      <c r="IX404" s="68"/>
      <c r="IY404" s="68"/>
    </row>
    <row r="405" spans="2:259" hidden="1" x14ac:dyDescent="0.3"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  <c r="AV405" s="68"/>
      <c r="AW405" s="68"/>
      <c r="AX405" s="68"/>
      <c r="AY405" s="68"/>
      <c r="AZ405" s="68"/>
      <c r="BA405" s="68"/>
      <c r="BB405" s="67"/>
      <c r="BC405" s="67"/>
      <c r="BD405" s="67"/>
      <c r="BE405" s="67"/>
      <c r="BF405" s="67"/>
      <c r="BG405" s="67"/>
      <c r="BH405" s="67"/>
      <c r="BI405" s="67"/>
      <c r="BJ405" s="67"/>
      <c r="BK405" s="67"/>
      <c r="BL405" s="67"/>
      <c r="HB405" s="68"/>
      <c r="HC405" s="68"/>
      <c r="HD405" s="68"/>
      <c r="HE405" s="68"/>
      <c r="HF405" s="68"/>
      <c r="HG405" s="68"/>
      <c r="HH405" s="68"/>
      <c r="HI405" s="68"/>
      <c r="HJ405" s="68"/>
      <c r="HK405" s="68"/>
      <c r="HL405" s="68"/>
      <c r="HM405" s="68"/>
      <c r="HP405" s="68"/>
      <c r="HQ405" s="68"/>
      <c r="HR405" s="68"/>
      <c r="HS405" s="68"/>
      <c r="HT405" s="68"/>
      <c r="HU405" s="68"/>
      <c r="HV405" s="68"/>
      <c r="HW405" s="68"/>
      <c r="HX405" s="68"/>
      <c r="HY405" s="68"/>
      <c r="HZ405" s="68"/>
      <c r="IA405" s="68"/>
      <c r="IB405" s="68"/>
      <c r="IC405" s="68"/>
      <c r="ID405" s="68"/>
      <c r="IE405" s="68"/>
      <c r="IF405" s="68"/>
      <c r="IG405" s="68"/>
      <c r="IH405" s="68"/>
      <c r="II405" s="68"/>
      <c r="IJ405" s="68"/>
      <c r="IK405" s="68"/>
      <c r="IL405" s="68"/>
      <c r="IM405" s="68"/>
      <c r="IN405" s="68"/>
      <c r="IO405" s="68"/>
      <c r="IP405" s="68"/>
      <c r="IQ405" s="68"/>
      <c r="IR405" s="68"/>
      <c r="IS405" s="68"/>
      <c r="IT405" s="68"/>
      <c r="IU405" s="68"/>
      <c r="IV405" s="68"/>
      <c r="IW405" s="68"/>
      <c r="IX405" s="68"/>
      <c r="IY405" s="68"/>
    </row>
    <row r="406" spans="2:259" hidden="1" x14ac:dyDescent="0.3"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  <c r="AV406" s="68"/>
      <c r="AW406" s="68"/>
      <c r="AX406" s="68"/>
      <c r="AY406" s="68"/>
      <c r="AZ406" s="68"/>
      <c r="BA406" s="68"/>
      <c r="BB406" s="67"/>
      <c r="BC406" s="67"/>
      <c r="BD406" s="67"/>
      <c r="BE406" s="67"/>
      <c r="BF406" s="67"/>
      <c r="BG406" s="67"/>
      <c r="BH406" s="67"/>
      <c r="BI406" s="67"/>
      <c r="BJ406" s="67"/>
      <c r="BK406" s="67"/>
      <c r="BL406" s="67"/>
      <c r="HB406" s="68"/>
      <c r="HC406" s="68"/>
      <c r="HD406" s="68"/>
      <c r="HE406" s="68"/>
      <c r="HF406" s="68"/>
      <c r="HG406" s="68"/>
      <c r="HH406" s="68"/>
      <c r="HI406" s="68"/>
      <c r="HJ406" s="68"/>
      <c r="HK406" s="68"/>
      <c r="HL406" s="68"/>
      <c r="HM406" s="68"/>
      <c r="HP406" s="68"/>
      <c r="HQ406" s="68"/>
      <c r="HR406" s="68"/>
      <c r="HS406" s="68"/>
      <c r="HT406" s="68"/>
      <c r="HU406" s="68"/>
      <c r="HV406" s="68"/>
      <c r="HW406" s="68"/>
      <c r="HX406" s="68"/>
      <c r="HY406" s="68"/>
      <c r="HZ406" s="68"/>
      <c r="IA406" s="68"/>
      <c r="IB406" s="68"/>
      <c r="IC406" s="68"/>
      <c r="ID406" s="68"/>
      <c r="IE406" s="68"/>
      <c r="IF406" s="68"/>
      <c r="IG406" s="68"/>
      <c r="IH406" s="68"/>
      <c r="II406" s="68"/>
      <c r="IJ406" s="68"/>
      <c r="IK406" s="68"/>
      <c r="IL406" s="68"/>
      <c r="IM406" s="68"/>
      <c r="IN406" s="68"/>
      <c r="IO406" s="68"/>
      <c r="IP406" s="68"/>
      <c r="IQ406" s="68"/>
      <c r="IR406" s="68"/>
      <c r="IS406" s="68"/>
      <c r="IT406" s="68"/>
      <c r="IU406" s="68"/>
      <c r="IV406" s="68"/>
      <c r="IW406" s="68"/>
      <c r="IX406" s="68"/>
      <c r="IY406" s="68"/>
    </row>
    <row r="407" spans="2:259" hidden="1" x14ac:dyDescent="0.3"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  <c r="AV407" s="68"/>
      <c r="AW407" s="68"/>
      <c r="AX407" s="68"/>
      <c r="AY407" s="68"/>
      <c r="AZ407" s="68"/>
      <c r="BA407" s="68"/>
      <c r="BB407" s="67"/>
      <c r="BC407" s="67"/>
      <c r="BD407" s="67"/>
      <c r="BE407" s="67"/>
      <c r="BF407" s="67"/>
      <c r="BG407" s="67"/>
      <c r="BH407" s="67"/>
      <c r="BI407" s="67"/>
      <c r="BJ407" s="67"/>
      <c r="BK407" s="67"/>
      <c r="BL407" s="67"/>
      <c r="HB407" s="68"/>
      <c r="HC407" s="68"/>
      <c r="HD407" s="68"/>
      <c r="HE407" s="68"/>
      <c r="HF407" s="68"/>
      <c r="HG407" s="68"/>
      <c r="HH407" s="68"/>
      <c r="HI407" s="68"/>
      <c r="HJ407" s="68"/>
      <c r="HK407" s="68"/>
      <c r="HL407" s="68"/>
      <c r="HM407" s="68"/>
      <c r="HP407" s="68"/>
      <c r="HQ407" s="68"/>
      <c r="HR407" s="68"/>
      <c r="HS407" s="68"/>
      <c r="HT407" s="68"/>
      <c r="HU407" s="68"/>
      <c r="HV407" s="68"/>
      <c r="HW407" s="68"/>
      <c r="HX407" s="68"/>
      <c r="HY407" s="68"/>
      <c r="HZ407" s="68"/>
      <c r="IA407" s="68"/>
      <c r="IB407" s="68"/>
      <c r="IC407" s="68"/>
      <c r="ID407" s="68"/>
      <c r="IE407" s="68"/>
      <c r="IF407" s="68"/>
      <c r="IG407" s="68"/>
      <c r="IH407" s="68"/>
      <c r="II407" s="68"/>
      <c r="IJ407" s="68"/>
      <c r="IK407" s="68"/>
      <c r="IL407" s="68"/>
      <c r="IM407" s="68"/>
      <c r="IN407" s="68"/>
      <c r="IO407" s="68"/>
      <c r="IP407" s="68"/>
      <c r="IQ407" s="68"/>
      <c r="IR407" s="68"/>
      <c r="IS407" s="68"/>
      <c r="IT407" s="68"/>
      <c r="IU407" s="68"/>
      <c r="IV407" s="68"/>
      <c r="IW407" s="68"/>
      <c r="IX407" s="68"/>
      <c r="IY407" s="68"/>
    </row>
    <row r="408" spans="2:259" hidden="1" x14ac:dyDescent="0.3"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  <c r="AV408" s="68"/>
      <c r="AW408" s="68"/>
      <c r="AX408" s="68"/>
      <c r="AY408" s="68"/>
      <c r="AZ408" s="68"/>
      <c r="BA408" s="68"/>
      <c r="BB408" s="67"/>
      <c r="BC408" s="67"/>
      <c r="BD408" s="67"/>
      <c r="BE408" s="67"/>
      <c r="BF408" s="67"/>
      <c r="BG408" s="67"/>
      <c r="BH408" s="67"/>
      <c r="BI408" s="67"/>
      <c r="BJ408" s="67"/>
      <c r="BK408" s="67"/>
      <c r="BL408" s="67"/>
      <c r="HB408" s="68"/>
      <c r="HC408" s="68"/>
      <c r="HD408" s="68"/>
      <c r="HE408" s="68"/>
      <c r="HF408" s="68"/>
      <c r="HG408" s="68"/>
      <c r="HH408" s="68"/>
      <c r="HI408" s="68"/>
      <c r="HJ408" s="68"/>
      <c r="HK408" s="68"/>
      <c r="HL408" s="68"/>
      <c r="HM408" s="68"/>
      <c r="HP408" s="68"/>
      <c r="HQ408" s="68"/>
      <c r="HR408" s="68"/>
      <c r="HS408" s="68"/>
      <c r="HT408" s="68"/>
      <c r="HU408" s="68"/>
      <c r="HV408" s="68"/>
      <c r="HW408" s="68"/>
      <c r="HX408" s="68"/>
      <c r="HY408" s="68"/>
      <c r="HZ408" s="68"/>
      <c r="IA408" s="68"/>
      <c r="IB408" s="68"/>
      <c r="IC408" s="68"/>
      <c r="ID408" s="68"/>
      <c r="IE408" s="68"/>
      <c r="IF408" s="68"/>
      <c r="IG408" s="68"/>
      <c r="IH408" s="68"/>
      <c r="II408" s="68"/>
      <c r="IJ408" s="68"/>
      <c r="IK408" s="68"/>
      <c r="IL408" s="68"/>
      <c r="IM408" s="68"/>
      <c r="IN408" s="68"/>
      <c r="IO408" s="68"/>
      <c r="IP408" s="68"/>
      <c r="IQ408" s="68"/>
      <c r="IR408" s="68"/>
      <c r="IS408" s="68"/>
      <c r="IT408" s="68"/>
      <c r="IU408" s="68"/>
      <c r="IV408" s="68"/>
      <c r="IW408" s="68"/>
      <c r="IX408" s="68"/>
      <c r="IY408" s="68"/>
    </row>
    <row r="409" spans="2:259" hidden="1" x14ac:dyDescent="0.3"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  <c r="AV409" s="68"/>
      <c r="AW409" s="68"/>
      <c r="AX409" s="68"/>
      <c r="AY409" s="68"/>
      <c r="AZ409" s="68"/>
      <c r="BA409" s="68"/>
      <c r="BB409" s="67"/>
      <c r="BC409" s="67"/>
      <c r="BD409" s="67"/>
      <c r="BE409" s="67"/>
      <c r="BF409" s="67"/>
      <c r="BG409" s="67"/>
      <c r="BH409" s="67"/>
      <c r="BI409" s="67"/>
      <c r="BJ409" s="67"/>
      <c r="BK409" s="67"/>
      <c r="BL409" s="67"/>
      <c r="HB409" s="68"/>
      <c r="HC409" s="68"/>
      <c r="HD409" s="68"/>
      <c r="HE409" s="68"/>
      <c r="HF409" s="68"/>
      <c r="HG409" s="68"/>
      <c r="HH409" s="68"/>
      <c r="HI409" s="68"/>
      <c r="HJ409" s="68"/>
      <c r="HK409" s="68"/>
      <c r="HL409" s="68"/>
      <c r="HM409" s="68"/>
      <c r="HP409" s="68"/>
      <c r="HQ409" s="68"/>
      <c r="HR409" s="68"/>
      <c r="HS409" s="68"/>
      <c r="HT409" s="68"/>
      <c r="HU409" s="68"/>
      <c r="HV409" s="68"/>
      <c r="HW409" s="68"/>
      <c r="HX409" s="68"/>
      <c r="HY409" s="68"/>
      <c r="HZ409" s="68"/>
      <c r="IA409" s="68"/>
      <c r="IB409" s="68"/>
      <c r="IC409" s="68"/>
      <c r="ID409" s="68"/>
      <c r="IE409" s="68"/>
      <c r="IF409" s="68"/>
      <c r="IG409" s="68"/>
      <c r="IH409" s="68"/>
      <c r="II409" s="68"/>
      <c r="IJ409" s="68"/>
      <c r="IK409" s="68"/>
      <c r="IL409" s="68"/>
      <c r="IM409" s="68"/>
      <c r="IN409" s="68"/>
      <c r="IO409" s="68"/>
      <c r="IP409" s="68"/>
      <c r="IQ409" s="68"/>
      <c r="IR409" s="68"/>
      <c r="IS409" s="68"/>
      <c r="IT409" s="68"/>
      <c r="IU409" s="68"/>
      <c r="IV409" s="68"/>
      <c r="IW409" s="68"/>
      <c r="IX409" s="68"/>
      <c r="IY409" s="68"/>
    </row>
    <row r="410" spans="2:259" hidden="1" x14ac:dyDescent="0.3"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  <c r="AV410" s="68"/>
      <c r="AW410" s="68"/>
      <c r="AX410" s="68"/>
      <c r="AY410" s="68"/>
      <c r="AZ410" s="68"/>
      <c r="BA410" s="68"/>
      <c r="BB410" s="67"/>
      <c r="BC410" s="67"/>
      <c r="BD410" s="67"/>
      <c r="BE410" s="67"/>
      <c r="BF410" s="67"/>
      <c r="BG410" s="67"/>
      <c r="BH410" s="67"/>
      <c r="BI410" s="67"/>
      <c r="BJ410" s="67"/>
      <c r="BK410" s="67"/>
      <c r="BL410" s="67"/>
      <c r="HB410" s="68"/>
      <c r="HC410" s="68"/>
      <c r="HD410" s="68"/>
      <c r="HE410" s="68"/>
      <c r="HF410" s="68"/>
      <c r="HG410" s="68"/>
      <c r="HH410" s="68"/>
      <c r="HI410" s="68"/>
      <c r="HJ410" s="68"/>
      <c r="HK410" s="68"/>
      <c r="HL410" s="68"/>
      <c r="HM410" s="68"/>
      <c r="HP410" s="68"/>
      <c r="HQ410" s="68"/>
      <c r="HR410" s="68"/>
      <c r="HS410" s="68"/>
      <c r="HT410" s="68"/>
      <c r="HU410" s="68"/>
      <c r="HV410" s="68"/>
      <c r="HW410" s="68"/>
      <c r="HX410" s="68"/>
      <c r="HY410" s="68"/>
      <c r="HZ410" s="68"/>
      <c r="IA410" s="68"/>
      <c r="IB410" s="68"/>
      <c r="IC410" s="68"/>
      <c r="ID410" s="68"/>
      <c r="IE410" s="68"/>
      <c r="IF410" s="68"/>
      <c r="IG410" s="68"/>
      <c r="IH410" s="68"/>
      <c r="II410" s="68"/>
      <c r="IJ410" s="68"/>
      <c r="IK410" s="68"/>
      <c r="IL410" s="68"/>
      <c r="IM410" s="68"/>
      <c r="IN410" s="68"/>
      <c r="IO410" s="68"/>
      <c r="IP410" s="68"/>
      <c r="IQ410" s="68"/>
      <c r="IR410" s="68"/>
      <c r="IS410" s="68"/>
      <c r="IT410" s="68"/>
      <c r="IU410" s="68"/>
      <c r="IV410" s="68"/>
      <c r="IW410" s="68"/>
      <c r="IX410" s="68"/>
      <c r="IY410" s="68"/>
    </row>
    <row r="411" spans="2:259" hidden="1" x14ac:dyDescent="0.3"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  <c r="AV411" s="68"/>
      <c r="AW411" s="68"/>
      <c r="AX411" s="68"/>
      <c r="AY411" s="68"/>
      <c r="AZ411" s="68"/>
      <c r="BA411" s="68"/>
      <c r="BB411" s="67"/>
      <c r="BC411" s="67"/>
      <c r="BD411" s="67"/>
      <c r="BE411" s="67"/>
      <c r="BF411" s="67"/>
      <c r="BG411" s="67"/>
      <c r="BH411" s="67"/>
      <c r="BI411" s="67"/>
      <c r="BJ411" s="67"/>
      <c r="BK411" s="67"/>
      <c r="BL411" s="67"/>
      <c r="HB411" s="68"/>
      <c r="HC411" s="68"/>
      <c r="HD411" s="68"/>
      <c r="HE411" s="68"/>
      <c r="HF411" s="68"/>
      <c r="HG411" s="68"/>
      <c r="HH411" s="68"/>
      <c r="HI411" s="68"/>
      <c r="HJ411" s="68"/>
      <c r="HK411" s="68"/>
      <c r="HL411" s="68"/>
      <c r="HM411" s="68"/>
      <c r="HP411" s="68"/>
      <c r="HQ411" s="68"/>
      <c r="HR411" s="68"/>
      <c r="HS411" s="68"/>
      <c r="HT411" s="68"/>
      <c r="HU411" s="68"/>
      <c r="HV411" s="68"/>
      <c r="HW411" s="68"/>
      <c r="HX411" s="68"/>
      <c r="HY411" s="68"/>
      <c r="HZ411" s="68"/>
      <c r="IA411" s="68"/>
      <c r="IB411" s="68"/>
      <c r="IC411" s="68"/>
      <c r="ID411" s="68"/>
      <c r="IE411" s="68"/>
      <c r="IF411" s="68"/>
      <c r="IG411" s="68"/>
      <c r="IH411" s="68"/>
      <c r="II411" s="68"/>
      <c r="IJ411" s="68"/>
      <c r="IK411" s="68"/>
      <c r="IL411" s="68"/>
      <c r="IM411" s="68"/>
      <c r="IN411" s="68"/>
      <c r="IO411" s="68"/>
      <c r="IP411" s="68"/>
      <c r="IQ411" s="68"/>
      <c r="IR411" s="68"/>
      <c r="IS411" s="68"/>
      <c r="IT411" s="68"/>
      <c r="IU411" s="68"/>
      <c r="IV411" s="68"/>
      <c r="IW411" s="68"/>
      <c r="IX411" s="68"/>
      <c r="IY411" s="68"/>
    </row>
    <row r="412" spans="2:259" hidden="1" x14ac:dyDescent="0.3"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  <c r="AV412" s="68"/>
      <c r="AW412" s="68"/>
      <c r="AX412" s="68"/>
      <c r="AY412" s="68"/>
      <c r="AZ412" s="68"/>
      <c r="BA412" s="68"/>
      <c r="BB412" s="67"/>
      <c r="BC412" s="67"/>
      <c r="BD412" s="67"/>
      <c r="BE412" s="67"/>
      <c r="BF412" s="67"/>
      <c r="BG412" s="67"/>
      <c r="BH412" s="67"/>
      <c r="BI412" s="67"/>
      <c r="BJ412" s="67"/>
      <c r="BK412" s="67"/>
      <c r="BL412" s="67"/>
      <c r="HB412" s="68"/>
      <c r="HC412" s="68"/>
      <c r="HD412" s="68"/>
      <c r="HE412" s="68"/>
      <c r="HF412" s="68"/>
      <c r="HG412" s="68"/>
      <c r="HH412" s="68"/>
      <c r="HI412" s="68"/>
      <c r="HJ412" s="68"/>
      <c r="HK412" s="68"/>
      <c r="HL412" s="68"/>
      <c r="HM412" s="68"/>
      <c r="HP412" s="68"/>
      <c r="HQ412" s="68"/>
      <c r="HR412" s="68"/>
      <c r="HS412" s="68"/>
      <c r="HT412" s="68"/>
      <c r="HU412" s="68"/>
      <c r="HV412" s="68"/>
      <c r="HW412" s="68"/>
      <c r="HX412" s="68"/>
      <c r="HY412" s="68"/>
      <c r="HZ412" s="68"/>
      <c r="IA412" s="68"/>
      <c r="IB412" s="68"/>
      <c r="IC412" s="68"/>
      <c r="ID412" s="68"/>
      <c r="IE412" s="68"/>
      <c r="IF412" s="68"/>
      <c r="IG412" s="68"/>
      <c r="IH412" s="68"/>
      <c r="II412" s="68"/>
      <c r="IJ412" s="68"/>
      <c r="IK412" s="68"/>
      <c r="IL412" s="68"/>
      <c r="IM412" s="68"/>
      <c r="IN412" s="68"/>
      <c r="IO412" s="68"/>
      <c r="IP412" s="68"/>
      <c r="IQ412" s="68"/>
      <c r="IR412" s="68"/>
      <c r="IS412" s="68"/>
      <c r="IT412" s="68"/>
      <c r="IU412" s="68"/>
      <c r="IV412" s="68"/>
      <c r="IW412" s="68"/>
      <c r="IX412" s="68"/>
      <c r="IY412" s="68"/>
    </row>
    <row r="413" spans="2:259" hidden="1" x14ac:dyDescent="0.3"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  <c r="AV413" s="68"/>
      <c r="AW413" s="68"/>
      <c r="AX413" s="68"/>
      <c r="AY413" s="68"/>
      <c r="AZ413" s="68"/>
      <c r="BA413" s="68"/>
      <c r="BB413" s="67"/>
      <c r="BC413" s="67"/>
      <c r="BD413" s="67"/>
      <c r="BE413" s="67"/>
      <c r="BF413" s="67"/>
      <c r="BG413" s="67"/>
      <c r="BH413" s="67"/>
      <c r="BI413" s="67"/>
      <c r="BJ413" s="67"/>
      <c r="BK413" s="67"/>
      <c r="BL413" s="67"/>
      <c r="HB413" s="68"/>
      <c r="HC413" s="68"/>
      <c r="HD413" s="68"/>
      <c r="HE413" s="68"/>
      <c r="HF413" s="68"/>
      <c r="HG413" s="68"/>
      <c r="HH413" s="68"/>
      <c r="HI413" s="68"/>
      <c r="HJ413" s="68"/>
      <c r="HK413" s="68"/>
      <c r="HL413" s="68"/>
      <c r="HM413" s="68"/>
      <c r="HP413" s="68"/>
      <c r="HQ413" s="68"/>
      <c r="HR413" s="68"/>
      <c r="HS413" s="68"/>
      <c r="HT413" s="68"/>
      <c r="HU413" s="68"/>
      <c r="HV413" s="68"/>
      <c r="HW413" s="68"/>
      <c r="HX413" s="68"/>
      <c r="HY413" s="68"/>
      <c r="HZ413" s="68"/>
      <c r="IA413" s="68"/>
      <c r="IB413" s="68"/>
      <c r="IC413" s="68"/>
      <c r="ID413" s="68"/>
      <c r="IE413" s="68"/>
      <c r="IF413" s="68"/>
      <c r="IG413" s="68"/>
      <c r="IH413" s="68"/>
      <c r="II413" s="68"/>
      <c r="IJ413" s="68"/>
      <c r="IK413" s="68"/>
      <c r="IL413" s="68"/>
      <c r="IM413" s="68"/>
      <c r="IN413" s="68"/>
      <c r="IO413" s="68"/>
      <c r="IP413" s="68"/>
      <c r="IQ413" s="68"/>
      <c r="IR413" s="68"/>
      <c r="IS413" s="68"/>
      <c r="IT413" s="68"/>
      <c r="IU413" s="68"/>
      <c r="IV413" s="68"/>
      <c r="IW413" s="68"/>
      <c r="IX413" s="68"/>
      <c r="IY413" s="68"/>
    </row>
    <row r="414" spans="2:259" hidden="1" x14ac:dyDescent="0.3"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  <c r="AV414" s="68"/>
      <c r="AW414" s="68"/>
      <c r="AX414" s="68"/>
      <c r="AY414" s="68"/>
      <c r="AZ414" s="68"/>
      <c r="BA414" s="68"/>
      <c r="BB414" s="67"/>
      <c r="BC414" s="67"/>
      <c r="BD414" s="67"/>
      <c r="BE414" s="67"/>
      <c r="BF414" s="67"/>
      <c r="BG414" s="67"/>
      <c r="BH414" s="67"/>
      <c r="BI414" s="67"/>
      <c r="BJ414" s="67"/>
      <c r="BK414" s="67"/>
      <c r="BL414" s="67"/>
      <c r="HB414" s="68"/>
      <c r="HC414" s="68"/>
      <c r="HD414" s="68"/>
      <c r="HE414" s="68"/>
      <c r="HF414" s="68"/>
      <c r="HG414" s="68"/>
      <c r="HH414" s="68"/>
      <c r="HI414" s="68"/>
      <c r="HJ414" s="68"/>
      <c r="HK414" s="68"/>
      <c r="HL414" s="68"/>
      <c r="HM414" s="68"/>
      <c r="HP414" s="68"/>
      <c r="HQ414" s="68"/>
      <c r="HR414" s="68"/>
      <c r="HS414" s="68"/>
      <c r="HT414" s="68"/>
      <c r="HU414" s="68"/>
      <c r="HV414" s="68"/>
      <c r="HW414" s="68"/>
      <c r="HX414" s="68"/>
      <c r="HY414" s="68"/>
      <c r="HZ414" s="68"/>
      <c r="IA414" s="68"/>
      <c r="IB414" s="68"/>
      <c r="IC414" s="68"/>
      <c r="ID414" s="68"/>
      <c r="IE414" s="68"/>
      <c r="IF414" s="68"/>
      <c r="IG414" s="68"/>
      <c r="IH414" s="68"/>
      <c r="II414" s="68"/>
      <c r="IJ414" s="68"/>
      <c r="IK414" s="68"/>
      <c r="IL414" s="68"/>
      <c r="IM414" s="68"/>
      <c r="IN414" s="68"/>
      <c r="IO414" s="68"/>
      <c r="IP414" s="68"/>
      <c r="IQ414" s="68"/>
      <c r="IR414" s="68"/>
      <c r="IS414" s="68"/>
      <c r="IT414" s="68"/>
      <c r="IU414" s="68"/>
      <c r="IV414" s="68"/>
      <c r="IW414" s="68"/>
      <c r="IX414" s="68"/>
      <c r="IY414" s="68"/>
    </row>
    <row r="415" spans="2:259" hidden="1" x14ac:dyDescent="0.3"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  <c r="AV415" s="68"/>
      <c r="AW415" s="68"/>
      <c r="AX415" s="68"/>
      <c r="AY415" s="68"/>
      <c r="AZ415" s="68"/>
      <c r="BA415" s="68"/>
      <c r="BB415" s="67"/>
      <c r="BC415" s="67"/>
      <c r="BD415" s="67"/>
      <c r="BE415" s="67"/>
      <c r="BF415" s="67"/>
      <c r="BG415" s="67"/>
      <c r="BH415" s="67"/>
      <c r="BI415" s="67"/>
      <c r="BJ415" s="67"/>
      <c r="BK415" s="67"/>
      <c r="BL415" s="67"/>
      <c r="HB415" s="68"/>
      <c r="HC415" s="68"/>
      <c r="HD415" s="68"/>
      <c r="HE415" s="68"/>
      <c r="HF415" s="68"/>
      <c r="HG415" s="68"/>
      <c r="HH415" s="68"/>
      <c r="HI415" s="68"/>
      <c r="HJ415" s="68"/>
      <c r="HK415" s="68"/>
      <c r="HL415" s="68"/>
      <c r="HM415" s="68"/>
      <c r="HP415" s="68"/>
      <c r="HQ415" s="68"/>
      <c r="HR415" s="68"/>
      <c r="HS415" s="68"/>
      <c r="HT415" s="68"/>
      <c r="HU415" s="68"/>
      <c r="HV415" s="68"/>
      <c r="HW415" s="68"/>
      <c r="HX415" s="68"/>
      <c r="HY415" s="68"/>
      <c r="HZ415" s="68"/>
      <c r="IA415" s="68"/>
      <c r="IB415" s="68"/>
      <c r="IC415" s="68"/>
      <c r="ID415" s="68"/>
      <c r="IE415" s="68"/>
      <c r="IF415" s="68"/>
      <c r="IG415" s="68"/>
      <c r="IH415" s="68"/>
      <c r="II415" s="68"/>
      <c r="IJ415" s="68"/>
      <c r="IK415" s="68"/>
      <c r="IL415" s="68"/>
      <c r="IM415" s="68"/>
      <c r="IN415" s="68"/>
      <c r="IO415" s="68"/>
      <c r="IP415" s="68"/>
      <c r="IQ415" s="68"/>
      <c r="IR415" s="68"/>
      <c r="IS415" s="68"/>
      <c r="IT415" s="68"/>
      <c r="IU415" s="68"/>
      <c r="IV415" s="68"/>
      <c r="IW415" s="68"/>
      <c r="IX415" s="68"/>
      <c r="IY415" s="68"/>
    </row>
    <row r="416" spans="2:259" hidden="1" x14ac:dyDescent="0.3"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  <c r="AV416" s="68"/>
      <c r="AW416" s="68"/>
      <c r="AX416" s="68"/>
      <c r="AY416" s="68"/>
      <c r="AZ416" s="68"/>
      <c r="BA416" s="68"/>
      <c r="BB416" s="67"/>
      <c r="BC416" s="67"/>
      <c r="BD416" s="67"/>
      <c r="BE416" s="67"/>
      <c r="BF416" s="67"/>
      <c r="BG416" s="67"/>
      <c r="BH416" s="67"/>
      <c r="BI416" s="67"/>
      <c r="BJ416" s="67"/>
      <c r="BK416" s="67"/>
      <c r="BL416" s="67"/>
      <c r="HB416" s="68"/>
      <c r="HC416" s="68"/>
      <c r="HD416" s="68"/>
      <c r="HE416" s="68"/>
      <c r="HF416" s="68"/>
      <c r="HG416" s="68"/>
      <c r="HH416" s="68"/>
      <c r="HI416" s="68"/>
      <c r="HJ416" s="68"/>
      <c r="HK416" s="68"/>
      <c r="HL416" s="68"/>
      <c r="HM416" s="68"/>
      <c r="HP416" s="68"/>
      <c r="HQ416" s="68"/>
      <c r="HR416" s="68"/>
      <c r="HS416" s="68"/>
      <c r="HT416" s="68"/>
      <c r="HU416" s="68"/>
      <c r="HV416" s="68"/>
      <c r="HW416" s="68"/>
      <c r="HX416" s="68"/>
      <c r="HY416" s="68"/>
      <c r="HZ416" s="68"/>
      <c r="IA416" s="68"/>
      <c r="IB416" s="68"/>
      <c r="IC416" s="68"/>
      <c r="ID416" s="68"/>
      <c r="IE416" s="68"/>
      <c r="IF416" s="68"/>
      <c r="IG416" s="68"/>
      <c r="IH416" s="68"/>
      <c r="II416" s="68"/>
      <c r="IJ416" s="68"/>
      <c r="IK416" s="68"/>
      <c r="IL416" s="68"/>
      <c r="IM416" s="68"/>
      <c r="IN416" s="68"/>
      <c r="IO416" s="68"/>
      <c r="IP416" s="68"/>
      <c r="IQ416" s="68"/>
      <c r="IR416" s="68"/>
      <c r="IS416" s="68"/>
      <c r="IT416" s="68"/>
      <c r="IU416" s="68"/>
      <c r="IV416" s="68"/>
      <c r="IW416" s="68"/>
      <c r="IX416" s="68"/>
      <c r="IY416" s="68"/>
    </row>
    <row r="417" spans="2:259" hidden="1" x14ac:dyDescent="0.3"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  <c r="AV417" s="68"/>
      <c r="AW417" s="68"/>
      <c r="AX417" s="68"/>
      <c r="AY417" s="68"/>
      <c r="AZ417" s="68"/>
      <c r="BA417" s="68"/>
      <c r="BB417" s="67"/>
      <c r="BC417" s="67"/>
      <c r="BD417" s="67"/>
      <c r="BE417" s="67"/>
      <c r="BF417" s="67"/>
      <c r="BG417" s="67"/>
      <c r="BH417" s="67"/>
      <c r="BI417" s="67"/>
      <c r="BJ417" s="67"/>
      <c r="BK417" s="67"/>
      <c r="BL417" s="67"/>
      <c r="HB417" s="68"/>
      <c r="HC417" s="68"/>
      <c r="HD417" s="68"/>
      <c r="HE417" s="68"/>
      <c r="HF417" s="68"/>
      <c r="HG417" s="68"/>
      <c r="HH417" s="68"/>
      <c r="HI417" s="68"/>
      <c r="HJ417" s="68"/>
      <c r="HK417" s="68"/>
      <c r="HL417" s="68"/>
      <c r="HM417" s="68"/>
      <c r="HP417" s="68"/>
      <c r="HQ417" s="68"/>
      <c r="HR417" s="68"/>
      <c r="HS417" s="68"/>
      <c r="HT417" s="68"/>
      <c r="HU417" s="68"/>
      <c r="HV417" s="68"/>
      <c r="HW417" s="68"/>
      <c r="HX417" s="68"/>
      <c r="HY417" s="68"/>
      <c r="HZ417" s="68"/>
      <c r="IA417" s="68"/>
      <c r="IB417" s="68"/>
      <c r="IC417" s="68"/>
      <c r="ID417" s="68"/>
      <c r="IE417" s="68"/>
      <c r="IF417" s="68"/>
      <c r="IG417" s="68"/>
      <c r="IH417" s="68"/>
      <c r="II417" s="68"/>
      <c r="IJ417" s="68"/>
      <c r="IK417" s="68"/>
      <c r="IL417" s="68"/>
      <c r="IM417" s="68"/>
      <c r="IN417" s="68"/>
      <c r="IO417" s="68"/>
      <c r="IP417" s="68"/>
      <c r="IQ417" s="68"/>
      <c r="IR417" s="68"/>
      <c r="IS417" s="68"/>
      <c r="IT417" s="68"/>
      <c r="IU417" s="68"/>
      <c r="IV417" s="68"/>
      <c r="IW417" s="68"/>
      <c r="IX417" s="68"/>
      <c r="IY417" s="68"/>
    </row>
    <row r="418" spans="2:259" hidden="1" x14ac:dyDescent="0.3"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  <c r="AV418" s="68"/>
      <c r="AW418" s="68"/>
      <c r="AX418" s="68"/>
      <c r="AY418" s="68"/>
      <c r="AZ418" s="68"/>
      <c r="BA418" s="68"/>
      <c r="BB418" s="67"/>
      <c r="BC418" s="67"/>
      <c r="BD418" s="67"/>
      <c r="BE418" s="67"/>
      <c r="BF418" s="67"/>
      <c r="BG418" s="67"/>
      <c r="BH418" s="67"/>
      <c r="BI418" s="67"/>
      <c r="BJ418" s="67"/>
      <c r="BK418" s="67"/>
      <c r="BL418" s="67"/>
      <c r="HB418" s="68"/>
      <c r="HC418" s="68"/>
      <c r="HD418" s="68"/>
      <c r="HE418" s="68"/>
      <c r="HF418" s="68"/>
      <c r="HG418" s="68"/>
      <c r="HH418" s="68"/>
      <c r="HI418" s="68"/>
      <c r="HJ418" s="68"/>
      <c r="HK418" s="68"/>
      <c r="HL418" s="68"/>
      <c r="HM418" s="68"/>
      <c r="HP418" s="68"/>
      <c r="HQ418" s="68"/>
      <c r="HR418" s="68"/>
      <c r="HS418" s="68"/>
      <c r="HT418" s="68"/>
      <c r="HU418" s="68"/>
      <c r="HV418" s="68"/>
      <c r="HW418" s="68"/>
      <c r="HX418" s="68"/>
      <c r="HY418" s="68"/>
      <c r="HZ418" s="68"/>
      <c r="IA418" s="68"/>
      <c r="IB418" s="68"/>
      <c r="IC418" s="68"/>
      <c r="ID418" s="68"/>
      <c r="IE418" s="68"/>
      <c r="IF418" s="68"/>
      <c r="IG418" s="68"/>
      <c r="IH418" s="68"/>
      <c r="II418" s="68"/>
      <c r="IJ418" s="68"/>
      <c r="IK418" s="68"/>
      <c r="IL418" s="68"/>
      <c r="IM418" s="68"/>
      <c r="IN418" s="68"/>
      <c r="IO418" s="68"/>
      <c r="IP418" s="68"/>
      <c r="IQ418" s="68"/>
      <c r="IR418" s="68"/>
      <c r="IS418" s="68"/>
      <c r="IT418" s="68"/>
      <c r="IU418" s="68"/>
      <c r="IV418" s="68"/>
      <c r="IW418" s="68"/>
      <c r="IX418" s="68"/>
      <c r="IY418" s="68"/>
    </row>
    <row r="419" spans="2:259" hidden="1" x14ac:dyDescent="0.3"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  <c r="AV419" s="68"/>
      <c r="AW419" s="68"/>
      <c r="AX419" s="68"/>
      <c r="AY419" s="68"/>
      <c r="AZ419" s="68"/>
      <c r="BA419" s="68"/>
      <c r="BB419" s="67"/>
      <c r="BC419" s="67"/>
      <c r="BD419" s="67"/>
      <c r="BE419" s="67"/>
      <c r="BF419" s="67"/>
      <c r="BG419" s="67"/>
      <c r="BH419" s="67"/>
      <c r="BI419" s="67"/>
      <c r="BJ419" s="67"/>
      <c r="BK419" s="67"/>
      <c r="BL419" s="67"/>
      <c r="HB419" s="68"/>
      <c r="HC419" s="68"/>
      <c r="HD419" s="68"/>
      <c r="HE419" s="68"/>
      <c r="HF419" s="68"/>
      <c r="HG419" s="68"/>
      <c r="HH419" s="68"/>
      <c r="HI419" s="68"/>
      <c r="HJ419" s="68"/>
      <c r="HK419" s="68"/>
      <c r="HL419" s="68"/>
      <c r="HM419" s="68"/>
      <c r="HP419" s="68"/>
      <c r="HQ419" s="68"/>
      <c r="HR419" s="68"/>
      <c r="HS419" s="68"/>
      <c r="HT419" s="68"/>
      <c r="HU419" s="68"/>
      <c r="HV419" s="68"/>
      <c r="HW419" s="68"/>
      <c r="HX419" s="68"/>
      <c r="HY419" s="68"/>
      <c r="HZ419" s="68"/>
      <c r="IA419" s="68"/>
      <c r="IB419" s="68"/>
      <c r="IC419" s="68"/>
      <c r="ID419" s="68"/>
      <c r="IE419" s="68"/>
      <c r="IF419" s="68"/>
      <c r="IG419" s="68"/>
      <c r="IH419" s="68"/>
      <c r="II419" s="68"/>
      <c r="IJ419" s="68"/>
      <c r="IK419" s="68"/>
      <c r="IL419" s="68"/>
      <c r="IM419" s="68"/>
      <c r="IN419" s="68"/>
      <c r="IO419" s="68"/>
      <c r="IP419" s="68"/>
      <c r="IQ419" s="68"/>
      <c r="IR419" s="68"/>
      <c r="IS419" s="68"/>
      <c r="IT419" s="68"/>
      <c r="IU419" s="68"/>
      <c r="IV419" s="68"/>
      <c r="IW419" s="68"/>
      <c r="IX419" s="68"/>
      <c r="IY419" s="68"/>
    </row>
    <row r="420" spans="2:259" hidden="1" x14ac:dyDescent="0.3"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  <c r="AV420" s="68"/>
      <c r="AW420" s="68"/>
      <c r="AX420" s="68"/>
      <c r="AY420" s="68"/>
      <c r="AZ420" s="68"/>
      <c r="BA420" s="68"/>
      <c r="BB420" s="67"/>
      <c r="BC420" s="67"/>
      <c r="BD420" s="67"/>
      <c r="BE420" s="67"/>
      <c r="BF420" s="67"/>
      <c r="BG420" s="67"/>
      <c r="BH420" s="67"/>
      <c r="BI420" s="67"/>
      <c r="BJ420" s="67"/>
      <c r="BK420" s="67"/>
      <c r="BL420" s="67"/>
      <c r="HB420" s="68"/>
      <c r="HC420" s="68"/>
      <c r="HD420" s="68"/>
      <c r="HE420" s="68"/>
      <c r="HF420" s="68"/>
      <c r="HG420" s="68"/>
      <c r="HH420" s="68"/>
      <c r="HI420" s="68"/>
      <c r="HJ420" s="68"/>
      <c r="HK420" s="68"/>
      <c r="HL420" s="68"/>
      <c r="HM420" s="68"/>
      <c r="HP420" s="68"/>
      <c r="HQ420" s="68"/>
      <c r="HR420" s="68"/>
      <c r="HS420" s="68"/>
      <c r="HT420" s="68"/>
      <c r="HU420" s="68"/>
      <c r="HV420" s="68"/>
      <c r="HW420" s="68"/>
      <c r="HX420" s="68"/>
      <c r="HY420" s="68"/>
      <c r="HZ420" s="68"/>
      <c r="IA420" s="68"/>
      <c r="IB420" s="68"/>
      <c r="IC420" s="68"/>
      <c r="ID420" s="68"/>
      <c r="IE420" s="68"/>
      <c r="IF420" s="68"/>
      <c r="IG420" s="68"/>
      <c r="IH420" s="68"/>
      <c r="II420" s="68"/>
      <c r="IJ420" s="68"/>
      <c r="IK420" s="68"/>
      <c r="IL420" s="68"/>
      <c r="IM420" s="68"/>
      <c r="IN420" s="68"/>
      <c r="IO420" s="68"/>
      <c r="IP420" s="68"/>
      <c r="IQ420" s="68"/>
      <c r="IR420" s="68"/>
      <c r="IS420" s="68"/>
      <c r="IT420" s="68"/>
      <c r="IU420" s="68"/>
      <c r="IV420" s="68"/>
      <c r="IW420" s="68"/>
      <c r="IX420" s="68"/>
      <c r="IY420" s="68"/>
    </row>
    <row r="421" spans="2:259" hidden="1" x14ac:dyDescent="0.3"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7"/>
      <c r="BC421" s="67"/>
      <c r="BD421" s="67"/>
      <c r="BE421" s="67"/>
      <c r="BF421" s="67"/>
      <c r="BG421" s="67"/>
      <c r="BH421" s="67"/>
      <c r="BI421" s="67"/>
      <c r="BJ421" s="67"/>
      <c r="BK421" s="67"/>
      <c r="BL421" s="67"/>
      <c r="HB421" s="68"/>
      <c r="HC421" s="68"/>
      <c r="HD421" s="68"/>
      <c r="HE421" s="68"/>
      <c r="HF421" s="68"/>
      <c r="HG421" s="68"/>
      <c r="HH421" s="68"/>
      <c r="HI421" s="68"/>
      <c r="HJ421" s="68"/>
      <c r="HK421" s="68"/>
      <c r="HL421" s="68"/>
      <c r="HM421" s="68"/>
      <c r="HP421" s="68"/>
      <c r="HQ421" s="68"/>
      <c r="HR421" s="68"/>
      <c r="HS421" s="68"/>
      <c r="HT421" s="68"/>
      <c r="HU421" s="68"/>
      <c r="HV421" s="68"/>
      <c r="HW421" s="68"/>
      <c r="HX421" s="68"/>
      <c r="HY421" s="68"/>
      <c r="HZ421" s="68"/>
      <c r="IA421" s="68"/>
      <c r="IB421" s="68"/>
      <c r="IC421" s="68"/>
      <c r="ID421" s="68"/>
      <c r="IE421" s="68"/>
      <c r="IF421" s="68"/>
      <c r="IG421" s="68"/>
      <c r="IH421" s="68"/>
      <c r="II421" s="68"/>
      <c r="IJ421" s="68"/>
      <c r="IK421" s="68"/>
      <c r="IL421" s="68"/>
      <c r="IM421" s="68"/>
      <c r="IN421" s="68"/>
      <c r="IO421" s="68"/>
      <c r="IP421" s="68"/>
      <c r="IQ421" s="68"/>
      <c r="IR421" s="68"/>
      <c r="IS421" s="68"/>
      <c r="IT421" s="68"/>
      <c r="IU421" s="68"/>
      <c r="IV421" s="68"/>
      <c r="IW421" s="68"/>
      <c r="IX421" s="68"/>
      <c r="IY421" s="68"/>
    </row>
    <row r="422" spans="2:259" hidden="1" x14ac:dyDescent="0.3"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  <c r="AV422" s="68"/>
      <c r="AW422" s="68"/>
      <c r="AX422" s="68"/>
      <c r="AY422" s="68"/>
      <c r="AZ422" s="68"/>
      <c r="BA422" s="68"/>
      <c r="BB422" s="67"/>
      <c r="BC422" s="67"/>
      <c r="BD422" s="67"/>
      <c r="BE422" s="67"/>
      <c r="BF422" s="67"/>
      <c r="BG422" s="67"/>
      <c r="BH422" s="67"/>
      <c r="BI422" s="67"/>
      <c r="BJ422" s="67"/>
      <c r="BK422" s="67"/>
      <c r="BL422" s="67"/>
      <c r="HB422" s="68"/>
      <c r="HC422" s="68"/>
      <c r="HD422" s="68"/>
      <c r="HE422" s="68"/>
      <c r="HF422" s="68"/>
      <c r="HG422" s="68"/>
      <c r="HH422" s="68"/>
      <c r="HI422" s="68"/>
      <c r="HJ422" s="68"/>
      <c r="HK422" s="68"/>
      <c r="HL422" s="68"/>
      <c r="HM422" s="68"/>
      <c r="HP422" s="68"/>
      <c r="HQ422" s="68"/>
      <c r="HR422" s="68"/>
      <c r="HS422" s="68"/>
      <c r="HT422" s="68"/>
      <c r="HU422" s="68"/>
      <c r="HV422" s="68"/>
      <c r="HW422" s="68"/>
      <c r="HX422" s="68"/>
      <c r="HY422" s="68"/>
      <c r="HZ422" s="68"/>
      <c r="IA422" s="68"/>
      <c r="IB422" s="68"/>
      <c r="IC422" s="68"/>
      <c r="ID422" s="68"/>
      <c r="IE422" s="68"/>
      <c r="IF422" s="68"/>
      <c r="IG422" s="68"/>
      <c r="IH422" s="68"/>
      <c r="II422" s="68"/>
      <c r="IJ422" s="68"/>
      <c r="IK422" s="68"/>
      <c r="IL422" s="68"/>
      <c r="IM422" s="68"/>
      <c r="IN422" s="68"/>
      <c r="IO422" s="68"/>
      <c r="IP422" s="68"/>
      <c r="IQ422" s="68"/>
      <c r="IR422" s="68"/>
      <c r="IS422" s="68"/>
      <c r="IT422" s="68"/>
      <c r="IU422" s="68"/>
      <c r="IV422" s="68"/>
      <c r="IW422" s="68"/>
      <c r="IX422" s="68"/>
      <c r="IY422" s="68"/>
    </row>
    <row r="423" spans="2:259" hidden="1" x14ac:dyDescent="0.3"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  <c r="AV423" s="68"/>
      <c r="AW423" s="68"/>
      <c r="AX423" s="68"/>
      <c r="AY423" s="68"/>
      <c r="AZ423" s="68"/>
      <c r="BA423" s="68"/>
      <c r="BB423" s="67"/>
      <c r="BC423" s="67"/>
      <c r="BD423" s="67"/>
      <c r="BE423" s="67"/>
      <c r="BF423" s="67"/>
      <c r="BG423" s="67"/>
      <c r="BH423" s="67"/>
      <c r="BI423" s="67"/>
      <c r="BJ423" s="67"/>
      <c r="BK423" s="67"/>
      <c r="BL423" s="67"/>
      <c r="HB423" s="68"/>
      <c r="HC423" s="68"/>
      <c r="HD423" s="68"/>
      <c r="HE423" s="68"/>
      <c r="HF423" s="68"/>
      <c r="HG423" s="68"/>
      <c r="HH423" s="68"/>
      <c r="HI423" s="68"/>
      <c r="HJ423" s="68"/>
      <c r="HK423" s="68"/>
      <c r="HL423" s="68"/>
      <c r="HM423" s="68"/>
      <c r="HP423" s="68"/>
      <c r="HQ423" s="68"/>
      <c r="HR423" s="68"/>
      <c r="HS423" s="68"/>
      <c r="HT423" s="68"/>
      <c r="HU423" s="68"/>
      <c r="HV423" s="68"/>
      <c r="HW423" s="68"/>
      <c r="HX423" s="68"/>
      <c r="HY423" s="68"/>
      <c r="HZ423" s="68"/>
      <c r="IA423" s="68"/>
      <c r="IB423" s="68"/>
      <c r="IC423" s="68"/>
      <c r="ID423" s="68"/>
      <c r="IE423" s="68"/>
      <c r="IF423" s="68"/>
      <c r="IG423" s="68"/>
      <c r="IH423" s="68"/>
      <c r="II423" s="68"/>
      <c r="IJ423" s="68"/>
      <c r="IK423" s="68"/>
      <c r="IL423" s="68"/>
      <c r="IM423" s="68"/>
      <c r="IN423" s="68"/>
      <c r="IO423" s="68"/>
      <c r="IP423" s="68"/>
      <c r="IQ423" s="68"/>
      <c r="IR423" s="68"/>
      <c r="IS423" s="68"/>
      <c r="IT423" s="68"/>
      <c r="IU423" s="68"/>
      <c r="IV423" s="68"/>
      <c r="IW423" s="68"/>
      <c r="IX423" s="68"/>
      <c r="IY423" s="68"/>
    </row>
    <row r="424" spans="2:259" hidden="1" x14ac:dyDescent="0.3"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  <c r="AV424" s="68"/>
      <c r="AW424" s="68"/>
      <c r="AX424" s="68"/>
      <c r="AY424" s="68"/>
      <c r="AZ424" s="68"/>
      <c r="BA424" s="68"/>
      <c r="BB424" s="67"/>
      <c r="BC424" s="67"/>
      <c r="BD424" s="67"/>
      <c r="BE424" s="67"/>
      <c r="BF424" s="67"/>
      <c r="BG424" s="67"/>
      <c r="BH424" s="67"/>
      <c r="BI424" s="67"/>
      <c r="BJ424" s="67"/>
      <c r="BK424" s="67"/>
      <c r="BL424" s="67"/>
      <c r="HB424" s="68"/>
      <c r="HC424" s="68"/>
      <c r="HD424" s="68"/>
      <c r="HE424" s="68"/>
      <c r="HF424" s="68"/>
      <c r="HG424" s="68"/>
      <c r="HH424" s="68"/>
      <c r="HI424" s="68"/>
      <c r="HJ424" s="68"/>
      <c r="HK424" s="68"/>
      <c r="HL424" s="68"/>
      <c r="HM424" s="68"/>
      <c r="HP424" s="68"/>
      <c r="HQ424" s="68"/>
      <c r="HR424" s="68"/>
      <c r="HS424" s="68"/>
      <c r="HT424" s="68"/>
      <c r="HU424" s="68"/>
      <c r="HV424" s="68"/>
      <c r="HW424" s="68"/>
      <c r="HX424" s="68"/>
      <c r="HY424" s="68"/>
      <c r="HZ424" s="68"/>
      <c r="IA424" s="68"/>
      <c r="IB424" s="68"/>
      <c r="IC424" s="68"/>
      <c r="ID424" s="68"/>
      <c r="IE424" s="68"/>
      <c r="IF424" s="68"/>
      <c r="IG424" s="68"/>
      <c r="IH424" s="68"/>
      <c r="II424" s="68"/>
      <c r="IJ424" s="68"/>
      <c r="IK424" s="68"/>
      <c r="IL424" s="68"/>
      <c r="IM424" s="68"/>
      <c r="IN424" s="68"/>
      <c r="IO424" s="68"/>
      <c r="IP424" s="68"/>
      <c r="IQ424" s="68"/>
      <c r="IR424" s="68"/>
      <c r="IS424" s="68"/>
      <c r="IT424" s="68"/>
      <c r="IU424" s="68"/>
      <c r="IV424" s="68"/>
      <c r="IW424" s="68"/>
      <c r="IX424" s="68"/>
      <c r="IY424" s="68"/>
    </row>
    <row r="425" spans="2:259" hidden="1" x14ac:dyDescent="0.3"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  <c r="AV425" s="68"/>
      <c r="AW425" s="68"/>
      <c r="AX425" s="68"/>
      <c r="AY425" s="68"/>
      <c r="AZ425" s="68"/>
      <c r="BA425" s="68"/>
      <c r="BB425" s="67"/>
      <c r="BC425" s="67"/>
      <c r="BD425" s="67"/>
      <c r="BE425" s="67"/>
      <c r="BF425" s="67"/>
      <c r="BG425" s="67"/>
      <c r="BH425" s="67"/>
      <c r="BI425" s="67"/>
      <c r="BJ425" s="67"/>
      <c r="BK425" s="67"/>
      <c r="BL425" s="67"/>
      <c r="HB425" s="68"/>
      <c r="HC425" s="68"/>
      <c r="HD425" s="68"/>
      <c r="HE425" s="68"/>
      <c r="HF425" s="68"/>
      <c r="HG425" s="68"/>
      <c r="HH425" s="68"/>
      <c r="HI425" s="68"/>
      <c r="HJ425" s="68"/>
      <c r="HK425" s="68"/>
      <c r="HL425" s="68"/>
      <c r="HM425" s="68"/>
      <c r="HP425" s="68"/>
      <c r="HQ425" s="68"/>
      <c r="HR425" s="68"/>
      <c r="HS425" s="68"/>
      <c r="HT425" s="68"/>
      <c r="HU425" s="68"/>
      <c r="HV425" s="68"/>
      <c r="HW425" s="68"/>
      <c r="HX425" s="68"/>
      <c r="HY425" s="68"/>
      <c r="HZ425" s="68"/>
      <c r="IA425" s="68"/>
      <c r="IB425" s="68"/>
      <c r="IC425" s="68"/>
      <c r="ID425" s="68"/>
      <c r="IE425" s="68"/>
      <c r="IF425" s="68"/>
      <c r="IG425" s="68"/>
      <c r="IH425" s="68"/>
      <c r="II425" s="68"/>
      <c r="IJ425" s="68"/>
      <c r="IK425" s="68"/>
      <c r="IL425" s="68"/>
      <c r="IM425" s="68"/>
      <c r="IN425" s="68"/>
      <c r="IO425" s="68"/>
      <c r="IP425" s="68"/>
      <c r="IQ425" s="68"/>
      <c r="IR425" s="68"/>
      <c r="IS425" s="68"/>
      <c r="IT425" s="68"/>
      <c r="IU425" s="68"/>
      <c r="IV425" s="68"/>
      <c r="IW425" s="68"/>
      <c r="IX425" s="68"/>
      <c r="IY425" s="68"/>
    </row>
    <row r="426" spans="2:259" hidden="1" x14ac:dyDescent="0.3"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  <c r="AV426" s="68"/>
      <c r="AW426" s="68"/>
      <c r="AX426" s="68"/>
      <c r="AY426" s="68"/>
      <c r="AZ426" s="68"/>
      <c r="BA426" s="68"/>
      <c r="BB426" s="67"/>
      <c r="BC426" s="67"/>
      <c r="BD426" s="67"/>
      <c r="BE426" s="67"/>
      <c r="BF426" s="67"/>
      <c r="BG426" s="67"/>
      <c r="BH426" s="67"/>
      <c r="BI426" s="67"/>
      <c r="BJ426" s="67"/>
      <c r="BK426" s="67"/>
      <c r="BL426" s="67"/>
      <c r="HB426" s="68"/>
      <c r="HC426" s="68"/>
      <c r="HD426" s="68"/>
      <c r="HE426" s="68"/>
      <c r="HF426" s="68"/>
      <c r="HG426" s="68"/>
      <c r="HH426" s="68"/>
      <c r="HI426" s="68"/>
      <c r="HJ426" s="68"/>
      <c r="HK426" s="68"/>
      <c r="HL426" s="68"/>
      <c r="HM426" s="68"/>
      <c r="HP426" s="68"/>
      <c r="HQ426" s="68"/>
      <c r="HR426" s="68"/>
      <c r="HS426" s="68"/>
      <c r="HT426" s="68"/>
      <c r="HU426" s="68"/>
      <c r="HV426" s="68"/>
      <c r="HW426" s="68"/>
      <c r="HX426" s="68"/>
      <c r="HY426" s="68"/>
      <c r="HZ426" s="68"/>
      <c r="IA426" s="68"/>
      <c r="IB426" s="68"/>
      <c r="IC426" s="68"/>
      <c r="ID426" s="68"/>
      <c r="IE426" s="68"/>
      <c r="IF426" s="68"/>
      <c r="IG426" s="68"/>
      <c r="IH426" s="68"/>
      <c r="II426" s="68"/>
      <c r="IJ426" s="68"/>
      <c r="IK426" s="68"/>
      <c r="IL426" s="68"/>
      <c r="IM426" s="68"/>
      <c r="IN426" s="68"/>
      <c r="IO426" s="68"/>
      <c r="IP426" s="68"/>
      <c r="IQ426" s="68"/>
      <c r="IR426" s="68"/>
      <c r="IS426" s="68"/>
      <c r="IT426" s="68"/>
      <c r="IU426" s="68"/>
      <c r="IV426" s="68"/>
      <c r="IW426" s="68"/>
      <c r="IX426" s="68"/>
      <c r="IY426" s="68"/>
    </row>
    <row r="427" spans="2:259" hidden="1" x14ac:dyDescent="0.3"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  <c r="AV427" s="68"/>
      <c r="AW427" s="68"/>
      <c r="AX427" s="68"/>
      <c r="AY427" s="68"/>
      <c r="AZ427" s="68"/>
      <c r="BA427" s="68"/>
      <c r="BB427" s="67"/>
      <c r="BC427" s="67"/>
      <c r="BD427" s="67"/>
      <c r="BE427" s="67"/>
      <c r="BF427" s="67"/>
      <c r="BG427" s="67"/>
      <c r="BH427" s="67"/>
      <c r="BI427" s="67"/>
      <c r="BJ427" s="67"/>
      <c r="BK427" s="67"/>
      <c r="BL427" s="67"/>
      <c r="HB427" s="68"/>
      <c r="HC427" s="68"/>
      <c r="HD427" s="68"/>
      <c r="HE427" s="68"/>
      <c r="HF427" s="68"/>
      <c r="HG427" s="68"/>
      <c r="HH427" s="68"/>
      <c r="HI427" s="68"/>
      <c r="HJ427" s="68"/>
      <c r="HK427" s="68"/>
      <c r="HL427" s="68"/>
      <c r="HM427" s="68"/>
      <c r="HP427" s="68"/>
      <c r="HQ427" s="68"/>
      <c r="HR427" s="68"/>
      <c r="HS427" s="68"/>
      <c r="HT427" s="68"/>
      <c r="HU427" s="68"/>
      <c r="HV427" s="68"/>
      <c r="HW427" s="68"/>
      <c r="HX427" s="68"/>
      <c r="HY427" s="68"/>
      <c r="HZ427" s="68"/>
      <c r="IA427" s="68"/>
      <c r="IB427" s="68"/>
      <c r="IC427" s="68"/>
      <c r="ID427" s="68"/>
      <c r="IE427" s="68"/>
      <c r="IF427" s="68"/>
      <c r="IG427" s="68"/>
      <c r="IH427" s="68"/>
      <c r="II427" s="68"/>
      <c r="IJ427" s="68"/>
      <c r="IK427" s="68"/>
      <c r="IL427" s="68"/>
      <c r="IM427" s="68"/>
      <c r="IN427" s="68"/>
      <c r="IO427" s="68"/>
      <c r="IP427" s="68"/>
      <c r="IQ427" s="68"/>
      <c r="IR427" s="68"/>
      <c r="IS427" s="68"/>
      <c r="IT427" s="68"/>
      <c r="IU427" s="68"/>
      <c r="IV427" s="68"/>
      <c r="IW427" s="68"/>
      <c r="IX427" s="68"/>
      <c r="IY427" s="68"/>
    </row>
    <row r="428" spans="2:259" hidden="1" x14ac:dyDescent="0.3"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  <c r="AV428" s="68"/>
      <c r="AW428" s="68"/>
      <c r="AX428" s="68"/>
      <c r="AY428" s="68"/>
      <c r="AZ428" s="68"/>
      <c r="BA428" s="68"/>
      <c r="BB428" s="67"/>
      <c r="BC428" s="67"/>
      <c r="BD428" s="67"/>
      <c r="BE428" s="67"/>
      <c r="BF428" s="67"/>
      <c r="BG428" s="67"/>
      <c r="BH428" s="67"/>
      <c r="BI428" s="67"/>
      <c r="BJ428" s="67"/>
      <c r="BK428" s="67"/>
      <c r="BL428" s="67"/>
      <c r="HB428" s="68"/>
      <c r="HC428" s="68"/>
      <c r="HD428" s="68"/>
      <c r="HE428" s="68"/>
      <c r="HF428" s="68"/>
      <c r="HG428" s="68"/>
      <c r="HH428" s="68"/>
      <c r="HI428" s="68"/>
      <c r="HJ428" s="68"/>
      <c r="HK428" s="68"/>
      <c r="HL428" s="68"/>
      <c r="HM428" s="68"/>
      <c r="HP428" s="68"/>
      <c r="HQ428" s="68"/>
      <c r="HR428" s="68"/>
      <c r="HS428" s="68"/>
      <c r="HT428" s="68"/>
      <c r="HU428" s="68"/>
      <c r="HV428" s="68"/>
      <c r="HW428" s="68"/>
      <c r="HX428" s="68"/>
      <c r="HY428" s="68"/>
      <c r="HZ428" s="68"/>
      <c r="IA428" s="68"/>
      <c r="IB428" s="68"/>
      <c r="IC428" s="68"/>
      <c r="ID428" s="68"/>
      <c r="IE428" s="68"/>
      <c r="IF428" s="68"/>
      <c r="IG428" s="68"/>
      <c r="IH428" s="68"/>
      <c r="II428" s="68"/>
      <c r="IJ428" s="68"/>
      <c r="IK428" s="68"/>
      <c r="IL428" s="68"/>
      <c r="IM428" s="68"/>
      <c r="IN428" s="68"/>
      <c r="IO428" s="68"/>
      <c r="IP428" s="68"/>
      <c r="IQ428" s="68"/>
      <c r="IR428" s="68"/>
      <c r="IS428" s="68"/>
      <c r="IT428" s="68"/>
      <c r="IU428" s="68"/>
      <c r="IV428" s="68"/>
      <c r="IW428" s="68"/>
      <c r="IX428" s="68"/>
      <c r="IY428" s="68"/>
    </row>
    <row r="429" spans="2:259" hidden="1" x14ac:dyDescent="0.3"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  <c r="AV429" s="68"/>
      <c r="AW429" s="68"/>
      <c r="AX429" s="68"/>
      <c r="AY429" s="68"/>
      <c r="AZ429" s="68"/>
      <c r="BA429" s="68"/>
      <c r="BB429" s="67"/>
      <c r="BC429" s="67"/>
      <c r="BD429" s="67"/>
      <c r="BE429" s="67"/>
      <c r="BF429" s="67"/>
      <c r="BG429" s="67"/>
      <c r="BH429" s="67"/>
      <c r="BI429" s="67"/>
      <c r="BJ429" s="67"/>
      <c r="BK429" s="67"/>
      <c r="BL429" s="67"/>
      <c r="HB429" s="68"/>
      <c r="HC429" s="68"/>
      <c r="HD429" s="68"/>
      <c r="HE429" s="68"/>
      <c r="HF429" s="68"/>
      <c r="HG429" s="68"/>
      <c r="HH429" s="68"/>
      <c r="HI429" s="68"/>
      <c r="HJ429" s="68"/>
      <c r="HK429" s="68"/>
      <c r="HL429" s="68"/>
      <c r="HM429" s="68"/>
      <c r="HP429" s="68"/>
      <c r="HQ429" s="68"/>
      <c r="HR429" s="68"/>
      <c r="HS429" s="68"/>
      <c r="HT429" s="68"/>
      <c r="HU429" s="68"/>
      <c r="HV429" s="68"/>
      <c r="HW429" s="68"/>
      <c r="HX429" s="68"/>
      <c r="HY429" s="68"/>
      <c r="HZ429" s="68"/>
      <c r="IA429" s="68"/>
      <c r="IB429" s="68"/>
      <c r="IC429" s="68"/>
      <c r="ID429" s="68"/>
      <c r="IE429" s="68"/>
      <c r="IF429" s="68"/>
      <c r="IG429" s="68"/>
      <c r="IH429" s="68"/>
      <c r="II429" s="68"/>
      <c r="IJ429" s="68"/>
      <c r="IK429" s="68"/>
      <c r="IL429" s="68"/>
      <c r="IM429" s="68"/>
      <c r="IN429" s="68"/>
      <c r="IO429" s="68"/>
      <c r="IP429" s="68"/>
      <c r="IQ429" s="68"/>
      <c r="IR429" s="68"/>
      <c r="IS429" s="68"/>
      <c r="IT429" s="68"/>
      <c r="IU429" s="68"/>
      <c r="IV429" s="68"/>
      <c r="IW429" s="68"/>
      <c r="IX429" s="68"/>
      <c r="IY429" s="68"/>
    </row>
    <row r="430" spans="2:259" hidden="1" x14ac:dyDescent="0.3"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  <c r="AV430" s="68"/>
      <c r="AW430" s="68"/>
      <c r="AX430" s="68"/>
      <c r="AY430" s="68"/>
      <c r="AZ430" s="68"/>
      <c r="BA430" s="68"/>
      <c r="BB430" s="67"/>
      <c r="BC430" s="67"/>
      <c r="BD430" s="67"/>
      <c r="BE430" s="67"/>
      <c r="BF430" s="67"/>
      <c r="BG430" s="67"/>
      <c r="BH430" s="67"/>
      <c r="BI430" s="67"/>
      <c r="BJ430" s="67"/>
      <c r="BK430" s="67"/>
      <c r="BL430" s="67"/>
      <c r="HB430" s="68"/>
      <c r="HC430" s="68"/>
      <c r="HD430" s="68"/>
      <c r="HE430" s="68"/>
      <c r="HF430" s="68"/>
      <c r="HG430" s="68"/>
      <c r="HH430" s="68"/>
      <c r="HI430" s="68"/>
      <c r="HJ430" s="68"/>
      <c r="HK430" s="68"/>
      <c r="HL430" s="68"/>
      <c r="HM430" s="68"/>
      <c r="HP430" s="68"/>
      <c r="HQ430" s="68"/>
      <c r="HR430" s="68"/>
      <c r="HS430" s="68"/>
      <c r="HT430" s="68"/>
      <c r="HU430" s="68"/>
      <c r="HV430" s="68"/>
      <c r="HW430" s="68"/>
      <c r="HX430" s="68"/>
      <c r="HY430" s="68"/>
      <c r="HZ430" s="68"/>
      <c r="IA430" s="68"/>
      <c r="IB430" s="68"/>
      <c r="IC430" s="68"/>
      <c r="ID430" s="68"/>
      <c r="IE430" s="68"/>
      <c r="IF430" s="68"/>
      <c r="IG430" s="68"/>
      <c r="IH430" s="68"/>
      <c r="II430" s="68"/>
      <c r="IJ430" s="68"/>
      <c r="IK430" s="68"/>
      <c r="IL430" s="68"/>
      <c r="IM430" s="68"/>
      <c r="IN430" s="68"/>
      <c r="IO430" s="68"/>
      <c r="IP430" s="68"/>
      <c r="IQ430" s="68"/>
      <c r="IR430" s="68"/>
      <c r="IS430" s="68"/>
      <c r="IT430" s="68"/>
      <c r="IU430" s="68"/>
      <c r="IV430" s="68"/>
      <c r="IW430" s="68"/>
      <c r="IX430" s="68"/>
      <c r="IY430" s="68"/>
    </row>
    <row r="431" spans="2:259" hidden="1" x14ac:dyDescent="0.3"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  <c r="AV431" s="68"/>
      <c r="AW431" s="68"/>
      <c r="AX431" s="68"/>
      <c r="AY431" s="68"/>
      <c r="AZ431" s="68"/>
      <c r="BA431" s="68"/>
      <c r="BB431" s="67"/>
      <c r="BC431" s="67"/>
      <c r="BD431" s="67"/>
      <c r="BE431" s="67"/>
      <c r="BF431" s="67"/>
      <c r="BG431" s="67"/>
      <c r="BH431" s="67"/>
      <c r="BI431" s="67"/>
      <c r="BJ431" s="67"/>
      <c r="BK431" s="67"/>
      <c r="BL431" s="67"/>
      <c r="HB431" s="68"/>
      <c r="HC431" s="68"/>
      <c r="HD431" s="68"/>
      <c r="HE431" s="68"/>
      <c r="HF431" s="68"/>
      <c r="HG431" s="68"/>
      <c r="HH431" s="68"/>
      <c r="HI431" s="68"/>
      <c r="HJ431" s="68"/>
      <c r="HK431" s="68"/>
      <c r="HL431" s="68"/>
      <c r="HM431" s="68"/>
      <c r="HP431" s="68"/>
      <c r="HQ431" s="68"/>
      <c r="HR431" s="68"/>
      <c r="HS431" s="68"/>
      <c r="HT431" s="68"/>
      <c r="HU431" s="68"/>
      <c r="HV431" s="68"/>
      <c r="HW431" s="68"/>
      <c r="HX431" s="68"/>
      <c r="HY431" s="68"/>
      <c r="HZ431" s="68"/>
      <c r="IA431" s="68"/>
      <c r="IB431" s="68"/>
      <c r="IC431" s="68"/>
      <c r="ID431" s="68"/>
      <c r="IE431" s="68"/>
      <c r="IF431" s="68"/>
      <c r="IG431" s="68"/>
      <c r="IH431" s="68"/>
      <c r="II431" s="68"/>
      <c r="IJ431" s="68"/>
      <c r="IK431" s="68"/>
      <c r="IL431" s="68"/>
      <c r="IM431" s="68"/>
      <c r="IN431" s="68"/>
      <c r="IO431" s="68"/>
      <c r="IP431" s="68"/>
      <c r="IQ431" s="68"/>
      <c r="IR431" s="68"/>
      <c r="IS431" s="68"/>
      <c r="IT431" s="68"/>
      <c r="IU431" s="68"/>
      <c r="IV431" s="68"/>
      <c r="IW431" s="68"/>
      <c r="IX431" s="68"/>
      <c r="IY431" s="68"/>
    </row>
    <row r="432" spans="2:259" hidden="1" x14ac:dyDescent="0.3"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  <c r="AV432" s="68"/>
      <c r="AW432" s="68"/>
      <c r="AX432" s="68"/>
      <c r="AY432" s="68"/>
      <c r="AZ432" s="68"/>
      <c r="BA432" s="68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  <c r="HB432" s="68"/>
      <c r="HC432" s="68"/>
      <c r="HD432" s="68"/>
      <c r="HE432" s="68"/>
      <c r="HF432" s="68"/>
      <c r="HG432" s="68"/>
      <c r="HH432" s="68"/>
      <c r="HI432" s="68"/>
      <c r="HJ432" s="68"/>
      <c r="HK432" s="68"/>
      <c r="HL432" s="68"/>
      <c r="HM432" s="68"/>
      <c r="HP432" s="68"/>
      <c r="HQ432" s="68"/>
      <c r="HR432" s="68"/>
      <c r="HS432" s="68"/>
      <c r="HT432" s="68"/>
      <c r="HU432" s="68"/>
      <c r="HV432" s="68"/>
      <c r="HW432" s="68"/>
      <c r="HX432" s="68"/>
      <c r="HY432" s="68"/>
      <c r="HZ432" s="68"/>
      <c r="IA432" s="68"/>
      <c r="IB432" s="68"/>
      <c r="IC432" s="68"/>
      <c r="ID432" s="68"/>
      <c r="IE432" s="68"/>
      <c r="IF432" s="68"/>
      <c r="IG432" s="68"/>
      <c r="IH432" s="68"/>
      <c r="II432" s="68"/>
      <c r="IJ432" s="68"/>
      <c r="IK432" s="68"/>
      <c r="IL432" s="68"/>
      <c r="IM432" s="68"/>
      <c r="IN432" s="68"/>
      <c r="IO432" s="68"/>
      <c r="IP432" s="68"/>
      <c r="IQ432" s="68"/>
      <c r="IR432" s="68"/>
      <c r="IS432" s="68"/>
      <c r="IT432" s="68"/>
      <c r="IU432" s="68"/>
      <c r="IV432" s="68"/>
      <c r="IW432" s="68"/>
      <c r="IX432" s="68"/>
      <c r="IY432" s="68"/>
    </row>
    <row r="433" spans="2:259" hidden="1" x14ac:dyDescent="0.3"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  <c r="AV433" s="68"/>
      <c r="AW433" s="68"/>
      <c r="AX433" s="68"/>
      <c r="AY433" s="68"/>
      <c r="AZ433" s="68"/>
      <c r="BA433" s="68"/>
      <c r="BB433" s="67"/>
      <c r="BC433" s="67"/>
      <c r="BD433" s="67"/>
      <c r="BE433" s="67"/>
      <c r="BF433" s="67"/>
      <c r="BG433" s="67"/>
      <c r="BH433" s="67"/>
      <c r="BI433" s="67"/>
      <c r="BJ433" s="67"/>
      <c r="BK433" s="67"/>
      <c r="BL433" s="67"/>
      <c r="HB433" s="68"/>
      <c r="HC433" s="68"/>
      <c r="HD433" s="68"/>
      <c r="HE433" s="68"/>
      <c r="HF433" s="68"/>
      <c r="HG433" s="68"/>
      <c r="HH433" s="68"/>
      <c r="HI433" s="68"/>
      <c r="HJ433" s="68"/>
      <c r="HK433" s="68"/>
      <c r="HL433" s="68"/>
      <c r="HM433" s="68"/>
      <c r="HP433" s="68"/>
      <c r="HQ433" s="68"/>
      <c r="HR433" s="68"/>
      <c r="HS433" s="68"/>
      <c r="HT433" s="68"/>
      <c r="HU433" s="68"/>
      <c r="HV433" s="68"/>
      <c r="HW433" s="68"/>
      <c r="HX433" s="68"/>
      <c r="HY433" s="68"/>
      <c r="HZ433" s="68"/>
      <c r="IA433" s="68"/>
      <c r="IB433" s="68"/>
      <c r="IC433" s="68"/>
      <c r="ID433" s="68"/>
      <c r="IE433" s="68"/>
      <c r="IF433" s="68"/>
      <c r="IG433" s="68"/>
      <c r="IH433" s="68"/>
      <c r="II433" s="68"/>
      <c r="IJ433" s="68"/>
      <c r="IK433" s="68"/>
      <c r="IL433" s="68"/>
      <c r="IM433" s="68"/>
      <c r="IN433" s="68"/>
      <c r="IO433" s="68"/>
      <c r="IP433" s="68"/>
      <c r="IQ433" s="68"/>
      <c r="IR433" s="68"/>
      <c r="IS433" s="68"/>
      <c r="IT433" s="68"/>
      <c r="IU433" s="68"/>
      <c r="IV433" s="68"/>
      <c r="IW433" s="68"/>
      <c r="IX433" s="68"/>
      <c r="IY433" s="68"/>
    </row>
    <row r="434" spans="2:259" hidden="1" x14ac:dyDescent="0.3"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  <c r="AV434" s="68"/>
      <c r="AW434" s="68"/>
      <c r="AX434" s="68"/>
      <c r="AY434" s="68"/>
      <c r="AZ434" s="68"/>
      <c r="BA434" s="68"/>
      <c r="BB434" s="67"/>
      <c r="BC434" s="67"/>
      <c r="BD434" s="67"/>
      <c r="BE434" s="67"/>
      <c r="BF434" s="67"/>
      <c r="BG434" s="67"/>
      <c r="BH434" s="67"/>
      <c r="BI434" s="67"/>
      <c r="BJ434" s="67"/>
      <c r="BK434" s="67"/>
      <c r="BL434" s="67"/>
      <c r="HB434" s="68"/>
      <c r="HC434" s="68"/>
      <c r="HD434" s="68"/>
      <c r="HE434" s="68"/>
      <c r="HF434" s="68"/>
      <c r="HG434" s="68"/>
      <c r="HH434" s="68"/>
      <c r="HI434" s="68"/>
      <c r="HJ434" s="68"/>
      <c r="HK434" s="68"/>
      <c r="HL434" s="68"/>
      <c r="HM434" s="68"/>
      <c r="HP434" s="68"/>
      <c r="HQ434" s="68"/>
      <c r="HR434" s="68"/>
      <c r="HS434" s="68"/>
      <c r="HT434" s="68"/>
      <c r="HU434" s="68"/>
      <c r="HV434" s="68"/>
      <c r="HW434" s="68"/>
      <c r="HX434" s="68"/>
      <c r="HY434" s="68"/>
      <c r="HZ434" s="68"/>
      <c r="IA434" s="68"/>
      <c r="IB434" s="68"/>
      <c r="IC434" s="68"/>
      <c r="ID434" s="68"/>
      <c r="IE434" s="68"/>
      <c r="IF434" s="68"/>
      <c r="IG434" s="68"/>
      <c r="IH434" s="68"/>
      <c r="II434" s="68"/>
      <c r="IJ434" s="68"/>
      <c r="IK434" s="68"/>
      <c r="IL434" s="68"/>
      <c r="IM434" s="68"/>
      <c r="IN434" s="68"/>
      <c r="IO434" s="68"/>
      <c r="IP434" s="68"/>
      <c r="IQ434" s="68"/>
      <c r="IR434" s="68"/>
      <c r="IS434" s="68"/>
      <c r="IT434" s="68"/>
      <c r="IU434" s="68"/>
      <c r="IV434" s="68"/>
      <c r="IW434" s="68"/>
      <c r="IX434" s="68"/>
      <c r="IY434" s="68"/>
    </row>
    <row r="435" spans="2:259" hidden="1" x14ac:dyDescent="0.3"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  <c r="AV435" s="68"/>
      <c r="AW435" s="68"/>
      <c r="AX435" s="68"/>
      <c r="AY435" s="68"/>
      <c r="AZ435" s="68"/>
      <c r="BA435" s="68"/>
      <c r="BB435" s="67"/>
      <c r="BC435" s="67"/>
      <c r="BD435" s="67"/>
      <c r="BE435" s="67"/>
      <c r="BF435" s="67"/>
      <c r="BG435" s="67"/>
      <c r="BH435" s="67"/>
      <c r="BI435" s="67"/>
      <c r="BJ435" s="67"/>
      <c r="BK435" s="67"/>
      <c r="BL435" s="67"/>
      <c r="HB435" s="68"/>
      <c r="HC435" s="68"/>
      <c r="HD435" s="68"/>
      <c r="HE435" s="68"/>
      <c r="HF435" s="68"/>
      <c r="HG435" s="68"/>
      <c r="HH435" s="68"/>
      <c r="HI435" s="68"/>
      <c r="HJ435" s="68"/>
      <c r="HK435" s="68"/>
      <c r="HL435" s="68"/>
      <c r="HM435" s="68"/>
      <c r="HP435" s="68"/>
      <c r="HQ435" s="68"/>
      <c r="HR435" s="68"/>
      <c r="HS435" s="68"/>
      <c r="HT435" s="68"/>
      <c r="HU435" s="68"/>
      <c r="HV435" s="68"/>
      <c r="HW435" s="68"/>
      <c r="HX435" s="68"/>
      <c r="HY435" s="68"/>
      <c r="HZ435" s="68"/>
      <c r="IA435" s="68"/>
      <c r="IB435" s="68"/>
      <c r="IC435" s="68"/>
      <c r="ID435" s="68"/>
      <c r="IE435" s="68"/>
      <c r="IF435" s="68"/>
      <c r="IG435" s="68"/>
      <c r="IH435" s="68"/>
      <c r="II435" s="68"/>
      <c r="IJ435" s="68"/>
      <c r="IK435" s="68"/>
      <c r="IL435" s="68"/>
      <c r="IM435" s="68"/>
      <c r="IN435" s="68"/>
      <c r="IO435" s="68"/>
      <c r="IP435" s="68"/>
      <c r="IQ435" s="68"/>
      <c r="IR435" s="68"/>
      <c r="IS435" s="68"/>
      <c r="IT435" s="68"/>
      <c r="IU435" s="68"/>
      <c r="IV435" s="68"/>
      <c r="IW435" s="68"/>
      <c r="IX435" s="68"/>
      <c r="IY435" s="68"/>
    </row>
    <row r="436" spans="2:259" hidden="1" x14ac:dyDescent="0.3"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  <c r="AV436" s="68"/>
      <c r="AW436" s="68"/>
      <c r="AX436" s="68"/>
      <c r="AY436" s="68"/>
      <c r="AZ436" s="68"/>
      <c r="BA436" s="68"/>
      <c r="BB436" s="67"/>
      <c r="BC436" s="67"/>
      <c r="BD436" s="67"/>
      <c r="BE436" s="67"/>
      <c r="BF436" s="67"/>
      <c r="BG436" s="67"/>
      <c r="BH436" s="67"/>
      <c r="BI436" s="67"/>
      <c r="BJ436" s="67"/>
      <c r="BK436" s="67"/>
      <c r="BL436" s="67"/>
      <c r="HB436" s="68"/>
      <c r="HC436" s="68"/>
      <c r="HD436" s="68"/>
      <c r="HE436" s="68"/>
      <c r="HF436" s="68"/>
      <c r="HG436" s="68"/>
      <c r="HH436" s="68"/>
      <c r="HI436" s="68"/>
      <c r="HJ436" s="68"/>
      <c r="HK436" s="68"/>
      <c r="HL436" s="68"/>
      <c r="HM436" s="68"/>
      <c r="HP436" s="68"/>
      <c r="HQ436" s="68"/>
      <c r="HR436" s="68"/>
      <c r="HS436" s="68"/>
      <c r="HT436" s="68"/>
      <c r="HU436" s="68"/>
      <c r="HV436" s="68"/>
      <c r="HW436" s="68"/>
      <c r="HX436" s="68"/>
      <c r="HY436" s="68"/>
      <c r="HZ436" s="68"/>
      <c r="IA436" s="68"/>
      <c r="IB436" s="68"/>
      <c r="IC436" s="68"/>
      <c r="ID436" s="68"/>
      <c r="IE436" s="68"/>
      <c r="IF436" s="68"/>
      <c r="IG436" s="68"/>
      <c r="IH436" s="68"/>
      <c r="II436" s="68"/>
      <c r="IJ436" s="68"/>
      <c r="IK436" s="68"/>
      <c r="IL436" s="68"/>
      <c r="IM436" s="68"/>
      <c r="IN436" s="68"/>
      <c r="IO436" s="68"/>
      <c r="IP436" s="68"/>
      <c r="IQ436" s="68"/>
      <c r="IR436" s="68"/>
      <c r="IS436" s="68"/>
      <c r="IT436" s="68"/>
      <c r="IU436" s="68"/>
      <c r="IV436" s="68"/>
      <c r="IW436" s="68"/>
      <c r="IX436" s="68"/>
      <c r="IY436" s="68"/>
    </row>
    <row r="437" spans="2:259" hidden="1" x14ac:dyDescent="0.3"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  <c r="AV437" s="68"/>
      <c r="AW437" s="68"/>
      <c r="AX437" s="68"/>
      <c r="AY437" s="68"/>
      <c r="AZ437" s="68"/>
      <c r="BA437" s="68"/>
      <c r="BB437" s="67"/>
      <c r="BC437" s="67"/>
      <c r="BD437" s="67"/>
      <c r="BE437" s="67"/>
      <c r="BF437" s="67"/>
      <c r="BG437" s="67"/>
      <c r="BH437" s="67"/>
      <c r="BI437" s="67"/>
      <c r="BJ437" s="67"/>
      <c r="BK437" s="67"/>
      <c r="BL437" s="67"/>
      <c r="HB437" s="68"/>
      <c r="HC437" s="68"/>
      <c r="HD437" s="68"/>
      <c r="HE437" s="68"/>
      <c r="HF437" s="68"/>
      <c r="HG437" s="68"/>
      <c r="HH437" s="68"/>
      <c r="HI437" s="68"/>
      <c r="HJ437" s="68"/>
      <c r="HK437" s="68"/>
      <c r="HL437" s="68"/>
      <c r="HM437" s="68"/>
      <c r="HP437" s="68"/>
      <c r="HQ437" s="68"/>
      <c r="HR437" s="68"/>
      <c r="HS437" s="68"/>
      <c r="HT437" s="68"/>
      <c r="HU437" s="68"/>
      <c r="HV437" s="68"/>
      <c r="HW437" s="68"/>
      <c r="HX437" s="68"/>
      <c r="HY437" s="68"/>
      <c r="HZ437" s="68"/>
      <c r="IA437" s="68"/>
      <c r="IB437" s="68"/>
      <c r="IC437" s="68"/>
      <c r="ID437" s="68"/>
      <c r="IE437" s="68"/>
      <c r="IF437" s="68"/>
      <c r="IG437" s="68"/>
      <c r="IH437" s="68"/>
      <c r="II437" s="68"/>
      <c r="IJ437" s="68"/>
      <c r="IK437" s="68"/>
      <c r="IL437" s="68"/>
      <c r="IM437" s="68"/>
      <c r="IN437" s="68"/>
      <c r="IO437" s="68"/>
      <c r="IP437" s="68"/>
      <c r="IQ437" s="68"/>
      <c r="IR437" s="68"/>
      <c r="IS437" s="68"/>
      <c r="IT437" s="68"/>
      <c r="IU437" s="68"/>
      <c r="IV437" s="68"/>
      <c r="IW437" s="68"/>
      <c r="IX437" s="68"/>
      <c r="IY437" s="68"/>
    </row>
    <row r="438" spans="2:259" hidden="1" x14ac:dyDescent="0.3"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  <c r="AV438" s="68"/>
      <c r="AW438" s="68"/>
      <c r="AX438" s="68"/>
      <c r="AY438" s="68"/>
      <c r="AZ438" s="68"/>
      <c r="BA438" s="68"/>
      <c r="BB438" s="67"/>
      <c r="BC438" s="67"/>
      <c r="BD438" s="67"/>
      <c r="BE438" s="67"/>
      <c r="BF438" s="67"/>
      <c r="BG438" s="67"/>
      <c r="BH438" s="67"/>
      <c r="BI438" s="67"/>
      <c r="BJ438" s="67"/>
      <c r="BK438" s="67"/>
      <c r="BL438" s="67"/>
      <c r="HB438" s="68"/>
      <c r="HC438" s="68"/>
      <c r="HD438" s="68"/>
      <c r="HE438" s="68"/>
      <c r="HF438" s="68"/>
      <c r="HG438" s="68"/>
      <c r="HH438" s="68"/>
      <c r="HI438" s="68"/>
      <c r="HJ438" s="68"/>
      <c r="HK438" s="68"/>
      <c r="HL438" s="68"/>
      <c r="HM438" s="68"/>
      <c r="HP438" s="68"/>
      <c r="HQ438" s="68"/>
      <c r="HR438" s="68"/>
      <c r="HS438" s="68"/>
      <c r="HT438" s="68"/>
      <c r="HU438" s="68"/>
      <c r="HV438" s="68"/>
      <c r="HW438" s="68"/>
      <c r="HX438" s="68"/>
      <c r="HY438" s="68"/>
      <c r="HZ438" s="68"/>
      <c r="IA438" s="68"/>
      <c r="IB438" s="68"/>
      <c r="IC438" s="68"/>
      <c r="ID438" s="68"/>
      <c r="IE438" s="68"/>
      <c r="IF438" s="68"/>
      <c r="IG438" s="68"/>
      <c r="IH438" s="68"/>
      <c r="II438" s="68"/>
      <c r="IJ438" s="68"/>
      <c r="IK438" s="68"/>
      <c r="IL438" s="68"/>
      <c r="IM438" s="68"/>
      <c r="IN438" s="68"/>
      <c r="IO438" s="68"/>
      <c r="IP438" s="68"/>
      <c r="IQ438" s="68"/>
      <c r="IR438" s="68"/>
      <c r="IS438" s="68"/>
      <c r="IT438" s="68"/>
      <c r="IU438" s="68"/>
      <c r="IV438" s="68"/>
      <c r="IW438" s="68"/>
      <c r="IX438" s="68"/>
      <c r="IY438" s="68"/>
    </row>
    <row r="439" spans="2:259" hidden="1" x14ac:dyDescent="0.3"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  <c r="AV439" s="68"/>
      <c r="AW439" s="68"/>
      <c r="AX439" s="68"/>
      <c r="AY439" s="68"/>
      <c r="AZ439" s="68"/>
      <c r="BA439" s="68"/>
      <c r="BB439" s="67"/>
      <c r="BC439" s="67"/>
      <c r="BD439" s="67"/>
      <c r="BE439" s="67"/>
      <c r="BF439" s="67"/>
      <c r="BG439" s="67"/>
      <c r="BH439" s="67"/>
      <c r="BI439" s="67"/>
      <c r="BJ439" s="67"/>
      <c r="BK439" s="67"/>
      <c r="BL439" s="67"/>
      <c r="HB439" s="68"/>
      <c r="HC439" s="68"/>
      <c r="HD439" s="68"/>
      <c r="HE439" s="68"/>
      <c r="HF439" s="68"/>
      <c r="HG439" s="68"/>
      <c r="HH439" s="68"/>
      <c r="HI439" s="68"/>
      <c r="HJ439" s="68"/>
      <c r="HK439" s="68"/>
      <c r="HL439" s="68"/>
      <c r="HM439" s="68"/>
      <c r="HP439" s="68"/>
      <c r="HQ439" s="68"/>
      <c r="HR439" s="68"/>
      <c r="HS439" s="68"/>
      <c r="HT439" s="68"/>
      <c r="HU439" s="68"/>
      <c r="HV439" s="68"/>
      <c r="HW439" s="68"/>
      <c r="HX439" s="68"/>
      <c r="HY439" s="68"/>
      <c r="HZ439" s="68"/>
      <c r="IA439" s="68"/>
      <c r="IB439" s="68"/>
      <c r="IC439" s="68"/>
      <c r="ID439" s="68"/>
      <c r="IE439" s="68"/>
      <c r="IF439" s="68"/>
      <c r="IG439" s="68"/>
      <c r="IH439" s="68"/>
      <c r="II439" s="68"/>
      <c r="IJ439" s="68"/>
      <c r="IK439" s="68"/>
      <c r="IL439" s="68"/>
      <c r="IM439" s="68"/>
      <c r="IN439" s="68"/>
      <c r="IO439" s="68"/>
      <c r="IP439" s="68"/>
      <c r="IQ439" s="68"/>
      <c r="IR439" s="68"/>
      <c r="IS439" s="68"/>
      <c r="IT439" s="68"/>
      <c r="IU439" s="68"/>
      <c r="IV439" s="68"/>
      <c r="IW439" s="68"/>
      <c r="IX439" s="68"/>
      <c r="IY439" s="68"/>
    </row>
    <row r="440" spans="2:259" hidden="1" x14ac:dyDescent="0.3"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  <c r="AV440" s="68"/>
      <c r="AW440" s="68"/>
      <c r="AX440" s="68"/>
      <c r="AY440" s="68"/>
      <c r="AZ440" s="68"/>
      <c r="BA440" s="68"/>
      <c r="BB440" s="67"/>
      <c r="BC440" s="67"/>
      <c r="BD440" s="67"/>
      <c r="BE440" s="67"/>
      <c r="BF440" s="67"/>
      <c r="BG440" s="67"/>
      <c r="BH440" s="67"/>
      <c r="BI440" s="67"/>
      <c r="BJ440" s="67"/>
      <c r="BK440" s="67"/>
      <c r="BL440" s="67"/>
      <c r="HB440" s="68"/>
      <c r="HC440" s="68"/>
      <c r="HD440" s="68"/>
      <c r="HE440" s="68"/>
      <c r="HF440" s="68"/>
      <c r="HG440" s="68"/>
      <c r="HH440" s="68"/>
      <c r="HI440" s="68"/>
      <c r="HJ440" s="68"/>
      <c r="HK440" s="68"/>
      <c r="HL440" s="68"/>
      <c r="HM440" s="68"/>
      <c r="HP440" s="68"/>
      <c r="HQ440" s="68"/>
      <c r="HR440" s="68"/>
      <c r="HS440" s="68"/>
      <c r="HT440" s="68"/>
      <c r="HU440" s="68"/>
      <c r="HV440" s="68"/>
      <c r="HW440" s="68"/>
      <c r="HX440" s="68"/>
      <c r="HY440" s="68"/>
      <c r="HZ440" s="68"/>
      <c r="IA440" s="68"/>
      <c r="IB440" s="68"/>
      <c r="IC440" s="68"/>
      <c r="ID440" s="68"/>
      <c r="IE440" s="68"/>
      <c r="IF440" s="68"/>
      <c r="IG440" s="68"/>
      <c r="IH440" s="68"/>
      <c r="II440" s="68"/>
      <c r="IJ440" s="68"/>
      <c r="IK440" s="68"/>
      <c r="IL440" s="68"/>
      <c r="IM440" s="68"/>
      <c r="IN440" s="68"/>
      <c r="IO440" s="68"/>
      <c r="IP440" s="68"/>
      <c r="IQ440" s="68"/>
      <c r="IR440" s="68"/>
      <c r="IS440" s="68"/>
      <c r="IT440" s="68"/>
      <c r="IU440" s="68"/>
      <c r="IV440" s="68"/>
      <c r="IW440" s="68"/>
      <c r="IX440" s="68"/>
      <c r="IY440" s="68"/>
    </row>
    <row r="441" spans="2:259" hidden="1" x14ac:dyDescent="0.3"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  <c r="AV441" s="68"/>
      <c r="AW441" s="68"/>
      <c r="AX441" s="68"/>
      <c r="AY441" s="68"/>
      <c r="AZ441" s="68"/>
      <c r="BA441" s="68"/>
      <c r="BB441" s="67"/>
      <c r="BC441" s="67"/>
      <c r="BD441" s="67"/>
      <c r="BE441" s="67"/>
      <c r="BF441" s="67"/>
      <c r="BG441" s="67"/>
      <c r="BH441" s="67"/>
      <c r="BI441" s="67"/>
      <c r="BJ441" s="67"/>
      <c r="BK441" s="67"/>
      <c r="BL441" s="67"/>
      <c r="HB441" s="68"/>
      <c r="HC441" s="68"/>
      <c r="HD441" s="68"/>
      <c r="HE441" s="68"/>
      <c r="HF441" s="68"/>
      <c r="HG441" s="68"/>
      <c r="HH441" s="68"/>
      <c r="HI441" s="68"/>
      <c r="HJ441" s="68"/>
      <c r="HK441" s="68"/>
      <c r="HL441" s="68"/>
      <c r="HM441" s="68"/>
      <c r="HP441" s="68"/>
      <c r="HQ441" s="68"/>
      <c r="HR441" s="68"/>
      <c r="HS441" s="68"/>
      <c r="HT441" s="68"/>
      <c r="HU441" s="68"/>
      <c r="HV441" s="68"/>
      <c r="HW441" s="68"/>
      <c r="HX441" s="68"/>
      <c r="HY441" s="68"/>
      <c r="HZ441" s="68"/>
      <c r="IA441" s="68"/>
      <c r="IB441" s="68"/>
      <c r="IC441" s="68"/>
      <c r="ID441" s="68"/>
      <c r="IE441" s="68"/>
      <c r="IF441" s="68"/>
      <c r="IG441" s="68"/>
      <c r="IH441" s="68"/>
      <c r="II441" s="68"/>
      <c r="IJ441" s="68"/>
      <c r="IK441" s="68"/>
      <c r="IL441" s="68"/>
      <c r="IM441" s="68"/>
      <c r="IN441" s="68"/>
      <c r="IO441" s="68"/>
      <c r="IP441" s="68"/>
      <c r="IQ441" s="68"/>
      <c r="IR441" s="68"/>
      <c r="IS441" s="68"/>
      <c r="IT441" s="68"/>
      <c r="IU441" s="68"/>
      <c r="IV441" s="68"/>
      <c r="IW441" s="68"/>
      <c r="IX441" s="68"/>
      <c r="IY441" s="68"/>
    </row>
    <row r="442" spans="2:259" hidden="1" x14ac:dyDescent="0.3"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  <c r="AV442" s="68"/>
      <c r="AW442" s="68"/>
      <c r="AX442" s="68"/>
      <c r="AY442" s="68"/>
      <c r="AZ442" s="68"/>
      <c r="BA442" s="68"/>
      <c r="BB442" s="67"/>
      <c r="BC442" s="67"/>
      <c r="BD442" s="67"/>
      <c r="BE442" s="67"/>
      <c r="BF442" s="67"/>
      <c r="BG442" s="67"/>
      <c r="BH442" s="67"/>
      <c r="BI442" s="67"/>
      <c r="BJ442" s="67"/>
      <c r="BK442" s="67"/>
      <c r="BL442" s="67"/>
      <c r="HB442" s="68"/>
      <c r="HC442" s="68"/>
      <c r="HD442" s="68"/>
      <c r="HE442" s="68"/>
      <c r="HF442" s="68"/>
      <c r="HG442" s="68"/>
      <c r="HH442" s="68"/>
      <c r="HI442" s="68"/>
      <c r="HJ442" s="68"/>
      <c r="HK442" s="68"/>
      <c r="HL442" s="68"/>
      <c r="HM442" s="68"/>
      <c r="HP442" s="68"/>
      <c r="HQ442" s="68"/>
      <c r="HR442" s="68"/>
      <c r="HS442" s="68"/>
      <c r="HT442" s="68"/>
      <c r="HU442" s="68"/>
      <c r="HV442" s="68"/>
      <c r="HW442" s="68"/>
      <c r="HX442" s="68"/>
      <c r="HY442" s="68"/>
      <c r="HZ442" s="68"/>
      <c r="IA442" s="68"/>
      <c r="IB442" s="68"/>
      <c r="IC442" s="68"/>
      <c r="ID442" s="68"/>
      <c r="IE442" s="68"/>
      <c r="IF442" s="68"/>
      <c r="IG442" s="68"/>
      <c r="IH442" s="68"/>
      <c r="II442" s="68"/>
      <c r="IJ442" s="68"/>
      <c r="IK442" s="68"/>
      <c r="IL442" s="68"/>
      <c r="IM442" s="68"/>
      <c r="IN442" s="68"/>
      <c r="IO442" s="68"/>
      <c r="IP442" s="68"/>
      <c r="IQ442" s="68"/>
      <c r="IR442" s="68"/>
      <c r="IS442" s="68"/>
      <c r="IT442" s="68"/>
      <c r="IU442" s="68"/>
      <c r="IV442" s="68"/>
      <c r="IW442" s="68"/>
      <c r="IX442" s="68"/>
      <c r="IY442" s="68"/>
    </row>
    <row r="443" spans="2:259" hidden="1" x14ac:dyDescent="0.3"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  <c r="AV443" s="68"/>
      <c r="AW443" s="68"/>
      <c r="AX443" s="68"/>
      <c r="AY443" s="68"/>
      <c r="AZ443" s="68"/>
      <c r="BA443" s="68"/>
      <c r="BB443" s="67"/>
      <c r="BC443" s="67"/>
      <c r="BD443" s="67"/>
      <c r="BE443" s="67"/>
      <c r="BF443" s="67"/>
      <c r="BG443" s="67"/>
      <c r="BH443" s="67"/>
      <c r="BI443" s="67"/>
      <c r="BJ443" s="67"/>
      <c r="BK443" s="67"/>
      <c r="BL443" s="67"/>
      <c r="HB443" s="68"/>
      <c r="HC443" s="68"/>
      <c r="HD443" s="68"/>
      <c r="HE443" s="68"/>
      <c r="HF443" s="68"/>
      <c r="HG443" s="68"/>
      <c r="HH443" s="68"/>
      <c r="HI443" s="68"/>
      <c r="HJ443" s="68"/>
      <c r="HK443" s="68"/>
      <c r="HL443" s="68"/>
      <c r="HM443" s="68"/>
      <c r="HP443" s="68"/>
      <c r="HQ443" s="68"/>
      <c r="HR443" s="68"/>
      <c r="HS443" s="68"/>
      <c r="HT443" s="68"/>
      <c r="HU443" s="68"/>
      <c r="HV443" s="68"/>
      <c r="HW443" s="68"/>
      <c r="HX443" s="68"/>
      <c r="HY443" s="68"/>
      <c r="HZ443" s="68"/>
      <c r="IA443" s="68"/>
      <c r="IB443" s="68"/>
      <c r="IC443" s="68"/>
      <c r="ID443" s="68"/>
      <c r="IE443" s="68"/>
      <c r="IF443" s="68"/>
      <c r="IG443" s="68"/>
      <c r="IH443" s="68"/>
      <c r="II443" s="68"/>
      <c r="IJ443" s="68"/>
      <c r="IK443" s="68"/>
      <c r="IL443" s="68"/>
      <c r="IM443" s="68"/>
      <c r="IN443" s="68"/>
      <c r="IO443" s="68"/>
      <c r="IP443" s="68"/>
      <c r="IQ443" s="68"/>
      <c r="IR443" s="68"/>
      <c r="IS443" s="68"/>
      <c r="IT443" s="68"/>
      <c r="IU443" s="68"/>
      <c r="IV443" s="68"/>
      <c r="IW443" s="68"/>
      <c r="IX443" s="68"/>
      <c r="IY443" s="68"/>
    </row>
    <row r="444" spans="2:259" hidden="1" x14ac:dyDescent="0.3"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  <c r="AV444" s="68"/>
      <c r="AW444" s="68"/>
      <c r="AX444" s="68"/>
      <c r="AY444" s="68"/>
      <c r="AZ444" s="68"/>
      <c r="BA444" s="68"/>
      <c r="BB444" s="67"/>
      <c r="BC444" s="67"/>
      <c r="BD444" s="67"/>
      <c r="BE444" s="67"/>
      <c r="BF444" s="67"/>
      <c r="BG444" s="67"/>
      <c r="BH444" s="67"/>
      <c r="BI444" s="67"/>
      <c r="BJ444" s="67"/>
      <c r="BK444" s="67"/>
      <c r="BL444" s="67"/>
      <c r="HB444" s="68"/>
      <c r="HC444" s="68"/>
      <c r="HD444" s="68"/>
      <c r="HE444" s="68"/>
      <c r="HF444" s="68"/>
      <c r="HG444" s="68"/>
      <c r="HH444" s="68"/>
      <c r="HI444" s="68"/>
      <c r="HJ444" s="68"/>
      <c r="HK444" s="68"/>
      <c r="HL444" s="68"/>
      <c r="HM444" s="68"/>
      <c r="HP444" s="68"/>
      <c r="HQ444" s="68"/>
      <c r="HR444" s="68"/>
      <c r="HS444" s="68"/>
      <c r="HT444" s="68"/>
      <c r="HU444" s="68"/>
      <c r="HV444" s="68"/>
      <c r="HW444" s="68"/>
      <c r="HX444" s="68"/>
      <c r="HY444" s="68"/>
      <c r="HZ444" s="68"/>
      <c r="IA444" s="68"/>
      <c r="IB444" s="68"/>
      <c r="IC444" s="68"/>
      <c r="ID444" s="68"/>
      <c r="IE444" s="68"/>
      <c r="IF444" s="68"/>
      <c r="IG444" s="68"/>
      <c r="IH444" s="68"/>
      <c r="II444" s="68"/>
      <c r="IJ444" s="68"/>
      <c r="IK444" s="68"/>
      <c r="IL444" s="68"/>
      <c r="IM444" s="68"/>
      <c r="IN444" s="68"/>
      <c r="IO444" s="68"/>
      <c r="IP444" s="68"/>
      <c r="IQ444" s="68"/>
      <c r="IR444" s="68"/>
      <c r="IS444" s="68"/>
      <c r="IT444" s="68"/>
      <c r="IU444" s="68"/>
      <c r="IV444" s="68"/>
      <c r="IW444" s="68"/>
      <c r="IX444" s="68"/>
      <c r="IY444" s="68"/>
    </row>
    <row r="445" spans="2:259" hidden="1" x14ac:dyDescent="0.3"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  <c r="AV445" s="68"/>
      <c r="AW445" s="68"/>
      <c r="AX445" s="68"/>
      <c r="AY445" s="68"/>
      <c r="AZ445" s="68"/>
      <c r="BA445" s="68"/>
      <c r="BB445" s="67"/>
      <c r="BC445" s="67"/>
      <c r="BD445" s="67"/>
      <c r="BE445" s="67"/>
      <c r="BF445" s="67"/>
      <c r="BG445" s="67"/>
      <c r="BH445" s="67"/>
      <c r="BI445" s="67"/>
      <c r="BJ445" s="67"/>
      <c r="BK445" s="67"/>
      <c r="BL445" s="67"/>
      <c r="HB445" s="68"/>
      <c r="HC445" s="68"/>
      <c r="HD445" s="68"/>
      <c r="HE445" s="68"/>
      <c r="HF445" s="68"/>
      <c r="HG445" s="68"/>
      <c r="HH445" s="68"/>
      <c r="HI445" s="68"/>
      <c r="HJ445" s="68"/>
      <c r="HK445" s="68"/>
      <c r="HL445" s="68"/>
      <c r="HM445" s="68"/>
      <c r="HP445" s="68"/>
      <c r="HQ445" s="68"/>
      <c r="HR445" s="68"/>
      <c r="HS445" s="68"/>
      <c r="HT445" s="68"/>
      <c r="HU445" s="68"/>
      <c r="HV445" s="68"/>
      <c r="HW445" s="68"/>
      <c r="HX445" s="68"/>
      <c r="HY445" s="68"/>
      <c r="HZ445" s="68"/>
      <c r="IA445" s="68"/>
      <c r="IB445" s="68"/>
      <c r="IC445" s="68"/>
      <c r="ID445" s="68"/>
      <c r="IE445" s="68"/>
      <c r="IF445" s="68"/>
      <c r="IG445" s="68"/>
      <c r="IH445" s="68"/>
      <c r="II445" s="68"/>
      <c r="IJ445" s="68"/>
      <c r="IK445" s="68"/>
      <c r="IL445" s="68"/>
      <c r="IM445" s="68"/>
      <c r="IN445" s="68"/>
      <c r="IO445" s="68"/>
      <c r="IP445" s="68"/>
      <c r="IQ445" s="68"/>
      <c r="IR445" s="68"/>
      <c r="IS445" s="68"/>
      <c r="IT445" s="68"/>
      <c r="IU445" s="68"/>
      <c r="IV445" s="68"/>
      <c r="IW445" s="68"/>
      <c r="IX445" s="68"/>
      <c r="IY445" s="68"/>
    </row>
    <row r="446" spans="2:259" hidden="1" x14ac:dyDescent="0.3"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  <c r="AV446" s="68"/>
      <c r="AW446" s="68"/>
      <c r="AX446" s="68"/>
      <c r="AY446" s="68"/>
      <c r="AZ446" s="68"/>
      <c r="BA446" s="68"/>
      <c r="BB446" s="67"/>
      <c r="BC446" s="67"/>
      <c r="BD446" s="67"/>
      <c r="BE446" s="67"/>
      <c r="BF446" s="67"/>
      <c r="BG446" s="67"/>
      <c r="BH446" s="67"/>
      <c r="BI446" s="67"/>
      <c r="BJ446" s="67"/>
      <c r="BK446" s="67"/>
      <c r="BL446" s="67"/>
      <c r="HB446" s="68"/>
      <c r="HC446" s="68"/>
      <c r="HD446" s="68"/>
      <c r="HE446" s="68"/>
      <c r="HF446" s="68"/>
      <c r="HG446" s="68"/>
      <c r="HH446" s="68"/>
      <c r="HI446" s="68"/>
      <c r="HJ446" s="68"/>
      <c r="HK446" s="68"/>
      <c r="HL446" s="68"/>
      <c r="HM446" s="68"/>
      <c r="HP446" s="68"/>
      <c r="HQ446" s="68"/>
      <c r="HR446" s="68"/>
      <c r="HS446" s="68"/>
      <c r="HT446" s="68"/>
      <c r="HU446" s="68"/>
      <c r="HV446" s="68"/>
      <c r="HW446" s="68"/>
      <c r="HX446" s="68"/>
      <c r="HY446" s="68"/>
      <c r="HZ446" s="68"/>
      <c r="IA446" s="68"/>
      <c r="IB446" s="68"/>
      <c r="IC446" s="68"/>
      <c r="ID446" s="68"/>
      <c r="IE446" s="68"/>
      <c r="IF446" s="68"/>
      <c r="IG446" s="68"/>
      <c r="IH446" s="68"/>
      <c r="II446" s="68"/>
      <c r="IJ446" s="68"/>
      <c r="IK446" s="68"/>
      <c r="IL446" s="68"/>
      <c r="IM446" s="68"/>
      <c r="IN446" s="68"/>
      <c r="IO446" s="68"/>
      <c r="IP446" s="68"/>
      <c r="IQ446" s="68"/>
      <c r="IR446" s="68"/>
      <c r="IS446" s="68"/>
      <c r="IT446" s="68"/>
      <c r="IU446" s="68"/>
      <c r="IV446" s="68"/>
      <c r="IW446" s="68"/>
      <c r="IX446" s="68"/>
      <c r="IY446" s="68"/>
    </row>
    <row r="447" spans="2:259" hidden="1" x14ac:dyDescent="0.3"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  <c r="AV447" s="68"/>
      <c r="AW447" s="68"/>
      <c r="AX447" s="68"/>
      <c r="AY447" s="68"/>
      <c r="AZ447" s="68"/>
      <c r="BA447" s="68"/>
      <c r="BB447" s="67"/>
      <c r="BC447" s="67"/>
      <c r="BD447" s="67"/>
      <c r="BE447" s="67"/>
      <c r="BF447" s="67"/>
      <c r="BG447" s="67"/>
      <c r="BH447" s="67"/>
      <c r="BI447" s="67"/>
      <c r="BJ447" s="67"/>
      <c r="BK447" s="67"/>
      <c r="BL447" s="67"/>
      <c r="HB447" s="68"/>
      <c r="HC447" s="68"/>
      <c r="HD447" s="68"/>
      <c r="HE447" s="68"/>
      <c r="HF447" s="68"/>
      <c r="HG447" s="68"/>
      <c r="HH447" s="68"/>
      <c r="HI447" s="68"/>
      <c r="HJ447" s="68"/>
      <c r="HK447" s="68"/>
      <c r="HL447" s="68"/>
      <c r="HM447" s="68"/>
      <c r="HP447" s="68"/>
      <c r="HQ447" s="68"/>
      <c r="HR447" s="68"/>
      <c r="HS447" s="68"/>
      <c r="HT447" s="68"/>
      <c r="HU447" s="68"/>
      <c r="HV447" s="68"/>
      <c r="HW447" s="68"/>
      <c r="HX447" s="68"/>
      <c r="HY447" s="68"/>
      <c r="HZ447" s="68"/>
      <c r="IA447" s="68"/>
      <c r="IB447" s="68"/>
      <c r="IC447" s="68"/>
      <c r="ID447" s="68"/>
      <c r="IE447" s="68"/>
      <c r="IF447" s="68"/>
      <c r="IG447" s="68"/>
      <c r="IH447" s="68"/>
      <c r="II447" s="68"/>
      <c r="IJ447" s="68"/>
      <c r="IK447" s="68"/>
      <c r="IL447" s="68"/>
      <c r="IM447" s="68"/>
      <c r="IN447" s="68"/>
      <c r="IO447" s="68"/>
      <c r="IP447" s="68"/>
      <c r="IQ447" s="68"/>
      <c r="IR447" s="68"/>
      <c r="IS447" s="68"/>
      <c r="IT447" s="68"/>
      <c r="IU447" s="68"/>
      <c r="IV447" s="68"/>
      <c r="IW447" s="68"/>
      <c r="IX447" s="68"/>
      <c r="IY447" s="68"/>
    </row>
    <row r="448" spans="2:259" hidden="1" x14ac:dyDescent="0.3"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  <c r="AV448" s="68"/>
      <c r="AW448" s="68"/>
      <c r="AX448" s="68"/>
      <c r="AY448" s="68"/>
      <c r="AZ448" s="68"/>
      <c r="BA448" s="68"/>
      <c r="BB448" s="67"/>
      <c r="BC448" s="67"/>
      <c r="BD448" s="67"/>
      <c r="BE448" s="67"/>
      <c r="BF448" s="67"/>
      <c r="BG448" s="67"/>
      <c r="BH448" s="67"/>
      <c r="BI448" s="67"/>
      <c r="BJ448" s="67"/>
      <c r="BK448" s="67"/>
      <c r="BL448" s="67"/>
      <c r="HB448" s="68"/>
      <c r="HC448" s="68"/>
      <c r="HD448" s="68"/>
      <c r="HE448" s="68"/>
      <c r="HF448" s="68"/>
      <c r="HG448" s="68"/>
      <c r="HH448" s="68"/>
      <c r="HI448" s="68"/>
      <c r="HJ448" s="68"/>
      <c r="HK448" s="68"/>
      <c r="HL448" s="68"/>
      <c r="HM448" s="68"/>
      <c r="HP448" s="68"/>
      <c r="HQ448" s="68"/>
      <c r="HR448" s="68"/>
      <c r="HS448" s="68"/>
      <c r="HT448" s="68"/>
      <c r="HU448" s="68"/>
      <c r="HV448" s="68"/>
      <c r="HW448" s="68"/>
      <c r="HX448" s="68"/>
      <c r="HY448" s="68"/>
      <c r="HZ448" s="68"/>
      <c r="IA448" s="68"/>
      <c r="IB448" s="68"/>
      <c r="IC448" s="68"/>
      <c r="ID448" s="68"/>
      <c r="IE448" s="68"/>
      <c r="IF448" s="68"/>
      <c r="IG448" s="68"/>
      <c r="IH448" s="68"/>
      <c r="II448" s="68"/>
      <c r="IJ448" s="68"/>
      <c r="IK448" s="68"/>
      <c r="IL448" s="68"/>
      <c r="IM448" s="68"/>
      <c r="IN448" s="68"/>
      <c r="IO448" s="68"/>
      <c r="IP448" s="68"/>
      <c r="IQ448" s="68"/>
      <c r="IR448" s="68"/>
      <c r="IS448" s="68"/>
      <c r="IT448" s="68"/>
      <c r="IU448" s="68"/>
      <c r="IV448" s="68"/>
      <c r="IW448" s="68"/>
      <c r="IX448" s="68"/>
      <c r="IY448" s="68"/>
    </row>
    <row r="449" spans="2:259" hidden="1" x14ac:dyDescent="0.3"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  <c r="AV449" s="68"/>
      <c r="AW449" s="68"/>
      <c r="AX449" s="68"/>
      <c r="AY449" s="68"/>
      <c r="AZ449" s="68"/>
      <c r="BA449" s="68"/>
      <c r="BB449" s="67"/>
      <c r="BC449" s="67"/>
      <c r="BD449" s="67"/>
      <c r="BE449" s="67"/>
      <c r="BF449" s="67"/>
      <c r="BG449" s="67"/>
      <c r="BH449" s="67"/>
      <c r="BI449" s="67"/>
      <c r="BJ449" s="67"/>
      <c r="BK449" s="67"/>
      <c r="BL449" s="67"/>
      <c r="HB449" s="68"/>
      <c r="HC449" s="68"/>
      <c r="HD449" s="68"/>
      <c r="HE449" s="68"/>
      <c r="HF449" s="68"/>
      <c r="HG449" s="68"/>
      <c r="HH449" s="68"/>
      <c r="HI449" s="68"/>
      <c r="HJ449" s="68"/>
      <c r="HK449" s="68"/>
      <c r="HL449" s="68"/>
      <c r="HM449" s="68"/>
      <c r="HP449" s="68"/>
      <c r="HQ449" s="68"/>
      <c r="HR449" s="68"/>
      <c r="HS449" s="68"/>
      <c r="HT449" s="68"/>
      <c r="HU449" s="68"/>
      <c r="HV449" s="68"/>
      <c r="HW449" s="68"/>
      <c r="HX449" s="68"/>
      <c r="HY449" s="68"/>
      <c r="HZ449" s="68"/>
      <c r="IA449" s="68"/>
      <c r="IB449" s="68"/>
      <c r="IC449" s="68"/>
      <c r="ID449" s="68"/>
      <c r="IE449" s="68"/>
      <c r="IF449" s="68"/>
      <c r="IG449" s="68"/>
      <c r="IH449" s="68"/>
      <c r="II449" s="68"/>
      <c r="IJ449" s="68"/>
      <c r="IK449" s="68"/>
      <c r="IL449" s="68"/>
      <c r="IM449" s="68"/>
      <c r="IN449" s="68"/>
      <c r="IO449" s="68"/>
      <c r="IP449" s="68"/>
      <c r="IQ449" s="68"/>
      <c r="IR449" s="68"/>
      <c r="IS449" s="68"/>
      <c r="IT449" s="68"/>
      <c r="IU449" s="68"/>
      <c r="IV449" s="68"/>
      <c r="IW449" s="68"/>
      <c r="IX449" s="68"/>
      <c r="IY449" s="68"/>
    </row>
    <row r="450" spans="2:259" hidden="1" x14ac:dyDescent="0.3"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  <c r="AV450" s="68"/>
      <c r="AW450" s="68"/>
      <c r="AX450" s="68"/>
      <c r="AY450" s="68"/>
      <c r="AZ450" s="68"/>
      <c r="BA450" s="68"/>
      <c r="BB450" s="67"/>
      <c r="BC450" s="67"/>
      <c r="BD450" s="67"/>
      <c r="BE450" s="67"/>
      <c r="BF450" s="67"/>
      <c r="BG450" s="67"/>
      <c r="BH450" s="67"/>
      <c r="BI450" s="67"/>
      <c r="BJ450" s="67"/>
      <c r="BK450" s="67"/>
      <c r="BL450" s="67"/>
      <c r="HB450" s="68"/>
      <c r="HC450" s="68"/>
      <c r="HD450" s="68"/>
      <c r="HE450" s="68"/>
      <c r="HF450" s="68"/>
      <c r="HG450" s="68"/>
      <c r="HH450" s="68"/>
      <c r="HI450" s="68"/>
      <c r="HJ450" s="68"/>
      <c r="HK450" s="68"/>
      <c r="HL450" s="68"/>
      <c r="HM450" s="68"/>
      <c r="HP450" s="68"/>
      <c r="HQ450" s="68"/>
      <c r="HR450" s="68"/>
      <c r="HS450" s="68"/>
      <c r="HT450" s="68"/>
      <c r="HU450" s="68"/>
      <c r="HV450" s="68"/>
      <c r="HW450" s="68"/>
      <c r="HX450" s="68"/>
      <c r="HY450" s="68"/>
      <c r="HZ450" s="68"/>
      <c r="IA450" s="68"/>
      <c r="IB450" s="68"/>
      <c r="IC450" s="68"/>
      <c r="ID450" s="68"/>
      <c r="IE450" s="68"/>
      <c r="IF450" s="68"/>
      <c r="IG450" s="68"/>
      <c r="IH450" s="68"/>
      <c r="II450" s="68"/>
      <c r="IJ450" s="68"/>
      <c r="IK450" s="68"/>
      <c r="IL450" s="68"/>
      <c r="IM450" s="68"/>
      <c r="IN450" s="68"/>
      <c r="IO450" s="68"/>
      <c r="IP450" s="68"/>
      <c r="IQ450" s="68"/>
      <c r="IR450" s="68"/>
      <c r="IS450" s="68"/>
      <c r="IT450" s="68"/>
      <c r="IU450" s="68"/>
      <c r="IV450" s="68"/>
      <c r="IW450" s="68"/>
      <c r="IX450" s="68"/>
      <c r="IY450" s="68"/>
    </row>
    <row r="451" spans="2:259" hidden="1" x14ac:dyDescent="0.3"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  <c r="AV451" s="68"/>
      <c r="AW451" s="68"/>
      <c r="AX451" s="68"/>
      <c r="AY451" s="68"/>
      <c r="AZ451" s="68"/>
      <c r="BA451" s="68"/>
      <c r="BB451" s="67"/>
      <c r="BC451" s="67"/>
      <c r="BD451" s="67"/>
      <c r="BE451" s="67"/>
      <c r="BF451" s="67"/>
      <c r="BG451" s="67"/>
      <c r="BH451" s="67"/>
      <c r="BI451" s="67"/>
      <c r="BJ451" s="67"/>
      <c r="BK451" s="67"/>
      <c r="BL451" s="67"/>
      <c r="HB451" s="68"/>
      <c r="HC451" s="68"/>
      <c r="HD451" s="68"/>
      <c r="HE451" s="68"/>
      <c r="HF451" s="68"/>
      <c r="HG451" s="68"/>
      <c r="HH451" s="68"/>
      <c r="HI451" s="68"/>
      <c r="HJ451" s="68"/>
      <c r="HK451" s="68"/>
      <c r="HL451" s="68"/>
      <c r="HM451" s="68"/>
      <c r="HP451" s="68"/>
      <c r="HQ451" s="68"/>
      <c r="HR451" s="68"/>
      <c r="HS451" s="68"/>
      <c r="HT451" s="68"/>
      <c r="HU451" s="68"/>
      <c r="HV451" s="68"/>
      <c r="HW451" s="68"/>
      <c r="HX451" s="68"/>
      <c r="HY451" s="68"/>
      <c r="HZ451" s="68"/>
      <c r="IA451" s="68"/>
      <c r="IB451" s="68"/>
      <c r="IC451" s="68"/>
      <c r="ID451" s="68"/>
      <c r="IE451" s="68"/>
      <c r="IF451" s="68"/>
      <c r="IG451" s="68"/>
      <c r="IH451" s="68"/>
      <c r="II451" s="68"/>
      <c r="IJ451" s="68"/>
      <c r="IK451" s="68"/>
      <c r="IL451" s="68"/>
      <c r="IM451" s="68"/>
      <c r="IN451" s="68"/>
      <c r="IO451" s="68"/>
      <c r="IP451" s="68"/>
      <c r="IQ451" s="68"/>
      <c r="IR451" s="68"/>
      <c r="IS451" s="68"/>
      <c r="IT451" s="68"/>
      <c r="IU451" s="68"/>
      <c r="IV451" s="68"/>
      <c r="IW451" s="68"/>
      <c r="IX451" s="68"/>
      <c r="IY451" s="68"/>
    </row>
    <row r="452" spans="2:259" hidden="1" x14ac:dyDescent="0.3"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  <c r="AV452" s="68"/>
      <c r="AW452" s="68"/>
      <c r="AX452" s="68"/>
      <c r="AY452" s="68"/>
      <c r="AZ452" s="68"/>
      <c r="BA452" s="68"/>
      <c r="BB452" s="67"/>
      <c r="BC452" s="67"/>
      <c r="BD452" s="67"/>
      <c r="BE452" s="67"/>
      <c r="BF452" s="67"/>
      <c r="BG452" s="67"/>
      <c r="BH452" s="67"/>
      <c r="BI452" s="67"/>
      <c r="BJ452" s="67"/>
      <c r="BK452" s="67"/>
      <c r="BL452" s="67"/>
      <c r="HB452" s="68"/>
      <c r="HC452" s="68"/>
      <c r="HD452" s="68"/>
      <c r="HE452" s="68"/>
      <c r="HF452" s="68"/>
      <c r="HG452" s="68"/>
      <c r="HH452" s="68"/>
      <c r="HI452" s="68"/>
      <c r="HJ452" s="68"/>
      <c r="HK452" s="68"/>
      <c r="HL452" s="68"/>
      <c r="HM452" s="68"/>
      <c r="HP452" s="68"/>
      <c r="HQ452" s="68"/>
      <c r="HR452" s="68"/>
      <c r="HS452" s="68"/>
      <c r="HT452" s="68"/>
      <c r="HU452" s="68"/>
      <c r="HV452" s="68"/>
      <c r="HW452" s="68"/>
      <c r="HX452" s="68"/>
      <c r="HY452" s="68"/>
      <c r="HZ452" s="68"/>
      <c r="IA452" s="68"/>
      <c r="IB452" s="68"/>
      <c r="IC452" s="68"/>
      <c r="ID452" s="68"/>
      <c r="IE452" s="68"/>
      <c r="IF452" s="68"/>
      <c r="IG452" s="68"/>
      <c r="IH452" s="68"/>
      <c r="II452" s="68"/>
      <c r="IJ452" s="68"/>
      <c r="IK452" s="68"/>
      <c r="IL452" s="68"/>
      <c r="IM452" s="68"/>
      <c r="IN452" s="68"/>
      <c r="IO452" s="68"/>
      <c r="IP452" s="68"/>
      <c r="IQ452" s="68"/>
      <c r="IR452" s="68"/>
      <c r="IS452" s="68"/>
      <c r="IT452" s="68"/>
      <c r="IU452" s="68"/>
      <c r="IV452" s="68"/>
      <c r="IW452" s="68"/>
      <c r="IX452" s="68"/>
      <c r="IY452" s="68"/>
    </row>
    <row r="453" spans="2:259" hidden="1" x14ac:dyDescent="0.3"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  <c r="AV453" s="68"/>
      <c r="AW453" s="68"/>
      <c r="AX453" s="68"/>
      <c r="AY453" s="68"/>
      <c r="AZ453" s="68"/>
      <c r="BA453" s="68"/>
      <c r="BB453" s="67"/>
      <c r="BC453" s="67"/>
      <c r="BD453" s="67"/>
      <c r="BE453" s="67"/>
      <c r="BF453" s="67"/>
      <c r="BG453" s="67"/>
      <c r="BH453" s="67"/>
      <c r="BI453" s="67"/>
      <c r="BJ453" s="67"/>
      <c r="BK453" s="67"/>
      <c r="BL453" s="67"/>
      <c r="HB453" s="68"/>
      <c r="HC453" s="68"/>
      <c r="HD453" s="68"/>
      <c r="HE453" s="68"/>
      <c r="HF453" s="68"/>
      <c r="HG453" s="68"/>
      <c r="HH453" s="68"/>
      <c r="HI453" s="68"/>
      <c r="HJ453" s="68"/>
      <c r="HK453" s="68"/>
      <c r="HL453" s="68"/>
      <c r="HM453" s="68"/>
      <c r="HP453" s="68"/>
      <c r="HQ453" s="68"/>
      <c r="HR453" s="68"/>
      <c r="HS453" s="68"/>
      <c r="HT453" s="68"/>
      <c r="HU453" s="68"/>
      <c r="HV453" s="68"/>
      <c r="HW453" s="68"/>
      <c r="HX453" s="68"/>
      <c r="HY453" s="68"/>
      <c r="HZ453" s="68"/>
      <c r="IA453" s="68"/>
      <c r="IB453" s="68"/>
      <c r="IC453" s="68"/>
      <c r="ID453" s="68"/>
      <c r="IE453" s="68"/>
      <c r="IF453" s="68"/>
      <c r="IG453" s="68"/>
      <c r="IH453" s="68"/>
      <c r="II453" s="68"/>
      <c r="IJ453" s="68"/>
      <c r="IK453" s="68"/>
      <c r="IL453" s="68"/>
      <c r="IM453" s="68"/>
      <c r="IN453" s="68"/>
      <c r="IO453" s="68"/>
      <c r="IP453" s="68"/>
      <c r="IQ453" s="68"/>
      <c r="IR453" s="68"/>
      <c r="IS453" s="68"/>
      <c r="IT453" s="68"/>
      <c r="IU453" s="68"/>
      <c r="IV453" s="68"/>
      <c r="IW453" s="68"/>
      <c r="IX453" s="68"/>
      <c r="IY453" s="68"/>
    </row>
    <row r="454" spans="2:259" hidden="1" x14ac:dyDescent="0.3"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  <c r="AV454" s="68"/>
      <c r="AW454" s="68"/>
      <c r="AX454" s="68"/>
      <c r="AY454" s="68"/>
      <c r="AZ454" s="68"/>
      <c r="BA454" s="68"/>
      <c r="BB454" s="67"/>
      <c r="BC454" s="67"/>
      <c r="BD454" s="67"/>
      <c r="BE454" s="67"/>
      <c r="BF454" s="67"/>
      <c r="BG454" s="67"/>
      <c r="BH454" s="67"/>
      <c r="BI454" s="67"/>
      <c r="BJ454" s="67"/>
      <c r="BK454" s="67"/>
      <c r="BL454" s="67"/>
      <c r="HB454" s="68"/>
      <c r="HC454" s="68"/>
      <c r="HD454" s="68"/>
      <c r="HE454" s="68"/>
      <c r="HF454" s="68"/>
      <c r="HG454" s="68"/>
      <c r="HH454" s="68"/>
      <c r="HI454" s="68"/>
      <c r="HJ454" s="68"/>
      <c r="HK454" s="68"/>
      <c r="HL454" s="68"/>
      <c r="HM454" s="68"/>
      <c r="HP454" s="68"/>
      <c r="HQ454" s="68"/>
      <c r="HR454" s="68"/>
      <c r="HS454" s="68"/>
      <c r="HT454" s="68"/>
      <c r="HU454" s="68"/>
      <c r="HV454" s="68"/>
      <c r="HW454" s="68"/>
      <c r="HX454" s="68"/>
      <c r="HY454" s="68"/>
      <c r="HZ454" s="68"/>
      <c r="IA454" s="68"/>
      <c r="IB454" s="68"/>
      <c r="IC454" s="68"/>
      <c r="ID454" s="68"/>
      <c r="IE454" s="68"/>
      <c r="IF454" s="68"/>
      <c r="IG454" s="68"/>
      <c r="IH454" s="68"/>
      <c r="II454" s="68"/>
      <c r="IJ454" s="68"/>
      <c r="IK454" s="68"/>
      <c r="IL454" s="68"/>
      <c r="IM454" s="68"/>
      <c r="IN454" s="68"/>
      <c r="IO454" s="68"/>
      <c r="IP454" s="68"/>
      <c r="IQ454" s="68"/>
      <c r="IR454" s="68"/>
      <c r="IS454" s="68"/>
      <c r="IT454" s="68"/>
      <c r="IU454" s="68"/>
      <c r="IV454" s="68"/>
      <c r="IW454" s="68"/>
      <c r="IX454" s="68"/>
      <c r="IY454" s="68"/>
    </row>
    <row r="455" spans="2:259" hidden="1" x14ac:dyDescent="0.3"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  <c r="AV455" s="68"/>
      <c r="AW455" s="68"/>
      <c r="AX455" s="68"/>
      <c r="AY455" s="68"/>
      <c r="AZ455" s="68"/>
      <c r="BA455" s="68"/>
      <c r="BB455" s="67"/>
      <c r="BC455" s="67"/>
      <c r="BD455" s="67"/>
      <c r="BE455" s="67"/>
      <c r="BF455" s="67"/>
      <c r="BG455" s="67"/>
      <c r="BH455" s="67"/>
      <c r="BI455" s="67"/>
      <c r="BJ455" s="67"/>
      <c r="BK455" s="67"/>
      <c r="BL455" s="67"/>
      <c r="HB455" s="68"/>
      <c r="HC455" s="68"/>
      <c r="HD455" s="68"/>
      <c r="HE455" s="68"/>
      <c r="HF455" s="68"/>
      <c r="HG455" s="68"/>
      <c r="HH455" s="68"/>
      <c r="HI455" s="68"/>
      <c r="HJ455" s="68"/>
      <c r="HK455" s="68"/>
      <c r="HL455" s="68"/>
      <c r="HM455" s="68"/>
      <c r="HP455" s="68"/>
      <c r="HQ455" s="68"/>
      <c r="HR455" s="68"/>
      <c r="HS455" s="68"/>
      <c r="HT455" s="68"/>
      <c r="HU455" s="68"/>
      <c r="HV455" s="68"/>
      <c r="HW455" s="68"/>
      <c r="HX455" s="68"/>
      <c r="HY455" s="68"/>
      <c r="HZ455" s="68"/>
      <c r="IA455" s="68"/>
      <c r="IB455" s="68"/>
      <c r="IC455" s="68"/>
      <c r="ID455" s="68"/>
      <c r="IE455" s="68"/>
      <c r="IF455" s="68"/>
      <c r="IG455" s="68"/>
      <c r="IH455" s="68"/>
      <c r="II455" s="68"/>
      <c r="IJ455" s="68"/>
      <c r="IK455" s="68"/>
      <c r="IL455" s="68"/>
      <c r="IM455" s="68"/>
      <c r="IN455" s="68"/>
      <c r="IO455" s="68"/>
      <c r="IP455" s="68"/>
      <c r="IQ455" s="68"/>
      <c r="IR455" s="68"/>
      <c r="IS455" s="68"/>
      <c r="IT455" s="68"/>
      <c r="IU455" s="68"/>
      <c r="IV455" s="68"/>
      <c r="IW455" s="68"/>
      <c r="IX455" s="68"/>
      <c r="IY455" s="68"/>
    </row>
    <row r="456" spans="2:259" hidden="1" x14ac:dyDescent="0.3"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  <c r="AV456" s="68"/>
      <c r="AW456" s="68"/>
      <c r="AX456" s="68"/>
      <c r="AY456" s="68"/>
      <c r="AZ456" s="68"/>
      <c r="BA456" s="68"/>
      <c r="BB456" s="67"/>
      <c r="BC456" s="67"/>
      <c r="BD456" s="67"/>
      <c r="BE456" s="67"/>
      <c r="BF456" s="67"/>
      <c r="BG456" s="67"/>
      <c r="BH456" s="67"/>
      <c r="BI456" s="67"/>
      <c r="BJ456" s="67"/>
      <c r="BK456" s="67"/>
      <c r="BL456" s="67"/>
      <c r="HB456" s="68"/>
      <c r="HC456" s="68"/>
      <c r="HD456" s="68"/>
      <c r="HE456" s="68"/>
      <c r="HF456" s="68"/>
      <c r="HG456" s="68"/>
      <c r="HH456" s="68"/>
      <c r="HI456" s="68"/>
      <c r="HJ456" s="68"/>
      <c r="HK456" s="68"/>
      <c r="HL456" s="68"/>
      <c r="HM456" s="68"/>
      <c r="HP456" s="68"/>
      <c r="HQ456" s="68"/>
      <c r="HR456" s="68"/>
      <c r="HS456" s="68"/>
      <c r="HT456" s="68"/>
      <c r="HU456" s="68"/>
      <c r="HV456" s="68"/>
      <c r="HW456" s="68"/>
      <c r="HX456" s="68"/>
      <c r="HY456" s="68"/>
      <c r="HZ456" s="68"/>
      <c r="IA456" s="68"/>
      <c r="IB456" s="68"/>
      <c r="IC456" s="68"/>
      <c r="ID456" s="68"/>
      <c r="IE456" s="68"/>
      <c r="IF456" s="68"/>
      <c r="IG456" s="68"/>
      <c r="IH456" s="68"/>
      <c r="II456" s="68"/>
      <c r="IJ456" s="68"/>
      <c r="IK456" s="68"/>
      <c r="IL456" s="68"/>
      <c r="IM456" s="68"/>
      <c r="IN456" s="68"/>
      <c r="IO456" s="68"/>
      <c r="IP456" s="68"/>
      <c r="IQ456" s="68"/>
      <c r="IR456" s="68"/>
      <c r="IS456" s="68"/>
      <c r="IT456" s="68"/>
      <c r="IU456" s="68"/>
      <c r="IV456" s="68"/>
      <c r="IW456" s="68"/>
      <c r="IX456" s="68"/>
      <c r="IY456" s="68"/>
    </row>
    <row r="457" spans="2:259" hidden="1" x14ac:dyDescent="0.3"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  <c r="AV457" s="68"/>
      <c r="AW457" s="68"/>
      <c r="AX457" s="68"/>
      <c r="AY457" s="68"/>
      <c r="AZ457" s="68"/>
      <c r="BA457" s="68"/>
      <c r="BB457" s="67"/>
      <c r="BC457" s="67"/>
      <c r="BI457" s="67"/>
      <c r="BL457" s="67"/>
      <c r="HB457" s="68"/>
      <c r="HC457" s="68"/>
      <c r="HD457" s="68"/>
      <c r="HE457" s="68"/>
      <c r="HF457" s="68"/>
      <c r="HG457" s="68"/>
      <c r="HH457" s="68"/>
      <c r="HI457" s="68"/>
      <c r="HJ457" s="68"/>
      <c r="HK457" s="68"/>
      <c r="HL457" s="68"/>
      <c r="HM457" s="68"/>
      <c r="HP457" s="68"/>
      <c r="HQ457" s="68"/>
      <c r="HR457" s="68"/>
      <c r="HS457" s="68"/>
      <c r="HT457" s="68"/>
      <c r="HU457" s="68"/>
      <c r="HV457" s="68"/>
      <c r="HW457" s="68"/>
      <c r="HX457" s="68"/>
      <c r="HY457" s="68"/>
      <c r="HZ457" s="68"/>
      <c r="IA457" s="68"/>
      <c r="IB457" s="68"/>
      <c r="IC457" s="68"/>
      <c r="ID457" s="68"/>
      <c r="IE457" s="68"/>
      <c r="IF457" s="68"/>
      <c r="IG457" s="68"/>
      <c r="IH457" s="68"/>
      <c r="II457" s="68"/>
      <c r="IJ457" s="68"/>
      <c r="IK457" s="68"/>
      <c r="IL457" s="68"/>
      <c r="IM457" s="68"/>
      <c r="IN457" s="68"/>
      <c r="IO457" s="68"/>
      <c r="IP457" s="68"/>
      <c r="IQ457" s="68"/>
      <c r="IR457" s="68"/>
      <c r="IS457" s="68"/>
      <c r="IT457" s="68"/>
      <c r="IU457" s="68"/>
      <c r="IV457" s="68"/>
      <c r="IW457" s="68"/>
      <c r="IX457" s="68"/>
      <c r="IY457" s="68"/>
    </row>
    <row r="458" spans="2:259" hidden="1" x14ac:dyDescent="0.3"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  <c r="AV458" s="68"/>
      <c r="AW458" s="68"/>
      <c r="AX458" s="68"/>
      <c r="AY458" s="68"/>
      <c r="AZ458" s="68"/>
      <c r="BA458" s="68"/>
      <c r="BB458" s="67"/>
      <c r="BC458" s="67"/>
      <c r="BI458" s="67"/>
      <c r="BL458" s="67"/>
      <c r="HB458" s="68"/>
      <c r="HC458" s="68"/>
      <c r="HD458" s="68"/>
      <c r="HE458" s="68"/>
      <c r="HF458" s="68"/>
      <c r="HG458" s="68"/>
      <c r="HH458" s="68"/>
      <c r="HI458" s="68"/>
      <c r="HJ458" s="68"/>
      <c r="HK458" s="68"/>
      <c r="HL458" s="68"/>
      <c r="HM458" s="68"/>
      <c r="HP458" s="68"/>
      <c r="HQ458" s="68"/>
      <c r="HR458" s="68"/>
      <c r="HS458" s="68"/>
      <c r="HT458" s="68"/>
      <c r="HU458" s="68"/>
      <c r="HV458" s="68"/>
      <c r="HW458" s="68"/>
      <c r="HX458" s="68"/>
      <c r="HY458" s="68"/>
      <c r="HZ458" s="68"/>
      <c r="IA458" s="68"/>
      <c r="IB458" s="68"/>
      <c r="IC458" s="68"/>
      <c r="ID458" s="68"/>
      <c r="IE458" s="68"/>
      <c r="IF458" s="68"/>
      <c r="IG458" s="68"/>
      <c r="IH458" s="68"/>
      <c r="II458" s="68"/>
      <c r="IJ458" s="68"/>
      <c r="IK458" s="68"/>
      <c r="IL458" s="68"/>
      <c r="IM458" s="68"/>
      <c r="IN458" s="68"/>
      <c r="IO458" s="68"/>
      <c r="IP458" s="68"/>
      <c r="IQ458" s="68"/>
      <c r="IR458" s="68"/>
      <c r="IS458" s="68"/>
      <c r="IT458" s="68"/>
      <c r="IU458" s="68"/>
      <c r="IV458" s="68"/>
      <c r="IW458" s="68"/>
      <c r="IX458" s="68"/>
      <c r="IY458" s="68"/>
    </row>
    <row r="459" spans="2:259" hidden="1" x14ac:dyDescent="0.3"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7"/>
      <c r="BC459" s="67"/>
      <c r="BI459" s="67"/>
      <c r="BL459" s="67"/>
      <c r="HB459" s="68"/>
      <c r="HC459" s="68"/>
      <c r="HD459" s="68"/>
      <c r="HE459" s="68"/>
      <c r="HF459" s="68"/>
      <c r="HG459" s="68"/>
      <c r="HH459" s="68"/>
      <c r="HI459" s="68"/>
      <c r="HJ459" s="68"/>
      <c r="HK459" s="68"/>
      <c r="HL459" s="68"/>
      <c r="HM459" s="68"/>
      <c r="HP459" s="68"/>
      <c r="HQ459" s="68"/>
      <c r="HR459" s="68"/>
      <c r="HS459" s="68"/>
      <c r="HT459" s="68"/>
      <c r="HU459" s="68"/>
      <c r="HV459" s="68"/>
      <c r="HW459" s="68"/>
      <c r="HX459" s="68"/>
      <c r="HY459" s="68"/>
      <c r="HZ459" s="68"/>
      <c r="IA459" s="68"/>
      <c r="IB459" s="68"/>
      <c r="IC459" s="68"/>
      <c r="ID459" s="68"/>
      <c r="IE459" s="68"/>
      <c r="IF459" s="68"/>
      <c r="IG459" s="68"/>
      <c r="IH459" s="68"/>
      <c r="II459" s="68"/>
      <c r="IJ459" s="68"/>
      <c r="IK459" s="68"/>
      <c r="IL459" s="68"/>
      <c r="IM459" s="68"/>
      <c r="IN459" s="68"/>
      <c r="IO459" s="68"/>
      <c r="IP459" s="68"/>
      <c r="IQ459" s="68"/>
      <c r="IR459" s="68"/>
      <c r="IS459" s="68"/>
      <c r="IT459" s="68"/>
      <c r="IU459" s="68"/>
      <c r="IV459" s="68"/>
      <c r="IW459" s="68"/>
      <c r="IX459" s="68"/>
      <c r="IY459" s="68"/>
    </row>
    <row r="460" spans="2:259" hidden="1" x14ac:dyDescent="0.3"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  <c r="AV460" s="68"/>
      <c r="AW460" s="68"/>
      <c r="AX460" s="68"/>
      <c r="AY460" s="68"/>
      <c r="AZ460" s="68"/>
      <c r="BA460" s="68"/>
      <c r="BB460" s="67"/>
      <c r="BC460" s="67"/>
      <c r="BI460" s="67"/>
      <c r="BL460" s="67"/>
      <c r="HB460" s="68"/>
      <c r="HC460" s="68"/>
      <c r="HD460" s="68"/>
      <c r="HE460" s="68"/>
      <c r="HF460" s="68"/>
      <c r="HG460" s="68"/>
      <c r="HH460" s="68"/>
      <c r="HI460" s="68"/>
      <c r="HJ460" s="68"/>
      <c r="HK460" s="68"/>
      <c r="HL460" s="68"/>
      <c r="HM460" s="68"/>
      <c r="HP460" s="68"/>
      <c r="HQ460" s="68"/>
      <c r="HR460" s="68"/>
      <c r="HS460" s="68"/>
      <c r="HT460" s="68"/>
      <c r="HU460" s="68"/>
      <c r="HV460" s="68"/>
      <c r="HW460" s="68"/>
      <c r="HX460" s="68"/>
      <c r="HY460" s="68"/>
      <c r="HZ460" s="68"/>
      <c r="IA460" s="68"/>
      <c r="IB460" s="68"/>
      <c r="IC460" s="68"/>
      <c r="ID460" s="68"/>
      <c r="IE460" s="68"/>
      <c r="IF460" s="68"/>
      <c r="IG460" s="68"/>
      <c r="IH460" s="68"/>
      <c r="II460" s="68"/>
      <c r="IJ460" s="68"/>
      <c r="IK460" s="68"/>
      <c r="IL460" s="68"/>
      <c r="IM460" s="68"/>
      <c r="IN460" s="68"/>
      <c r="IO460" s="68"/>
      <c r="IP460" s="68"/>
      <c r="IQ460" s="68"/>
      <c r="IR460" s="68"/>
      <c r="IS460" s="68"/>
      <c r="IT460" s="68"/>
      <c r="IU460" s="68"/>
      <c r="IV460" s="68"/>
      <c r="IW460" s="68"/>
      <c r="IX460" s="68"/>
      <c r="IY460" s="68"/>
    </row>
    <row r="461" spans="2:259" hidden="1" x14ac:dyDescent="0.3"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  <c r="AV461" s="68"/>
      <c r="AW461" s="68"/>
      <c r="AX461" s="68"/>
      <c r="AY461" s="68"/>
      <c r="AZ461" s="68"/>
      <c r="BA461" s="68"/>
      <c r="BB461" s="67"/>
      <c r="BC461" s="67"/>
      <c r="BI461" s="67"/>
      <c r="BL461" s="67"/>
      <c r="HB461" s="68"/>
      <c r="HC461" s="68"/>
      <c r="HD461" s="68"/>
      <c r="HE461" s="68"/>
      <c r="HF461" s="68"/>
      <c r="HG461" s="68"/>
      <c r="HH461" s="68"/>
      <c r="HI461" s="68"/>
      <c r="HJ461" s="68"/>
      <c r="HK461" s="68"/>
      <c r="HL461" s="68"/>
      <c r="HM461" s="68"/>
      <c r="HP461" s="68"/>
      <c r="HQ461" s="68"/>
      <c r="HR461" s="68"/>
      <c r="HS461" s="68"/>
      <c r="HT461" s="68"/>
      <c r="HU461" s="68"/>
      <c r="HV461" s="68"/>
      <c r="HW461" s="68"/>
      <c r="HX461" s="68"/>
      <c r="HY461" s="68"/>
      <c r="HZ461" s="68"/>
      <c r="IA461" s="68"/>
      <c r="IB461" s="68"/>
      <c r="IC461" s="68"/>
      <c r="ID461" s="68"/>
      <c r="IE461" s="68"/>
      <c r="IF461" s="68"/>
      <c r="IG461" s="68"/>
      <c r="IH461" s="68"/>
      <c r="II461" s="68"/>
      <c r="IJ461" s="68"/>
      <c r="IK461" s="68"/>
      <c r="IL461" s="68"/>
      <c r="IM461" s="68"/>
      <c r="IN461" s="68"/>
      <c r="IO461" s="68"/>
      <c r="IP461" s="68"/>
      <c r="IQ461" s="68"/>
      <c r="IR461" s="68"/>
      <c r="IS461" s="68"/>
      <c r="IT461" s="68"/>
      <c r="IU461" s="68"/>
      <c r="IV461" s="68"/>
      <c r="IW461" s="68"/>
      <c r="IX461" s="68"/>
      <c r="IY461" s="68"/>
    </row>
    <row r="462" spans="2:259" hidden="1" x14ac:dyDescent="0.3"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  <c r="AV462" s="68"/>
      <c r="AW462" s="68"/>
      <c r="AX462" s="68"/>
      <c r="AY462" s="68"/>
      <c r="AZ462" s="68"/>
      <c r="BA462" s="68"/>
      <c r="BB462" s="67"/>
      <c r="BC462" s="67"/>
      <c r="BI462" s="67"/>
      <c r="BL462" s="67"/>
      <c r="HB462" s="68"/>
      <c r="HC462" s="68"/>
      <c r="HD462" s="68"/>
      <c r="HE462" s="68"/>
      <c r="HF462" s="68"/>
      <c r="HG462" s="68"/>
      <c r="HH462" s="68"/>
      <c r="HI462" s="68"/>
      <c r="HJ462" s="68"/>
      <c r="HK462" s="68"/>
      <c r="HL462" s="68"/>
      <c r="HM462" s="68"/>
      <c r="HP462" s="68"/>
      <c r="HQ462" s="68"/>
      <c r="HR462" s="68"/>
      <c r="HS462" s="68"/>
      <c r="HT462" s="68"/>
      <c r="HU462" s="68"/>
      <c r="HV462" s="68"/>
      <c r="HW462" s="68"/>
      <c r="HX462" s="68"/>
      <c r="HY462" s="68"/>
      <c r="HZ462" s="68"/>
      <c r="IA462" s="68"/>
      <c r="IB462" s="68"/>
      <c r="IC462" s="68"/>
      <c r="ID462" s="68"/>
      <c r="IE462" s="68"/>
      <c r="IF462" s="68"/>
      <c r="IG462" s="68"/>
      <c r="IH462" s="68"/>
      <c r="II462" s="68"/>
      <c r="IJ462" s="68"/>
      <c r="IK462" s="68"/>
      <c r="IL462" s="68"/>
      <c r="IM462" s="68"/>
      <c r="IN462" s="68"/>
      <c r="IO462" s="68"/>
      <c r="IP462" s="68"/>
      <c r="IQ462" s="68"/>
      <c r="IR462" s="68"/>
      <c r="IS462" s="68"/>
      <c r="IT462" s="68"/>
      <c r="IU462" s="68"/>
      <c r="IV462" s="68"/>
      <c r="IW462" s="68"/>
      <c r="IX462" s="68"/>
      <c r="IY462" s="68"/>
    </row>
    <row r="463" spans="2:259" hidden="1" x14ac:dyDescent="0.3"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  <c r="AV463" s="68"/>
      <c r="AW463" s="68"/>
      <c r="AX463" s="68"/>
      <c r="AY463" s="68"/>
      <c r="AZ463" s="68"/>
      <c r="BA463" s="68"/>
      <c r="BB463" s="67"/>
      <c r="BC463" s="67"/>
      <c r="BI463" s="67"/>
      <c r="BL463" s="67"/>
      <c r="HB463" s="68"/>
      <c r="HC463" s="68"/>
      <c r="HD463" s="68"/>
      <c r="HE463" s="68"/>
      <c r="HF463" s="68"/>
      <c r="HG463" s="68"/>
      <c r="HH463" s="68"/>
      <c r="HI463" s="68"/>
      <c r="HJ463" s="68"/>
      <c r="HK463" s="68"/>
      <c r="HL463" s="68"/>
      <c r="HM463" s="68"/>
      <c r="HP463" s="68"/>
      <c r="HQ463" s="68"/>
      <c r="HR463" s="68"/>
      <c r="HS463" s="68"/>
      <c r="HT463" s="68"/>
      <c r="HU463" s="68"/>
      <c r="HV463" s="68"/>
      <c r="HW463" s="68"/>
      <c r="HX463" s="68"/>
      <c r="HY463" s="68"/>
      <c r="HZ463" s="68"/>
      <c r="IA463" s="68"/>
      <c r="IB463" s="68"/>
      <c r="IC463" s="68"/>
      <c r="ID463" s="68"/>
      <c r="IE463" s="68"/>
      <c r="IF463" s="68"/>
      <c r="IG463" s="68"/>
      <c r="IH463" s="68"/>
      <c r="II463" s="68"/>
      <c r="IJ463" s="68"/>
      <c r="IK463" s="68"/>
      <c r="IL463" s="68"/>
      <c r="IM463" s="68"/>
      <c r="IN463" s="68"/>
      <c r="IO463" s="68"/>
      <c r="IP463" s="68"/>
      <c r="IQ463" s="68"/>
      <c r="IR463" s="68"/>
      <c r="IS463" s="68"/>
      <c r="IT463" s="68"/>
      <c r="IU463" s="68"/>
      <c r="IV463" s="68"/>
      <c r="IW463" s="68"/>
      <c r="IX463" s="68"/>
      <c r="IY463" s="68"/>
    </row>
    <row r="464" spans="2:259" hidden="1" x14ac:dyDescent="0.3"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  <c r="AV464" s="68"/>
      <c r="AW464" s="68"/>
      <c r="AX464" s="68"/>
      <c r="AY464" s="68"/>
      <c r="AZ464" s="68"/>
      <c r="BA464" s="68"/>
      <c r="BB464" s="67"/>
      <c r="BC464" s="67"/>
      <c r="BI464" s="67"/>
      <c r="BL464" s="67"/>
      <c r="HB464" s="68"/>
      <c r="HC464" s="68"/>
      <c r="HD464" s="68"/>
      <c r="HE464" s="68"/>
      <c r="HF464" s="68"/>
      <c r="HG464" s="68"/>
      <c r="HH464" s="68"/>
      <c r="HI464" s="68"/>
      <c r="HJ464" s="68"/>
      <c r="HK464" s="68"/>
      <c r="HL464" s="68"/>
      <c r="HM464" s="68"/>
      <c r="HP464" s="68"/>
      <c r="HQ464" s="68"/>
      <c r="HR464" s="68"/>
      <c r="HS464" s="68"/>
      <c r="HT464" s="68"/>
      <c r="HU464" s="68"/>
      <c r="HV464" s="68"/>
      <c r="HW464" s="68"/>
      <c r="HX464" s="68"/>
      <c r="HY464" s="68"/>
      <c r="HZ464" s="68"/>
      <c r="IA464" s="68"/>
      <c r="IB464" s="68"/>
      <c r="IC464" s="68"/>
      <c r="ID464" s="68"/>
      <c r="IE464" s="68"/>
      <c r="IF464" s="68"/>
      <c r="IG464" s="68"/>
      <c r="IH464" s="68"/>
      <c r="II464" s="68"/>
      <c r="IJ464" s="68"/>
      <c r="IK464" s="68"/>
      <c r="IL464" s="68"/>
      <c r="IM464" s="68"/>
      <c r="IN464" s="68"/>
      <c r="IO464" s="68"/>
      <c r="IP464" s="68"/>
      <c r="IQ464" s="68"/>
      <c r="IR464" s="68"/>
      <c r="IS464" s="68"/>
      <c r="IT464" s="68"/>
      <c r="IU464" s="68"/>
      <c r="IV464" s="68"/>
      <c r="IW464" s="68"/>
      <c r="IX464" s="68"/>
      <c r="IY464" s="68"/>
    </row>
    <row r="465" spans="2:259" hidden="1" x14ac:dyDescent="0.3"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BA465" s="68"/>
      <c r="BB465" s="67"/>
      <c r="BC465" s="67"/>
      <c r="BI465" s="67"/>
      <c r="BL465" s="67"/>
      <c r="HB465" s="68"/>
      <c r="HC465" s="68"/>
      <c r="HD465" s="68"/>
      <c r="HE465" s="68"/>
      <c r="HF465" s="68"/>
      <c r="HG465" s="68"/>
      <c r="HH465" s="68"/>
      <c r="HI465" s="68"/>
      <c r="HJ465" s="68"/>
      <c r="HK465" s="68"/>
      <c r="HL465" s="68"/>
      <c r="HM465" s="68"/>
      <c r="HP465" s="68"/>
      <c r="HQ465" s="68"/>
      <c r="HR465" s="68"/>
      <c r="HS465" s="68"/>
      <c r="HT465" s="68"/>
      <c r="HU465" s="68"/>
      <c r="HV465" s="68"/>
      <c r="HW465" s="68"/>
      <c r="HX465" s="68"/>
      <c r="HY465" s="68"/>
      <c r="HZ465" s="68"/>
      <c r="IA465" s="68"/>
      <c r="IB465" s="68"/>
      <c r="IC465" s="68"/>
      <c r="ID465" s="68"/>
      <c r="IE465" s="68"/>
      <c r="IF465" s="68"/>
      <c r="IG465" s="68"/>
      <c r="IH465" s="68"/>
      <c r="II465" s="68"/>
      <c r="IJ465" s="68"/>
      <c r="IK465" s="68"/>
      <c r="IL465" s="68"/>
      <c r="IM465" s="68"/>
      <c r="IN465" s="68"/>
      <c r="IO465" s="68"/>
      <c r="IP465" s="68"/>
      <c r="IQ465" s="68"/>
      <c r="IR465" s="68"/>
      <c r="IS465" s="68"/>
      <c r="IT465" s="68"/>
      <c r="IU465" s="68"/>
      <c r="IV465" s="68"/>
      <c r="IW465" s="68"/>
      <c r="IX465" s="68"/>
      <c r="IY465" s="68"/>
    </row>
    <row r="466" spans="2:259" hidden="1" x14ac:dyDescent="0.3"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BA466" s="68"/>
      <c r="BB466" s="67"/>
      <c r="BC466" s="67"/>
      <c r="BI466" s="67"/>
      <c r="BL466" s="67"/>
      <c r="HB466" s="68"/>
      <c r="HC466" s="68"/>
      <c r="HD466" s="68"/>
      <c r="HE466" s="68"/>
      <c r="HF466" s="68"/>
      <c r="HG466" s="68"/>
      <c r="HH466" s="68"/>
      <c r="HI466" s="68"/>
      <c r="HJ466" s="68"/>
      <c r="HK466" s="68"/>
      <c r="HL466" s="68"/>
      <c r="HM466" s="68"/>
      <c r="HP466" s="68"/>
      <c r="HQ466" s="68"/>
      <c r="HR466" s="68"/>
      <c r="HS466" s="68"/>
      <c r="HT466" s="68"/>
      <c r="HU466" s="68"/>
      <c r="HV466" s="68"/>
      <c r="HW466" s="68"/>
      <c r="HX466" s="68"/>
      <c r="HY466" s="68"/>
      <c r="HZ466" s="68"/>
      <c r="IA466" s="68"/>
      <c r="IB466" s="68"/>
      <c r="IC466" s="68"/>
      <c r="ID466" s="68"/>
      <c r="IE466" s="68"/>
      <c r="IF466" s="68"/>
      <c r="IG466" s="68"/>
      <c r="IH466" s="68"/>
      <c r="II466" s="68"/>
      <c r="IJ466" s="68"/>
      <c r="IK466" s="68"/>
      <c r="IL466" s="68"/>
      <c r="IM466" s="68"/>
      <c r="IN466" s="68"/>
      <c r="IO466" s="68"/>
      <c r="IP466" s="68"/>
      <c r="IQ466" s="68"/>
      <c r="IR466" s="68"/>
      <c r="IS466" s="68"/>
      <c r="IT466" s="68"/>
      <c r="IU466" s="68"/>
      <c r="IV466" s="68"/>
      <c r="IW466" s="68"/>
      <c r="IX466" s="68"/>
      <c r="IY466" s="68"/>
    </row>
    <row r="467" spans="2:259" hidden="1" x14ac:dyDescent="0.3"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BA467" s="68"/>
      <c r="BB467" s="67"/>
      <c r="BC467" s="67"/>
      <c r="BI467" s="67"/>
      <c r="BL467" s="67"/>
      <c r="HB467" s="68"/>
      <c r="HC467" s="68"/>
      <c r="HD467" s="68"/>
      <c r="HE467" s="68"/>
      <c r="HF467" s="68"/>
      <c r="HG467" s="68"/>
      <c r="HH467" s="68"/>
      <c r="HI467" s="68"/>
      <c r="HJ467" s="68"/>
      <c r="HK467" s="68"/>
      <c r="HL467" s="68"/>
      <c r="HM467" s="68"/>
      <c r="HP467" s="68"/>
      <c r="HQ467" s="68"/>
      <c r="HR467" s="68"/>
      <c r="HS467" s="68"/>
      <c r="HT467" s="68"/>
      <c r="HU467" s="68"/>
      <c r="HV467" s="68"/>
      <c r="HW467" s="68"/>
      <c r="HX467" s="68"/>
      <c r="HY467" s="68"/>
      <c r="HZ467" s="68"/>
      <c r="IA467" s="68"/>
      <c r="IB467" s="68"/>
      <c r="IC467" s="68"/>
      <c r="ID467" s="68"/>
      <c r="IE467" s="68"/>
      <c r="IF467" s="68"/>
      <c r="IG467" s="68"/>
      <c r="IH467" s="68"/>
      <c r="II467" s="68"/>
      <c r="IJ467" s="68"/>
      <c r="IK467" s="68"/>
      <c r="IL467" s="68"/>
      <c r="IM467" s="68"/>
      <c r="IN467" s="68"/>
      <c r="IO467" s="68"/>
      <c r="IP467" s="68"/>
      <c r="IQ467" s="68"/>
      <c r="IR467" s="68"/>
      <c r="IS467" s="68"/>
      <c r="IT467" s="68"/>
      <c r="IU467" s="68"/>
      <c r="IV467" s="68"/>
      <c r="IW467" s="68"/>
      <c r="IX467" s="68"/>
      <c r="IY467" s="68"/>
    </row>
    <row r="468" spans="2:259" hidden="1" x14ac:dyDescent="0.3"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BA468" s="68"/>
      <c r="BB468" s="67"/>
      <c r="BC468" s="67"/>
      <c r="BI468" s="67"/>
      <c r="BL468" s="67"/>
      <c r="HB468" s="68"/>
      <c r="HC468" s="68"/>
      <c r="HD468" s="68"/>
      <c r="HE468" s="68"/>
      <c r="HF468" s="68"/>
      <c r="HG468" s="68"/>
      <c r="HH468" s="68"/>
      <c r="HI468" s="68"/>
      <c r="HJ468" s="68"/>
      <c r="HK468" s="68"/>
      <c r="HL468" s="68"/>
      <c r="HM468" s="68"/>
      <c r="HP468" s="68"/>
      <c r="HQ468" s="68"/>
      <c r="HR468" s="68"/>
      <c r="HS468" s="68"/>
      <c r="HT468" s="68"/>
      <c r="HU468" s="68"/>
      <c r="HV468" s="68"/>
      <c r="HW468" s="68"/>
      <c r="HX468" s="68"/>
      <c r="HY468" s="68"/>
      <c r="HZ468" s="68"/>
      <c r="IA468" s="68"/>
      <c r="IB468" s="68"/>
      <c r="IC468" s="68"/>
      <c r="ID468" s="68"/>
      <c r="IE468" s="68"/>
      <c r="IF468" s="68"/>
      <c r="IG468" s="68"/>
      <c r="IH468" s="68"/>
      <c r="II468" s="68"/>
      <c r="IJ468" s="68"/>
      <c r="IK468" s="68"/>
      <c r="IL468" s="68"/>
      <c r="IM468" s="68"/>
      <c r="IN468" s="68"/>
      <c r="IO468" s="68"/>
      <c r="IP468" s="68"/>
      <c r="IQ468" s="68"/>
      <c r="IR468" s="68"/>
      <c r="IS468" s="68"/>
      <c r="IT468" s="68"/>
      <c r="IU468" s="68"/>
      <c r="IV468" s="68"/>
      <c r="IW468" s="68"/>
      <c r="IX468" s="68"/>
      <c r="IY468" s="68"/>
    </row>
    <row r="469" spans="2:259" hidden="1" x14ac:dyDescent="0.3"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BA469" s="68"/>
      <c r="BB469" s="67"/>
      <c r="BC469" s="67"/>
      <c r="BL469" s="67"/>
      <c r="HB469" s="68"/>
      <c r="HC469" s="68"/>
      <c r="HD469" s="68"/>
      <c r="HE469" s="68"/>
      <c r="HF469" s="68"/>
      <c r="HG469" s="68"/>
      <c r="HH469" s="68"/>
      <c r="HI469" s="68"/>
      <c r="HJ469" s="68"/>
      <c r="HK469" s="68"/>
      <c r="HL469" s="68"/>
      <c r="HM469" s="68"/>
      <c r="HP469" s="68"/>
      <c r="HQ469" s="68"/>
      <c r="HR469" s="68"/>
      <c r="HS469" s="68"/>
      <c r="HT469" s="68"/>
      <c r="HU469" s="68"/>
      <c r="HV469" s="68"/>
      <c r="HW469" s="68"/>
      <c r="HX469" s="68"/>
      <c r="HY469" s="68"/>
      <c r="HZ469" s="68"/>
      <c r="IA469" s="68"/>
      <c r="IB469" s="68"/>
      <c r="IC469" s="68"/>
      <c r="ID469" s="68"/>
      <c r="IE469" s="68"/>
      <c r="IF469" s="68"/>
      <c r="IG469" s="68"/>
      <c r="IH469" s="68"/>
      <c r="II469" s="68"/>
      <c r="IJ469" s="68"/>
      <c r="IK469" s="68"/>
      <c r="IL469" s="68"/>
      <c r="IM469" s="68"/>
      <c r="IN469" s="68"/>
      <c r="IO469" s="68"/>
      <c r="IP469" s="68"/>
      <c r="IQ469" s="68"/>
      <c r="IR469" s="68"/>
      <c r="IS469" s="68"/>
      <c r="IT469" s="68"/>
      <c r="IU469" s="68"/>
      <c r="IV469" s="68"/>
      <c r="IW469" s="68"/>
      <c r="IX469" s="68"/>
      <c r="IY469" s="68"/>
    </row>
    <row r="470" spans="2:259" hidden="1" x14ac:dyDescent="0.3"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BA470" s="68"/>
      <c r="BB470" s="67"/>
      <c r="BC470" s="67"/>
      <c r="BL470" s="67"/>
      <c r="HB470" s="68"/>
      <c r="HC470" s="68"/>
      <c r="HD470" s="68"/>
      <c r="HE470" s="68"/>
      <c r="HF470" s="68"/>
      <c r="HG470" s="68"/>
      <c r="HH470" s="68"/>
      <c r="HI470" s="68"/>
      <c r="HJ470" s="68"/>
      <c r="HK470" s="68"/>
      <c r="HL470" s="68"/>
      <c r="HM470" s="68"/>
      <c r="HP470" s="68"/>
      <c r="HQ470" s="68"/>
      <c r="HR470" s="68"/>
      <c r="HS470" s="68"/>
      <c r="HT470" s="68"/>
      <c r="HU470" s="68"/>
      <c r="HV470" s="68"/>
      <c r="HW470" s="68"/>
      <c r="HX470" s="68"/>
      <c r="HY470" s="68"/>
      <c r="HZ470" s="68"/>
      <c r="IA470" s="68"/>
      <c r="IB470" s="68"/>
      <c r="IC470" s="68"/>
      <c r="ID470" s="68"/>
      <c r="IE470" s="68"/>
      <c r="IF470" s="68"/>
      <c r="IG470" s="68"/>
      <c r="IH470" s="68"/>
      <c r="II470" s="68"/>
      <c r="IJ470" s="68"/>
      <c r="IK470" s="68"/>
      <c r="IL470" s="68"/>
      <c r="IM470" s="68"/>
      <c r="IN470" s="68"/>
      <c r="IO470" s="68"/>
      <c r="IP470" s="68"/>
      <c r="IQ470" s="68"/>
      <c r="IR470" s="68"/>
      <c r="IS470" s="68"/>
      <c r="IT470" s="68"/>
      <c r="IU470" s="68"/>
      <c r="IV470" s="68"/>
      <c r="IW470" s="68"/>
      <c r="IX470" s="68"/>
      <c r="IY470" s="68"/>
    </row>
    <row r="471" spans="2:259" hidden="1" x14ac:dyDescent="0.3"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BB471" s="67"/>
      <c r="BC471" s="67"/>
      <c r="BL471" s="67"/>
      <c r="HB471" s="68"/>
      <c r="HC471" s="68"/>
      <c r="HD471" s="68"/>
      <c r="HE471" s="68"/>
      <c r="HF471" s="68"/>
      <c r="HG471" s="68"/>
      <c r="HH471" s="68"/>
      <c r="HI471" s="68"/>
      <c r="HJ471" s="68"/>
      <c r="HK471" s="68"/>
      <c r="HL471" s="68"/>
      <c r="HM471" s="68"/>
      <c r="HP471" s="68"/>
      <c r="HQ471" s="68"/>
      <c r="HR471" s="68"/>
      <c r="HS471" s="68"/>
      <c r="HT471" s="68"/>
      <c r="HU471" s="68"/>
      <c r="HV471" s="68"/>
      <c r="HW471" s="68"/>
      <c r="HX471" s="68"/>
      <c r="HY471" s="68"/>
      <c r="HZ471" s="68"/>
      <c r="IA471" s="68"/>
      <c r="IB471" s="68"/>
      <c r="IC471" s="68"/>
      <c r="ID471" s="68"/>
      <c r="IE471" s="68"/>
      <c r="IF471" s="68"/>
      <c r="IG471" s="68"/>
      <c r="IH471" s="68"/>
      <c r="II471" s="68"/>
      <c r="IJ471" s="68"/>
      <c r="IK471" s="68"/>
      <c r="IL471" s="68"/>
      <c r="IM471" s="68"/>
      <c r="IN471" s="68"/>
      <c r="IO471" s="68"/>
      <c r="IP471" s="68"/>
      <c r="IQ471" s="68"/>
      <c r="IR471" s="68"/>
      <c r="IS471" s="68"/>
      <c r="IT471" s="68"/>
      <c r="IU471" s="68"/>
      <c r="IV471" s="68"/>
      <c r="IW471" s="68"/>
      <c r="IX471" s="68"/>
      <c r="IY471" s="68"/>
    </row>
    <row r="472" spans="2:259" hidden="1" x14ac:dyDescent="0.3"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BB472" s="67"/>
      <c r="BC472" s="67"/>
      <c r="BL472" s="67"/>
      <c r="HB472" s="68"/>
      <c r="HC472" s="68"/>
      <c r="HD472" s="68"/>
      <c r="HE472" s="68"/>
      <c r="HF472" s="68"/>
      <c r="HG472" s="68"/>
      <c r="HH472" s="68"/>
      <c r="HI472" s="68"/>
      <c r="HJ472" s="68"/>
      <c r="HK472" s="68"/>
      <c r="HL472" s="68"/>
      <c r="HM472" s="68"/>
      <c r="HP472" s="68"/>
      <c r="HQ472" s="68"/>
      <c r="HR472" s="68"/>
      <c r="HS472" s="68"/>
      <c r="HT472" s="68"/>
      <c r="HU472" s="68"/>
      <c r="HV472" s="68"/>
      <c r="HW472" s="68"/>
      <c r="HX472" s="68"/>
      <c r="HY472" s="68"/>
      <c r="HZ472" s="68"/>
      <c r="IA472" s="68"/>
      <c r="IB472" s="68"/>
      <c r="IC472" s="68"/>
      <c r="ID472" s="68"/>
      <c r="IE472" s="68"/>
      <c r="IF472" s="68"/>
      <c r="IG472" s="68"/>
      <c r="IH472" s="68"/>
      <c r="II472" s="68"/>
      <c r="IJ472" s="68"/>
      <c r="IK472" s="68"/>
      <c r="IL472" s="68"/>
      <c r="IM472" s="68"/>
      <c r="IN472" s="68"/>
      <c r="IO472" s="68"/>
      <c r="IP472" s="68"/>
      <c r="IQ472" s="68"/>
      <c r="IR472" s="68"/>
      <c r="IS472" s="68"/>
      <c r="IT472" s="68"/>
      <c r="IU472" s="68"/>
      <c r="IV472" s="68"/>
      <c r="IW472" s="68"/>
      <c r="IX472" s="68"/>
      <c r="IY472" s="68"/>
    </row>
    <row r="473" spans="2:259" hidden="1" x14ac:dyDescent="0.3"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BB473" s="67"/>
      <c r="BC473" s="67"/>
      <c r="BL473" s="67"/>
      <c r="HB473" s="68"/>
      <c r="HC473" s="68"/>
      <c r="HD473" s="68"/>
      <c r="HE473" s="68"/>
      <c r="HF473" s="68"/>
      <c r="HG473" s="68"/>
      <c r="HH473" s="68"/>
      <c r="HI473" s="68"/>
      <c r="HJ473" s="68"/>
      <c r="HK473" s="68"/>
      <c r="HL473" s="68"/>
      <c r="HM473" s="68"/>
      <c r="HP473" s="68"/>
      <c r="HQ473" s="68"/>
      <c r="HR473" s="68"/>
      <c r="HS473" s="68"/>
      <c r="HT473" s="68"/>
      <c r="HU473" s="68"/>
      <c r="HV473" s="68"/>
      <c r="HW473" s="68"/>
      <c r="HX473" s="68"/>
      <c r="HY473" s="68"/>
      <c r="HZ473" s="68"/>
      <c r="IA473" s="68"/>
      <c r="IB473" s="68"/>
      <c r="IC473" s="68"/>
      <c r="ID473" s="68"/>
      <c r="IE473" s="68"/>
      <c r="IF473" s="68"/>
      <c r="IG473" s="68"/>
      <c r="IH473" s="68"/>
      <c r="II473" s="68"/>
      <c r="IJ473" s="68"/>
      <c r="IK473" s="68"/>
      <c r="IL473" s="68"/>
      <c r="IM473" s="68"/>
      <c r="IN473" s="68"/>
      <c r="IO473" s="68"/>
      <c r="IP473" s="68"/>
      <c r="IQ473" s="68"/>
      <c r="IR473" s="68"/>
      <c r="IS473" s="68"/>
      <c r="IT473" s="68"/>
      <c r="IU473" s="68"/>
      <c r="IV473" s="68"/>
      <c r="IW473" s="68"/>
      <c r="IX473" s="68"/>
      <c r="IY473" s="68"/>
    </row>
    <row r="474" spans="2:259" hidden="1" x14ac:dyDescent="0.3"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BB474" s="67"/>
      <c r="BC474" s="67"/>
      <c r="BL474" s="67"/>
      <c r="HB474" s="68"/>
      <c r="HC474" s="68"/>
      <c r="HD474" s="68"/>
      <c r="HE474" s="68"/>
      <c r="HF474" s="68"/>
      <c r="HG474" s="68"/>
      <c r="HH474" s="68"/>
      <c r="HI474" s="68"/>
      <c r="HJ474" s="68"/>
      <c r="HK474" s="68"/>
      <c r="HL474" s="68"/>
      <c r="HM474" s="68"/>
      <c r="HP474" s="68"/>
      <c r="HQ474" s="68"/>
      <c r="HR474" s="68"/>
      <c r="HS474" s="68"/>
      <c r="HT474" s="68"/>
      <c r="HU474" s="68"/>
      <c r="HV474" s="68"/>
      <c r="HW474" s="68"/>
      <c r="HX474" s="68"/>
      <c r="HY474" s="68"/>
      <c r="HZ474" s="68"/>
      <c r="IA474" s="68"/>
      <c r="IB474" s="68"/>
      <c r="IC474" s="68"/>
      <c r="ID474" s="68"/>
      <c r="IE474" s="68"/>
      <c r="IF474" s="68"/>
      <c r="IG474" s="68"/>
      <c r="IH474" s="68"/>
      <c r="II474" s="68"/>
      <c r="IJ474" s="68"/>
      <c r="IK474" s="68"/>
      <c r="IL474" s="68"/>
      <c r="IM474" s="68"/>
      <c r="IN474" s="68"/>
      <c r="IO474" s="68"/>
      <c r="IP474" s="68"/>
      <c r="IQ474" s="68"/>
      <c r="IR474" s="68"/>
      <c r="IS474" s="68"/>
      <c r="IT474" s="68"/>
      <c r="IU474" s="68"/>
      <c r="IV474" s="68"/>
      <c r="IW474" s="68"/>
      <c r="IX474" s="68"/>
      <c r="IY474" s="68"/>
    </row>
    <row r="475" spans="2:259" hidden="1" x14ac:dyDescent="0.3"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BB475" s="67"/>
      <c r="BC475" s="67"/>
      <c r="BL475" s="67"/>
      <c r="HB475" s="68"/>
      <c r="HC475" s="68"/>
      <c r="HD475" s="68"/>
      <c r="HE475" s="68"/>
      <c r="HF475" s="68"/>
      <c r="HG475" s="68"/>
      <c r="HH475" s="68"/>
      <c r="HI475" s="68"/>
      <c r="HJ475" s="68"/>
      <c r="HK475" s="68"/>
      <c r="HL475" s="68"/>
      <c r="HM475" s="68"/>
      <c r="HP475" s="68"/>
      <c r="HQ475" s="68"/>
      <c r="HR475" s="68"/>
      <c r="HS475" s="68"/>
      <c r="HT475" s="68"/>
      <c r="HU475" s="68"/>
      <c r="HV475" s="68"/>
      <c r="HW475" s="68"/>
      <c r="HX475" s="68"/>
      <c r="HY475" s="68"/>
      <c r="HZ475" s="68"/>
      <c r="IA475" s="68"/>
      <c r="IB475" s="68"/>
      <c r="IC475" s="68"/>
      <c r="ID475" s="68"/>
      <c r="IE475" s="68"/>
      <c r="IF475" s="68"/>
      <c r="IG475" s="68"/>
      <c r="IH475" s="68"/>
      <c r="II475" s="68"/>
      <c r="IJ475" s="68"/>
      <c r="IK475" s="68"/>
      <c r="IL475" s="68"/>
      <c r="IM475" s="68"/>
      <c r="IN475" s="68"/>
      <c r="IO475" s="68"/>
      <c r="IP475" s="68"/>
      <c r="IQ475" s="68"/>
      <c r="IR475" s="68"/>
      <c r="IS475" s="68"/>
      <c r="IT475" s="68"/>
      <c r="IU475" s="68"/>
      <c r="IV475" s="68"/>
      <c r="IW475" s="68"/>
      <c r="IX475" s="68"/>
      <c r="IY475" s="68"/>
    </row>
    <row r="476" spans="2:259" hidden="1" x14ac:dyDescent="0.3">
      <c r="G476" s="68"/>
      <c r="H476" s="68"/>
      <c r="I476" s="68"/>
      <c r="J476" s="68"/>
      <c r="K476" s="68"/>
      <c r="L476" s="68"/>
      <c r="M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BB476" s="67"/>
      <c r="BC476" s="67"/>
      <c r="BL476" s="67"/>
      <c r="HB476" s="68"/>
      <c r="HC476" s="68"/>
      <c r="HD476" s="68"/>
      <c r="HE476" s="68"/>
      <c r="HF476" s="68"/>
      <c r="HG476" s="68"/>
      <c r="HH476" s="68"/>
      <c r="HI476" s="68"/>
      <c r="HJ476" s="68"/>
      <c r="HK476" s="68"/>
      <c r="HL476" s="68"/>
      <c r="HM476" s="68"/>
      <c r="HP476" s="68"/>
      <c r="HQ476" s="68"/>
      <c r="HR476" s="68"/>
      <c r="HS476" s="68"/>
      <c r="HT476" s="68"/>
      <c r="HU476" s="68"/>
      <c r="HV476" s="68"/>
      <c r="HW476" s="68"/>
      <c r="HX476" s="68"/>
      <c r="HY476" s="68"/>
      <c r="HZ476" s="68"/>
      <c r="IA476" s="68"/>
      <c r="IB476" s="68"/>
      <c r="IC476" s="68"/>
      <c r="ID476" s="68"/>
      <c r="IE476" s="68"/>
      <c r="IF476" s="68"/>
      <c r="IG476" s="68"/>
      <c r="IH476" s="68"/>
      <c r="II476" s="68"/>
      <c r="IJ476" s="68"/>
      <c r="IK476" s="68"/>
      <c r="IL476" s="68"/>
      <c r="IM476" s="68"/>
      <c r="IN476" s="68"/>
      <c r="IO476" s="68"/>
      <c r="IP476" s="68"/>
      <c r="IQ476" s="68"/>
      <c r="IR476" s="68"/>
      <c r="IS476" s="68"/>
      <c r="IT476" s="68"/>
      <c r="IU476" s="68"/>
      <c r="IV476" s="68"/>
      <c r="IW476" s="68"/>
      <c r="IX476" s="68"/>
      <c r="IY476" s="68"/>
    </row>
    <row r="477" spans="2:259" hidden="1" x14ac:dyDescent="0.3">
      <c r="G477" s="68"/>
      <c r="H477" s="68"/>
      <c r="I477" s="68"/>
      <c r="J477" s="68"/>
      <c r="K477" s="68"/>
      <c r="L477" s="68"/>
      <c r="M477" s="68"/>
      <c r="BB477" s="67"/>
      <c r="BC477" s="67"/>
      <c r="BL477" s="67"/>
      <c r="HB477" s="68"/>
      <c r="HC477" s="68"/>
      <c r="HD477" s="68"/>
      <c r="HE477" s="68"/>
      <c r="HF477" s="68"/>
      <c r="HG477" s="68"/>
      <c r="HH477" s="68"/>
      <c r="HI477" s="68"/>
      <c r="HJ477" s="68"/>
      <c r="HK477" s="68"/>
      <c r="HL477" s="68"/>
      <c r="HM477" s="68"/>
      <c r="HP477" s="68"/>
      <c r="HQ477" s="68"/>
      <c r="HR477" s="68"/>
      <c r="HS477" s="68"/>
      <c r="HT477" s="68"/>
      <c r="HU477" s="68"/>
      <c r="HV477" s="68"/>
      <c r="HW477" s="68"/>
      <c r="HX477" s="68"/>
      <c r="HY477" s="68"/>
      <c r="HZ477" s="68"/>
      <c r="IA477" s="68"/>
      <c r="IB477" s="68"/>
      <c r="IC477" s="68"/>
      <c r="ID477" s="68"/>
      <c r="IE477" s="68"/>
      <c r="IF477" s="68"/>
      <c r="IG477" s="68"/>
      <c r="IH477" s="68"/>
      <c r="II477" s="68"/>
      <c r="IJ477" s="68"/>
      <c r="IK477" s="68"/>
      <c r="IL477" s="68"/>
      <c r="IM477" s="68"/>
      <c r="IN477" s="68"/>
      <c r="IO477" s="68"/>
      <c r="IP477" s="68"/>
      <c r="IQ477" s="68"/>
      <c r="IR477" s="68"/>
      <c r="IS477" s="68"/>
      <c r="IT477" s="68"/>
      <c r="IU477" s="68"/>
      <c r="IV477" s="68"/>
      <c r="IW477" s="68"/>
      <c r="IX477" s="68"/>
      <c r="IY477" s="68"/>
    </row>
    <row r="478" spans="2:259" hidden="1" x14ac:dyDescent="0.3">
      <c r="BB478" s="67"/>
      <c r="BC478" s="67"/>
      <c r="BL478" s="67"/>
      <c r="HB478" s="68"/>
      <c r="HC478" s="68"/>
      <c r="HD478" s="68"/>
      <c r="HE478" s="68"/>
      <c r="HF478" s="68"/>
      <c r="HG478" s="68"/>
      <c r="HH478" s="68"/>
      <c r="HI478" s="68"/>
      <c r="HJ478" s="68"/>
      <c r="HK478" s="68"/>
      <c r="HL478" s="68"/>
      <c r="HM478" s="68"/>
      <c r="HP478" s="68"/>
      <c r="HQ478" s="68"/>
      <c r="HR478" s="68"/>
      <c r="HS478" s="68"/>
      <c r="HT478" s="68"/>
      <c r="HU478" s="68"/>
      <c r="HV478" s="68"/>
      <c r="HW478" s="68"/>
      <c r="HX478" s="68"/>
      <c r="HY478" s="68"/>
      <c r="HZ478" s="68"/>
      <c r="IA478" s="68"/>
      <c r="IB478" s="68"/>
      <c r="IC478" s="68"/>
      <c r="ID478" s="68"/>
      <c r="IE478" s="68"/>
      <c r="IF478" s="68"/>
      <c r="IG478" s="68"/>
      <c r="IH478" s="68"/>
      <c r="II478" s="68"/>
      <c r="IJ478" s="68"/>
      <c r="IK478" s="68"/>
      <c r="IL478" s="68"/>
      <c r="IM478" s="68"/>
      <c r="IN478" s="68"/>
      <c r="IO478" s="68"/>
      <c r="IP478" s="68"/>
      <c r="IQ478" s="68"/>
      <c r="IR478" s="68"/>
      <c r="IS478" s="68"/>
      <c r="IT478" s="68"/>
      <c r="IU478" s="68"/>
      <c r="IV478" s="68"/>
      <c r="IW478" s="68"/>
      <c r="IX478" s="68"/>
      <c r="IY478" s="68"/>
    </row>
    <row r="479" spans="2:259" hidden="1" x14ac:dyDescent="0.3">
      <c r="BB479" s="67"/>
      <c r="BC479" s="67"/>
      <c r="BL479" s="67"/>
      <c r="HB479" s="68"/>
      <c r="HC479" s="68"/>
      <c r="HD479" s="68"/>
      <c r="HE479" s="68"/>
      <c r="HF479" s="68"/>
      <c r="HG479" s="68"/>
      <c r="HH479" s="68"/>
      <c r="HI479" s="68"/>
      <c r="HJ479" s="68"/>
      <c r="HK479" s="68"/>
      <c r="HL479" s="68"/>
      <c r="HM479" s="68"/>
      <c r="HP479" s="68"/>
      <c r="HQ479" s="68"/>
      <c r="HR479" s="68"/>
      <c r="HS479" s="68"/>
      <c r="HT479" s="68"/>
      <c r="HU479" s="68"/>
      <c r="HV479" s="68"/>
      <c r="HW479" s="68"/>
      <c r="HX479" s="68"/>
      <c r="HY479" s="68"/>
      <c r="HZ479" s="68"/>
      <c r="IA479" s="68"/>
      <c r="IB479" s="68"/>
      <c r="IC479" s="68"/>
      <c r="ID479" s="68"/>
      <c r="IE479" s="68"/>
      <c r="IF479" s="68"/>
      <c r="IG479" s="68"/>
      <c r="IH479" s="68"/>
      <c r="II479" s="68"/>
      <c r="IJ479" s="68"/>
      <c r="IK479" s="68"/>
      <c r="IL479" s="68"/>
      <c r="IM479" s="68"/>
      <c r="IN479" s="68"/>
      <c r="IO479" s="68"/>
      <c r="IP479" s="68"/>
      <c r="IQ479" s="68"/>
      <c r="IR479" s="68"/>
      <c r="IS479" s="68"/>
      <c r="IT479" s="68"/>
      <c r="IU479" s="68"/>
      <c r="IV479" s="68"/>
      <c r="IW479" s="68"/>
      <c r="IX479" s="68"/>
      <c r="IY479" s="68"/>
    </row>
    <row r="480" spans="2:259" hidden="1" x14ac:dyDescent="0.3">
      <c r="BB480" s="67"/>
      <c r="BC480" s="67"/>
      <c r="BL480" s="67"/>
      <c r="HB480" s="68"/>
      <c r="HC480" s="68"/>
      <c r="HD480" s="68"/>
      <c r="HE480" s="68"/>
      <c r="HF480" s="68"/>
      <c r="HG480" s="68"/>
      <c r="HH480" s="68"/>
      <c r="HI480" s="68"/>
      <c r="HJ480" s="68"/>
      <c r="HK480" s="68"/>
      <c r="HL480" s="68"/>
      <c r="HM480" s="68"/>
      <c r="HP480" s="68"/>
      <c r="HQ480" s="68"/>
      <c r="HR480" s="68"/>
      <c r="HS480" s="68"/>
      <c r="HT480" s="68"/>
      <c r="HU480" s="68"/>
      <c r="HV480" s="68"/>
      <c r="HW480" s="68"/>
      <c r="HX480" s="68"/>
      <c r="HY480" s="68"/>
      <c r="HZ480" s="68"/>
      <c r="IA480" s="68"/>
      <c r="IB480" s="68"/>
      <c r="IC480" s="68"/>
      <c r="ID480" s="68"/>
      <c r="IE480" s="68"/>
      <c r="IF480" s="68"/>
      <c r="IG480" s="68"/>
      <c r="IH480" s="68"/>
      <c r="II480" s="68"/>
      <c r="IJ480" s="68"/>
      <c r="IK480" s="68"/>
      <c r="IL480" s="68"/>
      <c r="IM480" s="68"/>
      <c r="IN480" s="68"/>
      <c r="IO480" s="68"/>
      <c r="IP480" s="68"/>
      <c r="IQ480" s="68"/>
      <c r="IR480" s="68"/>
      <c r="IS480" s="68"/>
      <c r="IT480" s="68"/>
      <c r="IU480" s="68"/>
      <c r="IV480" s="68"/>
      <c r="IW480" s="68"/>
      <c r="IX480" s="68"/>
      <c r="IY480" s="68"/>
    </row>
    <row r="481" spans="54:259" hidden="1" x14ac:dyDescent="0.3">
      <c r="BB481" s="67"/>
      <c r="BC481" s="67"/>
      <c r="BL481" s="67"/>
      <c r="HB481" s="68"/>
      <c r="HC481" s="68"/>
      <c r="HD481" s="68"/>
      <c r="HE481" s="68"/>
      <c r="HF481" s="68"/>
      <c r="HG481" s="68"/>
      <c r="HH481" s="68"/>
      <c r="HI481" s="68"/>
      <c r="HJ481" s="68"/>
      <c r="HK481" s="68"/>
      <c r="HL481" s="68"/>
      <c r="HM481" s="68"/>
      <c r="HP481" s="68"/>
      <c r="HQ481" s="68"/>
      <c r="HR481" s="68"/>
      <c r="HS481" s="68"/>
      <c r="HT481" s="68"/>
      <c r="HU481" s="68"/>
      <c r="HV481" s="68"/>
      <c r="HW481" s="68"/>
      <c r="HX481" s="68"/>
      <c r="HY481" s="68"/>
      <c r="HZ481" s="68"/>
      <c r="IA481" s="68"/>
      <c r="IB481" s="68"/>
      <c r="IC481" s="68"/>
      <c r="ID481" s="68"/>
      <c r="IE481" s="68"/>
      <c r="IF481" s="68"/>
      <c r="IG481" s="68"/>
      <c r="IH481" s="68"/>
      <c r="II481" s="68"/>
      <c r="IJ481" s="68"/>
      <c r="IK481" s="68"/>
      <c r="IL481" s="68"/>
      <c r="IM481" s="68"/>
      <c r="IN481" s="68"/>
      <c r="IO481" s="68"/>
      <c r="IP481" s="68"/>
      <c r="IQ481" s="68"/>
      <c r="IR481" s="68"/>
      <c r="IS481" s="68"/>
      <c r="IT481" s="68"/>
      <c r="IU481" s="68"/>
      <c r="IV481" s="68"/>
      <c r="IW481" s="68"/>
      <c r="IX481" s="68"/>
      <c r="IY481" s="68"/>
    </row>
    <row r="482" spans="54:259" hidden="1" x14ac:dyDescent="0.3">
      <c r="BB482" s="67"/>
      <c r="BC482" s="67"/>
      <c r="BL482" s="67"/>
      <c r="HB482" s="68"/>
      <c r="HC482" s="68"/>
      <c r="HD482" s="68"/>
      <c r="HE482" s="68"/>
      <c r="HF482" s="68"/>
      <c r="HG482" s="68"/>
      <c r="HH482" s="68"/>
      <c r="HI482" s="68"/>
      <c r="HJ482" s="68"/>
      <c r="HK482" s="68"/>
      <c r="HL482" s="68"/>
      <c r="HM482" s="68"/>
      <c r="HP482" s="68"/>
      <c r="HQ482" s="68"/>
      <c r="HR482" s="68"/>
      <c r="HS482" s="68"/>
      <c r="HT482" s="68"/>
      <c r="HU482" s="68"/>
      <c r="HV482" s="68"/>
      <c r="HW482" s="68"/>
      <c r="HX482" s="68"/>
      <c r="HY482" s="68"/>
      <c r="HZ482" s="68"/>
      <c r="IA482" s="68"/>
      <c r="IB482" s="68"/>
      <c r="IC482" s="68"/>
      <c r="ID482" s="68"/>
      <c r="IE482" s="68"/>
      <c r="IF482" s="68"/>
      <c r="IG482" s="68"/>
      <c r="IH482" s="68"/>
      <c r="II482" s="68"/>
      <c r="IJ482" s="68"/>
      <c r="IK482" s="68"/>
      <c r="IL482" s="68"/>
      <c r="IM482" s="68"/>
      <c r="IN482" s="68"/>
      <c r="IO482" s="68"/>
      <c r="IP482" s="68"/>
      <c r="IQ482" s="68"/>
      <c r="IR482" s="68"/>
      <c r="IS482" s="68"/>
      <c r="IT482" s="68"/>
      <c r="IU482" s="68"/>
      <c r="IV482" s="68"/>
      <c r="IW482" s="68"/>
      <c r="IX482" s="68"/>
      <c r="IY482" s="68"/>
    </row>
    <row r="483" spans="54:259" hidden="1" x14ac:dyDescent="0.3">
      <c r="BB483" s="67"/>
      <c r="BC483" s="67"/>
      <c r="BL483" s="67"/>
      <c r="HB483" s="68"/>
      <c r="HC483" s="68"/>
      <c r="HD483" s="68"/>
      <c r="HE483" s="68"/>
      <c r="HF483" s="68"/>
      <c r="HG483" s="68"/>
      <c r="HH483" s="68"/>
      <c r="HI483" s="68"/>
      <c r="HJ483" s="68"/>
      <c r="HK483" s="68"/>
      <c r="HL483" s="68"/>
      <c r="HM483" s="68"/>
      <c r="HP483" s="68"/>
      <c r="HQ483" s="68"/>
      <c r="HR483" s="68"/>
      <c r="HS483" s="68"/>
      <c r="HT483" s="68"/>
      <c r="HU483" s="68"/>
      <c r="HV483" s="68"/>
      <c r="HW483" s="68"/>
      <c r="HX483" s="68"/>
      <c r="HY483" s="68"/>
      <c r="HZ483" s="68"/>
      <c r="IA483" s="68"/>
      <c r="IB483" s="68"/>
      <c r="IC483" s="68"/>
      <c r="ID483" s="68"/>
      <c r="IE483" s="68"/>
      <c r="IF483" s="68"/>
      <c r="IG483" s="68"/>
      <c r="IH483" s="68"/>
      <c r="II483" s="68"/>
      <c r="IJ483" s="68"/>
      <c r="IK483" s="68"/>
      <c r="IL483" s="68"/>
      <c r="IM483" s="68"/>
      <c r="IN483" s="68"/>
      <c r="IO483" s="68"/>
      <c r="IP483" s="68"/>
      <c r="IQ483" s="68"/>
      <c r="IR483" s="68"/>
      <c r="IS483" s="68"/>
      <c r="IT483" s="68"/>
      <c r="IU483" s="68"/>
      <c r="IV483" s="68"/>
      <c r="IW483" s="68"/>
      <c r="IX483" s="68"/>
      <c r="IY483" s="68"/>
    </row>
    <row r="484" spans="54:259" hidden="1" x14ac:dyDescent="0.3">
      <c r="BB484" s="67"/>
      <c r="BC484" s="67"/>
      <c r="BL484" s="67"/>
      <c r="HB484" s="68"/>
      <c r="HC484" s="68"/>
      <c r="HD484" s="68"/>
      <c r="HE484" s="68"/>
      <c r="HF484" s="68"/>
      <c r="HG484" s="68"/>
      <c r="HH484" s="68"/>
      <c r="HI484" s="68"/>
      <c r="HJ484" s="68"/>
      <c r="HK484" s="68"/>
      <c r="HL484" s="68"/>
      <c r="HM484" s="68"/>
      <c r="HP484" s="68"/>
      <c r="HQ484" s="68"/>
      <c r="HR484" s="68"/>
      <c r="HS484" s="68"/>
      <c r="HT484" s="68"/>
      <c r="HU484" s="68"/>
      <c r="HV484" s="68"/>
      <c r="HW484" s="68"/>
      <c r="HX484" s="68"/>
      <c r="HY484" s="68"/>
      <c r="HZ484" s="68"/>
      <c r="IA484" s="68"/>
      <c r="IB484" s="68"/>
      <c r="IC484" s="68"/>
      <c r="ID484" s="68"/>
      <c r="IE484" s="68"/>
      <c r="IF484" s="68"/>
      <c r="IG484" s="68"/>
      <c r="IH484" s="68"/>
      <c r="II484" s="68"/>
      <c r="IJ484" s="68"/>
      <c r="IK484" s="68"/>
      <c r="IL484" s="68"/>
      <c r="IM484" s="68"/>
      <c r="IN484" s="68"/>
      <c r="IO484" s="68"/>
      <c r="IP484" s="68"/>
      <c r="IQ484" s="68"/>
      <c r="IR484" s="68"/>
      <c r="IS484" s="68"/>
      <c r="IT484" s="68"/>
      <c r="IU484" s="68"/>
      <c r="IV484" s="68"/>
      <c r="IW484" s="68"/>
      <c r="IX484" s="68"/>
      <c r="IY484" s="68"/>
    </row>
    <row r="485" spans="54:259" hidden="1" x14ac:dyDescent="0.3">
      <c r="BB485" s="67"/>
      <c r="BC485" s="67"/>
      <c r="BL485" s="67"/>
      <c r="HB485" s="68"/>
      <c r="HC485" s="68"/>
      <c r="HD485" s="68"/>
      <c r="HE485" s="68"/>
      <c r="HF485" s="68"/>
      <c r="HG485" s="68"/>
      <c r="HH485" s="68"/>
      <c r="HI485" s="68"/>
      <c r="HJ485" s="68"/>
      <c r="HK485" s="68"/>
      <c r="HL485" s="68"/>
      <c r="HM485" s="68"/>
      <c r="HP485" s="68"/>
      <c r="HQ485" s="68"/>
      <c r="HR485" s="68"/>
      <c r="HS485" s="68"/>
      <c r="HT485" s="68"/>
      <c r="HU485" s="68"/>
      <c r="HV485" s="68"/>
      <c r="HW485" s="68"/>
      <c r="HX485" s="68"/>
      <c r="HY485" s="68"/>
      <c r="HZ485" s="68"/>
      <c r="IA485" s="68"/>
      <c r="IB485" s="68"/>
      <c r="IC485" s="68"/>
      <c r="ID485" s="68"/>
      <c r="IE485" s="68"/>
      <c r="IF485" s="68"/>
      <c r="IG485" s="68"/>
      <c r="IH485" s="68"/>
      <c r="II485" s="68"/>
      <c r="IJ485" s="68"/>
      <c r="IK485" s="68"/>
      <c r="IL485" s="68"/>
      <c r="IM485" s="68"/>
      <c r="IN485" s="68"/>
      <c r="IO485" s="68"/>
      <c r="IP485" s="68"/>
      <c r="IQ485" s="68"/>
      <c r="IR485" s="68"/>
      <c r="IS485" s="68"/>
      <c r="IT485" s="68"/>
      <c r="IU485" s="68"/>
      <c r="IV485" s="68"/>
      <c r="IW485" s="68"/>
      <c r="IX485" s="68"/>
      <c r="IY485" s="68"/>
    </row>
    <row r="486" spans="54:259" hidden="1" x14ac:dyDescent="0.3">
      <c r="BB486" s="67"/>
      <c r="BC486" s="67"/>
      <c r="BL486" s="67"/>
      <c r="HB486" s="68"/>
      <c r="HC486" s="68"/>
      <c r="HD486" s="68"/>
      <c r="HE486" s="68"/>
      <c r="HF486" s="68"/>
      <c r="HG486" s="68"/>
      <c r="HH486" s="68"/>
      <c r="HI486" s="68"/>
      <c r="HJ486" s="68"/>
      <c r="HK486" s="68"/>
      <c r="HL486" s="68"/>
      <c r="HM486" s="68"/>
      <c r="HP486" s="68"/>
      <c r="HQ486" s="68"/>
      <c r="HR486" s="68"/>
      <c r="HS486" s="68"/>
      <c r="HT486" s="68"/>
      <c r="HU486" s="68"/>
      <c r="HV486" s="68"/>
      <c r="HW486" s="68"/>
      <c r="HX486" s="68"/>
      <c r="HY486" s="68"/>
      <c r="HZ486" s="68"/>
      <c r="IA486" s="68"/>
      <c r="IB486" s="68"/>
      <c r="IC486" s="68"/>
      <c r="ID486" s="68"/>
      <c r="IE486" s="68"/>
      <c r="IF486" s="68"/>
      <c r="IG486" s="68"/>
      <c r="IH486" s="68"/>
      <c r="II486" s="68"/>
      <c r="IJ486" s="68"/>
      <c r="IK486" s="68"/>
      <c r="IL486" s="68"/>
      <c r="IM486" s="68"/>
      <c r="IN486" s="68"/>
      <c r="IO486" s="68"/>
      <c r="IP486" s="68"/>
      <c r="IQ486" s="68"/>
      <c r="IR486" s="68"/>
      <c r="IS486" s="68"/>
      <c r="IT486" s="68"/>
      <c r="IU486" s="68"/>
      <c r="IV486" s="68"/>
      <c r="IW486" s="68"/>
      <c r="IX486" s="68"/>
      <c r="IY486" s="68"/>
    </row>
    <row r="487" spans="54:259" hidden="1" x14ac:dyDescent="0.3">
      <c r="BB487" s="67"/>
      <c r="BC487" s="67"/>
      <c r="BL487" s="67"/>
      <c r="HB487" s="68"/>
      <c r="HC487" s="68"/>
      <c r="HD487" s="68"/>
      <c r="HE487" s="68"/>
      <c r="HF487" s="68"/>
      <c r="HG487" s="68"/>
      <c r="HH487" s="68"/>
      <c r="HI487" s="68"/>
      <c r="HJ487" s="68"/>
      <c r="HK487" s="68"/>
      <c r="HL487" s="68"/>
      <c r="HM487" s="68"/>
      <c r="HP487" s="68"/>
      <c r="HQ487" s="68"/>
      <c r="HR487" s="68"/>
      <c r="HS487" s="68"/>
      <c r="HT487" s="68"/>
      <c r="HU487" s="68"/>
      <c r="HV487" s="68"/>
      <c r="HW487" s="68"/>
      <c r="HX487" s="68"/>
      <c r="HY487" s="68"/>
      <c r="HZ487" s="68"/>
      <c r="IA487" s="68"/>
      <c r="IB487" s="68"/>
      <c r="IC487" s="68"/>
      <c r="ID487" s="68"/>
      <c r="IE487" s="68"/>
      <c r="IF487" s="68"/>
      <c r="IG487" s="68"/>
      <c r="IH487" s="68"/>
      <c r="II487" s="68"/>
      <c r="IJ487" s="68"/>
      <c r="IK487" s="68"/>
      <c r="IL487" s="68"/>
      <c r="IM487" s="68"/>
      <c r="IN487" s="68"/>
      <c r="IO487" s="68"/>
      <c r="IP487" s="68"/>
      <c r="IQ487" s="68"/>
      <c r="IR487" s="68"/>
      <c r="IS487" s="68"/>
      <c r="IT487" s="68"/>
      <c r="IU487" s="68"/>
      <c r="IV487" s="68"/>
      <c r="IW487" s="68"/>
      <c r="IX487" s="68"/>
      <c r="IY487" s="68"/>
    </row>
    <row r="488" spans="54:259" hidden="1" x14ac:dyDescent="0.3">
      <c r="BB488" s="67"/>
      <c r="BC488" s="67"/>
      <c r="BL488" s="67"/>
      <c r="HB488" s="68"/>
      <c r="HC488" s="68"/>
      <c r="HD488" s="68"/>
      <c r="HE488" s="68"/>
      <c r="HF488" s="68"/>
      <c r="HG488" s="68"/>
      <c r="HH488" s="68"/>
      <c r="HI488" s="68"/>
      <c r="HJ488" s="68"/>
      <c r="HK488" s="68"/>
      <c r="HL488" s="68"/>
      <c r="HM488" s="68"/>
      <c r="HP488" s="68"/>
      <c r="HQ488" s="68"/>
      <c r="HR488" s="68"/>
      <c r="HS488" s="68"/>
      <c r="HT488" s="68"/>
      <c r="HU488" s="68"/>
      <c r="HV488" s="68"/>
      <c r="HW488" s="68"/>
      <c r="HX488" s="68"/>
      <c r="HY488" s="68"/>
      <c r="HZ488" s="68"/>
      <c r="IA488" s="68"/>
      <c r="IB488" s="68"/>
      <c r="IC488" s="68"/>
      <c r="ID488" s="68"/>
      <c r="IE488" s="68"/>
      <c r="IF488" s="68"/>
      <c r="IG488" s="68"/>
      <c r="IH488" s="68"/>
      <c r="II488" s="68"/>
      <c r="IJ488" s="68"/>
      <c r="IK488" s="68"/>
      <c r="IL488" s="68"/>
      <c r="IM488" s="68"/>
      <c r="IN488" s="68"/>
      <c r="IO488" s="68"/>
      <c r="IP488" s="68"/>
      <c r="IQ488" s="68"/>
      <c r="IR488" s="68"/>
      <c r="IS488" s="68"/>
      <c r="IT488" s="68"/>
      <c r="IU488" s="68"/>
      <c r="IV488" s="68"/>
      <c r="IW488" s="68"/>
      <c r="IX488" s="68"/>
      <c r="IY488" s="68"/>
    </row>
    <row r="489" spans="54:259" hidden="1" x14ac:dyDescent="0.3">
      <c r="BL489" s="67"/>
      <c r="HB489" s="68"/>
      <c r="HC489" s="68"/>
      <c r="HD489" s="68"/>
      <c r="HE489" s="68"/>
      <c r="HF489" s="68"/>
      <c r="HG489" s="68"/>
      <c r="HH489" s="68"/>
      <c r="HI489" s="68"/>
      <c r="HJ489" s="68"/>
      <c r="HK489" s="68"/>
      <c r="HL489" s="68"/>
      <c r="HM489" s="68"/>
      <c r="HP489" s="68"/>
      <c r="HQ489" s="68"/>
      <c r="HR489" s="68"/>
      <c r="HS489" s="68"/>
      <c r="HT489" s="68"/>
      <c r="HU489" s="68"/>
      <c r="HV489" s="68"/>
      <c r="HW489" s="68"/>
      <c r="HX489" s="68"/>
      <c r="HY489" s="68"/>
      <c r="HZ489" s="68"/>
      <c r="IA489" s="68"/>
      <c r="IB489" s="68"/>
      <c r="IC489" s="68"/>
      <c r="ID489" s="68"/>
      <c r="IE489" s="68"/>
      <c r="IF489" s="68"/>
      <c r="IG489" s="68"/>
      <c r="IH489" s="68"/>
      <c r="II489" s="68"/>
      <c r="IJ489" s="68"/>
      <c r="IK489" s="68"/>
      <c r="IL489" s="68"/>
      <c r="IM489" s="68"/>
      <c r="IN489" s="68"/>
      <c r="IO489" s="68"/>
      <c r="IP489" s="68"/>
      <c r="IQ489" s="68"/>
      <c r="IR489" s="68"/>
      <c r="IS489" s="68"/>
      <c r="IT489" s="68"/>
      <c r="IU489" s="68"/>
      <c r="IV489" s="68"/>
      <c r="IW489" s="68"/>
      <c r="IX489" s="68"/>
      <c r="IY489" s="68"/>
    </row>
    <row r="490" spans="54:259" hidden="1" x14ac:dyDescent="0.3">
      <c r="BL490" s="67"/>
      <c r="HB490" s="68"/>
      <c r="HC490" s="68"/>
      <c r="HD490" s="68"/>
      <c r="HE490" s="68"/>
      <c r="HF490" s="68"/>
      <c r="HG490" s="68"/>
      <c r="HH490" s="68"/>
      <c r="HI490" s="68"/>
      <c r="HJ490" s="68"/>
      <c r="HK490" s="68"/>
      <c r="HL490" s="68"/>
      <c r="HM490" s="68"/>
      <c r="HP490" s="68"/>
      <c r="HQ490" s="68"/>
      <c r="HR490" s="68"/>
      <c r="HS490" s="68"/>
      <c r="HT490" s="68"/>
      <c r="HU490" s="68"/>
      <c r="HV490" s="68"/>
      <c r="HW490" s="68"/>
      <c r="HX490" s="68"/>
      <c r="HY490" s="68"/>
      <c r="HZ490" s="68"/>
      <c r="IA490" s="68"/>
      <c r="IB490" s="68"/>
      <c r="IC490" s="68"/>
      <c r="ID490" s="68"/>
      <c r="IE490" s="68"/>
      <c r="IF490" s="68"/>
      <c r="IG490" s="68"/>
      <c r="IH490" s="68"/>
      <c r="II490" s="68"/>
      <c r="IJ490" s="68"/>
      <c r="IK490" s="68"/>
      <c r="IL490" s="68"/>
      <c r="IM490" s="68"/>
      <c r="IN490" s="68"/>
      <c r="IO490" s="68"/>
      <c r="IP490" s="68"/>
      <c r="IQ490" s="68"/>
      <c r="IR490" s="68"/>
      <c r="IS490" s="68"/>
      <c r="IT490" s="68"/>
      <c r="IU490" s="68"/>
      <c r="IV490" s="68"/>
      <c r="IW490" s="68"/>
      <c r="IX490" s="68"/>
      <c r="IY490" s="68"/>
    </row>
    <row r="491" spans="54:259" hidden="1" x14ac:dyDescent="0.3">
      <c r="BL491" s="67"/>
      <c r="HB491" s="68"/>
      <c r="HC491" s="68"/>
      <c r="HD491" s="68"/>
      <c r="HE491" s="68"/>
      <c r="HF491" s="68"/>
      <c r="HG491" s="68"/>
      <c r="HH491" s="68"/>
      <c r="HI491" s="68"/>
      <c r="HJ491" s="68"/>
      <c r="HK491" s="68"/>
      <c r="HL491" s="68"/>
      <c r="HM491" s="68"/>
      <c r="HP491" s="68"/>
      <c r="HQ491" s="68"/>
      <c r="HR491" s="68"/>
      <c r="HS491" s="68"/>
      <c r="HT491" s="68"/>
      <c r="HU491" s="68"/>
      <c r="HV491" s="68"/>
      <c r="HW491" s="68"/>
      <c r="HX491" s="68"/>
      <c r="HY491" s="68"/>
      <c r="HZ491" s="68"/>
      <c r="IA491" s="68"/>
      <c r="IB491" s="68"/>
      <c r="IC491" s="68"/>
      <c r="ID491" s="68"/>
      <c r="IE491" s="68"/>
      <c r="IF491" s="68"/>
      <c r="IG491" s="68"/>
      <c r="IH491" s="68"/>
      <c r="II491" s="68"/>
      <c r="IJ491" s="68"/>
      <c r="IK491" s="68"/>
      <c r="IL491" s="68"/>
      <c r="IM491" s="68"/>
      <c r="IN491" s="68"/>
      <c r="IO491" s="68"/>
      <c r="IP491" s="68"/>
      <c r="IQ491" s="68"/>
      <c r="IR491" s="68"/>
      <c r="IS491" s="68"/>
      <c r="IT491" s="68"/>
      <c r="IU491" s="68"/>
      <c r="IV491" s="68"/>
      <c r="IW491" s="68"/>
      <c r="IX491" s="68"/>
      <c r="IY491" s="68"/>
    </row>
    <row r="492" spans="54:259" hidden="1" x14ac:dyDescent="0.3">
      <c r="BL492" s="67"/>
      <c r="HB492" s="68"/>
      <c r="HC492" s="68"/>
      <c r="HD492" s="68"/>
      <c r="HE492" s="68"/>
      <c r="HF492" s="68"/>
      <c r="HG492" s="68"/>
      <c r="HH492" s="68"/>
      <c r="HI492" s="68"/>
      <c r="HJ492" s="68"/>
      <c r="HK492" s="68"/>
      <c r="HL492" s="68"/>
      <c r="HM492" s="68"/>
      <c r="HP492" s="68"/>
      <c r="HQ492" s="68"/>
      <c r="HR492" s="68"/>
      <c r="HS492" s="68"/>
      <c r="HT492" s="68"/>
      <c r="HU492" s="68"/>
      <c r="HV492" s="68"/>
      <c r="HW492" s="68"/>
      <c r="HX492" s="68"/>
      <c r="HY492" s="68"/>
      <c r="HZ492" s="68"/>
      <c r="IA492" s="68"/>
      <c r="IB492" s="68"/>
      <c r="IC492" s="68"/>
      <c r="ID492" s="68"/>
      <c r="IE492" s="68"/>
      <c r="IF492" s="68"/>
      <c r="IG492" s="68"/>
      <c r="IH492" s="68"/>
      <c r="II492" s="68"/>
      <c r="IJ492" s="68"/>
      <c r="IK492" s="68"/>
      <c r="IL492" s="68"/>
      <c r="IM492" s="68"/>
      <c r="IN492" s="68"/>
      <c r="IO492" s="68"/>
      <c r="IP492" s="68"/>
      <c r="IQ492" s="68"/>
      <c r="IR492" s="68"/>
      <c r="IS492" s="68"/>
      <c r="IT492" s="68"/>
      <c r="IU492" s="68"/>
      <c r="IV492" s="68"/>
      <c r="IW492" s="68"/>
      <c r="IX492" s="68"/>
      <c r="IY492" s="68"/>
    </row>
    <row r="493" spans="54:259" hidden="1" x14ac:dyDescent="0.3">
      <c r="HB493" s="68"/>
      <c r="HC493" s="68"/>
      <c r="HD493" s="68"/>
      <c r="HE493" s="68"/>
      <c r="HF493" s="68"/>
      <c r="HG493" s="68"/>
      <c r="HH493" s="68"/>
      <c r="HI493" s="68"/>
      <c r="HJ493" s="68"/>
      <c r="HK493" s="68"/>
      <c r="HL493" s="68"/>
      <c r="HM493" s="68"/>
      <c r="HP493" s="68"/>
      <c r="HQ493" s="68"/>
      <c r="HR493" s="68"/>
      <c r="HS493" s="68"/>
      <c r="HT493" s="68"/>
      <c r="HU493" s="68"/>
      <c r="HV493" s="68"/>
      <c r="HW493" s="68"/>
      <c r="HX493" s="68"/>
      <c r="HY493" s="68"/>
      <c r="HZ493" s="68"/>
      <c r="IA493" s="68"/>
      <c r="IB493" s="68"/>
      <c r="IC493" s="68"/>
      <c r="ID493" s="68"/>
      <c r="IE493" s="68"/>
      <c r="IF493" s="68"/>
      <c r="IG493" s="68"/>
      <c r="IH493" s="68"/>
      <c r="II493" s="68"/>
      <c r="IJ493" s="68"/>
      <c r="IK493" s="68"/>
      <c r="IL493" s="68"/>
      <c r="IM493" s="68"/>
      <c r="IN493" s="68"/>
      <c r="IO493" s="68"/>
      <c r="IP493" s="68"/>
      <c r="IQ493" s="68"/>
      <c r="IR493" s="68"/>
      <c r="IS493" s="68"/>
      <c r="IT493" s="68"/>
      <c r="IU493" s="68"/>
      <c r="IV493" s="68"/>
      <c r="IW493" s="68"/>
      <c r="IX493" s="68"/>
      <c r="IY493" s="68"/>
    </row>
    <row r="494" spans="54:259" hidden="1" x14ac:dyDescent="0.3">
      <c r="HB494" s="68"/>
      <c r="HC494" s="68"/>
      <c r="HD494" s="68"/>
      <c r="HE494" s="68"/>
      <c r="HF494" s="68"/>
      <c r="HG494" s="68"/>
      <c r="HH494" s="68"/>
      <c r="HI494" s="68"/>
      <c r="HJ494" s="68"/>
      <c r="HK494" s="68"/>
      <c r="HL494" s="68"/>
      <c r="HM494" s="68"/>
      <c r="HP494" s="68"/>
      <c r="HQ494" s="68"/>
      <c r="HR494" s="68"/>
      <c r="HS494" s="68"/>
      <c r="HT494" s="68"/>
      <c r="HU494" s="68"/>
      <c r="HV494" s="68"/>
      <c r="HW494" s="68"/>
      <c r="HX494" s="68"/>
      <c r="HY494" s="68"/>
      <c r="HZ494" s="68"/>
      <c r="IA494" s="68"/>
      <c r="IB494" s="68"/>
      <c r="IC494" s="68"/>
      <c r="ID494" s="68"/>
      <c r="IE494" s="68"/>
      <c r="IF494" s="68"/>
      <c r="IG494" s="68"/>
      <c r="IH494" s="68"/>
      <c r="II494" s="68"/>
      <c r="IJ494" s="68"/>
      <c r="IK494" s="68"/>
      <c r="IL494" s="68"/>
      <c r="IM494" s="68"/>
      <c r="IN494" s="68"/>
      <c r="IO494" s="68"/>
      <c r="IP494" s="68"/>
      <c r="IQ494" s="68"/>
      <c r="IR494" s="68"/>
      <c r="IS494" s="68"/>
      <c r="IT494" s="68"/>
      <c r="IU494" s="68"/>
      <c r="IV494" s="68"/>
      <c r="IW494" s="68"/>
      <c r="IX494" s="68"/>
      <c r="IY494" s="68"/>
    </row>
    <row r="495" spans="54:259" hidden="1" x14ac:dyDescent="0.3">
      <c r="HB495" s="68"/>
      <c r="HC495" s="68"/>
      <c r="HD495" s="68"/>
      <c r="HE495" s="68"/>
      <c r="HF495" s="68"/>
      <c r="HG495" s="68"/>
      <c r="HH495" s="68"/>
      <c r="HI495" s="68"/>
      <c r="HJ495" s="68"/>
      <c r="HK495" s="68"/>
      <c r="HL495" s="68"/>
      <c r="HM495" s="68"/>
      <c r="HP495" s="68"/>
      <c r="HQ495" s="68"/>
      <c r="HR495" s="68"/>
      <c r="HS495" s="68"/>
      <c r="HT495" s="68"/>
      <c r="HU495" s="68"/>
      <c r="HV495" s="68"/>
      <c r="HW495" s="68"/>
      <c r="HX495" s="68"/>
      <c r="HY495" s="68"/>
      <c r="HZ495" s="68"/>
      <c r="IA495" s="68"/>
      <c r="IB495" s="68"/>
      <c r="IC495" s="68"/>
      <c r="ID495" s="68"/>
      <c r="IE495" s="68"/>
      <c r="IF495" s="68"/>
      <c r="IG495" s="68"/>
      <c r="IH495" s="68"/>
      <c r="II495" s="68"/>
      <c r="IJ495" s="68"/>
      <c r="IK495" s="68"/>
      <c r="IL495" s="68"/>
      <c r="IM495" s="68"/>
      <c r="IN495" s="68"/>
      <c r="IO495" s="68"/>
      <c r="IP495" s="68"/>
      <c r="IQ495" s="68"/>
      <c r="IR495" s="68"/>
      <c r="IS495" s="68"/>
      <c r="IT495" s="68"/>
      <c r="IU495" s="68"/>
      <c r="IV495" s="68"/>
      <c r="IW495" s="68"/>
      <c r="IX495" s="68"/>
      <c r="IY495" s="68"/>
    </row>
    <row r="496" spans="54:259" hidden="1" x14ac:dyDescent="0.3">
      <c r="HB496" s="68"/>
      <c r="HC496" s="68"/>
      <c r="HD496" s="68"/>
      <c r="HE496" s="68"/>
      <c r="HF496" s="68"/>
      <c r="HG496" s="68"/>
      <c r="HH496" s="68"/>
      <c r="HI496" s="68"/>
      <c r="HJ496" s="68"/>
      <c r="HK496" s="68"/>
      <c r="HL496" s="68"/>
      <c r="HM496" s="68"/>
      <c r="HP496" s="68"/>
      <c r="HQ496" s="68"/>
      <c r="HR496" s="68"/>
      <c r="HS496" s="68"/>
      <c r="HT496" s="68"/>
      <c r="HU496" s="68"/>
      <c r="HV496" s="68"/>
      <c r="HW496" s="68"/>
      <c r="HX496" s="68"/>
      <c r="HY496" s="68"/>
      <c r="HZ496" s="68"/>
      <c r="IA496" s="68"/>
      <c r="IB496" s="68"/>
      <c r="IC496" s="68"/>
      <c r="ID496" s="68"/>
      <c r="IE496" s="68"/>
      <c r="IF496" s="68"/>
      <c r="IG496" s="68"/>
      <c r="IH496" s="68"/>
      <c r="II496" s="68"/>
      <c r="IJ496" s="68"/>
      <c r="IK496" s="68"/>
      <c r="IL496" s="68"/>
      <c r="IM496" s="68"/>
      <c r="IN496" s="68"/>
      <c r="IO496" s="68"/>
      <c r="IP496" s="68"/>
      <c r="IQ496" s="68"/>
      <c r="IR496" s="68"/>
      <c r="IS496" s="68"/>
      <c r="IT496" s="68"/>
      <c r="IU496" s="68"/>
      <c r="IV496" s="68"/>
      <c r="IW496" s="68"/>
      <c r="IX496" s="68"/>
      <c r="IY496" s="68"/>
    </row>
    <row r="497" spans="210:259" hidden="1" x14ac:dyDescent="0.3">
      <c r="HB497" s="68"/>
      <c r="HC497" s="68"/>
      <c r="HD497" s="68"/>
      <c r="HE497" s="68"/>
      <c r="HF497" s="68"/>
      <c r="HG497" s="68"/>
      <c r="HH497" s="68"/>
      <c r="HI497" s="68"/>
      <c r="HJ497" s="68"/>
      <c r="HK497" s="68"/>
      <c r="HL497" s="68"/>
      <c r="HM497" s="68"/>
      <c r="HP497" s="68"/>
      <c r="HQ497" s="68"/>
      <c r="HR497" s="68"/>
      <c r="HS497" s="68"/>
      <c r="HT497" s="68"/>
      <c r="HU497" s="68"/>
      <c r="HV497" s="68"/>
      <c r="HW497" s="68"/>
      <c r="HX497" s="68"/>
      <c r="HY497" s="68"/>
      <c r="HZ497" s="68"/>
      <c r="IA497" s="68"/>
      <c r="IB497" s="68"/>
      <c r="IC497" s="68"/>
      <c r="ID497" s="68"/>
      <c r="IE497" s="68"/>
      <c r="IF497" s="68"/>
      <c r="IG497" s="68"/>
      <c r="IH497" s="68"/>
      <c r="II497" s="68"/>
      <c r="IJ497" s="68"/>
      <c r="IK497" s="68"/>
      <c r="IL497" s="68"/>
      <c r="IM497" s="68"/>
      <c r="IN497" s="68"/>
      <c r="IO497" s="68"/>
      <c r="IP497" s="68"/>
      <c r="IQ497" s="68"/>
      <c r="IR497" s="68"/>
      <c r="IS497" s="68"/>
      <c r="IT497" s="68"/>
      <c r="IU497" s="68"/>
      <c r="IV497" s="68"/>
      <c r="IW497" s="68"/>
      <c r="IX497" s="68"/>
      <c r="IY497" s="68"/>
    </row>
    <row r="498" spans="210:259" hidden="1" x14ac:dyDescent="0.3">
      <c r="HB498" s="68"/>
      <c r="HC498" s="68"/>
      <c r="HD498" s="68"/>
      <c r="HE498" s="68"/>
      <c r="HF498" s="68"/>
      <c r="HG498" s="68"/>
      <c r="HH498" s="68"/>
      <c r="HI498" s="68"/>
      <c r="HJ498" s="68"/>
      <c r="HK498" s="68"/>
      <c r="HL498" s="68"/>
      <c r="HM498" s="68"/>
      <c r="HP498" s="68"/>
      <c r="HQ498" s="68"/>
      <c r="HR498" s="68"/>
      <c r="HS498" s="68"/>
      <c r="HT498" s="68"/>
      <c r="HU498" s="68"/>
      <c r="HV498" s="68"/>
      <c r="HW498" s="68"/>
      <c r="HX498" s="68"/>
      <c r="HY498" s="68"/>
      <c r="HZ498" s="68"/>
      <c r="IA498" s="68"/>
      <c r="IB498" s="68"/>
      <c r="IC498" s="68"/>
      <c r="ID498" s="68"/>
      <c r="IE498" s="68"/>
      <c r="IF498" s="68"/>
      <c r="IG498" s="68"/>
      <c r="IH498" s="68"/>
      <c r="II498" s="68"/>
      <c r="IJ498" s="68"/>
      <c r="IK498" s="68"/>
      <c r="IL498" s="68"/>
      <c r="IM498" s="68"/>
      <c r="IN498" s="68"/>
      <c r="IO498" s="68"/>
      <c r="IP498" s="68"/>
      <c r="IQ498" s="68"/>
      <c r="IR498" s="68"/>
      <c r="IS498" s="68"/>
      <c r="IT498" s="68"/>
      <c r="IU498" s="68"/>
      <c r="IV498" s="68"/>
      <c r="IW498" s="68"/>
      <c r="IX498" s="68"/>
      <c r="IY498" s="68"/>
    </row>
    <row r="499" spans="210:259" hidden="1" x14ac:dyDescent="0.3">
      <c r="HB499" s="68"/>
      <c r="HC499" s="68"/>
      <c r="HD499" s="68"/>
      <c r="HE499" s="68"/>
      <c r="HF499" s="68"/>
      <c r="HG499" s="68"/>
      <c r="HH499" s="68"/>
      <c r="HI499" s="68"/>
      <c r="HJ499" s="68"/>
      <c r="HK499" s="68"/>
      <c r="HL499" s="68"/>
      <c r="HM499" s="68"/>
      <c r="HP499" s="68"/>
      <c r="HQ499" s="68"/>
      <c r="HR499" s="68"/>
      <c r="HS499" s="68"/>
      <c r="HT499" s="68"/>
      <c r="HU499" s="68"/>
      <c r="HV499" s="68"/>
      <c r="HW499" s="68"/>
      <c r="HX499" s="68"/>
      <c r="HY499" s="68"/>
      <c r="HZ499" s="68"/>
      <c r="IA499" s="68"/>
      <c r="IB499" s="68"/>
      <c r="IC499" s="68"/>
      <c r="ID499" s="68"/>
      <c r="IE499" s="68"/>
      <c r="IF499" s="68"/>
      <c r="IG499" s="68"/>
      <c r="IH499" s="68"/>
      <c r="II499" s="68"/>
      <c r="IJ499" s="68"/>
      <c r="IK499" s="68"/>
      <c r="IL499" s="68"/>
      <c r="IM499" s="68"/>
      <c r="IN499" s="68"/>
      <c r="IO499" s="68"/>
      <c r="IP499" s="68"/>
      <c r="IQ499" s="68"/>
      <c r="IR499" s="68"/>
      <c r="IS499" s="68"/>
      <c r="IT499" s="68"/>
      <c r="IU499" s="68"/>
      <c r="IV499" s="68"/>
      <c r="IW499" s="68"/>
      <c r="IX499" s="68"/>
      <c r="IY499" s="68"/>
    </row>
    <row r="500" spans="210:259" hidden="1" x14ac:dyDescent="0.3">
      <c r="HB500" s="68"/>
      <c r="HC500" s="68"/>
      <c r="HD500" s="68"/>
      <c r="HE500" s="68"/>
      <c r="HF500" s="68"/>
      <c r="HG500" s="68"/>
      <c r="HH500" s="68"/>
      <c r="HI500" s="68"/>
      <c r="HJ500" s="68"/>
      <c r="HK500" s="68"/>
      <c r="HL500" s="68"/>
      <c r="HM500" s="68"/>
      <c r="HP500" s="68"/>
      <c r="HQ500" s="68"/>
      <c r="HR500" s="68"/>
      <c r="HS500" s="68"/>
      <c r="HT500" s="68"/>
      <c r="HU500" s="68"/>
      <c r="HV500" s="68"/>
      <c r="HW500" s="68"/>
      <c r="HX500" s="68"/>
      <c r="HY500" s="68"/>
      <c r="HZ500" s="68"/>
      <c r="IA500" s="68"/>
      <c r="IB500" s="68"/>
      <c r="IC500" s="68"/>
      <c r="ID500" s="68"/>
      <c r="IE500" s="68"/>
      <c r="IF500" s="68"/>
      <c r="IG500" s="68"/>
      <c r="IH500" s="68"/>
      <c r="II500" s="68"/>
      <c r="IJ500" s="68"/>
      <c r="IK500" s="68"/>
      <c r="IL500" s="68"/>
      <c r="IM500" s="68"/>
      <c r="IN500" s="68"/>
      <c r="IO500" s="68"/>
      <c r="IP500" s="68"/>
      <c r="IQ500" s="68"/>
      <c r="IR500" s="68"/>
      <c r="IS500" s="68"/>
      <c r="IT500" s="68"/>
      <c r="IU500" s="68"/>
      <c r="IV500" s="68"/>
      <c r="IW500" s="68"/>
      <c r="IX500" s="68"/>
      <c r="IY500" s="68"/>
    </row>
    <row r="501" spans="210:259" hidden="1" x14ac:dyDescent="0.3">
      <c r="HB501" s="68"/>
      <c r="HC501" s="68"/>
      <c r="HD501" s="68"/>
      <c r="HE501" s="68"/>
      <c r="HF501" s="68"/>
      <c r="HG501" s="68"/>
      <c r="HH501" s="68"/>
      <c r="HI501" s="68"/>
      <c r="HJ501" s="68"/>
      <c r="HK501" s="68"/>
      <c r="HL501" s="68"/>
      <c r="HM501" s="68"/>
      <c r="HP501" s="68"/>
      <c r="HQ501" s="68"/>
      <c r="HR501" s="68"/>
      <c r="HS501" s="68"/>
      <c r="HT501" s="68"/>
      <c r="HU501" s="68"/>
      <c r="HV501" s="68"/>
      <c r="HW501" s="68"/>
      <c r="HX501" s="68"/>
      <c r="HY501" s="68"/>
      <c r="HZ501" s="68"/>
      <c r="IA501" s="68"/>
      <c r="IB501" s="68"/>
      <c r="IC501" s="68"/>
      <c r="ID501" s="68"/>
      <c r="IE501" s="68"/>
      <c r="IF501" s="68"/>
      <c r="IG501" s="68"/>
      <c r="IH501" s="68"/>
      <c r="II501" s="68"/>
      <c r="IJ501" s="68"/>
      <c r="IK501" s="68"/>
      <c r="IL501" s="68"/>
      <c r="IM501" s="68"/>
      <c r="IN501" s="68"/>
      <c r="IO501" s="68"/>
      <c r="IP501" s="68"/>
      <c r="IQ501" s="68"/>
      <c r="IR501" s="68"/>
      <c r="IS501" s="68"/>
      <c r="IT501" s="68"/>
      <c r="IU501" s="68"/>
      <c r="IV501" s="68"/>
      <c r="IW501" s="68"/>
      <c r="IX501" s="68"/>
      <c r="IY501" s="68"/>
    </row>
    <row r="502" spans="210:259" hidden="1" x14ac:dyDescent="0.3">
      <c r="HB502" s="68"/>
      <c r="HC502" s="68"/>
      <c r="HD502" s="68"/>
      <c r="HE502" s="68"/>
      <c r="HF502" s="68"/>
      <c r="HG502" s="68"/>
      <c r="HH502" s="68"/>
      <c r="HI502" s="68"/>
      <c r="HJ502" s="68"/>
      <c r="HK502" s="68"/>
      <c r="HL502" s="68"/>
      <c r="HM502" s="68"/>
      <c r="HP502" s="68"/>
      <c r="HQ502" s="68"/>
      <c r="HR502" s="68"/>
      <c r="HS502" s="68"/>
      <c r="HT502" s="68"/>
      <c r="HU502" s="68"/>
      <c r="HV502" s="68"/>
      <c r="HW502" s="68"/>
      <c r="HX502" s="68"/>
      <c r="HY502" s="68"/>
      <c r="HZ502" s="68"/>
      <c r="IA502" s="68"/>
      <c r="IB502" s="68"/>
      <c r="IC502" s="68"/>
      <c r="ID502" s="68"/>
      <c r="IE502" s="68"/>
      <c r="IF502" s="68"/>
      <c r="IG502" s="68"/>
      <c r="IH502" s="68"/>
      <c r="II502" s="68"/>
      <c r="IJ502" s="68"/>
      <c r="IK502" s="68"/>
      <c r="IL502" s="68"/>
      <c r="IM502" s="68"/>
      <c r="IN502" s="68"/>
      <c r="IO502" s="68"/>
      <c r="IP502" s="68"/>
      <c r="IQ502" s="68"/>
      <c r="IR502" s="68"/>
      <c r="IS502" s="68"/>
      <c r="IT502" s="68"/>
      <c r="IU502" s="68"/>
      <c r="IV502" s="68"/>
      <c r="IW502" s="68"/>
      <c r="IX502" s="68"/>
      <c r="IY502" s="68"/>
    </row>
    <row r="503" spans="210:259" hidden="1" x14ac:dyDescent="0.3">
      <c r="HB503" s="68"/>
      <c r="HC503" s="68"/>
      <c r="HD503" s="68"/>
      <c r="HE503" s="68"/>
      <c r="HF503" s="68"/>
      <c r="HG503" s="68"/>
      <c r="HH503" s="68"/>
      <c r="HI503" s="68"/>
      <c r="HJ503" s="68"/>
      <c r="HK503" s="68"/>
      <c r="HL503" s="68"/>
      <c r="HM503" s="68"/>
      <c r="HP503" s="68"/>
      <c r="HQ503" s="68"/>
      <c r="HR503" s="68"/>
      <c r="HS503" s="68"/>
      <c r="HT503" s="68"/>
      <c r="HU503" s="68"/>
      <c r="HV503" s="68"/>
      <c r="HW503" s="68"/>
      <c r="HX503" s="68"/>
      <c r="HY503" s="68"/>
      <c r="HZ503" s="68"/>
      <c r="IA503" s="68"/>
      <c r="IB503" s="68"/>
      <c r="IC503" s="68"/>
      <c r="ID503" s="68"/>
      <c r="IE503" s="68"/>
      <c r="IF503" s="68"/>
      <c r="IG503" s="68"/>
      <c r="IH503" s="68"/>
      <c r="II503" s="68"/>
      <c r="IJ503" s="68"/>
      <c r="IK503" s="68"/>
      <c r="IL503" s="68"/>
      <c r="IM503" s="68"/>
      <c r="IN503" s="68"/>
      <c r="IO503" s="68"/>
      <c r="IP503" s="68"/>
      <c r="IQ503" s="68"/>
      <c r="IR503" s="68"/>
      <c r="IS503" s="68"/>
      <c r="IT503" s="68"/>
      <c r="IU503" s="68"/>
      <c r="IV503" s="68"/>
      <c r="IW503" s="68"/>
      <c r="IX503" s="68"/>
      <c r="IY503" s="68"/>
    </row>
    <row r="504" spans="210:259" hidden="1" x14ac:dyDescent="0.3">
      <c r="HB504" s="68"/>
      <c r="HC504" s="68"/>
      <c r="HD504" s="68"/>
      <c r="HE504" s="68"/>
      <c r="HF504" s="68"/>
      <c r="HG504" s="68"/>
      <c r="HH504" s="68"/>
      <c r="HI504" s="68"/>
      <c r="HJ504" s="68"/>
      <c r="HK504" s="68"/>
      <c r="HL504" s="68"/>
      <c r="HM504" s="68"/>
      <c r="HP504" s="68"/>
      <c r="HQ504" s="68"/>
      <c r="HR504" s="68"/>
      <c r="HS504" s="68"/>
      <c r="HT504" s="68"/>
      <c r="HU504" s="68"/>
      <c r="HV504" s="68"/>
      <c r="HW504" s="68"/>
      <c r="HX504" s="68"/>
      <c r="HY504" s="68"/>
      <c r="HZ504" s="68"/>
      <c r="IA504" s="68"/>
      <c r="IB504" s="68"/>
      <c r="IC504" s="68"/>
      <c r="ID504" s="68"/>
      <c r="IE504" s="68"/>
      <c r="IF504" s="68"/>
      <c r="IG504" s="68"/>
      <c r="IH504" s="68"/>
      <c r="II504" s="68"/>
      <c r="IJ504" s="68"/>
      <c r="IK504" s="68"/>
      <c r="IL504" s="68"/>
      <c r="IM504" s="68"/>
      <c r="IN504" s="68"/>
      <c r="IO504" s="68"/>
      <c r="IP504" s="68"/>
      <c r="IQ504" s="68"/>
      <c r="IR504" s="68"/>
      <c r="IS504" s="68"/>
      <c r="IT504" s="68"/>
      <c r="IU504" s="68"/>
      <c r="IV504" s="68"/>
      <c r="IW504" s="68"/>
      <c r="IX504" s="68"/>
      <c r="IY504" s="68"/>
    </row>
    <row r="505" spans="210:259" hidden="1" x14ac:dyDescent="0.3">
      <c r="HB505" s="68"/>
      <c r="HC505" s="68"/>
      <c r="HD505" s="68"/>
      <c r="HE505" s="68"/>
      <c r="HF505" s="68"/>
      <c r="HG505" s="68"/>
      <c r="HH505" s="68"/>
      <c r="HI505" s="68"/>
      <c r="HJ505" s="68"/>
      <c r="HK505" s="68"/>
      <c r="HL505" s="68"/>
      <c r="HM505" s="68"/>
      <c r="HP505" s="68"/>
      <c r="HQ505" s="68"/>
      <c r="HR505" s="68"/>
      <c r="HS505" s="68"/>
      <c r="HT505" s="68"/>
      <c r="HU505" s="68"/>
      <c r="HV505" s="68"/>
      <c r="HW505" s="68"/>
      <c r="HX505" s="68"/>
      <c r="HY505" s="68"/>
      <c r="HZ505" s="68"/>
      <c r="IA505" s="68"/>
      <c r="IB505" s="68"/>
      <c r="IC505" s="68"/>
      <c r="ID505" s="68"/>
      <c r="IE505" s="68"/>
      <c r="IF505" s="68"/>
      <c r="IG505" s="68"/>
      <c r="IH505" s="68"/>
      <c r="II505" s="68"/>
      <c r="IJ505" s="68"/>
      <c r="IK505" s="68"/>
      <c r="IL505" s="68"/>
      <c r="IM505" s="68"/>
      <c r="IN505" s="68"/>
      <c r="IO505" s="68"/>
      <c r="IP505" s="68"/>
      <c r="IQ505" s="68"/>
      <c r="IR505" s="68"/>
      <c r="IS505" s="68"/>
      <c r="IT505" s="68"/>
      <c r="IU505" s="68"/>
      <c r="IV505" s="68"/>
      <c r="IW505" s="68"/>
      <c r="IX505" s="68"/>
      <c r="IY505" s="68"/>
    </row>
    <row r="506" spans="210:259" hidden="1" x14ac:dyDescent="0.3">
      <c r="HB506" s="68"/>
      <c r="HC506" s="68"/>
      <c r="HD506" s="68"/>
      <c r="HE506" s="68"/>
      <c r="HF506" s="68"/>
      <c r="HG506" s="68"/>
      <c r="HH506" s="68"/>
      <c r="HI506" s="68"/>
      <c r="HJ506" s="68"/>
      <c r="HK506" s="68"/>
      <c r="HL506" s="68"/>
      <c r="HM506" s="68"/>
      <c r="HP506" s="68"/>
      <c r="HQ506" s="68"/>
      <c r="HR506" s="68"/>
      <c r="HS506" s="68"/>
      <c r="HT506" s="68"/>
      <c r="HU506" s="68"/>
      <c r="HV506" s="68"/>
      <c r="HW506" s="68"/>
      <c r="HX506" s="68"/>
      <c r="HY506" s="68"/>
      <c r="HZ506" s="68"/>
      <c r="IA506" s="68"/>
      <c r="IB506" s="68"/>
      <c r="IC506" s="68"/>
      <c r="ID506" s="68"/>
      <c r="IE506" s="68"/>
      <c r="IF506" s="68"/>
      <c r="IG506" s="68"/>
      <c r="IH506" s="68"/>
      <c r="II506" s="68"/>
      <c r="IJ506" s="68"/>
      <c r="IK506" s="68"/>
      <c r="IL506" s="68"/>
      <c r="IM506" s="68"/>
      <c r="IN506" s="68"/>
      <c r="IO506" s="68"/>
      <c r="IP506" s="68"/>
      <c r="IQ506" s="68"/>
      <c r="IR506" s="68"/>
      <c r="IS506" s="68"/>
      <c r="IT506" s="68"/>
      <c r="IU506" s="68"/>
      <c r="IV506" s="68"/>
      <c r="IW506" s="68"/>
      <c r="IX506" s="68"/>
      <c r="IY506" s="68"/>
    </row>
    <row r="507" spans="210:259" hidden="1" x14ac:dyDescent="0.3">
      <c r="HB507" s="68"/>
      <c r="HC507" s="68"/>
      <c r="HD507" s="68"/>
      <c r="HE507" s="68"/>
      <c r="HF507" s="68"/>
      <c r="HG507" s="68"/>
      <c r="HH507" s="68"/>
      <c r="HI507" s="68"/>
      <c r="HJ507" s="68"/>
      <c r="HK507" s="68"/>
      <c r="HL507" s="68"/>
      <c r="HM507" s="68"/>
      <c r="HP507" s="68"/>
      <c r="HQ507" s="68"/>
      <c r="HR507" s="68"/>
      <c r="HS507" s="68"/>
      <c r="HT507" s="68"/>
      <c r="HU507" s="68"/>
      <c r="HV507" s="68"/>
      <c r="HW507" s="68"/>
      <c r="HX507" s="68"/>
      <c r="HY507" s="68"/>
      <c r="HZ507" s="68"/>
      <c r="IA507" s="68"/>
      <c r="IB507" s="68"/>
      <c r="IC507" s="68"/>
      <c r="ID507" s="68"/>
      <c r="IE507" s="68"/>
      <c r="IF507" s="68"/>
      <c r="IG507" s="68"/>
      <c r="IH507" s="68"/>
      <c r="II507" s="68"/>
      <c r="IJ507" s="68"/>
      <c r="IK507" s="68"/>
      <c r="IL507" s="68"/>
      <c r="IM507" s="68"/>
      <c r="IN507" s="68"/>
      <c r="IO507" s="68"/>
      <c r="IP507" s="68"/>
      <c r="IQ507" s="68"/>
      <c r="IR507" s="68"/>
      <c r="IS507" s="68"/>
      <c r="IT507" s="68"/>
      <c r="IU507" s="68"/>
      <c r="IV507" s="68"/>
      <c r="IW507" s="68"/>
      <c r="IX507" s="68"/>
      <c r="IY507" s="68"/>
    </row>
    <row r="508" spans="210:259" hidden="1" x14ac:dyDescent="0.3">
      <c r="HB508" s="68"/>
      <c r="HC508" s="68"/>
      <c r="HD508" s="68"/>
      <c r="HE508" s="68"/>
      <c r="HF508" s="68"/>
      <c r="HG508" s="68"/>
      <c r="HH508" s="68"/>
      <c r="HI508" s="68"/>
      <c r="HJ508" s="68"/>
      <c r="HK508" s="68"/>
      <c r="HL508" s="68"/>
      <c r="HM508" s="68"/>
      <c r="HP508" s="68"/>
      <c r="HQ508" s="68"/>
      <c r="HR508" s="68"/>
      <c r="HS508" s="68"/>
      <c r="HT508" s="68"/>
      <c r="HU508" s="68"/>
      <c r="HV508" s="68"/>
      <c r="HW508" s="68"/>
      <c r="HX508" s="68"/>
      <c r="HY508" s="68"/>
      <c r="HZ508" s="68"/>
      <c r="IA508" s="68"/>
      <c r="IB508" s="68"/>
      <c r="IC508" s="68"/>
      <c r="ID508" s="68"/>
      <c r="IE508" s="68"/>
      <c r="IF508" s="68"/>
      <c r="IG508" s="68"/>
      <c r="IH508" s="68"/>
      <c r="II508" s="68"/>
      <c r="IJ508" s="68"/>
      <c r="IK508" s="68"/>
      <c r="IL508" s="68"/>
      <c r="IM508" s="68"/>
      <c r="IN508" s="68"/>
      <c r="IO508" s="68"/>
      <c r="IP508" s="68"/>
      <c r="IQ508" s="68"/>
      <c r="IR508" s="68"/>
      <c r="IS508" s="68"/>
      <c r="IT508" s="68"/>
      <c r="IU508" s="68"/>
      <c r="IV508" s="68"/>
      <c r="IW508" s="68"/>
      <c r="IX508" s="68"/>
      <c r="IY508" s="68"/>
    </row>
    <row r="509" spans="210:259" hidden="1" x14ac:dyDescent="0.3">
      <c r="HB509" s="68"/>
      <c r="HC509" s="68"/>
      <c r="HD509" s="68"/>
      <c r="HE509" s="68"/>
      <c r="HF509" s="68"/>
      <c r="HG509" s="68"/>
      <c r="HH509" s="68"/>
      <c r="HI509" s="68"/>
      <c r="HJ509" s="68"/>
      <c r="HK509" s="68"/>
      <c r="HL509" s="68"/>
      <c r="HM509" s="68"/>
      <c r="HP509" s="68"/>
      <c r="HQ509" s="68"/>
      <c r="HR509" s="68"/>
      <c r="HS509" s="68"/>
      <c r="HT509" s="68"/>
      <c r="HU509" s="68"/>
      <c r="HV509" s="68"/>
      <c r="HW509" s="68"/>
      <c r="HX509" s="68"/>
      <c r="HY509" s="68"/>
      <c r="HZ509" s="68"/>
      <c r="IA509" s="68"/>
      <c r="IB509" s="68"/>
      <c r="IC509" s="68"/>
      <c r="ID509" s="68"/>
      <c r="IE509" s="68"/>
      <c r="IF509" s="68"/>
      <c r="IG509" s="68"/>
      <c r="IH509" s="68"/>
      <c r="II509" s="68"/>
      <c r="IJ509" s="68"/>
      <c r="IK509" s="68"/>
      <c r="IL509" s="68"/>
      <c r="IM509" s="68"/>
      <c r="IN509" s="68"/>
      <c r="IO509" s="68"/>
      <c r="IP509" s="68"/>
      <c r="IQ509" s="68"/>
      <c r="IR509" s="68"/>
      <c r="IS509" s="68"/>
      <c r="IT509" s="68"/>
      <c r="IU509" s="68"/>
      <c r="IV509" s="68"/>
      <c r="IW509" s="68"/>
      <c r="IX509" s="68"/>
      <c r="IY509" s="68"/>
    </row>
    <row r="510" spans="210:259" hidden="1" x14ac:dyDescent="0.3">
      <c r="HB510" s="68"/>
      <c r="HC510" s="68"/>
      <c r="HD510" s="68"/>
      <c r="HE510" s="68"/>
      <c r="HF510" s="68"/>
      <c r="HG510" s="68"/>
      <c r="HH510" s="68"/>
      <c r="HI510" s="68"/>
      <c r="HJ510" s="68"/>
      <c r="HK510" s="68"/>
      <c r="HL510" s="68"/>
      <c r="HM510" s="68"/>
      <c r="HP510" s="68"/>
      <c r="HQ510" s="68"/>
      <c r="HR510" s="68"/>
      <c r="HS510" s="68"/>
      <c r="HT510" s="68"/>
      <c r="HU510" s="68"/>
      <c r="HV510" s="68"/>
      <c r="HW510" s="68"/>
      <c r="HX510" s="68"/>
      <c r="HY510" s="68"/>
      <c r="HZ510" s="68"/>
      <c r="IA510" s="68"/>
      <c r="IB510" s="68"/>
      <c r="IC510" s="68"/>
      <c r="ID510" s="68"/>
      <c r="IE510" s="68"/>
      <c r="IF510" s="68"/>
      <c r="IG510" s="68"/>
      <c r="IH510" s="68"/>
      <c r="II510" s="68"/>
      <c r="IJ510" s="68"/>
      <c r="IK510" s="68"/>
      <c r="IL510" s="68"/>
      <c r="IM510" s="68"/>
      <c r="IN510" s="68"/>
      <c r="IO510" s="68"/>
      <c r="IP510" s="68"/>
      <c r="IQ510" s="68"/>
      <c r="IR510" s="68"/>
      <c r="IS510" s="68"/>
      <c r="IT510" s="68"/>
      <c r="IU510" s="68"/>
      <c r="IV510" s="68"/>
      <c r="IW510" s="68"/>
      <c r="IX510" s="68"/>
      <c r="IY510" s="68"/>
    </row>
    <row r="511" spans="210:259" hidden="1" x14ac:dyDescent="0.3">
      <c r="HB511" s="68"/>
      <c r="HC511" s="68"/>
      <c r="HD511" s="68"/>
      <c r="HE511" s="68"/>
      <c r="HF511" s="68"/>
      <c r="HG511" s="68"/>
      <c r="HH511" s="68"/>
      <c r="HI511" s="68"/>
      <c r="HJ511" s="68"/>
      <c r="HK511" s="68"/>
      <c r="HL511" s="68"/>
      <c r="HM511" s="68"/>
      <c r="HP511" s="68"/>
      <c r="HQ511" s="68"/>
      <c r="HR511" s="68"/>
      <c r="HS511" s="68"/>
      <c r="HT511" s="68"/>
      <c r="HU511" s="68"/>
      <c r="HV511" s="68"/>
      <c r="HW511" s="68"/>
      <c r="HX511" s="68"/>
      <c r="HY511" s="68"/>
      <c r="HZ511" s="68"/>
      <c r="IA511" s="68"/>
      <c r="IB511" s="68"/>
      <c r="IC511" s="68"/>
      <c r="ID511" s="68"/>
      <c r="IE511" s="68"/>
      <c r="IF511" s="68"/>
      <c r="IG511" s="68"/>
      <c r="IH511" s="68"/>
      <c r="II511" s="68"/>
      <c r="IJ511" s="68"/>
      <c r="IK511" s="68"/>
      <c r="IL511" s="68"/>
      <c r="IM511" s="68"/>
      <c r="IN511" s="68"/>
      <c r="IO511" s="68"/>
      <c r="IP511" s="68"/>
      <c r="IQ511" s="68"/>
      <c r="IR511" s="68"/>
      <c r="IS511" s="68"/>
      <c r="IT511" s="68"/>
      <c r="IU511" s="68"/>
      <c r="IV511" s="68"/>
      <c r="IW511" s="68"/>
      <c r="IX511" s="68"/>
      <c r="IY511" s="68"/>
    </row>
    <row r="512" spans="210:259" hidden="1" x14ac:dyDescent="0.3">
      <c r="HB512" s="68"/>
      <c r="HC512" s="68"/>
      <c r="HD512" s="68"/>
      <c r="HE512" s="68"/>
      <c r="HF512" s="68"/>
      <c r="HG512" s="68"/>
      <c r="HH512" s="68"/>
      <c r="HI512" s="68"/>
      <c r="HJ512" s="68"/>
      <c r="HK512" s="68"/>
      <c r="HL512" s="68"/>
      <c r="HM512" s="68"/>
      <c r="HP512" s="68"/>
      <c r="HQ512" s="68"/>
      <c r="HR512" s="68"/>
      <c r="HS512" s="68"/>
      <c r="HT512" s="68"/>
      <c r="HU512" s="68"/>
      <c r="HV512" s="68"/>
      <c r="HW512" s="68"/>
      <c r="HX512" s="68"/>
      <c r="HY512" s="68"/>
      <c r="HZ512" s="68"/>
      <c r="IA512" s="68"/>
      <c r="IB512" s="68"/>
      <c r="IC512" s="68"/>
      <c r="ID512" s="68"/>
      <c r="IE512" s="68"/>
      <c r="IF512" s="68"/>
      <c r="IG512" s="68"/>
      <c r="IH512" s="68"/>
      <c r="II512" s="68"/>
      <c r="IJ512" s="68"/>
      <c r="IK512" s="68"/>
      <c r="IL512" s="68"/>
      <c r="IM512" s="68"/>
      <c r="IN512" s="68"/>
      <c r="IO512" s="68"/>
      <c r="IP512" s="68"/>
      <c r="IQ512" s="68"/>
      <c r="IR512" s="68"/>
      <c r="IS512" s="68"/>
      <c r="IT512" s="68"/>
      <c r="IU512" s="68"/>
      <c r="IV512" s="68"/>
      <c r="IW512" s="68"/>
      <c r="IX512" s="68"/>
      <c r="IY512" s="68"/>
    </row>
    <row r="513" spans="210:259" hidden="1" x14ac:dyDescent="0.3">
      <c r="HB513" s="68"/>
      <c r="HC513" s="68"/>
      <c r="HD513" s="68"/>
      <c r="HE513" s="68"/>
      <c r="HF513" s="68"/>
      <c r="HG513" s="68"/>
      <c r="HH513" s="68"/>
      <c r="HI513" s="68"/>
      <c r="HJ513" s="68"/>
      <c r="HK513" s="68"/>
      <c r="HL513" s="68"/>
      <c r="HM513" s="68"/>
      <c r="HP513" s="68"/>
      <c r="HQ513" s="68"/>
      <c r="HR513" s="68"/>
      <c r="HS513" s="68"/>
      <c r="HT513" s="68"/>
      <c r="HU513" s="68"/>
      <c r="HV513" s="68"/>
      <c r="HW513" s="68"/>
      <c r="HX513" s="68"/>
      <c r="HY513" s="68"/>
      <c r="HZ513" s="68"/>
      <c r="IA513" s="68"/>
      <c r="IB513" s="68"/>
      <c r="IC513" s="68"/>
      <c r="ID513" s="68"/>
      <c r="IE513" s="68"/>
      <c r="IF513" s="68"/>
      <c r="IG513" s="68"/>
      <c r="IH513" s="68"/>
      <c r="II513" s="68"/>
      <c r="IJ513" s="68"/>
      <c r="IK513" s="68"/>
      <c r="IL513" s="68"/>
      <c r="IM513" s="68"/>
      <c r="IN513" s="68"/>
      <c r="IO513" s="68"/>
      <c r="IP513" s="68"/>
      <c r="IQ513" s="68"/>
      <c r="IR513" s="68"/>
      <c r="IS513" s="68"/>
      <c r="IT513" s="68"/>
      <c r="IU513" s="68"/>
      <c r="IV513" s="68"/>
      <c r="IW513" s="68"/>
      <c r="IX513" s="68"/>
      <c r="IY513" s="68"/>
    </row>
    <row r="514" spans="210:259" hidden="1" x14ac:dyDescent="0.3">
      <c r="HB514" s="68"/>
      <c r="HC514" s="68"/>
      <c r="HD514" s="68"/>
      <c r="HE514" s="68"/>
      <c r="HF514" s="68"/>
      <c r="HG514" s="68"/>
      <c r="HH514" s="68"/>
      <c r="HI514" s="68"/>
      <c r="HJ514" s="68"/>
      <c r="HK514" s="68"/>
      <c r="HL514" s="68"/>
      <c r="HM514" s="68"/>
      <c r="HP514" s="68"/>
      <c r="HQ514" s="68"/>
      <c r="HR514" s="68"/>
      <c r="HS514" s="68"/>
      <c r="HT514" s="68"/>
      <c r="HU514" s="68"/>
      <c r="HV514" s="68"/>
      <c r="HW514" s="68"/>
      <c r="HX514" s="68"/>
      <c r="HY514" s="68"/>
      <c r="HZ514" s="68"/>
      <c r="IA514" s="68"/>
      <c r="IB514" s="68"/>
      <c r="IC514" s="68"/>
      <c r="ID514" s="68"/>
      <c r="IE514" s="68"/>
      <c r="IF514" s="68"/>
      <c r="IG514" s="68"/>
      <c r="IH514" s="68"/>
      <c r="II514" s="68"/>
      <c r="IJ514" s="68"/>
      <c r="IK514" s="68"/>
      <c r="IL514" s="68"/>
      <c r="IM514" s="68"/>
      <c r="IN514" s="68"/>
      <c r="IO514" s="68"/>
      <c r="IP514" s="68"/>
      <c r="IQ514" s="68"/>
      <c r="IR514" s="68"/>
      <c r="IS514" s="68"/>
      <c r="IT514" s="68"/>
      <c r="IU514" s="68"/>
      <c r="IV514" s="68"/>
      <c r="IW514" s="68"/>
      <c r="IX514" s="68"/>
      <c r="IY514" s="68"/>
    </row>
    <row r="515" spans="210:259" hidden="1" x14ac:dyDescent="0.3">
      <c r="HB515" s="68"/>
      <c r="HC515" s="68"/>
      <c r="HD515" s="68"/>
      <c r="HE515" s="68"/>
      <c r="HF515" s="68"/>
      <c r="HG515" s="68"/>
      <c r="HH515" s="68"/>
      <c r="HI515" s="68"/>
      <c r="HJ515" s="68"/>
      <c r="HK515" s="68"/>
      <c r="HL515" s="68"/>
      <c r="HM515" s="68"/>
      <c r="HP515" s="68"/>
      <c r="HQ515" s="68"/>
      <c r="HR515" s="68"/>
      <c r="HS515" s="68"/>
      <c r="HT515" s="68"/>
      <c r="HU515" s="68"/>
      <c r="HV515" s="68"/>
      <c r="HW515" s="68"/>
      <c r="HX515" s="68"/>
      <c r="HY515" s="68"/>
      <c r="HZ515" s="68"/>
      <c r="IA515" s="68"/>
      <c r="IB515" s="68"/>
      <c r="IC515" s="68"/>
      <c r="ID515" s="68"/>
      <c r="IE515" s="68"/>
      <c r="IF515" s="68"/>
      <c r="IG515" s="68"/>
      <c r="IH515" s="68"/>
      <c r="II515" s="68"/>
      <c r="IJ515" s="68"/>
      <c r="IK515" s="68"/>
      <c r="IL515" s="68"/>
      <c r="IM515" s="68"/>
      <c r="IN515" s="68"/>
      <c r="IO515" s="68"/>
      <c r="IP515" s="68"/>
      <c r="IQ515" s="68"/>
      <c r="IR515" s="68"/>
      <c r="IS515" s="68"/>
      <c r="IT515" s="68"/>
      <c r="IU515" s="68"/>
      <c r="IV515" s="68"/>
      <c r="IW515" s="68"/>
      <c r="IX515" s="68"/>
      <c r="IY515" s="68"/>
    </row>
    <row r="516" spans="210:259" hidden="1" x14ac:dyDescent="0.3">
      <c r="HB516" s="68"/>
      <c r="HC516" s="68"/>
      <c r="HD516" s="68"/>
      <c r="HE516" s="68"/>
      <c r="HF516" s="68"/>
      <c r="HG516" s="68"/>
      <c r="HH516" s="68"/>
      <c r="HI516" s="68"/>
      <c r="HJ516" s="68"/>
      <c r="HK516" s="68"/>
      <c r="HL516" s="68"/>
      <c r="HM516" s="68"/>
      <c r="HP516" s="68"/>
      <c r="HQ516" s="68"/>
      <c r="HR516" s="68"/>
      <c r="HS516" s="68"/>
      <c r="HT516" s="68"/>
      <c r="HU516" s="68"/>
      <c r="HV516" s="68"/>
      <c r="HW516" s="68"/>
      <c r="HX516" s="68"/>
      <c r="HY516" s="68"/>
      <c r="HZ516" s="68"/>
      <c r="IA516" s="68"/>
      <c r="IB516" s="68"/>
      <c r="IC516" s="68"/>
      <c r="ID516" s="68"/>
      <c r="IE516" s="68"/>
      <c r="IF516" s="68"/>
      <c r="IG516" s="68"/>
      <c r="IH516" s="68"/>
      <c r="II516" s="68"/>
      <c r="IJ516" s="68"/>
      <c r="IK516" s="68"/>
      <c r="IL516" s="68"/>
      <c r="IM516" s="68"/>
      <c r="IN516" s="68"/>
      <c r="IO516" s="68"/>
      <c r="IP516" s="68"/>
      <c r="IQ516" s="68"/>
      <c r="IR516" s="68"/>
      <c r="IS516" s="68"/>
      <c r="IT516" s="68"/>
      <c r="IU516" s="68"/>
      <c r="IV516" s="68"/>
      <c r="IW516" s="68"/>
      <c r="IX516" s="68"/>
      <c r="IY516" s="68"/>
    </row>
    <row r="517" spans="210:259" hidden="1" x14ac:dyDescent="0.3">
      <c r="HB517" s="68"/>
      <c r="HC517" s="68"/>
      <c r="HD517" s="68"/>
      <c r="HE517" s="68"/>
      <c r="HF517" s="68"/>
      <c r="HG517" s="68"/>
      <c r="HH517" s="68"/>
      <c r="HI517" s="68"/>
      <c r="HJ517" s="68"/>
      <c r="HK517" s="68"/>
      <c r="HL517" s="68"/>
      <c r="HM517" s="68"/>
      <c r="HP517" s="68"/>
      <c r="HQ517" s="68"/>
      <c r="HR517" s="68"/>
      <c r="HS517" s="68"/>
      <c r="HT517" s="68"/>
      <c r="HU517" s="68"/>
      <c r="HV517" s="68"/>
      <c r="HW517" s="68"/>
      <c r="HX517" s="68"/>
      <c r="HY517" s="68"/>
      <c r="HZ517" s="68"/>
      <c r="IA517" s="68"/>
      <c r="IB517" s="68"/>
      <c r="IC517" s="68"/>
      <c r="ID517" s="68"/>
      <c r="IE517" s="68"/>
      <c r="IF517" s="68"/>
      <c r="IG517" s="68"/>
      <c r="IH517" s="68"/>
      <c r="II517" s="68"/>
      <c r="IJ517" s="68"/>
      <c r="IK517" s="68"/>
      <c r="IL517" s="68"/>
      <c r="IM517" s="68"/>
      <c r="IN517" s="68"/>
      <c r="IO517" s="68"/>
      <c r="IP517" s="68"/>
      <c r="IQ517" s="68"/>
      <c r="IR517" s="68"/>
      <c r="IS517" s="68"/>
      <c r="IT517" s="68"/>
      <c r="IU517" s="68"/>
      <c r="IV517" s="68"/>
      <c r="IW517" s="68"/>
      <c r="IX517" s="68"/>
      <c r="IY517" s="68"/>
    </row>
    <row r="518" spans="210:259" hidden="1" x14ac:dyDescent="0.3">
      <c r="HB518" s="68"/>
      <c r="HC518" s="68"/>
      <c r="HD518" s="68"/>
      <c r="HE518" s="68"/>
      <c r="HF518" s="68"/>
      <c r="HG518" s="68"/>
      <c r="HH518" s="68"/>
      <c r="HI518" s="68"/>
      <c r="HJ518" s="68"/>
      <c r="HK518" s="68"/>
      <c r="HL518" s="68"/>
      <c r="HM518" s="68"/>
      <c r="HP518" s="68"/>
      <c r="HQ518" s="68"/>
      <c r="HR518" s="68"/>
      <c r="HS518" s="68"/>
      <c r="HT518" s="68"/>
      <c r="HU518" s="68"/>
      <c r="HV518" s="68"/>
      <c r="HW518" s="68"/>
      <c r="HX518" s="68"/>
      <c r="HY518" s="68"/>
      <c r="HZ518" s="68"/>
      <c r="IA518" s="68"/>
      <c r="IB518" s="68"/>
      <c r="IC518" s="68"/>
      <c r="ID518" s="68"/>
      <c r="IE518" s="68"/>
      <c r="IF518" s="68"/>
      <c r="IG518" s="68"/>
      <c r="IH518" s="68"/>
      <c r="II518" s="68"/>
      <c r="IJ518" s="68"/>
      <c r="IK518" s="68"/>
      <c r="IL518" s="68"/>
      <c r="IM518" s="68"/>
      <c r="IN518" s="68"/>
      <c r="IO518" s="68"/>
      <c r="IP518" s="68"/>
      <c r="IQ518" s="68"/>
      <c r="IR518" s="68"/>
      <c r="IS518" s="68"/>
      <c r="IT518" s="68"/>
      <c r="IU518" s="68"/>
      <c r="IV518" s="68"/>
      <c r="IW518" s="68"/>
      <c r="IX518" s="68"/>
      <c r="IY518" s="68"/>
    </row>
    <row r="519" spans="210:259" hidden="1" x14ac:dyDescent="0.3">
      <c r="HB519" s="68"/>
      <c r="HC519" s="68"/>
      <c r="HD519" s="68"/>
      <c r="HE519" s="68"/>
      <c r="HF519" s="68"/>
      <c r="HG519" s="68"/>
      <c r="HH519" s="68"/>
      <c r="HI519" s="68"/>
      <c r="HJ519" s="68"/>
      <c r="HK519" s="68"/>
      <c r="HL519" s="68"/>
      <c r="HM519" s="68"/>
      <c r="HP519" s="68"/>
      <c r="HQ519" s="68"/>
      <c r="HR519" s="68"/>
      <c r="HS519" s="68"/>
      <c r="HT519" s="68"/>
      <c r="HU519" s="68"/>
      <c r="HV519" s="68"/>
      <c r="HW519" s="68"/>
      <c r="HX519" s="68"/>
      <c r="HY519" s="68"/>
      <c r="HZ519" s="68"/>
      <c r="IA519" s="68"/>
      <c r="IB519" s="68"/>
      <c r="IC519" s="68"/>
      <c r="ID519" s="68"/>
      <c r="IE519" s="68"/>
      <c r="IF519" s="68"/>
      <c r="IG519" s="68"/>
      <c r="IH519" s="68"/>
      <c r="II519" s="68"/>
      <c r="IJ519" s="68"/>
      <c r="IK519" s="68"/>
      <c r="IL519" s="68"/>
      <c r="IM519" s="68"/>
      <c r="IN519" s="68"/>
      <c r="IO519" s="68"/>
      <c r="IP519" s="68"/>
      <c r="IQ519" s="68"/>
      <c r="IR519" s="68"/>
      <c r="IS519" s="68"/>
      <c r="IT519" s="68"/>
      <c r="IU519" s="68"/>
      <c r="IV519" s="68"/>
      <c r="IW519" s="68"/>
      <c r="IX519" s="68"/>
      <c r="IY519" s="68"/>
    </row>
    <row r="520" spans="210:259" hidden="1" x14ac:dyDescent="0.3">
      <c r="HB520" s="68"/>
      <c r="HC520" s="68"/>
      <c r="HD520" s="68"/>
      <c r="HE520" s="68"/>
      <c r="HF520" s="68"/>
      <c r="HG520" s="68"/>
      <c r="HH520" s="68"/>
      <c r="HI520" s="68"/>
      <c r="HJ520" s="68"/>
      <c r="HK520" s="68"/>
      <c r="HL520" s="68"/>
      <c r="HM520" s="68"/>
      <c r="HP520" s="68"/>
      <c r="HQ520" s="68"/>
      <c r="HR520" s="68"/>
      <c r="HS520" s="68"/>
      <c r="HT520" s="68"/>
      <c r="HU520" s="68"/>
      <c r="HV520" s="68"/>
      <c r="HW520" s="68"/>
      <c r="HX520" s="68"/>
      <c r="HY520" s="68"/>
      <c r="HZ520" s="68"/>
      <c r="IA520" s="68"/>
      <c r="IB520" s="68"/>
      <c r="IC520" s="68"/>
      <c r="ID520" s="68"/>
      <c r="IE520" s="68"/>
      <c r="IF520" s="68"/>
      <c r="IG520" s="68"/>
      <c r="IH520" s="68"/>
      <c r="II520" s="68"/>
      <c r="IJ520" s="68"/>
      <c r="IK520" s="68"/>
      <c r="IL520" s="68"/>
      <c r="IM520" s="68"/>
      <c r="IN520" s="68"/>
      <c r="IO520" s="68"/>
      <c r="IP520" s="68"/>
      <c r="IQ520" s="68"/>
      <c r="IR520" s="68"/>
      <c r="IS520" s="68"/>
      <c r="IT520" s="68"/>
      <c r="IU520" s="68"/>
      <c r="IV520" s="68"/>
      <c r="IW520" s="68"/>
      <c r="IX520" s="68"/>
      <c r="IY520" s="68"/>
    </row>
    <row r="521" spans="210:259" hidden="1" x14ac:dyDescent="0.3">
      <c r="HB521" s="68"/>
      <c r="HC521" s="68"/>
      <c r="HD521" s="68"/>
      <c r="HE521" s="68"/>
      <c r="HF521" s="68"/>
      <c r="HG521" s="68"/>
      <c r="HH521" s="68"/>
      <c r="HI521" s="68"/>
      <c r="HJ521" s="68"/>
      <c r="HK521" s="68"/>
      <c r="HL521" s="68"/>
      <c r="HM521" s="68"/>
      <c r="HP521" s="68"/>
      <c r="HQ521" s="68"/>
      <c r="HR521" s="68"/>
      <c r="HS521" s="68"/>
      <c r="HT521" s="68"/>
      <c r="HU521" s="68"/>
      <c r="HV521" s="68"/>
      <c r="HW521" s="68"/>
      <c r="HX521" s="68"/>
      <c r="HY521" s="68"/>
      <c r="HZ521" s="68"/>
      <c r="IA521" s="68"/>
      <c r="IB521" s="68"/>
      <c r="IC521" s="68"/>
      <c r="ID521" s="68"/>
      <c r="IE521" s="68"/>
      <c r="IF521" s="68"/>
      <c r="IG521" s="68"/>
      <c r="IH521" s="68"/>
      <c r="II521" s="68"/>
      <c r="IJ521" s="68"/>
      <c r="IK521" s="68"/>
      <c r="IL521" s="68"/>
      <c r="IM521" s="68"/>
      <c r="IN521" s="68"/>
      <c r="IO521" s="68"/>
      <c r="IP521" s="68"/>
      <c r="IQ521" s="68"/>
      <c r="IR521" s="68"/>
      <c r="IS521" s="68"/>
      <c r="IT521" s="68"/>
      <c r="IU521" s="68"/>
      <c r="IV521" s="68"/>
      <c r="IW521" s="68"/>
      <c r="IX521" s="68"/>
      <c r="IY521" s="68"/>
    </row>
    <row r="522" spans="210:259" hidden="1" x14ac:dyDescent="0.3">
      <c r="HB522" s="68"/>
      <c r="HC522" s="68"/>
      <c r="HD522" s="68"/>
      <c r="HE522" s="68"/>
      <c r="HF522" s="68"/>
      <c r="HG522" s="68"/>
      <c r="HH522" s="68"/>
      <c r="HI522" s="68"/>
      <c r="HJ522" s="68"/>
      <c r="HK522" s="68"/>
      <c r="HL522" s="68"/>
      <c r="HM522" s="68"/>
      <c r="HP522" s="68"/>
      <c r="HQ522" s="68"/>
      <c r="HR522" s="68"/>
      <c r="HS522" s="68"/>
      <c r="HT522" s="68"/>
      <c r="HU522" s="68"/>
      <c r="HV522" s="68"/>
      <c r="HW522" s="68"/>
      <c r="HX522" s="68"/>
      <c r="HY522" s="68"/>
      <c r="HZ522" s="68"/>
      <c r="IA522" s="68"/>
      <c r="IB522" s="68"/>
      <c r="IC522" s="68"/>
      <c r="ID522" s="68"/>
      <c r="IE522" s="68"/>
      <c r="IF522" s="68"/>
      <c r="IG522" s="68"/>
      <c r="IH522" s="68"/>
      <c r="II522" s="68"/>
      <c r="IJ522" s="68"/>
      <c r="IK522" s="68"/>
      <c r="IL522" s="68"/>
      <c r="IM522" s="68"/>
      <c r="IN522" s="68"/>
      <c r="IO522" s="68"/>
      <c r="IP522" s="68"/>
      <c r="IQ522" s="68"/>
      <c r="IR522" s="68"/>
      <c r="IS522" s="68"/>
      <c r="IT522" s="68"/>
      <c r="IU522" s="68"/>
      <c r="IV522" s="68"/>
      <c r="IW522" s="68"/>
      <c r="IX522" s="68"/>
      <c r="IY522" s="68"/>
    </row>
    <row r="523" spans="210:259" hidden="1" x14ac:dyDescent="0.3">
      <c r="HB523" s="68"/>
      <c r="HC523" s="68"/>
      <c r="HD523" s="68"/>
      <c r="HE523" s="68"/>
      <c r="HF523" s="68"/>
      <c r="HG523" s="68"/>
      <c r="HH523" s="68"/>
      <c r="HI523" s="68"/>
      <c r="HJ523" s="68"/>
      <c r="HK523" s="68"/>
      <c r="HL523" s="68"/>
      <c r="HM523" s="68"/>
      <c r="HP523" s="68"/>
      <c r="HQ523" s="68"/>
      <c r="HR523" s="68"/>
      <c r="HS523" s="68"/>
      <c r="HT523" s="68"/>
      <c r="HU523" s="68"/>
      <c r="HV523" s="68"/>
      <c r="HW523" s="68"/>
      <c r="HX523" s="68"/>
      <c r="HY523" s="68"/>
      <c r="HZ523" s="68"/>
      <c r="IA523" s="68"/>
      <c r="IB523" s="68"/>
      <c r="IC523" s="68"/>
      <c r="ID523" s="68"/>
      <c r="IE523" s="68"/>
      <c r="IF523" s="68"/>
      <c r="IG523" s="68"/>
      <c r="IH523" s="68"/>
      <c r="II523" s="68"/>
      <c r="IJ523" s="68"/>
      <c r="IK523" s="68"/>
      <c r="IL523" s="68"/>
      <c r="IM523" s="68"/>
      <c r="IN523" s="68"/>
      <c r="IO523" s="68"/>
      <c r="IP523" s="68"/>
      <c r="IQ523" s="68"/>
      <c r="IR523" s="68"/>
      <c r="IS523" s="68"/>
      <c r="IT523" s="68"/>
      <c r="IU523" s="68"/>
      <c r="IV523" s="68"/>
      <c r="IW523" s="68"/>
      <c r="IX523" s="68"/>
      <c r="IY523" s="68"/>
    </row>
    <row r="524" spans="210:259" hidden="1" x14ac:dyDescent="0.3">
      <c r="HB524" s="68"/>
      <c r="HC524" s="68"/>
      <c r="HD524" s="68"/>
      <c r="HE524" s="68"/>
      <c r="HF524" s="68"/>
      <c r="HG524" s="68"/>
      <c r="HH524" s="68"/>
      <c r="HI524" s="68"/>
      <c r="HJ524" s="68"/>
      <c r="HK524" s="68"/>
      <c r="HL524" s="68"/>
      <c r="HM524" s="68"/>
      <c r="HP524" s="68"/>
      <c r="HQ524" s="68"/>
      <c r="HR524" s="68"/>
      <c r="HS524" s="68"/>
      <c r="HT524" s="68"/>
      <c r="HU524" s="68"/>
      <c r="HV524" s="68"/>
      <c r="HW524" s="68"/>
      <c r="HX524" s="68"/>
      <c r="HY524" s="68"/>
      <c r="HZ524" s="68"/>
      <c r="IA524" s="68"/>
      <c r="IB524" s="68"/>
      <c r="IC524" s="68"/>
      <c r="ID524" s="68"/>
      <c r="IE524" s="68"/>
      <c r="IF524" s="68"/>
      <c r="IG524" s="68"/>
      <c r="IH524" s="68"/>
      <c r="II524" s="68"/>
      <c r="IJ524" s="68"/>
      <c r="IK524" s="68"/>
      <c r="IL524" s="68"/>
      <c r="IM524" s="68"/>
      <c r="IN524" s="68"/>
      <c r="IO524" s="68"/>
      <c r="IP524" s="68"/>
      <c r="IQ524" s="68"/>
      <c r="IR524" s="68"/>
      <c r="IS524" s="68"/>
      <c r="IT524" s="68"/>
      <c r="IU524" s="68"/>
      <c r="IV524" s="68"/>
      <c r="IW524" s="68"/>
      <c r="IX524" s="68"/>
      <c r="IY524" s="68"/>
    </row>
    <row r="525" spans="210:259" hidden="1" x14ac:dyDescent="0.3">
      <c r="HB525" s="68"/>
      <c r="HC525" s="68"/>
      <c r="HD525" s="68"/>
      <c r="HE525" s="68"/>
      <c r="HF525" s="68"/>
      <c r="HG525" s="68"/>
      <c r="HH525" s="68"/>
      <c r="HI525" s="68"/>
      <c r="HJ525" s="68"/>
      <c r="HK525" s="68"/>
      <c r="HL525" s="68"/>
      <c r="HM525" s="68"/>
      <c r="HP525" s="68"/>
      <c r="HQ525" s="68"/>
      <c r="HR525" s="68"/>
      <c r="HS525" s="68"/>
      <c r="HT525" s="68"/>
      <c r="HU525" s="68"/>
      <c r="HV525" s="68"/>
      <c r="HW525" s="68"/>
      <c r="HX525" s="68"/>
      <c r="HY525" s="68"/>
      <c r="HZ525" s="68"/>
      <c r="IA525" s="68"/>
      <c r="IB525" s="68"/>
      <c r="IC525" s="68"/>
      <c r="ID525" s="68"/>
      <c r="IE525" s="68"/>
      <c r="IF525" s="68"/>
      <c r="IG525" s="68"/>
      <c r="IH525" s="68"/>
      <c r="II525" s="68"/>
      <c r="IJ525" s="68"/>
      <c r="IK525" s="68"/>
      <c r="IL525" s="68"/>
      <c r="IM525" s="68"/>
      <c r="IN525" s="68"/>
      <c r="IO525" s="68"/>
      <c r="IP525" s="68"/>
      <c r="IQ525" s="68"/>
      <c r="IR525" s="68"/>
      <c r="IS525" s="68"/>
      <c r="IT525" s="68"/>
      <c r="IU525" s="68"/>
      <c r="IV525" s="68"/>
      <c r="IW525" s="68"/>
      <c r="IX525" s="68"/>
      <c r="IY525" s="68"/>
    </row>
    <row r="526" spans="210:259" hidden="1" x14ac:dyDescent="0.3">
      <c r="HB526" s="68"/>
      <c r="HC526" s="68"/>
      <c r="HD526" s="68"/>
      <c r="HE526" s="68"/>
      <c r="HF526" s="68"/>
      <c r="HG526" s="68"/>
      <c r="HH526" s="68"/>
      <c r="HI526" s="68"/>
      <c r="HJ526" s="68"/>
      <c r="HK526" s="68"/>
      <c r="HL526" s="68"/>
      <c r="HM526" s="68"/>
      <c r="HP526" s="68"/>
      <c r="HQ526" s="68"/>
      <c r="HR526" s="68"/>
      <c r="HS526" s="68"/>
      <c r="HT526" s="68"/>
      <c r="HU526" s="68"/>
      <c r="HV526" s="68"/>
      <c r="HW526" s="68"/>
      <c r="HX526" s="68"/>
      <c r="HY526" s="68"/>
      <c r="HZ526" s="68"/>
      <c r="IA526" s="68"/>
      <c r="IB526" s="68"/>
      <c r="IC526" s="68"/>
      <c r="ID526" s="68"/>
      <c r="IE526" s="68"/>
      <c r="IF526" s="68"/>
      <c r="IG526" s="68"/>
      <c r="IH526" s="68"/>
      <c r="II526" s="68"/>
      <c r="IJ526" s="68"/>
      <c r="IK526" s="68"/>
      <c r="IL526" s="68"/>
      <c r="IM526" s="68"/>
      <c r="IN526" s="68"/>
      <c r="IO526" s="68"/>
      <c r="IP526" s="68"/>
      <c r="IQ526" s="68"/>
      <c r="IR526" s="68"/>
      <c r="IS526" s="68"/>
      <c r="IT526" s="68"/>
      <c r="IU526" s="68"/>
      <c r="IV526" s="68"/>
      <c r="IW526" s="68"/>
      <c r="IX526" s="68"/>
      <c r="IY526" s="68"/>
    </row>
    <row r="527" spans="210:259" hidden="1" x14ac:dyDescent="0.3">
      <c r="HB527" s="68"/>
      <c r="HC527" s="68"/>
      <c r="HD527" s="68"/>
      <c r="HE527" s="68"/>
      <c r="HF527" s="68"/>
      <c r="HG527" s="68"/>
      <c r="HH527" s="68"/>
      <c r="HI527" s="68"/>
      <c r="HJ527" s="68"/>
      <c r="HK527" s="68"/>
      <c r="HL527" s="68"/>
      <c r="HM527" s="68"/>
      <c r="HP527" s="68"/>
      <c r="HQ527" s="68"/>
      <c r="HR527" s="68"/>
      <c r="HS527" s="68"/>
      <c r="HT527" s="68"/>
      <c r="HU527" s="68"/>
      <c r="HV527" s="68"/>
      <c r="HW527" s="68"/>
      <c r="HX527" s="68"/>
      <c r="HY527" s="68"/>
      <c r="HZ527" s="68"/>
      <c r="IA527" s="68"/>
      <c r="IB527" s="68"/>
      <c r="IC527" s="68"/>
      <c r="ID527" s="68"/>
      <c r="IE527" s="68"/>
      <c r="IF527" s="68"/>
      <c r="IG527" s="68"/>
      <c r="IH527" s="68"/>
      <c r="II527" s="68"/>
      <c r="IJ527" s="68"/>
      <c r="IK527" s="68"/>
      <c r="IL527" s="68"/>
      <c r="IM527" s="68"/>
      <c r="IN527" s="68"/>
      <c r="IO527" s="68"/>
      <c r="IP527" s="68"/>
      <c r="IQ527" s="68"/>
      <c r="IR527" s="68"/>
      <c r="IS527" s="68"/>
      <c r="IT527" s="68"/>
      <c r="IU527" s="68"/>
      <c r="IV527" s="68"/>
      <c r="IW527" s="68"/>
      <c r="IX527" s="68"/>
      <c r="IY527" s="68"/>
    </row>
    <row r="528" spans="210:259" hidden="1" x14ac:dyDescent="0.3">
      <c r="HB528" s="68"/>
      <c r="HC528" s="68"/>
      <c r="HD528" s="68"/>
      <c r="HE528" s="68"/>
      <c r="HF528" s="68"/>
      <c r="HG528" s="68"/>
      <c r="HH528" s="68"/>
      <c r="HI528" s="68"/>
      <c r="HJ528" s="68"/>
      <c r="HK528" s="68"/>
      <c r="HL528" s="68"/>
      <c r="HM528" s="68"/>
      <c r="HP528" s="68"/>
      <c r="HQ528" s="68"/>
      <c r="HR528" s="68"/>
      <c r="HS528" s="68"/>
      <c r="HT528" s="68"/>
      <c r="HU528" s="68"/>
      <c r="HV528" s="68"/>
      <c r="HW528" s="68"/>
      <c r="HX528" s="68"/>
      <c r="HY528" s="68"/>
      <c r="HZ528" s="68"/>
      <c r="IA528" s="68"/>
      <c r="IB528" s="68"/>
      <c r="IC528" s="68"/>
      <c r="ID528" s="68"/>
      <c r="IE528" s="68"/>
      <c r="IF528" s="68"/>
      <c r="IG528" s="68"/>
      <c r="IH528" s="68"/>
      <c r="II528" s="68"/>
      <c r="IJ528" s="68"/>
      <c r="IK528" s="68"/>
      <c r="IL528" s="68"/>
      <c r="IM528" s="68"/>
      <c r="IN528" s="68"/>
      <c r="IO528" s="68"/>
      <c r="IP528" s="68"/>
      <c r="IQ528" s="68"/>
      <c r="IR528" s="68"/>
      <c r="IS528" s="68"/>
      <c r="IT528" s="68"/>
      <c r="IU528" s="68"/>
      <c r="IV528" s="68"/>
      <c r="IW528" s="68"/>
      <c r="IX528" s="68"/>
      <c r="IY528" s="68"/>
    </row>
    <row r="529" spans="210:259" hidden="1" x14ac:dyDescent="0.3">
      <c r="HB529" s="68"/>
      <c r="HC529" s="68"/>
      <c r="HD529" s="68"/>
      <c r="HE529" s="68"/>
      <c r="HF529" s="68"/>
      <c r="HG529" s="68"/>
      <c r="HH529" s="68"/>
      <c r="HI529" s="68"/>
      <c r="HJ529" s="68"/>
      <c r="HK529" s="68"/>
      <c r="HL529" s="68"/>
      <c r="HM529" s="68"/>
      <c r="HP529" s="68"/>
      <c r="HQ529" s="68"/>
      <c r="HR529" s="68"/>
      <c r="HS529" s="68"/>
      <c r="HT529" s="68"/>
      <c r="HU529" s="68"/>
      <c r="HV529" s="68"/>
      <c r="HW529" s="68"/>
      <c r="HX529" s="68"/>
      <c r="HY529" s="68"/>
      <c r="HZ529" s="68"/>
      <c r="IA529" s="68"/>
      <c r="IB529" s="68"/>
      <c r="IC529" s="68"/>
      <c r="ID529" s="68"/>
      <c r="IE529" s="68"/>
      <c r="IF529" s="68"/>
      <c r="IG529" s="68"/>
      <c r="IH529" s="68"/>
      <c r="II529" s="68"/>
      <c r="IJ529" s="68"/>
      <c r="IK529" s="68"/>
      <c r="IL529" s="68"/>
      <c r="IM529" s="68"/>
      <c r="IN529" s="68"/>
      <c r="IO529" s="68"/>
      <c r="IP529" s="68"/>
      <c r="IQ529" s="68"/>
      <c r="IR529" s="68"/>
      <c r="IS529" s="68"/>
      <c r="IT529" s="68"/>
      <c r="IU529" s="68"/>
      <c r="IV529" s="68"/>
      <c r="IW529" s="68"/>
      <c r="IX529" s="68"/>
      <c r="IY529" s="68"/>
    </row>
    <row r="530" spans="210:259" hidden="1" x14ac:dyDescent="0.3">
      <c r="HB530" s="68"/>
      <c r="HC530" s="68"/>
      <c r="HD530" s="68"/>
      <c r="HE530" s="68"/>
      <c r="HF530" s="68"/>
      <c r="HG530" s="68"/>
      <c r="HH530" s="68"/>
      <c r="HI530" s="68"/>
      <c r="HJ530" s="68"/>
      <c r="HK530" s="68"/>
      <c r="HL530" s="68"/>
      <c r="HM530" s="68"/>
      <c r="HP530" s="68"/>
      <c r="HQ530" s="68"/>
      <c r="HR530" s="68"/>
      <c r="HS530" s="68"/>
      <c r="HT530" s="68"/>
      <c r="HU530" s="68"/>
      <c r="HV530" s="68"/>
      <c r="HW530" s="68"/>
      <c r="HX530" s="68"/>
      <c r="HY530" s="68"/>
      <c r="HZ530" s="68"/>
      <c r="IA530" s="68"/>
      <c r="IB530" s="68"/>
      <c r="IC530" s="68"/>
      <c r="ID530" s="68"/>
      <c r="IE530" s="68"/>
      <c r="IF530" s="68"/>
      <c r="IG530" s="68"/>
      <c r="IH530" s="68"/>
      <c r="II530" s="68"/>
      <c r="IJ530" s="68"/>
      <c r="IK530" s="68"/>
      <c r="IL530" s="68"/>
      <c r="IM530" s="68"/>
      <c r="IN530" s="68"/>
      <c r="IO530" s="68"/>
      <c r="IP530" s="68"/>
      <c r="IQ530" s="68"/>
      <c r="IR530" s="68"/>
      <c r="IS530" s="68"/>
      <c r="IT530" s="68"/>
      <c r="IU530" s="68"/>
      <c r="IV530" s="68"/>
      <c r="IW530" s="68"/>
      <c r="IX530" s="68"/>
      <c r="IY530" s="68"/>
    </row>
    <row r="531" spans="210:259" hidden="1" x14ac:dyDescent="0.3">
      <c r="HB531" s="68"/>
      <c r="HC531" s="68"/>
      <c r="HD531" s="68"/>
      <c r="HE531" s="68"/>
      <c r="HF531" s="68"/>
      <c r="HG531" s="68"/>
      <c r="HH531" s="68"/>
      <c r="HI531" s="68"/>
      <c r="HJ531" s="68"/>
      <c r="HK531" s="68"/>
      <c r="HL531" s="68"/>
      <c r="HM531" s="68"/>
      <c r="HP531" s="68"/>
      <c r="HQ531" s="68"/>
      <c r="HR531" s="68"/>
      <c r="HS531" s="68"/>
      <c r="HT531" s="68"/>
      <c r="HU531" s="68"/>
      <c r="HV531" s="68"/>
      <c r="HW531" s="68"/>
      <c r="HX531" s="68"/>
      <c r="HY531" s="68"/>
      <c r="HZ531" s="68"/>
      <c r="IA531" s="68"/>
      <c r="IB531" s="68"/>
      <c r="IC531" s="68"/>
      <c r="ID531" s="68"/>
      <c r="IE531" s="68"/>
      <c r="IF531" s="68"/>
      <c r="IG531" s="68"/>
      <c r="IH531" s="68"/>
      <c r="II531" s="68"/>
      <c r="IJ531" s="68"/>
      <c r="IK531" s="68"/>
      <c r="IL531" s="68"/>
      <c r="IM531" s="68"/>
      <c r="IN531" s="68"/>
      <c r="IO531" s="68"/>
      <c r="IP531" s="68"/>
      <c r="IQ531" s="68"/>
      <c r="IR531" s="68"/>
      <c r="IS531" s="68"/>
      <c r="IT531" s="68"/>
      <c r="IU531" s="68"/>
      <c r="IV531" s="68"/>
      <c r="IW531" s="68"/>
      <c r="IX531" s="68"/>
      <c r="IY531" s="68"/>
    </row>
    <row r="532" spans="210:259" hidden="1" x14ac:dyDescent="0.3">
      <c r="HB532" s="68"/>
      <c r="HC532" s="68"/>
      <c r="HD532" s="68"/>
      <c r="HE532" s="68"/>
      <c r="HF532" s="68"/>
      <c r="HG532" s="68"/>
      <c r="HH532" s="68"/>
      <c r="HI532" s="68"/>
      <c r="HJ532" s="68"/>
      <c r="HK532" s="68"/>
      <c r="HL532" s="68"/>
      <c r="HM532" s="68"/>
      <c r="HP532" s="68"/>
      <c r="HQ532" s="68"/>
      <c r="HR532" s="68"/>
      <c r="HS532" s="68"/>
      <c r="HT532" s="68"/>
      <c r="HU532" s="68"/>
      <c r="HV532" s="68"/>
      <c r="HW532" s="68"/>
      <c r="HX532" s="68"/>
      <c r="HY532" s="68"/>
      <c r="HZ532" s="68"/>
      <c r="IA532" s="68"/>
      <c r="IB532" s="68"/>
      <c r="IC532" s="68"/>
      <c r="ID532" s="68"/>
      <c r="IE532" s="68"/>
      <c r="IF532" s="68"/>
      <c r="IG532" s="68"/>
      <c r="IH532" s="68"/>
      <c r="II532" s="68"/>
      <c r="IJ532" s="68"/>
      <c r="IK532" s="68"/>
      <c r="IL532" s="68"/>
      <c r="IM532" s="68"/>
      <c r="IN532" s="68"/>
      <c r="IO532" s="68"/>
      <c r="IP532" s="68"/>
      <c r="IQ532" s="68"/>
      <c r="IR532" s="68"/>
      <c r="IS532" s="68"/>
      <c r="IT532" s="68"/>
      <c r="IU532" s="68"/>
      <c r="IV532" s="68"/>
      <c r="IW532" s="68"/>
      <c r="IX532" s="68"/>
      <c r="IY532" s="68"/>
    </row>
    <row r="533" spans="210:259" hidden="1" x14ac:dyDescent="0.3">
      <c r="HB533" s="68"/>
      <c r="HC533" s="68"/>
      <c r="HD533" s="68"/>
      <c r="HE533" s="68"/>
      <c r="HF533" s="68"/>
      <c r="HG533" s="68"/>
      <c r="HH533" s="68"/>
      <c r="HI533" s="68"/>
      <c r="HJ533" s="68"/>
      <c r="HK533" s="68"/>
      <c r="HL533" s="68"/>
      <c r="HM533" s="68"/>
      <c r="HP533" s="68"/>
      <c r="HQ533" s="68"/>
      <c r="HR533" s="68"/>
      <c r="HS533" s="68"/>
      <c r="HT533" s="68"/>
      <c r="HU533" s="68"/>
      <c r="HV533" s="68"/>
      <c r="HW533" s="68"/>
      <c r="HX533" s="68"/>
      <c r="HY533" s="68"/>
      <c r="HZ533" s="68"/>
      <c r="IA533" s="68"/>
      <c r="IB533" s="68"/>
      <c r="IC533" s="68"/>
      <c r="ID533" s="68"/>
      <c r="IE533" s="68"/>
      <c r="IF533" s="68"/>
      <c r="IG533" s="68"/>
      <c r="IH533" s="68"/>
      <c r="II533" s="68"/>
      <c r="IJ533" s="68"/>
      <c r="IK533" s="68"/>
      <c r="IL533" s="68"/>
      <c r="IM533" s="68"/>
      <c r="IN533" s="68"/>
      <c r="IO533" s="68"/>
      <c r="IP533" s="68"/>
      <c r="IQ533" s="68"/>
      <c r="IR533" s="68"/>
      <c r="IS533" s="68"/>
      <c r="IT533" s="68"/>
      <c r="IU533" s="68"/>
      <c r="IV533" s="68"/>
      <c r="IW533" s="68"/>
      <c r="IX533" s="68"/>
      <c r="IY533" s="68"/>
    </row>
    <row r="534" spans="210:259" hidden="1" x14ac:dyDescent="0.3">
      <c r="HB534" s="68"/>
      <c r="HC534" s="68"/>
      <c r="HD534" s="68"/>
      <c r="HE534" s="68"/>
      <c r="HF534" s="68"/>
      <c r="HG534" s="68"/>
      <c r="HH534" s="68"/>
      <c r="HI534" s="68"/>
      <c r="HJ534" s="68"/>
      <c r="HK534" s="68"/>
      <c r="HL534" s="68"/>
      <c r="HM534" s="68"/>
      <c r="HP534" s="68"/>
      <c r="HQ534" s="68"/>
      <c r="HR534" s="68"/>
      <c r="HS534" s="68"/>
      <c r="HT534" s="68"/>
      <c r="HU534" s="68"/>
      <c r="HV534" s="68"/>
      <c r="HW534" s="68"/>
      <c r="HX534" s="68"/>
      <c r="HY534" s="68"/>
      <c r="HZ534" s="68"/>
      <c r="IA534" s="68"/>
      <c r="IB534" s="68"/>
      <c r="IC534" s="68"/>
      <c r="ID534" s="68"/>
      <c r="IE534" s="68"/>
      <c r="IF534" s="68"/>
      <c r="IG534" s="68"/>
      <c r="IH534" s="68"/>
      <c r="II534" s="68"/>
      <c r="IJ534" s="68"/>
      <c r="IK534" s="68"/>
      <c r="IL534" s="68"/>
      <c r="IM534" s="68"/>
      <c r="IN534" s="68"/>
      <c r="IO534" s="68"/>
      <c r="IP534" s="68"/>
      <c r="IQ534" s="68"/>
      <c r="IR534" s="68"/>
      <c r="IS534" s="68"/>
      <c r="IT534" s="68"/>
      <c r="IU534" s="68"/>
      <c r="IV534" s="68"/>
      <c r="IW534" s="68"/>
      <c r="IX534" s="68"/>
      <c r="IY534" s="68"/>
    </row>
    <row r="535" spans="210:259" hidden="1" x14ac:dyDescent="0.3">
      <c r="HB535" s="68"/>
      <c r="HC535" s="68"/>
      <c r="HD535" s="68"/>
      <c r="HE535" s="68"/>
      <c r="HF535" s="68"/>
      <c r="HG535" s="68"/>
      <c r="HH535" s="68"/>
      <c r="HI535" s="68"/>
      <c r="HJ535" s="68"/>
      <c r="HK535" s="68"/>
      <c r="HL535" s="68"/>
      <c r="HM535" s="68"/>
      <c r="HP535" s="68"/>
      <c r="HQ535" s="68"/>
      <c r="HR535" s="68"/>
      <c r="HS535" s="68"/>
      <c r="HT535" s="68"/>
      <c r="HU535" s="68"/>
      <c r="HV535" s="68"/>
      <c r="HW535" s="68"/>
      <c r="HX535" s="68"/>
      <c r="HY535" s="68"/>
      <c r="HZ535" s="68"/>
      <c r="IA535" s="68"/>
      <c r="IB535" s="68"/>
      <c r="IC535" s="68"/>
      <c r="ID535" s="68"/>
      <c r="IE535" s="68"/>
      <c r="IF535" s="68"/>
      <c r="IG535" s="68"/>
      <c r="IH535" s="68"/>
      <c r="II535" s="68"/>
      <c r="IJ535" s="68"/>
      <c r="IK535" s="68"/>
      <c r="IL535" s="68"/>
      <c r="IM535" s="68"/>
      <c r="IN535" s="68"/>
      <c r="IO535" s="68"/>
      <c r="IP535" s="68"/>
      <c r="IQ535" s="68"/>
      <c r="IR535" s="68"/>
      <c r="IS535" s="68"/>
      <c r="IT535" s="68"/>
      <c r="IU535" s="68"/>
      <c r="IV535" s="68"/>
      <c r="IW535" s="68"/>
      <c r="IX535" s="68"/>
      <c r="IY535" s="68"/>
    </row>
    <row r="536" spans="210:259" hidden="1" x14ac:dyDescent="0.3">
      <c r="HB536" s="68"/>
      <c r="HC536" s="68"/>
      <c r="HD536" s="68"/>
      <c r="HE536" s="68"/>
      <c r="HF536" s="68"/>
      <c r="HG536" s="68"/>
      <c r="HH536" s="68"/>
      <c r="HI536" s="68"/>
      <c r="HJ536" s="68"/>
      <c r="HK536" s="68"/>
      <c r="HL536" s="68"/>
      <c r="HM536" s="68"/>
      <c r="HP536" s="68"/>
      <c r="HQ536" s="68"/>
      <c r="HR536" s="68"/>
      <c r="HS536" s="68"/>
      <c r="HT536" s="68"/>
      <c r="HU536" s="68"/>
      <c r="HV536" s="68"/>
      <c r="HW536" s="68"/>
      <c r="HX536" s="68"/>
      <c r="HY536" s="68"/>
      <c r="HZ536" s="68"/>
      <c r="IA536" s="68"/>
      <c r="IB536" s="68"/>
      <c r="IC536" s="68"/>
      <c r="ID536" s="68"/>
      <c r="IE536" s="68"/>
      <c r="IF536" s="68"/>
      <c r="IG536" s="68"/>
      <c r="IH536" s="68"/>
      <c r="II536" s="68"/>
      <c r="IJ536" s="68"/>
      <c r="IK536" s="68"/>
      <c r="IL536" s="68"/>
      <c r="IM536" s="68"/>
      <c r="IN536" s="68"/>
      <c r="IO536" s="68"/>
      <c r="IP536" s="68"/>
      <c r="IQ536" s="68"/>
      <c r="IR536" s="68"/>
      <c r="IS536" s="68"/>
      <c r="IT536" s="68"/>
      <c r="IU536" s="68"/>
      <c r="IV536" s="68"/>
      <c r="IW536" s="68"/>
      <c r="IX536" s="68"/>
      <c r="IY536" s="68"/>
    </row>
    <row r="537" spans="210:259" hidden="1" x14ac:dyDescent="0.3">
      <c r="HB537" s="68"/>
      <c r="HC537" s="68"/>
      <c r="HD537" s="68"/>
      <c r="HE537" s="68"/>
      <c r="HF537" s="68"/>
      <c r="HG537" s="68"/>
      <c r="HH537" s="68"/>
      <c r="HI537" s="68"/>
      <c r="HJ537" s="68"/>
      <c r="HK537" s="68"/>
      <c r="HL537" s="68"/>
      <c r="HM537" s="68"/>
      <c r="HP537" s="68"/>
      <c r="HQ537" s="68"/>
      <c r="HR537" s="68"/>
      <c r="HS537" s="68"/>
      <c r="HT537" s="68"/>
      <c r="HU537" s="68"/>
      <c r="HV537" s="68"/>
      <c r="HW537" s="68"/>
      <c r="HX537" s="68"/>
      <c r="HY537" s="68"/>
      <c r="HZ537" s="68"/>
      <c r="IA537" s="68"/>
      <c r="IB537" s="68"/>
      <c r="IC537" s="68"/>
      <c r="ID537" s="68"/>
      <c r="IE537" s="68"/>
      <c r="IF537" s="68"/>
      <c r="IG537" s="68"/>
      <c r="IH537" s="68"/>
      <c r="II537" s="68"/>
      <c r="IJ537" s="68"/>
      <c r="IK537" s="68"/>
      <c r="IL537" s="68"/>
      <c r="IM537" s="68"/>
      <c r="IN537" s="68"/>
      <c r="IO537" s="68"/>
      <c r="IP537" s="68"/>
      <c r="IQ537" s="68"/>
      <c r="IR537" s="68"/>
      <c r="IS537" s="68"/>
      <c r="IT537" s="68"/>
      <c r="IU537" s="68"/>
      <c r="IV537" s="68"/>
      <c r="IW537" s="68"/>
      <c r="IX537" s="68"/>
      <c r="IY537" s="68"/>
    </row>
    <row r="538" spans="210:259" hidden="1" x14ac:dyDescent="0.3">
      <c r="HB538" s="68"/>
      <c r="HC538" s="68"/>
      <c r="HD538" s="68"/>
      <c r="HE538" s="68"/>
      <c r="HF538" s="68"/>
      <c r="HG538" s="68"/>
      <c r="HH538" s="68"/>
      <c r="HI538" s="68"/>
      <c r="HJ538" s="68"/>
      <c r="HK538" s="68"/>
      <c r="HL538" s="68"/>
      <c r="HM538" s="68"/>
      <c r="HP538" s="68"/>
      <c r="HQ538" s="68"/>
      <c r="HR538" s="68"/>
      <c r="HS538" s="68"/>
      <c r="HT538" s="68"/>
      <c r="HU538" s="68"/>
      <c r="HV538" s="68"/>
      <c r="HW538" s="68"/>
      <c r="HX538" s="68"/>
      <c r="HY538" s="68"/>
      <c r="HZ538" s="68"/>
      <c r="IA538" s="68"/>
      <c r="IB538" s="68"/>
      <c r="IC538" s="68"/>
      <c r="ID538" s="68"/>
      <c r="IE538" s="68"/>
      <c r="IF538" s="68"/>
      <c r="IG538" s="68"/>
      <c r="IH538" s="68"/>
      <c r="II538" s="68"/>
      <c r="IJ538" s="68"/>
      <c r="IK538" s="68"/>
      <c r="IL538" s="68"/>
      <c r="IM538" s="68"/>
      <c r="IN538" s="68"/>
      <c r="IO538" s="68"/>
      <c r="IP538" s="68"/>
      <c r="IQ538" s="68"/>
      <c r="IR538" s="68"/>
      <c r="IS538" s="68"/>
      <c r="IT538" s="68"/>
      <c r="IU538" s="68"/>
      <c r="IV538" s="68"/>
      <c r="IW538" s="68"/>
      <c r="IX538" s="68"/>
      <c r="IY538" s="68"/>
    </row>
    <row r="539" spans="210:259" hidden="1" x14ac:dyDescent="0.3">
      <c r="HB539" s="68"/>
      <c r="HC539" s="68"/>
      <c r="HD539" s="68"/>
      <c r="HE539" s="68"/>
      <c r="HF539" s="68"/>
      <c r="HG539" s="68"/>
      <c r="HH539" s="68"/>
      <c r="HI539" s="68"/>
      <c r="HJ539" s="68"/>
      <c r="HK539" s="68"/>
      <c r="HL539" s="68"/>
      <c r="HM539" s="68"/>
      <c r="HP539" s="68"/>
      <c r="HQ539" s="68"/>
      <c r="HR539" s="68"/>
      <c r="HS539" s="68"/>
      <c r="HT539" s="68"/>
      <c r="HU539" s="68"/>
      <c r="HV539" s="68"/>
      <c r="HW539" s="68"/>
      <c r="HX539" s="68"/>
      <c r="HY539" s="68"/>
      <c r="HZ539" s="68"/>
      <c r="IA539" s="68"/>
      <c r="IB539" s="68"/>
      <c r="IC539" s="68"/>
      <c r="ID539" s="68"/>
      <c r="IE539" s="68"/>
      <c r="IF539" s="68"/>
      <c r="IG539" s="68"/>
      <c r="IH539" s="68"/>
      <c r="II539" s="68"/>
      <c r="IJ539" s="68"/>
      <c r="IK539" s="68"/>
      <c r="IL539" s="68"/>
      <c r="IM539" s="68"/>
      <c r="IN539" s="68"/>
      <c r="IO539" s="68"/>
      <c r="IP539" s="68"/>
      <c r="IQ539" s="68"/>
      <c r="IR539" s="68"/>
      <c r="IS539" s="68"/>
      <c r="IT539" s="68"/>
      <c r="IU539" s="68"/>
      <c r="IV539" s="68"/>
      <c r="IW539" s="68"/>
      <c r="IX539" s="68"/>
      <c r="IY539" s="68"/>
    </row>
    <row r="540" spans="210:259" hidden="1" x14ac:dyDescent="0.3">
      <c r="HB540" s="68"/>
      <c r="HC540" s="68"/>
      <c r="HD540" s="68"/>
      <c r="HE540" s="68"/>
      <c r="HF540" s="68"/>
      <c r="HG540" s="68"/>
      <c r="HH540" s="68"/>
      <c r="HI540" s="68"/>
      <c r="HJ540" s="68"/>
      <c r="HK540" s="68"/>
      <c r="HL540" s="68"/>
      <c r="HM540" s="68"/>
      <c r="HP540" s="68"/>
      <c r="HQ540" s="68"/>
      <c r="HR540" s="68"/>
      <c r="HS540" s="68"/>
      <c r="HT540" s="68"/>
      <c r="HU540" s="68"/>
      <c r="HV540" s="68"/>
      <c r="HW540" s="68"/>
      <c r="HX540" s="68"/>
      <c r="HY540" s="68"/>
      <c r="HZ540" s="68"/>
      <c r="IA540" s="68"/>
      <c r="IB540" s="68"/>
      <c r="IC540" s="68"/>
      <c r="ID540" s="68"/>
      <c r="IE540" s="68"/>
      <c r="IF540" s="68"/>
      <c r="IG540" s="68"/>
      <c r="IH540" s="68"/>
      <c r="II540" s="68"/>
      <c r="IJ540" s="68"/>
      <c r="IK540" s="68"/>
      <c r="IL540" s="68"/>
      <c r="IM540" s="68"/>
      <c r="IN540" s="68"/>
      <c r="IO540" s="68"/>
      <c r="IP540" s="68"/>
      <c r="IQ540" s="68"/>
      <c r="IR540" s="68"/>
      <c r="IS540" s="68"/>
      <c r="IT540" s="68"/>
      <c r="IU540" s="68"/>
      <c r="IV540" s="68"/>
      <c r="IW540" s="68"/>
      <c r="IX540" s="68"/>
      <c r="IY540" s="68"/>
    </row>
    <row r="541" spans="210:259" hidden="1" x14ac:dyDescent="0.3">
      <c r="HB541" s="68"/>
      <c r="HC541" s="68"/>
      <c r="HD541" s="68"/>
      <c r="HE541" s="68"/>
      <c r="HF541" s="68"/>
      <c r="HG541" s="68"/>
      <c r="HH541" s="68"/>
      <c r="HI541" s="68"/>
      <c r="HJ541" s="68"/>
      <c r="HK541" s="68"/>
      <c r="HL541" s="68"/>
      <c r="HM541" s="68"/>
      <c r="HP541" s="68"/>
      <c r="HQ541" s="68"/>
      <c r="HR541" s="68"/>
      <c r="HS541" s="68"/>
      <c r="HT541" s="68"/>
      <c r="HU541" s="68"/>
      <c r="HV541" s="68"/>
      <c r="HW541" s="68"/>
      <c r="HX541" s="68"/>
      <c r="HY541" s="68"/>
      <c r="HZ541" s="68"/>
      <c r="IA541" s="68"/>
      <c r="IB541" s="68"/>
      <c r="IC541" s="68"/>
      <c r="ID541" s="68"/>
      <c r="IE541" s="68"/>
      <c r="IF541" s="68"/>
      <c r="IG541" s="68"/>
      <c r="IH541" s="68"/>
      <c r="II541" s="68"/>
      <c r="IJ541" s="68"/>
      <c r="IK541" s="68"/>
      <c r="IL541" s="68"/>
      <c r="IM541" s="68"/>
      <c r="IN541" s="68"/>
      <c r="IO541" s="68"/>
      <c r="IP541" s="68"/>
      <c r="IQ541" s="68"/>
      <c r="IR541" s="68"/>
      <c r="IS541" s="68"/>
      <c r="IT541" s="68"/>
      <c r="IU541" s="68"/>
      <c r="IV541" s="68"/>
      <c r="IW541" s="68"/>
      <c r="IX541" s="68"/>
      <c r="IY541" s="68"/>
    </row>
    <row r="542" spans="210:259" hidden="1" x14ac:dyDescent="0.3">
      <c r="HB542" s="68"/>
      <c r="HC542" s="68"/>
      <c r="HD542" s="68"/>
      <c r="HE542" s="68"/>
      <c r="HF542" s="68"/>
      <c r="HG542" s="68"/>
      <c r="HH542" s="68"/>
      <c r="HI542" s="68"/>
      <c r="HJ542" s="68"/>
      <c r="HK542" s="68"/>
      <c r="HL542" s="68"/>
      <c r="HM542" s="68"/>
      <c r="HP542" s="68"/>
      <c r="HQ542" s="68"/>
      <c r="HR542" s="68"/>
      <c r="HS542" s="68"/>
      <c r="HT542" s="68"/>
      <c r="HU542" s="68"/>
      <c r="HV542" s="68"/>
      <c r="HW542" s="68"/>
      <c r="HX542" s="68"/>
      <c r="HY542" s="68"/>
      <c r="HZ542" s="68"/>
      <c r="IA542" s="68"/>
      <c r="IB542" s="68"/>
      <c r="IC542" s="68"/>
      <c r="ID542" s="68"/>
      <c r="IE542" s="68"/>
      <c r="IF542" s="68"/>
      <c r="IG542" s="68"/>
      <c r="IH542" s="68"/>
      <c r="II542" s="68"/>
      <c r="IJ542" s="68"/>
      <c r="IK542" s="68"/>
      <c r="IL542" s="68"/>
      <c r="IM542" s="68"/>
      <c r="IN542" s="68"/>
      <c r="IO542" s="68"/>
      <c r="IP542" s="68"/>
      <c r="IQ542" s="68"/>
      <c r="IR542" s="68"/>
      <c r="IS542" s="68"/>
      <c r="IT542" s="68"/>
      <c r="IU542" s="68"/>
      <c r="IV542" s="68"/>
      <c r="IW542" s="68"/>
      <c r="IX542" s="68"/>
      <c r="IY542" s="68"/>
    </row>
    <row r="543" spans="210:259" hidden="1" x14ac:dyDescent="0.3">
      <c r="HB543" s="68"/>
      <c r="HC543" s="68"/>
      <c r="HD543" s="68"/>
      <c r="HE543" s="68"/>
      <c r="HF543" s="68"/>
      <c r="HG543" s="68"/>
      <c r="HH543" s="68"/>
      <c r="HI543" s="68"/>
      <c r="HJ543" s="68"/>
      <c r="HK543" s="68"/>
      <c r="HL543" s="68"/>
      <c r="HM543" s="68"/>
      <c r="HP543" s="68"/>
      <c r="HQ543" s="68"/>
      <c r="HR543" s="68"/>
      <c r="HS543" s="68"/>
      <c r="HT543" s="68"/>
      <c r="HU543" s="68"/>
      <c r="HV543" s="68"/>
      <c r="HW543" s="68"/>
      <c r="HX543" s="68"/>
      <c r="HY543" s="68"/>
      <c r="HZ543" s="68"/>
      <c r="IA543" s="68"/>
      <c r="IB543" s="68"/>
      <c r="IC543" s="68"/>
      <c r="ID543" s="68"/>
      <c r="IE543" s="68"/>
      <c r="IF543" s="68"/>
      <c r="IG543" s="68"/>
      <c r="IH543" s="68"/>
      <c r="II543" s="68"/>
      <c r="IJ543" s="68"/>
      <c r="IK543" s="68"/>
      <c r="IL543" s="68"/>
      <c r="IM543" s="68"/>
      <c r="IN543" s="68"/>
      <c r="IO543" s="68"/>
      <c r="IP543" s="68"/>
      <c r="IQ543" s="68"/>
      <c r="IR543" s="68"/>
      <c r="IS543" s="68"/>
      <c r="IT543" s="68"/>
      <c r="IU543" s="68"/>
      <c r="IV543" s="68"/>
      <c r="IW543" s="68"/>
      <c r="IX543" s="68"/>
      <c r="IY543" s="68"/>
    </row>
    <row r="544" spans="210:259" hidden="1" x14ac:dyDescent="0.3">
      <c r="HB544" s="68"/>
      <c r="HC544" s="68"/>
      <c r="HD544" s="68"/>
      <c r="HE544" s="68"/>
      <c r="HF544" s="68"/>
      <c r="HG544" s="68"/>
      <c r="HH544" s="68"/>
      <c r="HI544" s="68"/>
      <c r="HJ544" s="68"/>
      <c r="HK544" s="68"/>
      <c r="HL544" s="68"/>
      <c r="HM544" s="68"/>
      <c r="HP544" s="68"/>
      <c r="HQ544" s="68"/>
      <c r="HR544" s="68"/>
      <c r="HS544" s="68"/>
      <c r="HT544" s="68"/>
      <c r="HU544" s="68"/>
      <c r="HV544" s="68"/>
      <c r="HW544" s="68"/>
      <c r="HX544" s="68"/>
      <c r="HY544" s="68"/>
      <c r="HZ544" s="68"/>
      <c r="IA544" s="68"/>
      <c r="IB544" s="68"/>
      <c r="IC544" s="68"/>
      <c r="ID544" s="68"/>
      <c r="IE544" s="68"/>
      <c r="IF544" s="68"/>
      <c r="IG544" s="68"/>
      <c r="IH544" s="68"/>
      <c r="II544" s="68"/>
      <c r="IJ544" s="68"/>
      <c r="IK544" s="68"/>
      <c r="IL544" s="68"/>
      <c r="IM544" s="68"/>
      <c r="IN544" s="68"/>
      <c r="IO544" s="68"/>
      <c r="IP544" s="68"/>
      <c r="IQ544" s="68"/>
      <c r="IR544" s="68"/>
      <c r="IS544" s="68"/>
      <c r="IT544" s="68"/>
      <c r="IU544" s="68"/>
      <c r="IV544" s="68"/>
      <c r="IW544" s="68"/>
      <c r="IX544" s="68"/>
      <c r="IY544" s="68"/>
    </row>
    <row r="545" spans="210:259" hidden="1" x14ac:dyDescent="0.3">
      <c r="HB545" s="68"/>
      <c r="HC545" s="68"/>
      <c r="HD545" s="68"/>
      <c r="HE545" s="68"/>
      <c r="HF545" s="68"/>
      <c r="HG545" s="68"/>
      <c r="HH545" s="68"/>
      <c r="HI545" s="68"/>
      <c r="HJ545" s="68"/>
      <c r="HK545" s="68"/>
      <c r="HL545" s="68"/>
      <c r="HM545" s="68"/>
      <c r="HP545" s="68"/>
      <c r="HQ545" s="68"/>
      <c r="HR545" s="68"/>
      <c r="HS545" s="68"/>
      <c r="HT545" s="68"/>
      <c r="HU545" s="68"/>
      <c r="HV545" s="68"/>
      <c r="HW545" s="68"/>
      <c r="HX545" s="68"/>
      <c r="HY545" s="68"/>
      <c r="HZ545" s="68"/>
      <c r="IA545" s="68"/>
      <c r="IB545" s="68"/>
      <c r="IC545" s="68"/>
      <c r="ID545" s="68"/>
      <c r="IE545" s="68"/>
      <c r="IF545" s="68"/>
      <c r="IG545" s="68"/>
      <c r="IH545" s="68"/>
      <c r="II545" s="68"/>
      <c r="IJ545" s="68"/>
      <c r="IK545" s="68"/>
      <c r="IL545" s="68"/>
      <c r="IM545" s="68"/>
      <c r="IN545" s="68"/>
      <c r="IO545" s="68"/>
      <c r="IP545" s="68"/>
      <c r="IQ545" s="68"/>
      <c r="IR545" s="68"/>
      <c r="IS545" s="68"/>
      <c r="IT545" s="68"/>
      <c r="IU545" s="68"/>
      <c r="IV545" s="68"/>
      <c r="IW545" s="68"/>
      <c r="IX545" s="68"/>
      <c r="IY545" s="68"/>
    </row>
    <row r="546" spans="210:259" hidden="1" x14ac:dyDescent="0.3">
      <c r="HB546" s="68"/>
      <c r="HC546" s="68"/>
      <c r="HD546" s="68"/>
      <c r="HE546" s="68"/>
      <c r="HF546" s="68"/>
      <c r="HG546" s="68"/>
      <c r="HH546" s="68"/>
      <c r="HI546" s="68"/>
      <c r="HJ546" s="68"/>
      <c r="HK546" s="68"/>
      <c r="HL546" s="68"/>
      <c r="HM546" s="68"/>
      <c r="HP546" s="68"/>
      <c r="HQ546" s="68"/>
      <c r="HR546" s="68"/>
      <c r="HS546" s="68"/>
      <c r="HT546" s="68"/>
      <c r="HU546" s="68"/>
      <c r="HV546" s="68"/>
      <c r="HW546" s="68"/>
      <c r="HX546" s="68"/>
      <c r="HY546" s="68"/>
      <c r="HZ546" s="68"/>
      <c r="IA546" s="68"/>
      <c r="IB546" s="68"/>
      <c r="IC546" s="68"/>
      <c r="ID546" s="68"/>
      <c r="IE546" s="68"/>
      <c r="IF546" s="68"/>
      <c r="IG546" s="68"/>
      <c r="IH546" s="68"/>
      <c r="II546" s="68"/>
      <c r="IJ546" s="68"/>
      <c r="IK546" s="68"/>
      <c r="IL546" s="68"/>
      <c r="IM546" s="68"/>
      <c r="IN546" s="68"/>
      <c r="IO546" s="68"/>
      <c r="IP546" s="68"/>
      <c r="IQ546" s="68"/>
      <c r="IR546" s="68"/>
      <c r="IS546" s="68"/>
      <c r="IT546" s="68"/>
      <c r="IU546" s="68"/>
      <c r="IV546" s="68"/>
      <c r="IW546" s="68"/>
      <c r="IX546" s="68"/>
      <c r="IY546" s="68"/>
    </row>
    <row r="547" spans="210:259" hidden="1" x14ac:dyDescent="0.3">
      <c r="HB547" s="68"/>
      <c r="HC547" s="68"/>
      <c r="HD547" s="68"/>
      <c r="HE547" s="68"/>
      <c r="HF547" s="68"/>
      <c r="HG547" s="68"/>
      <c r="HH547" s="68"/>
      <c r="HI547" s="68"/>
      <c r="HJ547" s="68"/>
      <c r="HK547" s="68"/>
      <c r="HL547" s="68"/>
      <c r="HM547" s="68"/>
      <c r="HP547" s="68"/>
      <c r="HQ547" s="68"/>
      <c r="HR547" s="68"/>
      <c r="HS547" s="68"/>
      <c r="HT547" s="68"/>
      <c r="HU547" s="68"/>
      <c r="HV547" s="68"/>
      <c r="HW547" s="68"/>
      <c r="HX547" s="68"/>
      <c r="HY547" s="68"/>
      <c r="HZ547" s="68"/>
      <c r="IA547" s="68"/>
      <c r="IB547" s="68"/>
      <c r="IC547" s="68"/>
      <c r="ID547" s="68"/>
      <c r="IE547" s="68"/>
      <c r="IF547" s="68"/>
      <c r="IG547" s="68"/>
      <c r="IH547" s="68"/>
      <c r="II547" s="68"/>
      <c r="IJ547" s="68"/>
      <c r="IK547" s="68"/>
      <c r="IL547" s="68"/>
      <c r="IM547" s="68"/>
      <c r="IN547" s="68"/>
      <c r="IO547" s="68"/>
      <c r="IP547" s="68"/>
      <c r="IQ547" s="68"/>
      <c r="IR547" s="68"/>
      <c r="IS547" s="68"/>
      <c r="IT547" s="68"/>
      <c r="IU547" s="68"/>
      <c r="IV547" s="68"/>
      <c r="IW547" s="68"/>
      <c r="IX547" s="68"/>
      <c r="IY547" s="68"/>
    </row>
    <row r="548" spans="210:259" hidden="1" x14ac:dyDescent="0.3">
      <c r="HB548" s="68"/>
      <c r="HC548" s="68"/>
      <c r="HD548" s="68"/>
      <c r="HE548" s="68"/>
      <c r="HF548" s="68"/>
      <c r="HG548" s="68"/>
      <c r="HH548" s="68"/>
      <c r="HI548" s="68"/>
      <c r="HJ548" s="68"/>
      <c r="HK548" s="68"/>
      <c r="HL548" s="68"/>
      <c r="HM548" s="68"/>
      <c r="HP548" s="68"/>
      <c r="HQ548" s="68"/>
      <c r="HR548" s="68"/>
      <c r="HS548" s="68"/>
      <c r="HT548" s="68"/>
      <c r="HU548" s="68"/>
      <c r="HV548" s="68"/>
      <c r="HW548" s="68"/>
      <c r="HX548" s="68"/>
      <c r="HY548" s="68"/>
      <c r="HZ548" s="68"/>
      <c r="IA548" s="68"/>
      <c r="IB548" s="68"/>
      <c r="IC548" s="68"/>
      <c r="ID548" s="68"/>
      <c r="IE548" s="68"/>
      <c r="IF548" s="68"/>
      <c r="IG548" s="68"/>
      <c r="IH548" s="68"/>
      <c r="II548" s="68"/>
      <c r="IJ548" s="68"/>
      <c r="IK548" s="68"/>
      <c r="IL548" s="68"/>
      <c r="IM548" s="68"/>
      <c r="IN548" s="68"/>
      <c r="IO548" s="68"/>
      <c r="IP548" s="68"/>
      <c r="IQ548" s="68"/>
      <c r="IR548" s="68"/>
      <c r="IS548" s="68"/>
      <c r="IT548" s="68"/>
      <c r="IU548" s="68"/>
      <c r="IV548" s="68"/>
      <c r="IW548" s="68"/>
      <c r="IX548" s="68"/>
      <c r="IY548" s="68"/>
    </row>
    <row r="549" spans="210:259" hidden="1" x14ac:dyDescent="0.3">
      <c r="HB549" s="68"/>
      <c r="HC549" s="68"/>
      <c r="HD549" s="68"/>
      <c r="HE549" s="68"/>
      <c r="HF549" s="68"/>
      <c r="HG549" s="68"/>
      <c r="HH549" s="68"/>
      <c r="HI549" s="68"/>
      <c r="HJ549" s="68"/>
      <c r="HK549" s="68"/>
      <c r="HL549" s="68"/>
      <c r="HM549" s="68"/>
      <c r="HP549" s="68"/>
      <c r="HQ549" s="68"/>
      <c r="HR549" s="68"/>
      <c r="HS549" s="68"/>
      <c r="HT549" s="68"/>
      <c r="HU549" s="68"/>
      <c r="HV549" s="68"/>
      <c r="HW549" s="68"/>
      <c r="HX549" s="68"/>
      <c r="HY549" s="68"/>
      <c r="HZ549" s="68"/>
      <c r="IA549" s="68"/>
      <c r="IB549" s="68"/>
      <c r="IC549" s="68"/>
      <c r="ID549" s="68"/>
      <c r="IE549" s="68"/>
      <c r="IF549" s="68"/>
      <c r="IG549" s="68"/>
      <c r="IH549" s="68"/>
      <c r="II549" s="68"/>
      <c r="IJ549" s="68"/>
      <c r="IK549" s="68"/>
      <c r="IL549" s="68"/>
      <c r="IM549" s="68"/>
      <c r="IN549" s="68"/>
      <c r="IO549" s="68"/>
      <c r="IP549" s="68"/>
      <c r="IQ549" s="68"/>
      <c r="IR549" s="68"/>
      <c r="IS549" s="68"/>
      <c r="IT549" s="68"/>
      <c r="IU549" s="68"/>
      <c r="IV549" s="68"/>
      <c r="IW549" s="68"/>
      <c r="IX549" s="68"/>
      <c r="IY549" s="68"/>
    </row>
    <row r="550" spans="210:259" hidden="1" x14ac:dyDescent="0.3">
      <c r="HB550" s="68"/>
      <c r="HC550" s="68"/>
      <c r="HD550" s="68"/>
      <c r="HE550" s="68"/>
      <c r="HF550" s="68"/>
      <c r="HG550" s="68"/>
      <c r="HH550" s="68"/>
      <c r="HI550" s="68"/>
      <c r="HJ550" s="68"/>
      <c r="HK550" s="68"/>
      <c r="HL550" s="68"/>
      <c r="HM550" s="68"/>
      <c r="HP550" s="68"/>
      <c r="HQ550" s="68"/>
      <c r="HR550" s="68"/>
      <c r="HS550" s="68"/>
      <c r="HT550" s="68"/>
      <c r="HU550" s="68"/>
      <c r="HV550" s="68"/>
      <c r="HW550" s="68"/>
      <c r="HX550" s="68"/>
      <c r="HY550" s="68"/>
      <c r="HZ550" s="68"/>
      <c r="IA550" s="68"/>
      <c r="IB550" s="68"/>
      <c r="IC550" s="68"/>
      <c r="ID550" s="68"/>
      <c r="IE550" s="68"/>
      <c r="IF550" s="68"/>
      <c r="IG550" s="68"/>
      <c r="IH550" s="68"/>
      <c r="II550" s="68"/>
      <c r="IJ550" s="68"/>
      <c r="IK550" s="68"/>
      <c r="IL550" s="68"/>
      <c r="IM550" s="68"/>
      <c r="IN550" s="68"/>
      <c r="IO550" s="68"/>
      <c r="IP550" s="68"/>
      <c r="IQ550" s="68"/>
      <c r="IR550" s="68"/>
      <c r="IS550" s="68"/>
      <c r="IT550" s="68"/>
      <c r="IU550" s="68"/>
      <c r="IV550" s="68"/>
      <c r="IW550" s="68"/>
      <c r="IX550" s="68"/>
      <c r="IY550" s="68"/>
    </row>
    <row r="551" spans="210:259" hidden="1" x14ac:dyDescent="0.3">
      <c r="HB551" s="68"/>
      <c r="HC551" s="68"/>
      <c r="HD551" s="68"/>
      <c r="HE551" s="68"/>
      <c r="HF551" s="68"/>
      <c r="HG551" s="68"/>
      <c r="HH551" s="68"/>
      <c r="HI551" s="68"/>
      <c r="HJ551" s="68"/>
      <c r="HK551" s="68"/>
      <c r="HL551" s="68"/>
      <c r="HM551" s="68"/>
      <c r="HP551" s="68"/>
      <c r="HQ551" s="68"/>
      <c r="HR551" s="68"/>
      <c r="HS551" s="68"/>
      <c r="HT551" s="68"/>
      <c r="HU551" s="68"/>
      <c r="HV551" s="68"/>
      <c r="HW551" s="68"/>
      <c r="HX551" s="68"/>
      <c r="HY551" s="68"/>
      <c r="HZ551" s="68"/>
      <c r="IA551" s="68"/>
      <c r="IB551" s="68"/>
      <c r="IC551" s="68"/>
      <c r="ID551" s="68"/>
      <c r="IE551" s="68"/>
      <c r="IF551" s="68"/>
      <c r="IG551" s="68"/>
      <c r="IH551" s="68"/>
      <c r="II551" s="68"/>
      <c r="IJ551" s="68"/>
      <c r="IK551" s="68"/>
      <c r="IL551" s="68"/>
      <c r="IM551" s="68"/>
      <c r="IN551" s="68"/>
      <c r="IO551" s="68"/>
      <c r="IP551" s="68"/>
      <c r="IQ551" s="68"/>
      <c r="IR551" s="68"/>
      <c r="IS551" s="68"/>
      <c r="IT551" s="68"/>
      <c r="IU551" s="68"/>
      <c r="IV551" s="68"/>
      <c r="IW551" s="68"/>
      <c r="IX551" s="68"/>
      <c r="IY551" s="68"/>
    </row>
    <row r="552" spans="210:259" hidden="1" x14ac:dyDescent="0.3">
      <c r="HB552" s="68"/>
      <c r="HC552" s="68"/>
      <c r="HD552" s="68"/>
      <c r="HE552" s="68"/>
      <c r="HF552" s="68"/>
      <c r="HG552" s="68"/>
      <c r="HH552" s="68"/>
      <c r="HI552" s="68"/>
      <c r="HJ552" s="68"/>
      <c r="HK552" s="68"/>
      <c r="HL552" s="68"/>
      <c r="HM552" s="68"/>
      <c r="HP552" s="68"/>
      <c r="HQ552" s="68"/>
      <c r="HR552" s="68"/>
      <c r="HS552" s="68"/>
      <c r="HT552" s="68"/>
      <c r="HU552" s="68"/>
      <c r="HV552" s="68"/>
      <c r="HW552" s="68"/>
      <c r="HX552" s="68"/>
      <c r="HY552" s="68"/>
      <c r="HZ552" s="68"/>
      <c r="IA552" s="68"/>
      <c r="IB552" s="68"/>
      <c r="IC552" s="68"/>
      <c r="ID552" s="68"/>
      <c r="IE552" s="68"/>
      <c r="IF552" s="68"/>
      <c r="IG552" s="68"/>
      <c r="IH552" s="68"/>
      <c r="II552" s="68"/>
      <c r="IJ552" s="68"/>
      <c r="IK552" s="68"/>
      <c r="IL552" s="68"/>
      <c r="IM552" s="68"/>
      <c r="IN552" s="68"/>
      <c r="IO552" s="68"/>
      <c r="IP552" s="68"/>
      <c r="IQ552" s="68"/>
      <c r="IR552" s="68"/>
      <c r="IS552" s="68"/>
      <c r="IT552" s="68"/>
      <c r="IU552" s="68"/>
      <c r="IV552" s="68"/>
      <c r="IW552" s="68"/>
      <c r="IX552" s="68"/>
      <c r="IY552" s="68"/>
    </row>
    <row r="553" spans="210:259" hidden="1" x14ac:dyDescent="0.3">
      <c r="HB553" s="68"/>
      <c r="HC553" s="68"/>
      <c r="HD553" s="68"/>
      <c r="HE553" s="68"/>
      <c r="HF553" s="68"/>
      <c r="HG553" s="68"/>
      <c r="HH553" s="68"/>
      <c r="HI553" s="68"/>
      <c r="HJ553" s="68"/>
      <c r="HK553" s="68"/>
      <c r="HL553" s="68"/>
      <c r="HM553" s="68"/>
      <c r="HP553" s="68"/>
      <c r="HQ553" s="68"/>
      <c r="HR553" s="68"/>
      <c r="HS553" s="68"/>
      <c r="HT553" s="68"/>
      <c r="HU553" s="68"/>
      <c r="HV553" s="68"/>
      <c r="HW553" s="68"/>
      <c r="HX553" s="68"/>
      <c r="HY553" s="68"/>
      <c r="HZ553" s="68"/>
      <c r="IA553" s="68"/>
      <c r="IB553" s="68"/>
      <c r="IC553" s="68"/>
      <c r="ID553" s="68"/>
      <c r="IE553" s="68"/>
      <c r="IF553" s="68"/>
      <c r="IG553" s="68"/>
      <c r="IH553" s="68"/>
      <c r="II553" s="68"/>
      <c r="IJ553" s="68"/>
      <c r="IK553" s="68"/>
      <c r="IL553" s="68"/>
      <c r="IM553" s="68"/>
      <c r="IN553" s="68"/>
      <c r="IO553" s="68"/>
      <c r="IP553" s="68"/>
      <c r="IQ553" s="68"/>
      <c r="IR553" s="68"/>
      <c r="IS553" s="68"/>
      <c r="IT553" s="68"/>
      <c r="IU553" s="68"/>
      <c r="IV553" s="68"/>
      <c r="IW553" s="68"/>
      <c r="IX553" s="68"/>
      <c r="IY553" s="68"/>
    </row>
    <row r="554" spans="210:259" hidden="1" x14ac:dyDescent="0.3">
      <c r="HB554" s="68"/>
      <c r="HC554" s="68"/>
      <c r="HD554" s="68"/>
      <c r="HE554" s="68"/>
      <c r="HF554" s="68"/>
      <c r="HG554" s="68"/>
      <c r="HH554" s="68"/>
      <c r="HI554" s="68"/>
      <c r="HJ554" s="68"/>
      <c r="HK554" s="68"/>
      <c r="HL554" s="68"/>
      <c r="HM554" s="68"/>
      <c r="HP554" s="68"/>
      <c r="HQ554" s="68"/>
      <c r="HR554" s="68"/>
      <c r="HS554" s="68"/>
      <c r="HT554" s="68"/>
      <c r="HU554" s="68"/>
      <c r="HV554" s="68"/>
      <c r="HW554" s="68"/>
      <c r="HX554" s="68"/>
      <c r="HY554" s="68"/>
      <c r="HZ554" s="68"/>
      <c r="IA554" s="68"/>
      <c r="IB554" s="68"/>
      <c r="IC554" s="68"/>
      <c r="ID554" s="68"/>
      <c r="IE554" s="68"/>
      <c r="IF554" s="68"/>
      <c r="IG554" s="68"/>
      <c r="IH554" s="68"/>
      <c r="II554" s="68"/>
      <c r="IJ554" s="68"/>
      <c r="IK554" s="68"/>
      <c r="IL554" s="68"/>
      <c r="IM554" s="68"/>
      <c r="IN554" s="68"/>
      <c r="IO554" s="68"/>
      <c r="IP554" s="68"/>
      <c r="IQ554" s="68"/>
      <c r="IR554" s="68"/>
      <c r="IS554" s="68"/>
      <c r="IT554" s="68"/>
      <c r="IU554" s="68"/>
      <c r="IV554" s="68"/>
      <c r="IW554" s="68"/>
      <c r="IX554" s="68"/>
      <c r="IY554" s="68"/>
    </row>
    <row r="555" spans="210:259" hidden="1" x14ac:dyDescent="0.3">
      <c r="HB555" s="68"/>
      <c r="HC555" s="68"/>
      <c r="HD555" s="68"/>
      <c r="HE555" s="68"/>
      <c r="HF555" s="68"/>
      <c r="HG555" s="68"/>
      <c r="HH555" s="68"/>
      <c r="HI555" s="68"/>
      <c r="HJ555" s="68"/>
      <c r="HK555" s="68"/>
      <c r="HL555" s="68"/>
      <c r="HM555" s="68"/>
      <c r="HP555" s="68"/>
      <c r="HQ555" s="68"/>
      <c r="HR555" s="68"/>
      <c r="HS555" s="68"/>
      <c r="HT555" s="68"/>
      <c r="HU555" s="68"/>
      <c r="HV555" s="68"/>
      <c r="HW555" s="68"/>
      <c r="HX555" s="68"/>
      <c r="HY555" s="68"/>
      <c r="HZ555" s="68"/>
      <c r="IA555" s="68"/>
      <c r="IB555" s="68"/>
      <c r="IC555" s="68"/>
      <c r="ID555" s="68"/>
      <c r="IE555" s="68"/>
      <c r="IF555" s="68"/>
      <c r="IG555" s="68"/>
      <c r="IH555" s="68"/>
      <c r="II555" s="68"/>
      <c r="IJ555" s="68"/>
      <c r="IK555" s="68"/>
      <c r="IL555" s="68"/>
      <c r="IM555" s="68"/>
      <c r="IN555" s="68"/>
      <c r="IO555" s="68"/>
      <c r="IP555" s="68"/>
      <c r="IQ555" s="68"/>
      <c r="IR555" s="68"/>
      <c r="IS555" s="68"/>
      <c r="IT555" s="68"/>
      <c r="IU555" s="68"/>
      <c r="IV555" s="68"/>
      <c r="IW555" s="68"/>
      <c r="IX555" s="68"/>
      <c r="IY555" s="68"/>
    </row>
    <row r="556" spans="210:259" hidden="1" x14ac:dyDescent="0.3">
      <c r="HB556" s="68"/>
      <c r="HC556" s="68"/>
      <c r="HD556" s="68"/>
      <c r="HE556" s="68"/>
      <c r="HF556" s="68"/>
      <c r="HG556" s="68"/>
      <c r="HH556" s="68"/>
      <c r="HI556" s="68"/>
      <c r="HJ556" s="68"/>
      <c r="HK556" s="68"/>
      <c r="HL556" s="68"/>
      <c r="HM556" s="68"/>
      <c r="HP556" s="68"/>
      <c r="HQ556" s="68"/>
      <c r="HR556" s="68"/>
      <c r="HS556" s="68"/>
      <c r="HT556" s="68"/>
      <c r="HU556" s="68"/>
      <c r="HV556" s="68"/>
      <c r="HW556" s="68"/>
      <c r="HX556" s="68"/>
      <c r="HY556" s="68"/>
      <c r="HZ556" s="68"/>
      <c r="IA556" s="68"/>
      <c r="IB556" s="68"/>
      <c r="IC556" s="68"/>
      <c r="ID556" s="68"/>
      <c r="IE556" s="68"/>
      <c r="IF556" s="68"/>
      <c r="IG556" s="68"/>
      <c r="IH556" s="68"/>
      <c r="II556" s="68"/>
      <c r="IJ556" s="68"/>
      <c r="IK556" s="68"/>
      <c r="IL556" s="68"/>
      <c r="IM556" s="68"/>
      <c r="IN556" s="68"/>
      <c r="IO556" s="68"/>
      <c r="IP556" s="68"/>
      <c r="IQ556" s="68"/>
      <c r="IR556" s="68"/>
      <c r="IS556" s="68"/>
      <c r="IT556" s="68"/>
      <c r="IU556" s="68"/>
      <c r="IV556" s="68"/>
      <c r="IW556" s="68"/>
      <c r="IX556" s="68"/>
      <c r="IY556" s="68"/>
    </row>
    <row r="557" spans="210:259" hidden="1" x14ac:dyDescent="0.3">
      <c r="HB557" s="68"/>
      <c r="HC557" s="68"/>
      <c r="HD557" s="68"/>
      <c r="HE557" s="68"/>
      <c r="HF557" s="68"/>
      <c r="HG557" s="68"/>
      <c r="HH557" s="68"/>
      <c r="HI557" s="68"/>
      <c r="HJ557" s="68"/>
      <c r="HK557" s="68"/>
      <c r="HL557" s="68"/>
      <c r="HM557" s="68"/>
      <c r="HP557" s="68"/>
      <c r="HQ557" s="68"/>
      <c r="HR557" s="68"/>
      <c r="HS557" s="68"/>
      <c r="HT557" s="68"/>
      <c r="HU557" s="68"/>
      <c r="HV557" s="68"/>
      <c r="HW557" s="68"/>
      <c r="HX557" s="68"/>
      <c r="HY557" s="68"/>
      <c r="HZ557" s="68"/>
      <c r="IA557" s="68"/>
      <c r="IB557" s="68"/>
      <c r="IC557" s="68"/>
      <c r="ID557" s="68"/>
      <c r="IE557" s="68"/>
      <c r="IF557" s="68"/>
      <c r="IG557" s="68"/>
      <c r="IH557" s="68"/>
      <c r="II557" s="68"/>
      <c r="IJ557" s="68"/>
      <c r="IK557" s="68"/>
      <c r="IL557" s="68"/>
      <c r="IM557" s="68"/>
      <c r="IN557" s="68"/>
      <c r="IO557" s="68"/>
      <c r="IP557" s="68"/>
      <c r="IQ557" s="68"/>
      <c r="IR557" s="68"/>
      <c r="IS557" s="68"/>
      <c r="IT557" s="68"/>
      <c r="IU557" s="68"/>
      <c r="IV557" s="68"/>
      <c r="IW557" s="68"/>
      <c r="IX557" s="68"/>
      <c r="IY557" s="68"/>
    </row>
    <row r="558" spans="210:259" hidden="1" x14ac:dyDescent="0.3">
      <c r="HB558" s="68"/>
      <c r="HC558" s="68"/>
      <c r="HD558" s="68"/>
      <c r="HE558" s="68"/>
      <c r="HF558" s="68"/>
      <c r="HG558" s="68"/>
      <c r="HH558" s="68"/>
      <c r="HI558" s="68"/>
      <c r="HJ558" s="68"/>
      <c r="HK558" s="68"/>
      <c r="HL558" s="68"/>
      <c r="HM558" s="68"/>
      <c r="HP558" s="68"/>
      <c r="HQ558" s="68"/>
      <c r="HR558" s="68"/>
      <c r="HS558" s="68"/>
      <c r="HT558" s="68"/>
      <c r="HU558" s="68"/>
      <c r="HV558" s="68"/>
      <c r="HW558" s="68"/>
      <c r="HX558" s="68"/>
      <c r="HY558" s="68"/>
      <c r="HZ558" s="68"/>
      <c r="IA558" s="68"/>
      <c r="ID558" s="68"/>
      <c r="IE558" s="68"/>
      <c r="IF558" s="68"/>
      <c r="IG558" s="68"/>
      <c r="IH558" s="68"/>
      <c r="II558" s="68"/>
      <c r="IJ558" s="68"/>
      <c r="IK558" s="68"/>
      <c r="IL558" s="68"/>
      <c r="IM558" s="68"/>
      <c r="IN558" s="68"/>
      <c r="IO558" s="68"/>
      <c r="IP558" s="68"/>
      <c r="IQ558" s="68"/>
      <c r="IR558" s="68"/>
      <c r="IS558" s="68"/>
      <c r="IT558" s="68"/>
      <c r="IU558" s="68"/>
      <c r="IV558" s="68"/>
      <c r="IW558" s="68"/>
      <c r="IX558" s="68"/>
      <c r="IY558" s="68"/>
    </row>
    <row r="559" spans="210:259" hidden="1" x14ac:dyDescent="0.3">
      <c r="HB559" s="68"/>
      <c r="HC559" s="68"/>
      <c r="HD559" s="68"/>
      <c r="HE559" s="68"/>
      <c r="HF559" s="68"/>
      <c r="HG559" s="68"/>
      <c r="HH559" s="68"/>
      <c r="HI559" s="68"/>
      <c r="HJ559" s="68"/>
      <c r="HK559" s="68"/>
      <c r="HL559" s="68"/>
      <c r="HM559" s="68"/>
      <c r="HP559" s="68"/>
      <c r="HQ559" s="68"/>
      <c r="HR559" s="68"/>
      <c r="HS559" s="68"/>
      <c r="HT559" s="68"/>
      <c r="HU559" s="68"/>
      <c r="HV559" s="68"/>
      <c r="HW559" s="68"/>
      <c r="HX559" s="68"/>
      <c r="HY559" s="68"/>
      <c r="HZ559" s="68"/>
      <c r="IA559" s="68"/>
      <c r="ID559" s="68"/>
      <c r="IE559" s="68"/>
      <c r="IF559" s="68"/>
      <c r="IG559" s="68"/>
      <c r="IH559" s="68"/>
      <c r="II559" s="68"/>
      <c r="IJ559" s="68"/>
      <c r="IK559" s="68"/>
      <c r="IL559" s="68"/>
      <c r="IM559" s="68"/>
      <c r="IN559" s="68"/>
      <c r="IO559" s="68"/>
      <c r="IP559" s="68"/>
      <c r="IQ559" s="68"/>
      <c r="IR559" s="68"/>
      <c r="IS559" s="68"/>
      <c r="IT559" s="68"/>
      <c r="IU559" s="68"/>
      <c r="IV559" s="68"/>
      <c r="IW559" s="68"/>
      <c r="IX559" s="68"/>
      <c r="IY559" s="68"/>
    </row>
    <row r="560" spans="210:259" hidden="1" x14ac:dyDescent="0.3">
      <c r="HB560" s="68"/>
      <c r="HC560" s="68"/>
      <c r="HD560" s="68"/>
      <c r="HE560" s="68"/>
      <c r="HF560" s="68"/>
      <c r="HG560" s="68"/>
      <c r="HH560" s="68"/>
      <c r="HI560" s="68"/>
      <c r="HJ560" s="68"/>
      <c r="HK560" s="68"/>
      <c r="HL560" s="68"/>
      <c r="HM560" s="68"/>
      <c r="HP560" s="68"/>
      <c r="HQ560" s="68"/>
      <c r="HR560" s="68"/>
      <c r="HS560" s="68"/>
      <c r="HT560" s="68"/>
      <c r="HU560" s="68"/>
      <c r="HV560" s="68"/>
      <c r="HW560" s="68"/>
      <c r="HX560" s="68"/>
      <c r="HY560" s="68"/>
      <c r="HZ560" s="68"/>
      <c r="IA560" s="68"/>
      <c r="ID560" s="68"/>
      <c r="IE560" s="68"/>
      <c r="IF560" s="68"/>
      <c r="IG560" s="68"/>
      <c r="IH560" s="68"/>
      <c r="II560" s="68"/>
      <c r="IJ560" s="68"/>
      <c r="IK560" s="68"/>
      <c r="IL560" s="68"/>
      <c r="IM560" s="68"/>
      <c r="IN560" s="68"/>
      <c r="IO560" s="68"/>
      <c r="IP560" s="68"/>
      <c r="IQ560" s="68"/>
      <c r="IR560" s="68"/>
      <c r="IS560" s="68"/>
      <c r="IT560" s="68"/>
      <c r="IU560" s="68"/>
      <c r="IV560" s="68"/>
      <c r="IW560" s="68"/>
      <c r="IX560" s="68"/>
      <c r="IY560" s="68"/>
    </row>
    <row r="561" spans="210:259" hidden="1" x14ac:dyDescent="0.3">
      <c r="HB561" s="68"/>
      <c r="HC561" s="68"/>
      <c r="HD561" s="68"/>
      <c r="HE561" s="68"/>
      <c r="HF561" s="68"/>
      <c r="HG561" s="68"/>
      <c r="HH561" s="68"/>
      <c r="HI561" s="68"/>
      <c r="HJ561" s="68"/>
      <c r="HK561" s="68"/>
      <c r="HL561" s="68"/>
      <c r="HM561" s="68"/>
      <c r="HP561" s="68"/>
      <c r="HQ561" s="68"/>
      <c r="HR561" s="68"/>
      <c r="HS561" s="68"/>
      <c r="HT561" s="68"/>
      <c r="HU561" s="68"/>
      <c r="HV561" s="68"/>
      <c r="HW561" s="68"/>
      <c r="HX561" s="68"/>
      <c r="HY561" s="68"/>
      <c r="HZ561" s="68"/>
      <c r="IA561" s="68"/>
      <c r="ID561" s="68"/>
      <c r="IE561" s="68"/>
      <c r="IF561" s="68"/>
      <c r="IG561" s="68"/>
      <c r="IH561" s="68"/>
      <c r="II561" s="68"/>
      <c r="IJ561" s="68"/>
      <c r="IK561" s="68"/>
      <c r="IL561" s="68"/>
      <c r="IM561" s="68"/>
      <c r="IN561" s="68"/>
      <c r="IO561" s="68"/>
      <c r="IP561" s="68"/>
      <c r="IQ561" s="68"/>
      <c r="IR561" s="68"/>
      <c r="IS561" s="68"/>
      <c r="IT561" s="68"/>
      <c r="IU561" s="68"/>
      <c r="IV561" s="68"/>
      <c r="IW561" s="68"/>
      <c r="IX561" s="68"/>
      <c r="IY561" s="68"/>
    </row>
    <row r="562" spans="210:259" hidden="1" x14ac:dyDescent="0.3">
      <c r="HB562" s="68"/>
      <c r="HC562" s="68"/>
      <c r="HD562" s="68"/>
      <c r="HE562" s="68"/>
      <c r="HF562" s="68"/>
      <c r="HG562" s="68"/>
      <c r="HH562" s="68"/>
      <c r="HI562" s="68"/>
      <c r="HJ562" s="68"/>
      <c r="HK562" s="68"/>
      <c r="HL562" s="68"/>
      <c r="HM562" s="68"/>
      <c r="HP562" s="68"/>
      <c r="HQ562" s="68"/>
      <c r="HR562" s="68"/>
      <c r="HS562" s="68"/>
      <c r="HT562" s="68"/>
      <c r="HU562" s="68"/>
      <c r="HV562" s="68"/>
      <c r="HW562" s="68"/>
      <c r="HX562" s="68"/>
      <c r="HY562" s="68"/>
      <c r="HZ562" s="68"/>
      <c r="IA562" s="68"/>
      <c r="ID562" s="68"/>
      <c r="IE562" s="68"/>
      <c r="IF562" s="68"/>
      <c r="IG562" s="68"/>
      <c r="IH562" s="68"/>
      <c r="II562" s="68"/>
      <c r="IJ562" s="68"/>
      <c r="IK562" s="68"/>
      <c r="IL562" s="68"/>
      <c r="IM562" s="68"/>
      <c r="IN562" s="68"/>
      <c r="IO562" s="68"/>
      <c r="IP562" s="68"/>
      <c r="IQ562" s="68"/>
      <c r="IR562" s="68"/>
      <c r="IS562" s="68"/>
      <c r="IT562" s="68"/>
      <c r="IU562" s="68"/>
      <c r="IV562" s="68"/>
      <c r="IW562" s="68"/>
      <c r="IX562" s="68"/>
      <c r="IY562" s="68"/>
    </row>
    <row r="563" spans="210:259" hidden="1" x14ac:dyDescent="0.3">
      <c r="HB563" s="68"/>
      <c r="HC563" s="68"/>
      <c r="HD563" s="68"/>
      <c r="HE563" s="68"/>
      <c r="HF563" s="68"/>
      <c r="HG563" s="68"/>
      <c r="HH563" s="68"/>
      <c r="HI563" s="68"/>
      <c r="HJ563" s="68"/>
      <c r="HK563" s="68"/>
      <c r="HL563" s="68"/>
      <c r="HM563" s="68"/>
      <c r="HP563" s="68"/>
      <c r="HQ563" s="68"/>
      <c r="HR563" s="68"/>
      <c r="HS563" s="68"/>
      <c r="HT563" s="68"/>
      <c r="HU563" s="68"/>
      <c r="HV563" s="68"/>
      <c r="HW563" s="68"/>
      <c r="HX563" s="68"/>
      <c r="HY563" s="68"/>
      <c r="HZ563" s="68"/>
      <c r="IA563" s="68"/>
      <c r="ID563" s="68"/>
      <c r="IE563" s="68"/>
      <c r="IF563" s="68"/>
      <c r="IG563" s="68"/>
      <c r="IH563" s="68"/>
      <c r="II563" s="68"/>
      <c r="IJ563" s="68"/>
      <c r="IK563" s="68"/>
      <c r="IL563" s="68"/>
      <c r="IM563" s="68"/>
      <c r="IN563" s="68"/>
      <c r="IO563" s="68"/>
      <c r="IP563" s="68"/>
      <c r="IQ563" s="68"/>
      <c r="IR563" s="68"/>
      <c r="IS563" s="68"/>
      <c r="IT563" s="68"/>
      <c r="IU563" s="68"/>
      <c r="IV563" s="68"/>
      <c r="IW563" s="68"/>
      <c r="IX563" s="68"/>
      <c r="IY563" s="68"/>
    </row>
    <row r="564" spans="210:259" hidden="1" x14ac:dyDescent="0.3">
      <c r="HB564" s="68"/>
      <c r="HC564" s="68"/>
      <c r="HD564" s="68"/>
      <c r="HE564" s="68"/>
      <c r="HF564" s="68"/>
      <c r="HG564" s="68"/>
      <c r="HH564" s="68"/>
      <c r="HI564" s="68"/>
      <c r="HJ564" s="68"/>
      <c r="HK564" s="68"/>
      <c r="HL564" s="68"/>
      <c r="HM564" s="68"/>
      <c r="HP564" s="68"/>
      <c r="HQ564" s="68"/>
      <c r="HR564" s="68"/>
      <c r="HS564" s="68"/>
      <c r="HT564" s="68"/>
      <c r="HU564" s="68"/>
      <c r="HV564" s="68"/>
      <c r="HW564" s="68"/>
      <c r="HX564" s="68"/>
      <c r="HY564" s="68"/>
      <c r="HZ564" s="68"/>
      <c r="IA564" s="68"/>
    </row>
    <row r="565" spans="210:259" hidden="1" x14ac:dyDescent="0.3">
      <c r="HB565" s="68"/>
      <c r="HC565" s="68"/>
      <c r="HD565" s="68"/>
      <c r="HE565" s="68"/>
      <c r="HF565" s="68"/>
      <c r="HG565" s="68"/>
      <c r="HH565" s="68"/>
      <c r="HI565" s="68"/>
      <c r="HJ565" s="68"/>
      <c r="HK565" s="68"/>
      <c r="HL565" s="68"/>
      <c r="HM565" s="68"/>
      <c r="HP565" s="68"/>
      <c r="HQ565" s="68"/>
      <c r="HR565" s="68"/>
      <c r="HS565" s="68"/>
      <c r="HT565" s="68"/>
      <c r="HU565" s="68"/>
      <c r="HV565" s="68"/>
      <c r="HW565" s="68"/>
      <c r="HX565" s="68"/>
      <c r="HY565" s="68"/>
      <c r="HZ565" s="68"/>
      <c r="IA565" s="68"/>
    </row>
    <row r="566" spans="210:259" hidden="1" x14ac:dyDescent="0.3">
      <c r="HB566" s="68"/>
      <c r="HC566" s="68"/>
      <c r="HD566" s="68"/>
      <c r="HE566" s="68"/>
      <c r="HF566" s="68"/>
      <c r="HG566" s="68"/>
      <c r="HH566" s="68"/>
      <c r="HI566" s="68"/>
      <c r="HJ566" s="68"/>
      <c r="HK566" s="68"/>
      <c r="HL566" s="68"/>
      <c r="HM566" s="68"/>
      <c r="HP566" s="68"/>
      <c r="HQ566" s="68"/>
      <c r="HR566" s="68"/>
      <c r="HS566" s="68"/>
      <c r="HT566" s="68"/>
      <c r="HU566" s="68"/>
      <c r="HV566" s="68"/>
      <c r="HW566" s="68"/>
      <c r="HX566" s="68"/>
      <c r="HY566" s="68"/>
      <c r="HZ566" s="68"/>
      <c r="IA566" s="68"/>
    </row>
    <row r="567" spans="210:259" hidden="1" x14ac:dyDescent="0.3">
      <c r="HB567" s="68"/>
      <c r="HC567" s="68"/>
      <c r="HD567" s="68"/>
      <c r="HE567" s="68"/>
      <c r="HF567" s="68"/>
      <c r="HG567" s="68"/>
      <c r="HH567" s="68"/>
      <c r="HI567" s="68"/>
      <c r="HJ567" s="68"/>
      <c r="HK567" s="68"/>
      <c r="HL567" s="68"/>
      <c r="HM567" s="68"/>
      <c r="HP567" s="68"/>
      <c r="HQ567" s="68"/>
      <c r="HR567" s="68"/>
      <c r="HS567" s="68"/>
      <c r="HT567" s="68"/>
      <c r="HU567" s="68"/>
      <c r="HV567" s="68"/>
      <c r="HW567" s="68"/>
      <c r="HX567" s="68"/>
      <c r="HY567" s="68"/>
      <c r="HZ567" s="68"/>
      <c r="IA567" s="68"/>
    </row>
    <row r="568" spans="210:259" hidden="1" x14ac:dyDescent="0.3">
      <c r="HB568" s="68"/>
      <c r="HC568" s="68"/>
      <c r="HD568" s="68"/>
      <c r="HE568" s="68"/>
      <c r="HF568" s="68"/>
      <c r="HG568" s="68"/>
      <c r="HH568" s="68"/>
      <c r="HI568" s="68"/>
      <c r="HJ568" s="68"/>
      <c r="HK568" s="68"/>
      <c r="HL568" s="68"/>
      <c r="HM568" s="68"/>
      <c r="HP568" s="68"/>
      <c r="HQ568" s="68"/>
      <c r="HR568" s="68"/>
      <c r="HS568" s="68"/>
      <c r="HT568" s="68"/>
      <c r="HU568" s="68"/>
      <c r="HV568" s="68"/>
      <c r="HW568" s="68"/>
      <c r="HX568" s="68"/>
      <c r="HY568" s="68"/>
      <c r="HZ568" s="68"/>
      <c r="IA568" s="68"/>
    </row>
    <row r="569" spans="210:259" hidden="1" x14ac:dyDescent="0.3">
      <c r="HB569" s="68"/>
      <c r="HC569" s="68"/>
      <c r="HD569" s="68"/>
      <c r="HE569" s="68"/>
      <c r="HF569" s="68"/>
      <c r="HG569" s="68"/>
      <c r="HH569" s="68"/>
      <c r="HI569" s="68"/>
      <c r="HJ569" s="68"/>
      <c r="HK569" s="68"/>
      <c r="HL569" s="68"/>
      <c r="HM569" s="68"/>
      <c r="HP569" s="68"/>
      <c r="HQ569" s="68"/>
      <c r="HR569" s="68"/>
      <c r="HS569" s="68"/>
      <c r="HT569" s="68"/>
      <c r="HU569" s="68"/>
      <c r="HV569" s="68"/>
      <c r="HW569" s="68"/>
      <c r="HX569" s="68"/>
      <c r="HY569" s="68"/>
      <c r="HZ569" s="68"/>
      <c r="IA569" s="68"/>
    </row>
    <row r="570" spans="210:259" hidden="1" x14ac:dyDescent="0.3">
      <c r="HB570" s="68"/>
      <c r="HC570" s="68"/>
      <c r="HD570" s="68"/>
      <c r="HE570" s="68"/>
      <c r="HF570" s="68"/>
      <c r="HG570" s="68"/>
      <c r="HH570" s="68"/>
      <c r="HI570" s="68"/>
      <c r="HJ570" s="68"/>
      <c r="HK570" s="68"/>
      <c r="HL570" s="68"/>
      <c r="HM570" s="68"/>
      <c r="HP570" s="68"/>
      <c r="HQ570" s="68"/>
      <c r="HR570" s="68"/>
      <c r="HS570" s="68"/>
      <c r="HT570" s="68"/>
      <c r="HU570" s="68"/>
      <c r="HV570" s="68"/>
      <c r="HW570" s="68"/>
      <c r="HX570" s="68"/>
      <c r="HY570" s="68"/>
      <c r="HZ570" s="68"/>
      <c r="IA570" s="68"/>
    </row>
    <row r="571" spans="210:259" hidden="1" x14ac:dyDescent="0.3">
      <c r="HB571" s="68"/>
      <c r="HC571" s="68"/>
      <c r="HD571" s="68"/>
      <c r="HE571" s="68"/>
      <c r="HF571" s="68"/>
      <c r="HG571" s="68"/>
      <c r="HH571" s="68"/>
      <c r="HI571" s="68"/>
      <c r="HJ571" s="68"/>
      <c r="HK571" s="68"/>
      <c r="HL571" s="68"/>
      <c r="HM571" s="68"/>
      <c r="HP571" s="68"/>
      <c r="HQ571" s="68"/>
      <c r="HR571" s="68"/>
      <c r="HS571" s="68"/>
      <c r="HT571" s="68"/>
      <c r="HU571" s="68"/>
      <c r="HV571" s="68"/>
      <c r="HW571" s="68"/>
      <c r="HX571" s="68"/>
      <c r="HY571" s="68"/>
      <c r="HZ571" s="68"/>
      <c r="IA571" s="68"/>
    </row>
    <row r="572" spans="210:259" hidden="1" x14ac:dyDescent="0.3">
      <c r="HB572" s="68"/>
      <c r="HC572" s="68"/>
      <c r="HD572" s="68"/>
      <c r="HE572" s="68"/>
      <c r="HF572" s="68"/>
      <c r="HG572" s="68"/>
      <c r="HH572" s="68"/>
      <c r="HI572" s="68"/>
      <c r="HJ572" s="68"/>
      <c r="HK572" s="68"/>
      <c r="HL572" s="68"/>
      <c r="HM572" s="68"/>
      <c r="HP572" s="68"/>
      <c r="HQ572" s="68"/>
      <c r="HR572" s="68"/>
      <c r="HS572" s="68"/>
      <c r="HT572" s="68"/>
      <c r="HU572" s="68"/>
      <c r="HV572" s="68"/>
      <c r="HW572" s="68"/>
      <c r="HX572" s="68"/>
      <c r="HY572" s="68"/>
      <c r="HZ572" s="68"/>
      <c r="IA572" s="68"/>
    </row>
    <row r="573" spans="210:259" hidden="1" x14ac:dyDescent="0.3">
      <c r="HB573" s="68"/>
      <c r="HC573" s="68"/>
      <c r="HD573" s="68"/>
      <c r="HE573" s="68"/>
      <c r="HF573" s="68"/>
      <c r="HG573" s="68"/>
      <c r="HH573" s="68"/>
      <c r="HI573" s="68"/>
      <c r="HJ573" s="68"/>
      <c r="HK573" s="68"/>
      <c r="HL573" s="68"/>
      <c r="HM573" s="68"/>
      <c r="HP573" s="68"/>
      <c r="HQ573" s="68"/>
      <c r="HR573" s="68"/>
      <c r="HS573" s="68"/>
      <c r="HT573" s="68"/>
      <c r="HU573" s="68"/>
      <c r="HV573" s="68"/>
      <c r="HW573" s="68"/>
      <c r="HX573" s="68"/>
      <c r="HY573" s="68"/>
      <c r="HZ573" s="68"/>
      <c r="IA573" s="68"/>
    </row>
    <row r="574" spans="210:259" hidden="1" x14ac:dyDescent="0.3">
      <c r="HB574" s="68"/>
      <c r="HC574" s="68"/>
      <c r="HD574" s="68"/>
      <c r="HE574" s="68"/>
      <c r="HF574" s="68"/>
      <c r="HG574" s="68"/>
      <c r="HH574" s="68"/>
      <c r="HI574" s="68"/>
      <c r="HJ574" s="68"/>
      <c r="HK574" s="68"/>
      <c r="HL574" s="68"/>
      <c r="HM574" s="68"/>
      <c r="HP574" s="68"/>
      <c r="HQ574" s="68"/>
      <c r="HR574" s="68"/>
      <c r="HS574" s="68"/>
      <c r="HT574" s="68"/>
      <c r="HU574" s="68"/>
      <c r="HV574" s="68"/>
      <c r="HW574" s="68"/>
      <c r="HX574" s="68"/>
      <c r="HY574" s="68"/>
      <c r="HZ574" s="68"/>
      <c r="IA574" s="68"/>
    </row>
    <row r="575" spans="210:259" hidden="1" x14ac:dyDescent="0.3">
      <c r="HG575" s="68"/>
      <c r="HH575" s="68"/>
      <c r="HI575" s="68"/>
      <c r="HJ575" s="68"/>
      <c r="HK575" s="68"/>
      <c r="HL575" s="68"/>
      <c r="HM575" s="68"/>
      <c r="HP575" s="68"/>
      <c r="HQ575" s="68"/>
      <c r="HR575" s="68"/>
      <c r="HS575" s="68"/>
      <c r="HT575" s="68"/>
      <c r="HU575" s="68"/>
      <c r="HV575" s="68"/>
      <c r="HW575" s="68"/>
      <c r="HX575" s="68"/>
      <c r="HY575" s="68"/>
      <c r="HZ575" s="68"/>
    </row>
    <row r="576" spans="210:259" hidden="1" x14ac:dyDescent="0.3">
      <c r="HG576" s="68"/>
      <c r="HH576" s="68"/>
      <c r="HI576" s="68"/>
      <c r="HJ576" s="68"/>
      <c r="HK576" s="68"/>
      <c r="HL576" s="68"/>
      <c r="HM576" s="68"/>
    </row>
  </sheetData>
  <sheetProtection algorithmName="SHA-512" hashValue="8MKBC5d9xPl8USV7+uzJtwOEKvIMs4JvhUnypHqsbI7tIhyNYWNbc0sIj+9M4T00guB+4yUC7RCxqjwo9wCb2Q==" saltValue="P24sgwZdsjEyGBxBSNQCzA==" spinCount="100000" sheet="1" formatCells="0" formatColumns="0" formatRows="0" insertColumns="0" insertRows="0" insertHyperlinks="0" sort="0" autoFilter="0" pivotTables="0"/>
  <mergeCells count="392">
    <mergeCell ref="HG188:HL188"/>
    <mergeCell ref="HO188:HU192"/>
    <mergeCell ref="HG194:HL194"/>
    <mergeCell ref="HG180:HL180"/>
    <mergeCell ref="HP180:HS180"/>
    <mergeCell ref="HG182:HL182"/>
    <mergeCell ref="HP182:HS182"/>
    <mergeCell ref="HP184:HS185"/>
    <mergeCell ref="HT184:HT185"/>
    <mergeCell ref="HW174:HY174"/>
    <mergeCell ref="HD175:HY175"/>
    <mergeCell ref="HE176:HV176"/>
    <mergeCell ref="HW176:HX176"/>
    <mergeCell ref="HD177:HY177"/>
    <mergeCell ref="HG179:HL179"/>
    <mergeCell ref="HS179:HT179"/>
    <mergeCell ref="HD172:HL172"/>
    <mergeCell ref="HM172:HS172"/>
    <mergeCell ref="HT172:HV172"/>
    <mergeCell ref="HW172:HY172"/>
    <mergeCell ref="HD173:HL173"/>
    <mergeCell ref="HM173:HS173"/>
    <mergeCell ref="HT173:HV173"/>
    <mergeCell ref="HW173:HY173"/>
    <mergeCell ref="HD170:HL170"/>
    <mergeCell ref="HM170:HS170"/>
    <mergeCell ref="HT170:HV170"/>
    <mergeCell ref="HW170:HY170"/>
    <mergeCell ref="HD171:HL171"/>
    <mergeCell ref="HM171:HS171"/>
    <mergeCell ref="HT171:HV171"/>
    <mergeCell ref="HW171:HY171"/>
    <mergeCell ref="HD168:HL168"/>
    <mergeCell ref="HM168:HS168"/>
    <mergeCell ref="HT168:HV168"/>
    <mergeCell ref="HW168:HY168"/>
    <mergeCell ref="HD169:HL169"/>
    <mergeCell ref="HM169:HS169"/>
    <mergeCell ref="HT169:HV169"/>
    <mergeCell ref="HW169:HY169"/>
    <mergeCell ref="HD166:HL166"/>
    <mergeCell ref="HM166:HS166"/>
    <mergeCell ref="HT166:HV166"/>
    <mergeCell ref="HW166:HY166"/>
    <mergeCell ref="HD167:HL167"/>
    <mergeCell ref="HM167:HS167"/>
    <mergeCell ref="HT167:HV167"/>
    <mergeCell ref="HW167:HY167"/>
    <mergeCell ref="HD158:HX158"/>
    <mergeCell ref="HD160:HL163"/>
    <mergeCell ref="HM160:HS163"/>
    <mergeCell ref="HT160:HV163"/>
    <mergeCell ref="HW160:HY163"/>
    <mergeCell ref="HD165:HL165"/>
    <mergeCell ref="HM165:HS165"/>
    <mergeCell ref="HT165:HV165"/>
    <mergeCell ref="HW165:HY165"/>
    <mergeCell ref="HD153:HL153"/>
    <mergeCell ref="HM153:HS153"/>
    <mergeCell ref="HT153:HV153"/>
    <mergeCell ref="HW153:HY153"/>
    <mergeCell ref="HC154:HZ154"/>
    <mergeCell ref="HC157:HZ157"/>
    <mergeCell ref="HD151:HL151"/>
    <mergeCell ref="HM151:HS151"/>
    <mergeCell ref="HT151:HV151"/>
    <mergeCell ref="HW151:HY151"/>
    <mergeCell ref="HD152:HL152"/>
    <mergeCell ref="HM152:HS152"/>
    <mergeCell ref="HT152:HV152"/>
    <mergeCell ref="HW152:HY152"/>
    <mergeCell ref="HD149:HL149"/>
    <mergeCell ref="HM149:HS149"/>
    <mergeCell ref="HT149:HV149"/>
    <mergeCell ref="HW149:HY149"/>
    <mergeCell ref="HD150:HL150"/>
    <mergeCell ref="HM150:HS150"/>
    <mergeCell ref="HT150:HV150"/>
    <mergeCell ref="HW150:HY150"/>
    <mergeCell ref="HD147:HL147"/>
    <mergeCell ref="HM147:HS147"/>
    <mergeCell ref="HT147:HV147"/>
    <mergeCell ref="HW147:HY147"/>
    <mergeCell ref="HD148:HL148"/>
    <mergeCell ref="HM148:HS148"/>
    <mergeCell ref="HT148:HV148"/>
    <mergeCell ref="HW148:HY148"/>
    <mergeCell ref="HD145:HL145"/>
    <mergeCell ref="HM145:HS145"/>
    <mergeCell ref="HT145:HV145"/>
    <mergeCell ref="HW145:HY145"/>
    <mergeCell ref="HD146:HL146"/>
    <mergeCell ref="HM146:HS146"/>
    <mergeCell ref="HT146:HV146"/>
    <mergeCell ref="HW146:HY146"/>
    <mergeCell ref="HD143:HL143"/>
    <mergeCell ref="HM143:HS143"/>
    <mergeCell ref="HT143:HV143"/>
    <mergeCell ref="HW143:HY143"/>
    <mergeCell ref="HD144:HL144"/>
    <mergeCell ref="HM144:HS144"/>
    <mergeCell ref="HT144:HV144"/>
    <mergeCell ref="HW144:HY144"/>
    <mergeCell ref="HD141:HL141"/>
    <mergeCell ref="HM141:HS141"/>
    <mergeCell ref="HT141:HV141"/>
    <mergeCell ref="HW141:HY141"/>
    <mergeCell ref="HD142:HL142"/>
    <mergeCell ref="HM142:HS142"/>
    <mergeCell ref="HT142:HV142"/>
    <mergeCell ref="HW142:HY142"/>
    <mergeCell ref="HD139:HL139"/>
    <mergeCell ref="HM139:HS139"/>
    <mergeCell ref="HT139:HV139"/>
    <mergeCell ref="HW139:HY139"/>
    <mergeCell ref="HD140:HL140"/>
    <mergeCell ref="HM140:HS140"/>
    <mergeCell ref="HT140:HV140"/>
    <mergeCell ref="HW140:HY140"/>
    <mergeCell ref="HD138:HL138"/>
    <mergeCell ref="HM138:HS138"/>
    <mergeCell ref="HT138:HV138"/>
    <mergeCell ref="HW138:HY138"/>
    <mergeCell ref="HM135:HS135"/>
    <mergeCell ref="HT135:HV135"/>
    <mergeCell ref="HW135:HY135"/>
    <mergeCell ref="HD136:HL136"/>
    <mergeCell ref="HM136:HS136"/>
    <mergeCell ref="HT136:HV136"/>
    <mergeCell ref="HW136:HY136"/>
    <mergeCell ref="HD131:HL131"/>
    <mergeCell ref="HM131:HS131"/>
    <mergeCell ref="HT131:HV131"/>
    <mergeCell ref="HW131:HY131"/>
    <mergeCell ref="HD132:HL132"/>
    <mergeCell ref="HM132:HS132"/>
    <mergeCell ref="HT132:HV132"/>
    <mergeCell ref="HW132:HY132"/>
    <mergeCell ref="IH128:IK129"/>
    <mergeCell ref="IG132:IO137"/>
    <mergeCell ref="HD133:HL133"/>
    <mergeCell ref="HM133:HS133"/>
    <mergeCell ref="HT133:HV133"/>
    <mergeCell ref="HW133:HY133"/>
    <mergeCell ref="HD134:HL134"/>
    <mergeCell ref="HM134:HS134"/>
    <mergeCell ref="HT134:HV134"/>
    <mergeCell ref="HW134:HY134"/>
    <mergeCell ref="HD135:HL135"/>
    <mergeCell ref="HD137:HL137"/>
    <mergeCell ref="HM137:HS137"/>
    <mergeCell ref="HT137:HV137"/>
    <mergeCell ref="HW137:HY137"/>
    <mergeCell ref="IL128:IN129"/>
    <mergeCell ref="HD130:HL130"/>
    <mergeCell ref="HM130:HS130"/>
    <mergeCell ref="HT130:HV130"/>
    <mergeCell ref="HW130:HY130"/>
    <mergeCell ref="HD124:HY124"/>
    <mergeCell ref="IH124:IK124"/>
    <mergeCell ref="IL124:IN124"/>
    <mergeCell ref="IL125:IM125"/>
    <mergeCell ref="HD126:HL129"/>
    <mergeCell ref="HM126:HS129"/>
    <mergeCell ref="HT126:HV129"/>
    <mergeCell ref="HW126:HY129"/>
    <mergeCell ref="IH126:IK126"/>
    <mergeCell ref="IL126:IN126"/>
    <mergeCell ref="HD118:HY118"/>
    <mergeCell ref="ID118:IQ118"/>
    <mergeCell ref="HD120:HX122"/>
    <mergeCell ref="ID120:IQ120"/>
    <mergeCell ref="IH123:IK123"/>
    <mergeCell ref="IL123:IN123"/>
    <mergeCell ref="HG114:HX114"/>
    <mergeCell ref="ID114:IL114"/>
    <mergeCell ref="IM114:IO114"/>
    <mergeCell ref="HD115:HY115"/>
    <mergeCell ref="ID115:IQ115"/>
    <mergeCell ref="HD117:HL117"/>
    <mergeCell ref="HM117:HS117"/>
    <mergeCell ref="IN109:IP109"/>
    <mergeCell ref="HK110:HQ110"/>
    <mergeCell ref="ID111:IW111"/>
    <mergeCell ref="HD112:HI112"/>
    <mergeCell ref="ID112:IQ112"/>
    <mergeCell ref="HD113:HX113"/>
    <mergeCell ref="ID105:IW105"/>
    <mergeCell ref="BB107:BF111"/>
    <mergeCell ref="CJ107:CY107"/>
    <mergeCell ref="HK108:HQ108"/>
    <mergeCell ref="HR108:HX111"/>
    <mergeCell ref="HD109:HJ109"/>
    <mergeCell ref="HL109:HM109"/>
    <mergeCell ref="HO109:HP109"/>
    <mergeCell ref="ID109:II109"/>
    <mergeCell ref="IJ109:IL109"/>
    <mergeCell ref="G77:L77"/>
    <mergeCell ref="O77:U81"/>
    <mergeCell ref="G83:L83"/>
    <mergeCell ref="BC95:BG96"/>
    <mergeCell ref="BB102:BF105"/>
    <mergeCell ref="HC102:IX102"/>
    <mergeCell ref="CB103:CF103"/>
    <mergeCell ref="HC104:HZ104"/>
    <mergeCell ref="ID104:IX104"/>
    <mergeCell ref="HD105:HY105"/>
    <mergeCell ref="G69:L69"/>
    <mergeCell ref="P69:S69"/>
    <mergeCell ref="G71:L71"/>
    <mergeCell ref="P71:S71"/>
    <mergeCell ref="P73:S74"/>
    <mergeCell ref="T73:T74"/>
    <mergeCell ref="W63:Y63"/>
    <mergeCell ref="D64:Y64"/>
    <mergeCell ref="E65:V65"/>
    <mergeCell ref="W65:X65"/>
    <mergeCell ref="D66:Y66"/>
    <mergeCell ref="G68:L68"/>
    <mergeCell ref="S68:T68"/>
    <mergeCell ref="D61:L61"/>
    <mergeCell ref="M61:S61"/>
    <mergeCell ref="T61:V61"/>
    <mergeCell ref="W61:Y61"/>
    <mergeCell ref="D62:L62"/>
    <mergeCell ref="M62:S62"/>
    <mergeCell ref="T62:V62"/>
    <mergeCell ref="W62:Y62"/>
    <mergeCell ref="D59:L59"/>
    <mergeCell ref="M59:S59"/>
    <mergeCell ref="T59:V59"/>
    <mergeCell ref="W59:Y59"/>
    <mergeCell ref="D60:L60"/>
    <mergeCell ref="M60:S60"/>
    <mergeCell ref="T60:V60"/>
    <mergeCell ref="W60:Y60"/>
    <mergeCell ref="D57:L57"/>
    <mergeCell ref="M57:S57"/>
    <mergeCell ref="T57:V57"/>
    <mergeCell ref="W57:Y57"/>
    <mergeCell ref="D58:L58"/>
    <mergeCell ref="M58:S58"/>
    <mergeCell ref="T58:V58"/>
    <mergeCell ref="W58:Y58"/>
    <mergeCell ref="D55:L55"/>
    <mergeCell ref="M55:S55"/>
    <mergeCell ref="T55:V55"/>
    <mergeCell ref="W55:Y55"/>
    <mergeCell ref="D56:L56"/>
    <mergeCell ref="M56:S56"/>
    <mergeCell ref="T56:V56"/>
    <mergeCell ref="W56:Y56"/>
    <mergeCell ref="D53:L53"/>
    <mergeCell ref="M53:S53"/>
    <mergeCell ref="T53:V53"/>
    <mergeCell ref="W53:Y53"/>
    <mergeCell ref="D54:L54"/>
    <mergeCell ref="M54:S54"/>
    <mergeCell ref="T54:V54"/>
    <mergeCell ref="W54:Y54"/>
    <mergeCell ref="D51:L51"/>
    <mergeCell ref="M51:S51"/>
    <mergeCell ref="T51:V51"/>
    <mergeCell ref="W51:Y51"/>
    <mergeCell ref="D52:L52"/>
    <mergeCell ref="M52:S52"/>
    <mergeCell ref="T52:V52"/>
    <mergeCell ref="W52:Y52"/>
    <mergeCell ref="D49:L49"/>
    <mergeCell ref="M49:S49"/>
    <mergeCell ref="T49:V49"/>
    <mergeCell ref="W49:Y49"/>
    <mergeCell ref="D50:L50"/>
    <mergeCell ref="M50:S50"/>
    <mergeCell ref="T50:V50"/>
    <mergeCell ref="W50:Y50"/>
    <mergeCell ref="D47:L47"/>
    <mergeCell ref="M47:S47"/>
    <mergeCell ref="T47:V47"/>
    <mergeCell ref="W47:Y47"/>
    <mergeCell ref="D48:L48"/>
    <mergeCell ref="M48:S48"/>
    <mergeCell ref="T48:V48"/>
    <mergeCell ref="W48:Y48"/>
    <mergeCell ref="D45:L45"/>
    <mergeCell ref="M45:S45"/>
    <mergeCell ref="T45:V45"/>
    <mergeCell ref="W45:Y45"/>
    <mergeCell ref="D46:L46"/>
    <mergeCell ref="M46:S46"/>
    <mergeCell ref="T46:V46"/>
    <mergeCell ref="W46:Y46"/>
    <mergeCell ref="D43:L43"/>
    <mergeCell ref="M43:S43"/>
    <mergeCell ref="T43:V43"/>
    <mergeCell ref="W43:Y43"/>
    <mergeCell ref="D44:L44"/>
    <mergeCell ref="M44:S44"/>
    <mergeCell ref="T44:V44"/>
    <mergeCell ref="W44:Y44"/>
    <mergeCell ref="W36:Y36"/>
    <mergeCell ref="D41:L41"/>
    <mergeCell ref="M41:S41"/>
    <mergeCell ref="T41:V41"/>
    <mergeCell ref="W41:Y41"/>
    <mergeCell ref="D42:L42"/>
    <mergeCell ref="M42:S42"/>
    <mergeCell ref="T42:V42"/>
    <mergeCell ref="W42:Y42"/>
    <mergeCell ref="D39:L39"/>
    <mergeCell ref="M39:S39"/>
    <mergeCell ref="T39:V39"/>
    <mergeCell ref="W39:Y39"/>
    <mergeCell ref="D40:L40"/>
    <mergeCell ref="M40:S40"/>
    <mergeCell ref="T40:V40"/>
    <mergeCell ref="W40:Y40"/>
    <mergeCell ref="D33:L33"/>
    <mergeCell ref="M33:S33"/>
    <mergeCell ref="T33:V33"/>
    <mergeCell ref="W33:Y33"/>
    <mergeCell ref="AG33:AO38"/>
    <mergeCell ref="D34:L34"/>
    <mergeCell ref="M34:S34"/>
    <mergeCell ref="T34:V34"/>
    <mergeCell ref="W34:Y34"/>
    <mergeCell ref="D35:L35"/>
    <mergeCell ref="D37:L37"/>
    <mergeCell ref="M37:S37"/>
    <mergeCell ref="T37:V37"/>
    <mergeCell ref="W37:Y37"/>
    <mergeCell ref="D38:L38"/>
    <mergeCell ref="M38:S38"/>
    <mergeCell ref="T38:V38"/>
    <mergeCell ref="W38:Y38"/>
    <mergeCell ref="M35:S35"/>
    <mergeCell ref="T35:V35"/>
    <mergeCell ref="W35:Y35"/>
    <mergeCell ref="D36:L36"/>
    <mergeCell ref="M36:S36"/>
    <mergeCell ref="T36:V36"/>
    <mergeCell ref="D31:L31"/>
    <mergeCell ref="M31:S31"/>
    <mergeCell ref="T31:V31"/>
    <mergeCell ref="W31:Y31"/>
    <mergeCell ref="D32:L32"/>
    <mergeCell ref="M32:S32"/>
    <mergeCell ref="T32:V32"/>
    <mergeCell ref="W32:Y32"/>
    <mergeCell ref="D27:L30"/>
    <mergeCell ref="M27:S30"/>
    <mergeCell ref="T27:V30"/>
    <mergeCell ref="W27:Y30"/>
    <mergeCell ref="AH27:AK27"/>
    <mergeCell ref="AL27:AN27"/>
    <mergeCell ref="AH29:AK30"/>
    <mergeCell ref="AL29:AN30"/>
    <mergeCell ref="AH24:AK24"/>
    <mergeCell ref="AL24:AN24"/>
    <mergeCell ref="D25:Y25"/>
    <mergeCell ref="AH25:AK25"/>
    <mergeCell ref="AL25:AN25"/>
    <mergeCell ref="AL26:AM26"/>
    <mergeCell ref="D18:L18"/>
    <mergeCell ref="M18:S18"/>
    <mergeCell ref="D19:Y19"/>
    <mergeCell ref="AD19:AQ19"/>
    <mergeCell ref="D21:X23"/>
    <mergeCell ref="AD21:AQ21"/>
    <mergeCell ref="D14:X14"/>
    <mergeCell ref="G15:X15"/>
    <mergeCell ref="AD15:AL15"/>
    <mergeCell ref="AM15:AO15"/>
    <mergeCell ref="D16:Y16"/>
    <mergeCell ref="AD16:AQ16"/>
    <mergeCell ref="AD10:AI10"/>
    <mergeCell ref="AJ10:AL10"/>
    <mergeCell ref="AN10:AP10"/>
    <mergeCell ref="K11:Q11"/>
    <mergeCell ref="AD12:AW12"/>
    <mergeCell ref="D13:I13"/>
    <mergeCell ref="AD13:AQ13"/>
    <mergeCell ref="C3:AX3"/>
    <mergeCell ref="G5:X5"/>
    <mergeCell ref="AC5:AX5"/>
    <mergeCell ref="D6:Y6"/>
    <mergeCell ref="AD6:AW6"/>
    <mergeCell ref="K9:Q9"/>
    <mergeCell ref="R9:X12"/>
    <mergeCell ref="D10:J10"/>
    <mergeCell ref="L10:M10"/>
    <mergeCell ref="O10:P10"/>
  </mergeCells>
  <conditionalFormatting sqref="IL126:IN126 P71:T71 AL27:AN27 HP182:HT182">
    <cfRule type="cellIs" dxfId="8" priority="4" operator="lessThan">
      <formula>10</formula>
    </cfRule>
  </conditionalFormatting>
  <conditionalFormatting sqref="IH126:IK126 P71:S71 AH27:AK27 HP182:HS182">
    <cfRule type="cellIs" dxfId="7" priority="3" operator="equal">
      <formula>"IOF a Pagar*:"</formula>
    </cfRule>
  </conditionalFormatting>
  <conditionalFormatting sqref="AG33:AO38">
    <cfRule type="cellIs" dxfId="6" priority="2" operator="equal">
      <formula>"*Lembramos que é vedado a utilização de documento de arrecadação de receitas federais (DARF) para o pagamento de tributos e contribuições de valor inferior a R$ 10,00, conforme descrito no art. 68 da Lei nº 9.430, de 27 de dezembro de 1996."</formula>
    </cfRule>
  </conditionalFormatting>
  <conditionalFormatting sqref="O77:U81">
    <cfRule type="cellIs" dxfId="5" priority="1" operator="equal">
      <formula>"*Lembramos que é vedado a utilização de documento de arrecadação de receitas federais (DARF) para o pagamento de tributos e contribuições de valor inferior a R$ 10,00, conforme descrito no art. 68 da Lei nº 9.430, de 27 de dezembro de 1996."</formula>
    </cfRule>
  </conditionalFormatting>
  <printOptions horizontalCentered="1"/>
  <pageMargins left="0.19685039370078741" right="0.19685039370078741" top="0.39370078740157483" bottom="0.19685039370078741" header="0.31496062992125984" footer="0.31496062992125984"/>
  <pageSetup paperSize="9" scale="93" orientation="portrait" horizontalDpi="300" verticalDpi="0" r:id="rId1"/>
  <rowBreaks count="1" manualBreakCount="1">
    <brk id="80" max="16383" man="1"/>
  </rowBreaks>
  <colBreaks count="3" manualBreakCount="3">
    <brk id="26" max="1048575" man="1"/>
    <brk id="50" min="4" max="81" man="1"/>
    <brk id="236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9</xdr:col>
                    <xdr:colOff>0</xdr:colOff>
                    <xdr:row>12</xdr:row>
                    <xdr:rowOff>0</xdr:rowOff>
                  </from>
                  <to>
                    <xdr:col>17</xdr:col>
                    <xdr:colOff>182880</xdr:colOff>
                    <xdr:row>13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Drop Down 2">
              <controlPr defaultSize="0" autoLine="0" autoPict="0">
                <anchor moveWithCells="1">
                  <from>
                    <xdr:col>20</xdr:col>
                    <xdr:colOff>15240</xdr:colOff>
                    <xdr:row>15</xdr:row>
                    <xdr:rowOff>0</xdr:rowOff>
                  </from>
                  <to>
                    <xdr:col>22</xdr:col>
                    <xdr:colOff>472440</xdr:colOff>
                    <xdr:row>16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Drop Down 3">
              <controlPr defaultSize="0" autoLine="0" autoPict="0">
                <anchor moveWithCells="1">
                  <from>
                    <xdr:col>30</xdr:col>
                    <xdr:colOff>0</xdr:colOff>
                    <xdr:row>17</xdr:row>
                    <xdr:rowOff>7620</xdr:rowOff>
                  </from>
                  <to>
                    <xdr:col>33</xdr:col>
                    <xdr:colOff>411480</xdr:colOff>
                    <xdr:row>18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Drop Down 4">
              <controlPr defaultSize="0" autoLine="0" autoPict="0">
                <anchor moveWithCells="1">
                  <from>
                    <xdr:col>41</xdr:col>
                    <xdr:colOff>236220</xdr:colOff>
                    <xdr:row>19</xdr:row>
                    <xdr:rowOff>190500</xdr:rowOff>
                  </from>
                  <to>
                    <xdr:col>43</xdr:col>
                    <xdr:colOff>7620</xdr:colOff>
                    <xdr:row>21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Drop Down 5">
              <controlPr defaultSize="0" autoLine="0" autoPict="0">
                <anchor moveWithCells="1">
                  <from>
                    <xdr:col>41</xdr:col>
                    <xdr:colOff>121920</xdr:colOff>
                    <xdr:row>12</xdr:row>
                    <xdr:rowOff>0</xdr:rowOff>
                  </from>
                  <to>
                    <xdr:col>41</xdr:col>
                    <xdr:colOff>678180</xdr:colOff>
                    <xdr:row>13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Drop Down 6">
              <controlPr defaultSize="0" autoLine="0" autoPict="0">
                <anchor moveWithCells="1">
                  <from>
                    <xdr:col>22</xdr:col>
                    <xdr:colOff>419100</xdr:colOff>
                    <xdr:row>21</xdr:row>
                    <xdr:rowOff>15240</xdr:rowOff>
                  </from>
                  <to>
                    <xdr:col>23</xdr:col>
                    <xdr:colOff>198120</xdr:colOff>
                    <xdr:row>22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EB455"/>
  <sheetViews>
    <sheetView showGridLines="0" showRowColHeaders="0" zoomScale="110" zoomScaleNormal="110" workbookViewId="0">
      <selection activeCell="N5" sqref="N5:R5"/>
    </sheetView>
  </sheetViews>
  <sheetFormatPr defaultColWidth="0" defaultRowHeight="14.4" zeroHeight="1" x14ac:dyDescent="0.3"/>
  <cols>
    <col min="1" max="1" width="5.21875" style="64" customWidth="1"/>
    <col min="2" max="2" width="2.5546875" style="64" customWidth="1"/>
    <col min="3" max="3" width="19.44140625" style="64" customWidth="1"/>
    <col min="4" max="4" width="0.5546875" style="64" customWidth="1"/>
    <col min="5" max="5" width="4.33203125" style="64" customWidth="1"/>
    <col min="6" max="6" width="1.6640625" style="64" customWidth="1"/>
    <col min="7" max="7" width="4.33203125" style="64" customWidth="1"/>
    <col min="8" max="8" width="1.6640625" style="64" customWidth="1"/>
    <col min="9" max="9" width="5.6640625" style="64" customWidth="1"/>
    <col min="10" max="10" width="0.5546875" style="64" customWidth="1"/>
    <col min="11" max="11" width="6.6640625" style="64" customWidth="1"/>
    <col min="12" max="12" width="8.88671875" style="64" customWidth="1"/>
    <col min="13" max="13" width="4.5546875" style="64" customWidth="1"/>
    <col min="14" max="14" width="4.6640625" style="64" customWidth="1"/>
    <col min="15" max="15" width="0.5546875" style="64" customWidth="1"/>
    <col min="16" max="16" width="1.88671875" style="64" customWidth="1"/>
    <col min="17" max="17" width="6.88671875" style="64" customWidth="1"/>
    <col min="18" max="18" width="12.109375" style="64" customWidth="1"/>
    <col min="19" max="19" width="2.5546875" style="64" customWidth="1"/>
    <col min="20" max="20" width="7.5546875" style="64" customWidth="1"/>
    <col min="21" max="24" width="9.109375" style="64" hidden="1" customWidth="1"/>
    <col min="25" max="25" width="26.44140625" style="64" hidden="1" customWidth="1"/>
    <col min="26" max="26" width="10.6640625" style="64" hidden="1" customWidth="1"/>
    <col min="27" max="27" width="11.5546875" style="64" hidden="1" customWidth="1"/>
    <col min="28" max="31" width="10.6640625" style="64" hidden="1" customWidth="1"/>
    <col min="32" max="83" width="9.109375" style="64" hidden="1" customWidth="1"/>
    <col min="84" max="84" width="28.44140625" style="64" hidden="1" customWidth="1"/>
    <col min="85" max="85" width="16.33203125" style="64" hidden="1" customWidth="1"/>
    <col min="86" max="86" width="30" style="64" hidden="1" customWidth="1"/>
    <col min="87" max="102" width="13" style="64" hidden="1" customWidth="1"/>
    <col min="103" max="106" width="9.109375" style="64" hidden="1" customWidth="1"/>
    <col min="107" max="132" width="12.109375" style="64" hidden="1" customWidth="1"/>
    <col min="133" max="16384" width="9.109375" style="64" hidden="1"/>
  </cols>
  <sheetData>
    <row r="1" spans="1:27" ht="18.600000000000001" thickBot="1" x14ac:dyDescent="0.4">
      <c r="A1" s="239"/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39"/>
    </row>
    <row r="2" spans="1:27" ht="15" thickBot="1" x14ac:dyDescent="0.35">
      <c r="A2" s="239"/>
      <c r="B2" s="271"/>
      <c r="C2" s="270"/>
      <c r="D2" s="270"/>
      <c r="E2" s="270"/>
      <c r="F2" s="270"/>
      <c r="G2" s="270"/>
      <c r="H2" s="270"/>
      <c r="I2" s="270"/>
      <c r="J2" s="270"/>
      <c r="K2" s="270"/>
      <c r="L2" s="270"/>
      <c r="M2" s="270"/>
      <c r="N2" s="270"/>
      <c r="O2" s="270"/>
      <c r="P2" s="270"/>
      <c r="Q2" s="270"/>
      <c r="R2" s="270"/>
      <c r="S2" s="272"/>
      <c r="T2" s="239"/>
    </row>
    <row r="3" spans="1:27" ht="16.2" thickBot="1" x14ac:dyDescent="0.35">
      <c r="A3" s="239"/>
      <c r="B3" s="72"/>
      <c r="C3" s="415" t="s">
        <v>151</v>
      </c>
      <c r="D3" s="416"/>
      <c r="E3" s="416"/>
      <c r="F3" s="416"/>
      <c r="G3" s="416"/>
      <c r="H3" s="416"/>
      <c r="I3" s="416"/>
      <c r="J3" s="416"/>
      <c r="K3" s="416"/>
      <c r="L3" s="416"/>
      <c r="M3" s="416"/>
      <c r="N3" s="416"/>
      <c r="O3" s="416"/>
      <c r="P3" s="416"/>
      <c r="Q3" s="416"/>
      <c r="R3" s="417"/>
      <c r="S3" s="90"/>
      <c r="T3" s="239"/>
    </row>
    <row r="4" spans="1:27" ht="16.2" thickBot="1" x14ac:dyDescent="0.35">
      <c r="A4" s="239"/>
      <c r="B4" s="72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91"/>
      <c r="Q4" s="91"/>
      <c r="R4" s="91"/>
      <c r="S4" s="90"/>
      <c r="T4" s="239"/>
    </row>
    <row r="5" spans="1:27" x14ac:dyDescent="0.3">
      <c r="A5" s="239"/>
      <c r="B5" s="72"/>
      <c r="C5" s="256" t="s">
        <v>140</v>
      </c>
      <c r="D5" s="256"/>
      <c r="E5" s="256"/>
      <c r="F5" s="256"/>
      <c r="G5" s="256"/>
      <c r="H5" s="256"/>
      <c r="I5" s="256"/>
      <c r="J5" s="256"/>
      <c r="K5" s="256"/>
      <c r="L5" s="256"/>
      <c r="M5" s="257"/>
      <c r="N5" s="418"/>
      <c r="O5" s="419"/>
      <c r="P5" s="419"/>
      <c r="Q5" s="419"/>
      <c r="R5" s="420"/>
      <c r="S5" s="104"/>
      <c r="T5" s="239"/>
    </row>
    <row r="6" spans="1:27" ht="12" customHeight="1" thickBot="1" x14ac:dyDescent="0.35">
      <c r="A6" s="239"/>
      <c r="B6" s="72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4"/>
      <c r="T6" s="239"/>
    </row>
    <row r="7" spans="1:27" ht="3" customHeight="1" x14ac:dyDescent="0.3">
      <c r="A7" s="239"/>
      <c r="B7" s="72"/>
      <c r="C7" s="105"/>
      <c r="D7" s="166"/>
      <c r="E7" s="167"/>
      <c r="F7" s="167"/>
      <c r="G7" s="167"/>
      <c r="H7" s="167"/>
      <c r="I7" s="167"/>
      <c r="J7" s="168"/>
      <c r="K7" s="105"/>
      <c r="L7" s="105"/>
      <c r="M7" s="105"/>
      <c r="N7" s="105"/>
      <c r="O7" s="105"/>
      <c r="P7" s="105"/>
      <c r="Q7" s="105"/>
      <c r="R7" s="105"/>
      <c r="S7" s="104"/>
      <c r="T7" s="239"/>
    </row>
    <row r="8" spans="1:27" x14ac:dyDescent="0.3">
      <c r="A8" s="239"/>
      <c r="B8" s="72"/>
      <c r="C8" s="169" t="s">
        <v>141</v>
      </c>
      <c r="D8" s="170"/>
      <c r="E8" s="171"/>
      <c r="F8" s="172" t="s">
        <v>78</v>
      </c>
      <c r="G8" s="171"/>
      <c r="H8" s="172" t="s">
        <v>78</v>
      </c>
      <c r="I8" s="171"/>
      <c r="J8" s="173"/>
      <c r="K8" s="169"/>
      <c r="L8" s="169"/>
      <c r="M8" s="169"/>
      <c r="N8" s="169"/>
      <c r="O8" s="169"/>
      <c r="P8" s="169"/>
      <c r="Q8" s="169"/>
      <c r="R8" s="169"/>
      <c r="S8" s="110"/>
      <c r="T8" s="239"/>
      <c r="AA8" s="163"/>
    </row>
    <row r="9" spans="1:27" ht="3" customHeight="1" x14ac:dyDescent="0.3">
      <c r="A9" s="239"/>
      <c r="B9" s="72"/>
      <c r="C9" s="169"/>
      <c r="D9" s="174"/>
      <c r="E9" s="175"/>
      <c r="F9" s="175"/>
      <c r="G9" s="175"/>
      <c r="H9" s="175"/>
      <c r="I9" s="175"/>
      <c r="J9" s="176"/>
      <c r="K9" s="169"/>
      <c r="L9" s="169"/>
      <c r="M9" s="169"/>
      <c r="N9" s="169"/>
      <c r="O9" s="169"/>
      <c r="P9" s="169"/>
      <c r="Q9" s="169"/>
      <c r="R9" s="169"/>
      <c r="S9" s="110"/>
      <c r="T9" s="239"/>
    </row>
    <row r="10" spans="1:27" ht="12" customHeight="1" x14ac:dyDescent="0.3">
      <c r="A10" s="239"/>
      <c r="B10" s="72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4"/>
      <c r="T10" s="239"/>
    </row>
    <row r="11" spans="1:27" x14ac:dyDescent="0.3">
      <c r="A11" s="239"/>
      <c r="B11" s="72"/>
      <c r="C11" s="256" t="s">
        <v>142</v>
      </c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85"/>
      <c r="S11" s="117"/>
      <c r="T11" s="239"/>
    </row>
    <row r="12" spans="1:27" ht="15" thickBot="1" x14ac:dyDescent="0.35">
      <c r="A12" s="239"/>
      <c r="B12" s="72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73"/>
      <c r="T12" s="239"/>
    </row>
    <row r="13" spans="1:27" x14ac:dyDescent="0.3">
      <c r="A13" s="239"/>
      <c r="B13" s="72"/>
      <c r="C13" s="256" t="s">
        <v>143</v>
      </c>
      <c r="D13" s="256"/>
      <c r="E13" s="256"/>
      <c r="F13" s="256"/>
      <c r="G13" s="256"/>
      <c r="H13" s="256"/>
      <c r="I13" s="256"/>
      <c r="J13" s="256"/>
      <c r="K13" s="256"/>
      <c r="L13" s="257"/>
      <c r="M13" s="421"/>
      <c r="N13" s="422"/>
      <c r="O13" s="83"/>
      <c r="P13" s="83"/>
      <c r="Q13" s="56"/>
      <c r="R13" s="56"/>
      <c r="S13" s="73"/>
      <c r="T13" s="239"/>
    </row>
    <row r="14" spans="1:27" ht="15" customHeight="1" x14ac:dyDescent="0.3">
      <c r="A14" s="239"/>
      <c r="B14" s="72"/>
      <c r="C14" s="284" t="s">
        <v>144</v>
      </c>
      <c r="D14" s="284"/>
      <c r="E14" s="284"/>
      <c r="F14" s="284"/>
      <c r="G14" s="284"/>
      <c r="H14" s="284"/>
      <c r="I14" s="284"/>
      <c r="J14" s="284"/>
      <c r="K14" s="284"/>
      <c r="L14" s="284"/>
      <c r="M14" s="284"/>
      <c r="N14" s="284"/>
      <c r="O14" s="284"/>
      <c r="P14" s="284"/>
      <c r="Q14" s="284"/>
      <c r="R14" s="284"/>
      <c r="S14" s="112"/>
      <c r="T14" s="239"/>
    </row>
    <row r="15" spans="1:27" ht="15" thickBot="1" x14ac:dyDescent="0.35">
      <c r="A15" s="239"/>
      <c r="B15" s="72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4"/>
      <c r="T15" s="239"/>
    </row>
    <row r="16" spans="1:27" x14ac:dyDescent="0.3">
      <c r="A16" s="239"/>
      <c r="B16" s="72"/>
      <c r="C16" s="56"/>
      <c r="D16" s="177"/>
      <c r="E16" s="295" t="s">
        <v>145</v>
      </c>
      <c r="F16" s="295"/>
      <c r="G16" s="295"/>
      <c r="H16" s="295"/>
      <c r="I16" s="295"/>
      <c r="J16" s="423" t="str">
        <f>IF(OR(AND(E8&gt;31,G8=1),AND(E8&gt;29,G8=2,I8=2016),AND(E8&gt;29,G8=2,I8=2020),AND(E8&gt;29,G8=2,I8=2024),AND(E8&gt;29,G8=2,I8=2028),AND(E8&gt;29,G8=2,I8=2032),AND(E8&gt;29,G8=2,I8=2036),AND(E8&gt;29,G8=2,I8=2040),AND(E8&gt;28,G8=2,I8=2015),AND(E8&gt;28,G8=2,I8&gt;=2017,I8&lt;=2019),AND(E8&gt;28,G8=2,I8&gt;=2021,I8&lt;=2023),AND(E8&gt;28,G8=2,I8&gt;=2025,I8&lt;=2027),AND(E8&gt;28,G8=2,I8&gt;=2029,I8&lt;=2031),AND(E8&gt;28,G8=2,I8&gt;=2033,I8&lt;=2035),AND(E8&gt;28,G8=2,I8&gt;=2037,I8&lt;=2039),AND(E8&gt;31,G8=3),AND(E8&gt;30,G8=4),AND(E8&gt;31,G8=5),AND(E8&gt;30,G8=6),AND(E8&gt;31,G8=7),AND(E8&gt;31,G8=8),AND(E8&gt;30,G8=9),AND(E8&gt;31,G8=10),AND(E8&gt;30,G8=11),AND(E8&gt;31,G8=12)),"Alterar o item 2",IF(AND(N5&gt;0,E8&gt;0,G8&gt;0,I8&gt;0,OR(AND(CG72=2,M13&lt;=0),AND(CG72=2,M13=""))),"Falta resp. o item 4",IF(AND(N5&gt;0,E8&gt;0,G8&gt;0,I8&gt;0,CG72=1,OR(M13&lt;=0,M13="")),"Falta resp. os itens 3 e 4",IF(AND(N5&gt;0,E8&gt;0,G8&gt;0,I8&gt;0,CG72=1,M13&gt;0),"Falta resp. o item 3",IF(AND(N5&gt;0,OR(E8="",E8&lt;=0,G8="",G8&lt;=0,I8="",I8&lt;=0),CG72=1,M13&gt;0),"Falta resp. os itens 2 e 3",IF(AND(N5&gt;0,OR(E8="",E8&lt;=0,G8="",G8&lt;=0,I8="",I8&lt;=0),OR(AND(CG72=2,M13&lt;=0),AND(CG72=2,M13=""))),"Falta resp. os itens 2 e 4",IF(AND(N5&gt;0,OR(E8="",E8&lt;=0,G8="",G8&lt;=0,I8="",I8&lt;=0),CG72=1,OR(M13&lt;=0,M13="")),"Falta resp. os itens 2, 3 e 4",IF(AND(N5&gt;0,OR(E8="",E8&lt;=0,G8="",G8&lt;=0,I8="",I8&lt;=0),OR(CG72=3,AND(CG72=2,M13&gt;0))),"Falta resp. o item 2",IF(AND(OR(N5="",N5&lt;=0),OR(E8="",E8&lt;=0,G8="",G8&lt;=0,I8="",I8&lt;=0),OR(CG72=3,CG72=2),OR(M13="",M13=0)),"Falta resp. os itens 1, 2 e 4",IF(AND(OR(N5="",N5&lt;=0),AND(E8&gt;0,G8&gt;0,I8&gt;0),CG72=1,OR(M13="",M13=0)),"Falta resp. os itens 1, 3 e 4",IF(AND(OR(N5="",N5&lt;=0),OR(E8="",E8&lt;=0,G8="",G8&lt;=0,I8="",I8&lt;=0),CG72=1,OR(M13="",M13=0)),"",IF(AND(OR(N5="",N5&lt;=0),OR(E8="",E8&lt;=0,G8="",G8&lt;=0,I8="",I8&lt;=0),CG72=1,M13&gt;0),"Falta resp. os itens 1, 2 e 3",IF(AND(OR(N5="",N5&lt;=0),OR(E8="",E8&lt;=0,G8="",G8&lt;=0,I8="",I8&lt;=0),OR(CG72=3,AND(CG72=2,M13&gt;0))),"Falta resp. os itens 1 e 2",IF(AND(OR(N5="",N5&lt;=0),E8&gt;0,G8&gt;0,I8&gt;0,CG72=1,M13&gt;0),"Falta resp. os itens 1 e 3",IF(AND(OR(N5="",N5&lt;=0),E8&gt;0,G8&gt;0,I8&gt;0,OR(CG72=3,CG72=2),M13&lt;=0),"Falta resp. os itens 1 e 4",IF(AND(OR(N5="",N5&lt;=0),E8&gt;0,G8&gt;0,I8&gt;0,OR(CG72=3,AND(CG72=2,M13&gt;0))),"Falta resp. o item 1",IF(N5="","",N5)))))))))))))))))</f>
        <v/>
      </c>
      <c r="K16" s="423"/>
      <c r="L16" s="423"/>
      <c r="M16" s="423"/>
      <c r="N16" s="423"/>
      <c r="O16" s="178"/>
      <c r="P16" s="56"/>
      <c r="Q16" s="56"/>
      <c r="R16" s="56"/>
      <c r="S16" s="73"/>
      <c r="T16" s="239"/>
    </row>
    <row r="17" spans="1:25" x14ac:dyDescent="0.3">
      <c r="A17" s="239"/>
      <c r="B17" s="72"/>
      <c r="C17" s="56"/>
      <c r="D17" s="179"/>
      <c r="E17" s="298" t="s">
        <v>146</v>
      </c>
      <c r="F17" s="298"/>
      <c r="G17" s="298"/>
      <c r="H17" s="298"/>
      <c r="I17" s="298"/>
      <c r="J17" s="424" t="str">
        <f>IF(OR(AND(E8&gt;31,G8=1),AND(E8&gt;29,G8=2,I8=2016),AND(E8&gt;29,G8=2,I8=2020),AND(E8&gt;29,G8=2,I8=2024),AND(E8&gt;29,G8=2,I8=2028),AND(E8&gt;29,G8=2,I8=2032),AND(E8&gt;29,G8=2,I8=2036),AND(E8&gt;29,G8=2,I8=2040),AND(E8&gt;28,G8=2,I8=2015),AND(E8&gt;28,G8=2,I8&gt;=2017,I8&lt;=2019),AND(E8&gt;28,G8=2,I8&gt;=2021,I8&lt;=2023),AND(E8&gt;28,G8=2,I8&gt;=2025,I8&lt;=2027),AND(E8&gt;28,G8=2,I8&gt;=2029,I8&lt;=2031),AND(E8&gt;28,G8=2,I8&gt;=2033,I8&lt;=2035),AND(E8&gt;28,G8=2,I8&gt;=2037,I8&lt;=2039),AND(E8&gt;31,G8=3),AND(E8&gt;30,G8=4),AND(E8&gt;31,G8=5),AND(E8&gt;30,G8=6),AND(E8&gt;31,G8=7),AND(E8&gt;31,G8=8),AND(E8&gt;30,G8=9),AND(E8&gt;31,G8=10),AND(E8&gt;30,G8=11),AND(E8&gt;31,G8=12)),"Alterar o item 2",IF(AND(N5&gt;0,E8&gt;0,G8&gt;0,I8&gt;0,OR(AND(CG72=2,M13&lt;=0),AND(CG72=2,M13=""))),"Falta resp. o item 4",IF(AND(N5&gt;0,E8&gt;0,G8&gt;0,I8&gt;0,CG72=1,OR(M13&lt;=0,M13="")),"Falta resp. os itens 3 e 4",IF(AND(N5&gt;0,E8&gt;0,G8&gt;0,I8&gt;0,CG72=1,M13&gt;0),"Falta resp. o item 3",IF(AND(N5&gt;0,OR(E8="",E8&lt;=0,G8="",G8&lt;=0,I8="",I8&lt;=0),CG72=1,M13&gt;0),"Falta resp. os itens 2 e 3",IF(AND(N5&gt;0,OR(E8="",E8&lt;=0,G8="",G8&lt;=0,I8="",I8&lt;=0),OR(AND(CG72=2,M13&lt;=0),AND(CG72=2,M13=""))),"Falta resp. os itens 2 e 4",IF(AND(N5&gt;0,OR(E8="",E8&lt;=0,G8="",G8&lt;=0,I8="",I8&lt;=0),CG72=1,OR(M13&lt;=0,M13="")),"Falta resp. os itens 2, 3 e 4",IF(AND(N5&gt;0,OR(E8="",E8&lt;=0,G8="",G8&lt;=0,I8="",I8&lt;=0),OR(CG72=3,AND(CG72=2,M13&gt;0))),"Falta resp. o item 2",IF(AND(OR(N5="",N5&lt;=0),OR(E8="",E8&lt;=0,G8="",G8&lt;=0,I8="",I8&lt;=0),OR(CG72=3,CG72=2),OR(M13="",M13=0)),"Falta resp. os itens 1, 2 e 4",IF(AND(OR(N5="",N5&lt;=0),AND(E8&gt;0,G8&gt;0,I8&gt;0),CG72=1,OR(M13="",M13=0)),"Falta resp. os itens 1, 3 e 4",IF(AND(OR(N5="",N5&lt;=0),OR(E8="",E8&lt;=0,G8="",G8&lt;=0,I8="",I8&lt;=0),CG72=1,OR(M13="",M13=0)),"",IF(AND(OR(N5="",N5&lt;=0),OR(E8="",E8&lt;=0,G8="",G8&lt;=0,I8="",I8&lt;=0),CG72=1,M13&gt;0),"Falta resp. os itens 1, 2 e 3",IF(AND(OR(N5="",N5&lt;=0),OR(E8="",E8&lt;=0,G8="",G8&lt;=0,I8="",I8&lt;=0),OR(CG72=3,AND(CG72=2,M13&gt;0))),"Falta resp. os itens 1 e 2",IF(AND(OR(N5="",N5&lt;=0),E8&gt;0,G8&gt;0,I8&gt;0,CG72=1,M13&gt;0),"Falta resp. os itens 1 e 3",IF(AND(OR(N5="",N5&lt;=0),E8&gt;0,G8&gt;0,I8&gt;0,OR(CG72=3,CG72=2),M13&lt;=0),"Falta resp. os itens 1 e 4",IF(AND(OR(N5="",N5&lt;=0),E8&gt;0,G8&gt;0,I8&gt;0,OR(CG72=3,AND(CG72=2,M13&gt;0))),"Falta resp. o item 1",IF(CG72=3,22.5%,IF(AND(CG72=2,M13&gt;=1,M13&lt;=180),22.5%,IF(AND(CG72=2,M13&gt;=181,M13&lt;=360),"20%",IF(AND(CG72=2,M13&gt;=361,M13&lt;=720),17.5%,IF(AND(CG72=2,M13&gt;=721),"15%")))))))))))))))))))))</f>
        <v/>
      </c>
      <c r="K17" s="424"/>
      <c r="L17" s="424"/>
      <c r="M17" s="424"/>
      <c r="N17" s="424"/>
      <c r="O17" s="122"/>
      <c r="P17" s="87"/>
      <c r="Q17" s="56"/>
      <c r="R17" s="56"/>
      <c r="S17" s="73"/>
      <c r="T17" s="239"/>
    </row>
    <row r="18" spans="1:25" ht="3" customHeight="1" x14ac:dyDescent="0.3">
      <c r="A18" s="239"/>
      <c r="B18" s="72"/>
      <c r="C18" s="56"/>
      <c r="D18" s="179"/>
      <c r="E18" s="414"/>
      <c r="F18" s="414"/>
      <c r="G18" s="414"/>
      <c r="H18" s="414"/>
      <c r="I18" s="414"/>
      <c r="J18" s="414"/>
      <c r="K18" s="414"/>
      <c r="L18" s="414"/>
      <c r="M18" s="414"/>
      <c r="N18" s="414"/>
      <c r="O18" s="122"/>
      <c r="P18" s="87"/>
      <c r="Q18" s="56"/>
      <c r="R18" s="56"/>
      <c r="S18" s="73"/>
      <c r="T18" s="239"/>
    </row>
    <row r="19" spans="1:25" x14ac:dyDescent="0.3">
      <c r="A19" s="239"/>
      <c r="B19" s="72"/>
      <c r="C19" s="56"/>
      <c r="D19" s="179"/>
      <c r="E19" s="290" t="str">
        <f>IF(J19&lt;10,"IRRF a Pagar*:","IRRF a Pagar:")</f>
        <v>IRRF a Pagar:</v>
      </c>
      <c r="F19" s="290"/>
      <c r="G19" s="290"/>
      <c r="H19" s="290"/>
      <c r="I19" s="290"/>
      <c r="J19" s="425" t="str">
        <f>IF(OR(AND(E8&gt;31,G8=1),AND(E8&gt;29,G8=2,I8=2016),AND(E8&gt;29,G8=2,I8=2020),AND(E8&gt;29,G8=2,I8=2024),AND(E8&gt;29,G8=2,I8=2028),AND(E8&gt;29,G8=2,I8=2032),AND(E8&gt;29,G8=2,I8=2036),AND(E8&gt;29,G8=2,I8=2040),AND(E8&gt;28,G8=2,I8=2015),AND(E8&gt;28,G8=2,I8&gt;=2017,I8&lt;=2019),AND(E8&gt;28,G8=2,I8&gt;=2021,I8&lt;=2023),AND(E8&gt;28,G8=2,I8&gt;=2025,I8&lt;=2027),AND(E8&gt;28,G8=2,I8&gt;=2029,I8&lt;=2031),AND(E8&gt;28,G8=2,I8&gt;=2033,I8&lt;=2035),AND(E8&gt;28,G8=2,I8&gt;=2037,I8&lt;=2039),AND(E8&gt;31,G8=3),AND(E8&gt;30,G8=4),AND(E8&gt;31,G8=5),AND(E8&gt;30,G8=6),AND(E8&gt;31,G8=7),AND(E8&gt;31,G8=8),AND(E8&gt;30,G8=9),AND(E8&gt;31,G8=10),AND(E8&gt;30,G8=11),AND(E8&gt;31,G8=12)),"Alterar o item 2",IF(AND(N5&gt;0,E8&gt;0,G8&gt;0,I8&gt;0,OR(AND(CG72=2,M13&lt;=0),AND(CG72=2,M13=""))),"Falta resp. o item 4",IF(AND(N5&gt;0,E8&gt;0,G8&gt;0,I8&gt;0,CG72=1,OR(M13&lt;=0,M13="")),"Falta resp. os itens 3 e 4",IF(AND(N5&gt;0,E8&gt;0,G8&gt;0,I8&gt;0,CG72=1,M13&gt;0),"Falta resp. o item 3",IF(AND(N5&gt;0,OR(E8="",E8&lt;=0,G8="",G8&lt;=0,I8="",I8&lt;=0),CG72=1,M13&gt;0),"Falta resp. os itens 2 e 3",IF(AND(N5&gt;0,OR(E8="",E8&lt;=0,G8="",G8&lt;=0,I8="",I8&lt;=0),OR(AND(CG72=2,M13&lt;=0),AND(CG72=2,M13=""))),"Falta resp. os itens 2 e 4",IF(AND(N5&gt;0,OR(E8="",E8&lt;=0,G8="",G8&lt;=0,I8="",I8&lt;=0),CG72=1,OR(M13&lt;=0,M13="")),"Falta resp. os itens 2, 3 e 4",IF(AND(N5&gt;0,OR(E8="",E8&lt;=0,G8="",G8&lt;=0,I8="",I8&lt;=0),OR(CG72=3,AND(CG72=2,M13&gt;0))),"Falta resp. o item 2",IF(AND(OR(N5="",N5&lt;=0),OR(E8="",E8&lt;=0,G8="",G8&lt;=0,I8="",I8&lt;=0),OR(CG72=3,CG72=2),OR(M13="",M13=0)),"Falta resp. os itens 1, 2 e 4",IF(AND(OR(N5="",N5&lt;=0),AND(E8&gt;0,G8&gt;0,I8&gt;0),CG72=1,OR(M13="",M13=0)),"Falta resp. os itens 1, 3 e 4",IF(AND(OR(N5="",N5&lt;=0),OR(E8="",E8&lt;=0,G8="",G8&lt;=0,I8="",I8&lt;=0),CG72=1,OR(M13="",M13=0)),"",IF(AND(OR(N5="",N5&lt;=0),OR(E8="",E8&lt;=0,G8="",G8&lt;=0,I8="",I8&lt;=0),CG72=1,M13&gt;0),"Falta resp. os itens 1, 2 e 3",IF(AND(OR(N5="",N5&lt;=0),OR(E8="",E8&lt;=0,G8="",G8&lt;=0,I8="",I8&lt;=0),OR(CG72=3,AND(CG72=2,M13&gt;0))),"Falta resp. os itens 1 e 2",IF(AND(OR(N5="",N5&lt;=0),E8&gt;0,G8&gt;0,I8&gt;0,CG72=1,M13&gt;0),"Falta resp. os itens 1 e 3",IF(AND(OR(N5="",N5&lt;=0),E8&gt;0,G8&gt;0,I8&gt;0,OR(CG72=3,CG72=2),M13&lt;=0),"Falta resp. os itens 1 e 4",IF(AND(OR(N5="",N5&lt;=0),E8&gt;0,G8&gt;0,I8&gt;0,OR(CG72=3,AND(CG72=2,M13&gt;0))),"Falta resp. o item 1",J16*J17))))))))))))))))</f>
        <v/>
      </c>
      <c r="K19" s="425"/>
      <c r="L19" s="425"/>
      <c r="M19" s="425"/>
      <c r="N19" s="425"/>
      <c r="O19" s="122"/>
      <c r="P19" s="87"/>
      <c r="Q19" s="56"/>
      <c r="R19" s="56"/>
      <c r="S19" s="73"/>
      <c r="T19" s="239"/>
    </row>
    <row r="20" spans="1:25" ht="3" customHeight="1" x14ac:dyDescent="0.3">
      <c r="A20" s="239"/>
      <c r="B20" s="72"/>
      <c r="C20" s="92"/>
      <c r="D20" s="180"/>
      <c r="E20" s="305"/>
      <c r="F20" s="305"/>
      <c r="G20" s="305"/>
      <c r="H20" s="305"/>
      <c r="I20" s="305"/>
      <c r="J20" s="305"/>
      <c r="K20" s="305"/>
      <c r="L20" s="305"/>
      <c r="M20" s="305"/>
      <c r="N20" s="305"/>
      <c r="O20" s="129"/>
      <c r="P20" s="84"/>
      <c r="Q20" s="56"/>
      <c r="R20" s="56"/>
      <c r="S20" s="73"/>
      <c r="T20" s="239"/>
    </row>
    <row r="21" spans="1:25" ht="30" customHeight="1" x14ac:dyDescent="0.3">
      <c r="A21" s="239"/>
      <c r="B21" s="72"/>
      <c r="C21" s="56"/>
      <c r="D21" s="58"/>
      <c r="E21" s="426" t="s">
        <v>100</v>
      </c>
      <c r="F21" s="426"/>
      <c r="G21" s="426"/>
      <c r="H21" s="426"/>
      <c r="I21" s="426"/>
      <c r="J21" s="427" t="str">
        <f>IF(E19="IRRF a Pagar*:","-",IF(OR(AND(E8&gt;31,G8=1),AND(E8&gt;29,G8=2,I8=2016),AND(E8&gt;29,G8=2,I8=2020),AND(E8&gt;29,G8=2,I8=2024),AND(E8&gt;29,G8=2,I8=2028),AND(E8&gt;29,G8=2,I8=2032),AND(E8&gt;29,G8=2,I8=2036),AND(E8&gt;29,G8=2,I8=2040),AND(E8&gt;28,G8=2,I8=2015),AND(E8&gt;28,G8=2,I8&gt;=2017,I8&lt;=2019),AND(E8&gt;28,G8=2,I8&gt;=2021,I8&lt;=2023),AND(E8&gt;28,G8=2,I8&gt;=2025,I8&lt;=2027),AND(E8&gt;28,G8=2,I8&gt;=2029,I8&lt;=2031),AND(E8&gt;28,G8=2,I8&gt;=2033,I8&lt;=2035),AND(E8&gt;28,G8=2,I8&gt;=2037,I8&lt;=2039),AND(E8&gt;31,G8=3),AND(E8&gt;30,G8=4),AND(E8&gt;31,G8=5),AND(E8&gt;30,G8=6),AND(E8&gt;31,G8=7),AND(E8&gt;31,G8=8),AND(E8&gt;30,G8=9),AND(E8&gt;31,G8=10),AND(E8&gt;30,G8=11),AND(E8&gt;31,G8=12)),"Alterar o item 2",IF(AND(N5&gt;0,E8&gt;0,G8&gt;0,I8&gt;0,OR(AND(CG72=2,M13&lt;=0),AND(CG72=2,M13=""))),"Falta resp. o item 4",IF(AND(N5&gt;0,E8&gt;0,G8&gt;0,I8&gt;0,CG72=1,OR(M13&lt;=0,M13="")),"Falta resp. os itens 3 e 4",IF(AND(N5&gt;0,E8&gt;0,G8&gt;0,I8&gt;0,CG72=1,M13&gt;0),"Falta resp. o item 3",IF(AND(N5&gt;0,OR(E8="",E8&lt;=0,G8="",G8&lt;=0,I8="",I8&lt;=0),CG72=1,M13&gt;0),"Falta resp. os itens 2 e 3",IF(AND(N5&gt;0,OR(E8="",E8&lt;=0,G8="",G8&lt;=0,I8="",I8&lt;=0),OR(AND(CG72=2,M13&lt;=0),AND(CG72=2,M13=""))),"Falta resp. os itens 2 e 4",IF(AND(N5&gt;0,OR(E8="",E8&lt;=0,G8="",G8&lt;=0,I8="",I8&lt;=0),CG72=1,OR(M13&lt;=0,M13="")),"Falta resp. os itens 2, 3 e 4",IF(AND(N5&gt;0,OR(E8="",E8&lt;=0,G8="",G8&lt;=0,I8="",I8&lt;=0),OR(CG72=3,AND(CG72=2,M13&gt;0))),"Falta resp. o item 2",IF(AND(OR(N5="",N5&lt;=0),OR(E8="",E8&lt;=0,G8="",G8&lt;=0,I8="",I8&lt;=0),OR(CG72=3,CG72=2),OR(M13="",M13=0)),"Falta resp. os itens 1, 2 e 4",IF(AND(OR(N5="",N5&lt;=0),AND(E8&gt;0,G8&gt;0,I8&gt;0),CG72=1,OR(M13="",M13=0)),"Falta resp. os itens 1, 3 e 4",IF(AND(OR(N5="",N5&lt;=0),OR(E8="",E8&lt;=0,G8="",G8&lt;=0,I8="",I8&lt;=0),CG72=1,OR(M13="",M13=0)),"",IF(AND(OR(N5="",N5&lt;=0),OR(E8="",E8&lt;=0,G8="",G8&lt;=0,I8="",I8&lt;=0),CG72=1,M13&gt;0),"Falta resp. os itens 1, 2 e 3",IF(AND(OR(N5="",N5&lt;=0),OR(E8="",E8&lt;=0,G8="",G8&lt;=0,I8="",I8&lt;=0),OR(CG72=3,AND(CG72=2,M13&gt;0))),"Falta resp. os itens 1 e 2",IF(AND(OR(N5="",N5&lt;=0),E8&gt;0,G8&gt;0,I8&gt;0,CG72=1,M13&gt;0),"Falta resp. os itens 1 e 3",IF(AND(OR(N5="",N5&lt;=0),E8&gt;0,G8&gt;0,I8&gt;0,OR(CG72=3,CG72=2),M13&lt;=0),"Falta resp. os itens 1 e 4",IF(AND(OR(N5="",N5&lt;=0),E8&gt;0,G8&gt;0,I8&gt;0,OR(CG72=3,AND(CG72=2,M13&gt;0))),"Falta resp. o item 1",CF116)))))))))))))))))</f>
        <v/>
      </c>
      <c r="K21" s="428"/>
      <c r="L21" s="428"/>
      <c r="M21" s="428"/>
      <c r="N21" s="428"/>
      <c r="O21" s="57"/>
      <c r="P21" s="56"/>
      <c r="Q21" s="56"/>
      <c r="R21" s="56"/>
      <c r="S21" s="73"/>
      <c r="T21" s="239"/>
    </row>
    <row r="22" spans="1:25" ht="3" customHeight="1" thickBot="1" x14ac:dyDescent="0.35">
      <c r="A22" s="239"/>
      <c r="B22" s="72"/>
      <c r="C22" s="56"/>
      <c r="D22" s="181"/>
      <c r="E22" s="182"/>
      <c r="F22" s="182"/>
      <c r="G22" s="182"/>
      <c r="H22" s="183"/>
      <c r="I22" s="184"/>
      <c r="J22" s="184"/>
      <c r="K22" s="185"/>
      <c r="L22" s="61"/>
      <c r="M22" s="61"/>
      <c r="N22" s="61"/>
      <c r="O22" s="62"/>
      <c r="P22" s="56"/>
      <c r="Q22" s="56"/>
      <c r="R22" s="56"/>
      <c r="S22" s="73"/>
      <c r="T22" s="239"/>
    </row>
    <row r="23" spans="1:25" ht="6" customHeight="1" x14ac:dyDescent="0.3">
      <c r="A23" s="239"/>
      <c r="B23" s="72"/>
      <c r="C23" s="56"/>
      <c r="D23" s="186"/>
      <c r="E23" s="186"/>
      <c r="F23" s="186"/>
      <c r="G23" s="186"/>
      <c r="H23" s="187"/>
      <c r="I23" s="187"/>
      <c r="J23" s="187"/>
      <c r="K23" s="188"/>
      <c r="L23" s="56"/>
      <c r="M23" s="56"/>
      <c r="N23" s="56"/>
      <c r="O23" s="56"/>
      <c r="P23" s="56"/>
      <c r="Q23" s="56"/>
      <c r="R23" s="56"/>
      <c r="S23" s="73"/>
      <c r="T23" s="239"/>
    </row>
    <row r="24" spans="1:25" x14ac:dyDescent="0.3">
      <c r="A24" s="239"/>
      <c r="B24" s="72"/>
      <c r="C24" s="56"/>
      <c r="D24" s="342" t="str">
        <f>IF(J19="-","",IF(E19="IRRF a Pagar*:","*Lembramos que é vedado a utilização de documento de arrecadação de receitas federais (DARF) para o pagamento de tributos e contribuições de valor inferior a R$ 10,00, conforme descrito no art. 68 da Lei nº 9.430, de 27 de dezembro de 1996.",IF(J19&gt;=10,"O imposto deverá ser recolhido utilizando o documento de arrecadação de receitas federais (DARF), sob o código 3426 (Mutuário pessoa jurídica), ou sob o código 8053 (Mutuário pessoa física).")))</f>
        <v>O imposto deverá ser recolhido utilizando o documento de arrecadação de receitas federais (DARF), sob o código 3426 (Mutuário pessoa jurídica), ou sob o código 8053 (Mutuário pessoa física).</v>
      </c>
      <c r="E24" s="342"/>
      <c r="F24" s="342"/>
      <c r="G24" s="342"/>
      <c r="H24" s="342"/>
      <c r="I24" s="342"/>
      <c r="J24" s="342"/>
      <c r="K24" s="342"/>
      <c r="L24" s="342"/>
      <c r="M24" s="342"/>
      <c r="N24" s="342"/>
      <c r="O24" s="342"/>
      <c r="P24" s="56"/>
      <c r="Q24" s="56"/>
      <c r="R24" s="56"/>
      <c r="S24" s="73"/>
      <c r="T24" s="239"/>
    </row>
    <row r="25" spans="1:25" x14ac:dyDescent="0.3">
      <c r="A25" s="239"/>
      <c r="B25" s="72"/>
      <c r="C25" s="56"/>
      <c r="D25" s="342"/>
      <c r="E25" s="342"/>
      <c r="F25" s="342"/>
      <c r="G25" s="342"/>
      <c r="H25" s="342"/>
      <c r="I25" s="342"/>
      <c r="J25" s="342"/>
      <c r="K25" s="342"/>
      <c r="L25" s="342"/>
      <c r="M25" s="342"/>
      <c r="N25" s="342"/>
      <c r="O25" s="342"/>
      <c r="P25" s="56"/>
      <c r="Q25" s="56"/>
      <c r="R25" s="56"/>
      <c r="S25" s="73"/>
      <c r="T25" s="239"/>
    </row>
    <row r="26" spans="1:25" x14ac:dyDescent="0.3">
      <c r="A26" s="239"/>
      <c r="B26" s="72"/>
      <c r="C26" s="56"/>
      <c r="D26" s="342"/>
      <c r="E26" s="342"/>
      <c r="F26" s="342"/>
      <c r="G26" s="342"/>
      <c r="H26" s="342"/>
      <c r="I26" s="342"/>
      <c r="J26" s="342"/>
      <c r="K26" s="342"/>
      <c r="L26" s="342"/>
      <c r="M26" s="342"/>
      <c r="N26" s="342"/>
      <c r="O26" s="342"/>
      <c r="P26" s="56"/>
      <c r="Q26" s="56"/>
      <c r="R26" s="189"/>
      <c r="S26" s="73"/>
      <c r="T26" s="239"/>
    </row>
    <row r="27" spans="1:25" x14ac:dyDescent="0.3">
      <c r="A27" s="239"/>
      <c r="B27" s="72"/>
      <c r="C27" s="56"/>
      <c r="D27" s="342"/>
      <c r="E27" s="342"/>
      <c r="F27" s="342"/>
      <c r="G27" s="342"/>
      <c r="H27" s="342"/>
      <c r="I27" s="342"/>
      <c r="J27" s="342"/>
      <c r="K27" s="342"/>
      <c r="L27" s="342"/>
      <c r="M27" s="342"/>
      <c r="N27" s="342"/>
      <c r="O27" s="342"/>
      <c r="P27" s="56"/>
      <c r="Q27" s="56"/>
      <c r="R27" s="189"/>
      <c r="S27" s="73"/>
      <c r="T27" s="239"/>
      <c r="W27" s="190"/>
      <c r="X27" s="190"/>
      <c r="Y27" s="190"/>
    </row>
    <row r="28" spans="1:25" x14ac:dyDescent="0.3">
      <c r="A28" s="239"/>
      <c r="B28" s="72"/>
      <c r="C28" s="56"/>
      <c r="D28" s="342"/>
      <c r="E28" s="342"/>
      <c r="F28" s="342"/>
      <c r="G28" s="342"/>
      <c r="H28" s="342"/>
      <c r="I28" s="342"/>
      <c r="J28" s="342"/>
      <c r="K28" s="342"/>
      <c r="L28" s="342"/>
      <c r="M28" s="342"/>
      <c r="N28" s="342"/>
      <c r="O28" s="342"/>
      <c r="P28" s="56"/>
      <c r="Q28" s="56"/>
      <c r="R28" s="189"/>
      <c r="S28" s="73"/>
      <c r="T28" s="239"/>
    </row>
    <row r="29" spans="1:25" x14ac:dyDescent="0.3">
      <c r="A29" s="239"/>
      <c r="B29" s="72"/>
      <c r="C29" s="56"/>
      <c r="D29" s="342"/>
      <c r="E29" s="342"/>
      <c r="F29" s="342"/>
      <c r="G29" s="342"/>
      <c r="H29" s="342"/>
      <c r="I29" s="342"/>
      <c r="J29" s="342"/>
      <c r="K29" s="342"/>
      <c r="L29" s="342"/>
      <c r="M29" s="342"/>
      <c r="N29" s="342"/>
      <c r="O29" s="342"/>
      <c r="P29" s="56"/>
      <c r="Q29" s="56"/>
      <c r="R29" s="189"/>
      <c r="S29" s="73"/>
      <c r="T29" s="239"/>
    </row>
    <row r="30" spans="1:25" x14ac:dyDescent="0.3">
      <c r="A30" s="239"/>
      <c r="B30" s="72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132"/>
      <c r="S30" s="73"/>
      <c r="T30" s="239"/>
    </row>
    <row r="31" spans="1:25" x14ac:dyDescent="0.3">
      <c r="A31" s="239"/>
      <c r="B31" s="72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132"/>
      <c r="S31" s="73"/>
      <c r="T31" s="239"/>
    </row>
    <row r="32" spans="1:25" x14ac:dyDescent="0.3">
      <c r="A32" s="239"/>
      <c r="B32" s="72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73"/>
      <c r="T32" s="239"/>
    </row>
    <row r="33" spans="1:20" x14ac:dyDescent="0.3">
      <c r="A33" s="239"/>
      <c r="B33" s="72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73"/>
      <c r="T33" s="239"/>
    </row>
    <row r="34" spans="1:20" x14ac:dyDescent="0.3">
      <c r="A34" s="239"/>
      <c r="B34" s="72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73"/>
      <c r="T34" s="239"/>
    </row>
    <row r="35" spans="1:20" x14ac:dyDescent="0.3">
      <c r="A35" s="239"/>
      <c r="B35" s="72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73"/>
      <c r="T35" s="239"/>
    </row>
    <row r="36" spans="1:20" x14ac:dyDescent="0.3">
      <c r="A36" s="239"/>
      <c r="B36" s="72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73"/>
      <c r="T36" s="239"/>
    </row>
    <row r="37" spans="1:20" x14ac:dyDescent="0.3">
      <c r="A37" s="239"/>
      <c r="B37" s="72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73"/>
      <c r="T37" s="239"/>
    </row>
    <row r="38" spans="1:20" x14ac:dyDescent="0.3">
      <c r="A38" s="239"/>
      <c r="B38" s="72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73"/>
      <c r="T38" s="239"/>
    </row>
    <row r="39" spans="1:20" x14ac:dyDescent="0.3">
      <c r="A39" s="239"/>
      <c r="B39" s="72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73"/>
      <c r="T39" s="239"/>
    </row>
    <row r="40" spans="1:20" x14ac:dyDescent="0.3">
      <c r="A40" s="239"/>
      <c r="B40" s="72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73"/>
      <c r="T40" s="239"/>
    </row>
    <row r="41" spans="1:20" x14ac:dyDescent="0.3">
      <c r="A41" s="239"/>
      <c r="B41" s="72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73"/>
      <c r="T41" s="239"/>
    </row>
    <row r="42" spans="1:20" x14ac:dyDescent="0.3">
      <c r="A42" s="239"/>
      <c r="B42" s="72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73"/>
      <c r="T42" s="239"/>
    </row>
    <row r="43" spans="1:20" x14ac:dyDescent="0.3">
      <c r="A43" s="239"/>
      <c r="B43" s="72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73"/>
      <c r="T43" s="239"/>
    </row>
    <row r="44" spans="1:20" x14ac:dyDescent="0.3">
      <c r="A44" s="239"/>
      <c r="B44" s="72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73"/>
      <c r="T44" s="239"/>
    </row>
    <row r="45" spans="1:20" x14ac:dyDescent="0.3">
      <c r="A45" s="239"/>
      <c r="B45" s="72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73"/>
      <c r="T45" s="239"/>
    </row>
    <row r="46" spans="1:20" x14ac:dyDescent="0.3">
      <c r="A46" s="239"/>
      <c r="B46" s="72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73"/>
      <c r="T46" s="239"/>
    </row>
    <row r="47" spans="1:20" x14ac:dyDescent="0.3">
      <c r="A47" s="239"/>
      <c r="B47" s="72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73"/>
      <c r="T47" s="239"/>
    </row>
    <row r="48" spans="1:20" x14ac:dyDescent="0.3">
      <c r="A48" s="239"/>
      <c r="B48" s="72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73"/>
      <c r="T48" s="239"/>
    </row>
    <row r="49" spans="1:23" x14ac:dyDescent="0.3">
      <c r="A49" s="239"/>
      <c r="B49" s="72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73"/>
      <c r="T49" s="239"/>
    </row>
    <row r="50" spans="1:23" x14ac:dyDescent="0.3">
      <c r="A50" s="239"/>
      <c r="B50" s="72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73"/>
      <c r="T50" s="239"/>
      <c r="W50" s="163"/>
    </row>
    <row r="51" spans="1:23" x14ac:dyDescent="0.3">
      <c r="A51" s="239"/>
      <c r="B51" s="72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73"/>
      <c r="T51" s="239"/>
    </row>
    <row r="52" spans="1:23" x14ac:dyDescent="0.3">
      <c r="A52" s="239"/>
      <c r="B52" s="72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73"/>
      <c r="T52" s="239"/>
    </row>
    <row r="53" spans="1:23" x14ac:dyDescent="0.3">
      <c r="A53" s="239"/>
      <c r="B53" s="72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73"/>
      <c r="T53" s="239"/>
    </row>
    <row r="54" spans="1:23" x14ac:dyDescent="0.3">
      <c r="A54" s="239"/>
      <c r="B54" s="72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73"/>
      <c r="T54" s="239"/>
    </row>
    <row r="55" spans="1:23" ht="15" thickBot="1" x14ac:dyDescent="0.35">
      <c r="A55" s="239"/>
      <c r="B55" s="74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6"/>
      <c r="T55" s="239"/>
    </row>
    <row r="56" spans="1:23" x14ac:dyDescent="0.3">
      <c r="A56" s="239"/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39"/>
    </row>
    <row r="57" spans="1:23" x14ac:dyDescent="0.3">
      <c r="A57" s="239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39"/>
    </row>
    <row r="58" spans="1:23" hidden="1" x14ac:dyDescent="0.3"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</row>
    <row r="59" spans="1:23" hidden="1" x14ac:dyDescent="0.3"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</row>
    <row r="60" spans="1:23" hidden="1" x14ac:dyDescent="0.3"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</row>
    <row r="61" spans="1:23" hidden="1" x14ac:dyDescent="0.3"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</row>
    <row r="62" spans="1:23" hidden="1" x14ac:dyDescent="0.3"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</row>
    <row r="63" spans="1:23" hidden="1" x14ac:dyDescent="0.3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</row>
    <row r="64" spans="1:23" hidden="1" x14ac:dyDescent="0.3"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</row>
    <row r="65" spans="2:102" hidden="1" x14ac:dyDescent="0.3"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</row>
    <row r="66" spans="2:102" hidden="1" x14ac:dyDescent="0.3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</row>
    <row r="67" spans="2:102" hidden="1" x14ac:dyDescent="0.3"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</row>
    <row r="68" spans="2:102" hidden="1" x14ac:dyDescent="0.3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</row>
    <row r="69" spans="2:102" hidden="1" x14ac:dyDescent="0.3"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</row>
    <row r="70" spans="2:102" hidden="1" x14ac:dyDescent="0.3"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</row>
    <row r="71" spans="2:102" hidden="1" x14ac:dyDescent="0.3"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CF71" s="66"/>
      <c r="CG71" s="191" t="s">
        <v>147</v>
      </c>
      <c r="CH71" s="66"/>
      <c r="CI71" s="66"/>
      <c r="CJ71" s="66"/>
      <c r="CK71" s="66"/>
      <c r="CL71" s="66"/>
      <c r="CM71" s="66"/>
      <c r="CN71" s="66"/>
      <c r="CO71" s="66"/>
      <c r="CP71" s="66"/>
      <c r="CQ71" s="66"/>
      <c r="CR71" s="66"/>
      <c r="CS71" s="66"/>
      <c r="CT71" s="66"/>
      <c r="CU71" s="66"/>
      <c r="CV71" s="66"/>
      <c r="CW71" s="66"/>
      <c r="CX71" s="66"/>
    </row>
    <row r="72" spans="2:102" hidden="1" x14ac:dyDescent="0.3"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CF72" s="66"/>
      <c r="CG72" s="69">
        <v>1</v>
      </c>
      <c r="CH72" s="66"/>
      <c r="CI72" s="66"/>
      <c r="CJ72" s="66"/>
      <c r="CK72" s="66"/>
      <c r="CL72" s="66"/>
      <c r="CM72" s="66"/>
      <c r="CN72" s="66"/>
      <c r="CO72" s="66"/>
      <c r="CP72" s="66"/>
      <c r="CQ72" s="66"/>
      <c r="CR72" s="66"/>
      <c r="CS72" s="66"/>
      <c r="CT72" s="66"/>
      <c r="CU72" s="66"/>
      <c r="CV72" s="66"/>
      <c r="CW72" s="66"/>
      <c r="CX72" s="66"/>
    </row>
    <row r="73" spans="2:102" hidden="1" x14ac:dyDescent="0.3"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CF73" s="66"/>
      <c r="CG73" s="191"/>
      <c r="CH73" s="66"/>
      <c r="CI73" s="66"/>
      <c r="CJ73" s="66"/>
      <c r="CK73" s="66"/>
      <c r="CL73" s="66"/>
      <c r="CM73" s="66"/>
      <c r="CN73" s="66"/>
      <c r="CO73" s="66"/>
      <c r="CP73" s="66"/>
      <c r="CQ73" s="66"/>
      <c r="CR73" s="66"/>
      <c r="CS73" s="66"/>
      <c r="CT73" s="66"/>
      <c r="CU73" s="66"/>
      <c r="CV73" s="66"/>
      <c r="CW73" s="66"/>
      <c r="CX73" s="66"/>
    </row>
    <row r="74" spans="2:102" hidden="1" x14ac:dyDescent="0.3"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CF74" s="66"/>
      <c r="CG74" s="191" t="s">
        <v>88</v>
      </c>
      <c r="CH74" s="66"/>
      <c r="CI74" s="66"/>
      <c r="CJ74" s="66"/>
      <c r="CK74" s="66"/>
      <c r="CL74" s="66"/>
      <c r="CM74" s="66"/>
      <c r="CN74" s="66"/>
      <c r="CO74" s="66"/>
      <c r="CP74" s="66"/>
      <c r="CQ74" s="66"/>
      <c r="CR74" s="66"/>
      <c r="CS74" s="66"/>
      <c r="CT74" s="66"/>
      <c r="CU74" s="66"/>
      <c r="CV74" s="66"/>
      <c r="CW74" s="66"/>
      <c r="CX74" s="66"/>
    </row>
    <row r="75" spans="2:102" hidden="1" x14ac:dyDescent="0.3"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CF75" s="66"/>
      <c r="CG75" s="191" t="s">
        <v>89</v>
      </c>
      <c r="CH75" s="66"/>
      <c r="CI75" s="66"/>
      <c r="CJ75" s="66"/>
      <c r="CK75" s="66"/>
      <c r="CL75" s="66"/>
      <c r="CM75" s="66"/>
      <c r="CN75" s="66"/>
      <c r="CO75" s="66"/>
      <c r="CP75" s="66"/>
      <c r="CQ75" s="66"/>
      <c r="CR75" s="66"/>
      <c r="CS75" s="66"/>
      <c r="CT75" s="66"/>
      <c r="CU75" s="66"/>
      <c r="CV75" s="66"/>
      <c r="CW75" s="66"/>
      <c r="CX75" s="66"/>
    </row>
    <row r="76" spans="2:102" hidden="1" x14ac:dyDescent="0.3">
      <c r="B76" s="68"/>
      <c r="N76" s="149"/>
      <c r="O76" s="149"/>
      <c r="P76" s="149"/>
      <c r="Q76" s="149"/>
      <c r="R76" s="150"/>
      <c r="S76" s="149"/>
      <c r="CF76" s="66"/>
      <c r="CG76" s="66"/>
      <c r="CH76" s="66"/>
      <c r="CI76" s="66"/>
      <c r="CJ76" s="66"/>
      <c r="CK76" s="66"/>
      <c r="CL76" s="66"/>
      <c r="CM76" s="66"/>
      <c r="CN76" s="66"/>
      <c r="CO76" s="66"/>
      <c r="CP76" s="66"/>
      <c r="CQ76" s="66"/>
      <c r="CR76" s="66"/>
      <c r="CS76" s="66"/>
      <c r="CT76" s="66"/>
      <c r="CU76" s="66"/>
      <c r="CV76" s="66"/>
      <c r="CW76" s="66"/>
      <c r="CX76" s="66"/>
    </row>
    <row r="77" spans="2:102" hidden="1" x14ac:dyDescent="0.3">
      <c r="B77" s="68"/>
      <c r="N77" s="148"/>
      <c r="O77" s="148"/>
      <c r="P77" s="148"/>
      <c r="Q77" s="148"/>
      <c r="R77" s="151"/>
      <c r="S77" s="68"/>
      <c r="CF77" s="66"/>
      <c r="CG77" s="66"/>
      <c r="CH77" s="66"/>
      <c r="CI77" s="66"/>
      <c r="CJ77" s="66"/>
      <c r="CK77" s="66"/>
      <c r="CL77" s="66"/>
      <c r="CM77" s="66"/>
      <c r="CN77" s="66"/>
      <c r="CO77" s="66"/>
      <c r="CP77" s="66"/>
      <c r="CQ77" s="66"/>
      <c r="CR77" s="66"/>
      <c r="CS77" s="66"/>
      <c r="CT77" s="66"/>
      <c r="CU77" s="66"/>
      <c r="CV77" s="66"/>
      <c r="CW77" s="66"/>
      <c r="CX77" s="66"/>
    </row>
    <row r="78" spans="2:102" hidden="1" x14ac:dyDescent="0.3">
      <c r="B78" s="68"/>
      <c r="N78" s="149"/>
      <c r="O78" s="149"/>
      <c r="P78" s="149"/>
      <c r="Q78" s="149"/>
      <c r="R78" s="150"/>
      <c r="S78" s="68"/>
      <c r="CF78" s="66"/>
      <c r="CG78" s="66"/>
      <c r="CH78" s="66"/>
      <c r="CI78" s="66"/>
      <c r="CJ78" s="66"/>
      <c r="CK78" s="66"/>
      <c r="CL78" s="66"/>
      <c r="CM78" s="66"/>
      <c r="CN78" s="66"/>
      <c r="CO78" s="66"/>
      <c r="CP78" s="66"/>
      <c r="CQ78" s="66"/>
      <c r="CR78" s="66"/>
      <c r="CS78" s="66"/>
      <c r="CT78" s="66"/>
      <c r="CU78" s="66"/>
      <c r="CV78" s="66"/>
      <c r="CW78" s="66"/>
      <c r="CX78" s="66"/>
    </row>
    <row r="79" spans="2:102" hidden="1" x14ac:dyDescent="0.3">
      <c r="B79" s="68"/>
      <c r="N79" s="148"/>
      <c r="O79" s="148"/>
      <c r="P79" s="148"/>
      <c r="Q79" s="148"/>
      <c r="R79" s="151"/>
      <c r="S79" s="68"/>
      <c r="CF79" s="66"/>
      <c r="CG79" s="66"/>
      <c r="CH79" s="66"/>
      <c r="CI79" s="66"/>
      <c r="CJ79" s="66"/>
      <c r="CK79" s="66"/>
      <c r="CL79" s="66"/>
      <c r="CM79" s="66"/>
      <c r="CN79" s="66"/>
      <c r="CO79" s="66"/>
      <c r="CP79" s="66"/>
      <c r="CQ79" s="66"/>
      <c r="CR79" s="66"/>
      <c r="CS79" s="66"/>
      <c r="CT79" s="66"/>
      <c r="CU79" s="66"/>
      <c r="CV79" s="66"/>
      <c r="CW79" s="66"/>
      <c r="CX79" s="66"/>
    </row>
    <row r="80" spans="2:102" hidden="1" x14ac:dyDescent="0.3">
      <c r="B80" s="68"/>
      <c r="N80" s="68"/>
      <c r="O80" s="68"/>
      <c r="P80" s="68"/>
      <c r="Q80" s="68"/>
      <c r="R80" s="68"/>
      <c r="S80" s="68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</row>
    <row r="81" spans="2:132" hidden="1" x14ac:dyDescent="0.3">
      <c r="B81" s="68"/>
      <c r="N81" s="68"/>
      <c r="O81" s="68"/>
      <c r="P81" s="68"/>
      <c r="Q81" s="68"/>
      <c r="R81" s="68"/>
      <c r="S81" s="68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</row>
    <row r="82" spans="2:132" hidden="1" x14ac:dyDescent="0.3">
      <c r="B82" s="68"/>
      <c r="N82" s="68"/>
      <c r="O82" s="68"/>
      <c r="P82" s="68"/>
      <c r="Q82" s="68"/>
      <c r="R82" s="68"/>
      <c r="S82" s="68"/>
      <c r="CF82" s="66"/>
      <c r="CG82" s="66"/>
      <c r="CH82" s="66"/>
      <c r="CI82" s="66"/>
      <c r="CJ82" s="66"/>
      <c r="CK82" s="66"/>
      <c r="CL82" s="66"/>
      <c r="CM82" s="66"/>
      <c r="CN82" s="66"/>
      <c r="CO82" s="66"/>
      <c r="CP82" s="66"/>
      <c r="CQ82" s="66"/>
      <c r="CR82" s="66"/>
      <c r="CS82" s="66"/>
      <c r="CT82" s="66"/>
      <c r="CU82" s="66"/>
      <c r="CV82" s="66"/>
      <c r="CW82" s="66"/>
      <c r="CX82" s="66"/>
    </row>
    <row r="83" spans="2:132" hidden="1" x14ac:dyDescent="0.3">
      <c r="B83" s="68"/>
      <c r="N83" s="68"/>
      <c r="O83" s="68"/>
      <c r="P83" s="68"/>
      <c r="Q83" s="68"/>
      <c r="R83" s="68"/>
      <c r="S83" s="68"/>
      <c r="CF83" s="66"/>
      <c r="CG83" s="66"/>
      <c r="CH83" s="66"/>
      <c r="CI83" s="66"/>
      <c r="CJ83" s="66"/>
      <c r="CK83" s="66"/>
      <c r="CL83" s="66"/>
      <c r="CM83" s="66"/>
      <c r="CN83" s="66"/>
      <c r="CO83" s="66"/>
      <c r="CP83" s="66"/>
      <c r="CQ83" s="66"/>
      <c r="CR83" s="66"/>
      <c r="CS83" s="66"/>
      <c r="CT83" s="66"/>
      <c r="CU83" s="66"/>
      <c r="CV83" s="66"/>
      <c r="CW83" s="66"/>
      <c r="CX83" s="66"/>
    </row>
    <row r="84" spans="2:132" hidden="1" x14ac:dyDescent="0.3">
      <c r="B84" s="68"/>
      <c r="N84" s="149"/>
      <c r="O84" s="149"/>
      <c r="P84" s="149"/>
      <c r="Q84" s="149"/>
      <c r="R84" s="149"/>
      <c r="S84" s="68"/>
      <c r="CF84" s="66"/>
      <c r="CG84" s="66"/>
      <c r="CH84" s="66"/>
      <c r="CI84" s="66"/>
      <c r="CJ84" s="66"/>
      <c r="CK84" s="66"/>
      <c r="CL84" s="66"/>
      <c r="CM84" s="66"/>
      <c r="CN84" s="66"/>
      <c r="CO84" s="66"/>
      <c r="CP84" s="66"/>
      <c r="CQ84" s="66"/>
      <c r="CR84" s="66"/>
      <c r="CS84" s="66"/>
      <c r="CT84" s="66"/>
      <c r="CU84" s="66"/>
      <c r="CV84" s="66"/>
      <c r="CW84" s="66"/>
      <c r="CX84" s="66"/>
    </row>
    <row r="85" spans="2:132" hidden="1" x14ac:dyDescent="0.3">
      <c r="B85" s="68"/>
      <c r="N85" s="68"/>
      <c r="O85" s="68"/>
      <c r="P85" s="68"/>
      <c r="Q85" s="68"/>
      <c r="R85" s="68"/>
      <c r="S85" s="68"/>
      <c r="CF85" s="66"/>
      <c r="CG85" s="66"/>
      <c r="CH85" s="66"/>
      <c r="CI85" s="66"/>
      <c r="CJ85" s="66"/>
      <c r="CK85" s="66"/>
      <c r="CL85" s="66"/>
      <c r="CM85" s="66"/>
      <c r="CN85" s="66"/>
      <c r="CO85" s="66"/>
      <c r="CP85" s="66"/>
      <c r="CQ85" s="66"/>
      <c r="CR85" s="66"/>
      <c r="CS85" s="66"/>
      <c r="CT85" s="66"/>
      <c r="CU85" s="66"/>
      <c r="CV85" s="66"/>
      <c r="CW85" s="66"/>
      <c r="CX85" s="66"/>
    </row>
    <row r="86" spans="2:132" hidden="1" x14ac:dyDescent="0.3">
      <c r="B86" s="68"/>
      <c r="N86" s="68"/>
      <c r="O86" s="68"/>
      <c r="P86" s="68"/>
      <c r="Q86" s="68"/>
      <c r="R86" s="68"/>
      <c r="S86" s="68"/>
      <c r="CF86" s="66"/>
      <c r="CG86" s="66"/>
      <c r="CH86" s="66"/>
      <c r="CI86" s="66"/>
      <c r="CJ86" s="66"/>
      <c r="CK86" s="66"/>
      <c r="CL86" s="66"/>
      <c r="CM86" s="66"/>
      <c r="CN86" s="66"/>
      <c r="CO86" s="66"/>
      <c r="CP86" s="66"/>
      <c r="CQ86" s="66"/>
      <c r="CR86" s="66"/>
      <c r="CS86" s="66"/>
      <c r="CT86" s="66"/>
      <c r="CU86" s="66"/>
      <c r="CV86" s="66"/>
      <c r="CW86" s="66"/>
      <c r="CX86" s="66"/>
    </row>
    <row r="87" spans="2:132" hidden="1" x14ac:dyDescent="0.3">
      <c r="B87" s="68"/>
      <c r="N87" s="68"/>
      <c r="O87" s="68"/>
      <c r="P87" s="68"/>
      <c r="Q87" s="68"/>
      <c r="R87" s="68"/>
      <c r="S87" s="68"/>
      <c r="CF87" s="66"/>
      <c r="CG87" s="66"/>
      <c r="CH87" s="66"/>
      <c r="CI87" s="66"/>
      <c r="CJ87" s="66"/>
      <c r="CK87" s="66"/>
      <c r="CL87" s="66"/>
      <c r="CM87" s="66"/>
      <c r="CN87" s="66"/>
      <c r="CO87" s="66"/>
      <c r="CP87" s="66"/>
      <c r="CQ87" s="66"/>
      <c r="CR87" s="66"/>
      <c r="CS87" s="66"/>
      <c r="CT87" s="66"/>
      <c r="CU87" s="66"/>
      <c r="CV87" s="66"/>
      <c r="CW87" s="66"/>
      <c r="CX87" s="66"/>
    </row>
    <row r="88" spans="2:132" hidden="1" x14ac:dyDescent="0.3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</row>
    <row r="89" spans="2:132" hidden="1" x14ac:dyDescent="0.3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</row>
    <row r="90" spans="2:132" hidden="1" x14ac:dyDescent="0.3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CF90" s="66"/>
      <c r="CG90" s="66"/>
      <c r="CH90" s="66"/>
      <c r="CI90" s="66"/>
      <c r="CJ90" s="66"/>
      <c r="CK90" s="66"/>
      <c r="CL90" s="66"/>
      <c r="CM90" s="66"/>
      <c r="CN90" s="66"/>
      <c r="CO90" s="66"/>
      <c r="CP90" s="66"/>
      <c r="CQ90" s="66"/>
      <c r="CR90" s="66"/>
      <c r="CS90" s="66"/>
      <c r="CT90" s="66"/>
      <c r="CU90" s="66"/>
      <c r="CV90" s="66"/>
      <c r="CW90" s="66"/>
      <c r="CX90" s="66"/>
      <c r="DA90" s="66"/>
      <c r="DB90" s="66"/>
      <c r="DC90" s="66"/>
      <c r="DD90" s="66"/>
      <c r="DE90" s="66"/>
      <c r="DF90" s="66"/>
      <c r="DG90" s="66"/>
      <c r="DH90" s="66"/>
      <c r="DI90" s="66"/>
      <c r="DJ90" s="66"/>
      <c r="DK90" s="66"/>
      <c r="DL90" s="66"/>
      <c r="DM90" s="66"/>
      <c r="DN90" s="66"/>
      <c r="DO90" s="66"/>
      <c r="DP90" s="66"/>
      <c r="DQ90" s="66"/>
      <c r="DR90" s="66"/>
      <c r="DS90" s="66"/>
      <c r="DT90" s="66"/>
      <c r="DU90" s="66"/>
      <c r="DV90" s="66"/>
      <c r="DW90" s="66"/>
      <c r="DX90" s="66"/>
      <c r="DY90" s="66"/>
      <c r="DZ90" s="66"/>
      <c r="EA90" s="66"/>
      <c r="EB90" s="66"/>
    </row>
    <row r="91" spans="2:132" hidden="1" x14ac:dyDescent="0.3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CF91" s="66"/>
      <c r="CG91" s="66"/>
      <c r="CH91" s="66"/>
      <c r="CI91" s="66"/>
      <c r="CJ91" s="66"/>
      <c r="CK91" s="66"/>
      <c r="CL91" s="66"/>
      <c r="CM91" s="66"/>
      <c r="CN91" s="66"/>
      <c r="CO91" s="66"/>
      <c r="CP91" s="66"/>
      <c r="CQ91" s="66"/>
      <c r="CR91" s="66"/>
      <c r="CS91" s="66"/>
      <c r="CT91" s="66"/>
      <c r="CU91" s="66"/>
      <c r="CV91" s="66"/>
      <c r="CW91" s="66"/>
      <c r="CX91" s="66"/>
      <c r="DA91" s="66"/>
      <c r="DB91" s="66"/>
      <c r="DC91" s="66"/>
      <c r="DD91" s="66"/>
      <c r="DE91" s="66"/>
      <c r="DF91" s="66"/>
      <c r="DG91" s="66"/>
      <c r="DH91" s="66"/>
      <c r="DI91" s="66"/>
      <c r="DJ91" s="66"/>
      <c r="DK91" s="66"/>
      <c r="DL91" s="66"/>
      <c r="DM91" s="66"/>
      <c r="DN91" s="66"/>
      <c r="DO91" s="66"/>
      <c r="DP91" s="66"/>
      <c r="DQ91" s="66"/>
      <c r="DR91" s="66"/>
      <c r="DS91" s="66"/>
      <c r="DT91" s="66"/>
      <c r="DU91" s="66"/>
      <c r="DV91" s="66"/>
      <c r="DW91" s="66"/>
      <c r="DX91" s="66"/>
      <c r="DY91" s="66"/>
      <c r="DZ91" s="66"/>
      <c r="EA91" s="66"/>
      <c r="EB91" s="66"/>
    </row>
    <row r="92" spans="2:132" hidden="1" x14ac:dyDescent="0.3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CF92" s="66"/>
      <c r="CG92" s="66"/>
      <c r="CH92" s="66"/>
      <c r="CI92" s="66"/>
      <c r="CJ92" s="66"/>
      <c r="CK92" s="66"/>
      <c r="CL92" s="66"/>
      <c r="CM92" s="66"/>
      <c r="CN92" s="66"/>
      <c r="CO92" s="66"/>
      <c r="CP92" s="66"/>
      <c r="CQ92" s="66"/>
      <c r="CR92" s="66"/>
      <c r="CS92" s="66"/>
      <c r="CT92" s="66"/>
      <c r="CU92" s="66"/>
      <c r="CV92" s="66"/>
      <c r="CW92" s="66"/>
      <c r="CX92" s="66"/>
      <c r="DA92" s="66"/>
      <c r="DB92" s="66"/>
      <c r="DC92" s="66"/>
      <c r="DD92" s="66"/>
      <c r="DE92" s="66"/>
      <c r="DF92" s="66"/>
      <c r="DG92" s="66"/>
      <c r="DH92" s="66"/>
      <c r="DI92" s="66"/>
      <c r="DJ92" s="66"/>
      <c r="DK92" s="66"/>
      <c r="DL92" s="66"/>
      <c r="DM92" s="66"/>
      <c r="DN92" s="66"/>
      <c r="DO92" s="66"/>
      <c r="DP92" s="66"/>
      <c r="DQ92" s="66"/>
      <c r="DR92" s="66"/>
      <c r="DS92" s="66"/>
      <c r="DT92" s="66"/>
      <c r="DU92" s="66"/>
      <c r="DV92" s="66"/>
      <c r="DW92" s="66"/>
      <c r="DX92" s="66"/>
      <c r="DY92" s="66"/>
      <c r="DZ92" s="66"/>
      <c r="EA92" s="66"/>
      <c r="EB92" s="66"/>
    </row>
    <row r="93" spans="2:132" hidden="1" x14ac:dyDescent="0.3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CF93" s="192">
        <f>E8</f>
        <v>0</v>
      </c>
      <c r="CG93" s="192">
        <f>G8</f>
        <v>0</v>
      </c>
      <c r="CH93" s="192">
        <f>I8</f>
        <v>0</v>
      </c>
      <c r="CI93" s="66"/>
      <c r="CJ93" s="66"/>
      <c r="CK93" s="66"/>
      <c r="CL93" s="66"/>
      <c r="CM93" s="66"/>
      <c r="CN93" s="66"/>
      <c r="CO93" s="66"/>
      <c r="CP93" s="66"/>
      <c r="CQ93" s="66"/>
      <c r="CR93" s="66"/>
      <c r="CS93" s="66"/>
      <c r="CT93" s="66"/>
      <c r="CU93" s="66"/>
      <c r="CV93" s="66"/>
      <c r="CW93" s="66"/>
      <c r="CX93" s="66"/>
      <c r="DA93" s="66"/>
      <c r="DB93" s="66"/>
      <c r="DC93" s="66"/>
      <c r="DD93" s="66"/>
      <c r="DE93" s="66"/>
      <c r="DF93" s="66"/>
      <c r="DG93" s="66"/>
      <c r="DH93" s="66"/>
      <c r="DI93" s="66"/>
      <c r="DJ93" s="66"/>
      <c r="DK93" s="66"/>
      <c r="DL93" s="66"/>
      <c r="DM93" s="66"/>
      <c r="DN93" s="66"/>
      <c r="DO93" s="66"/>
      <c r="DP93" s="66"/>
      <c r="DQ93" s="66"/>
      <c r="DR93" s="66"/>
      <c r="DS93" s="66"/>
      <c r="DT93" s="66"/>
      <c r="DU93" s="66"/>
      <c r="DV93" s="66"/>
      <c r="DW93" s="66"/>
      <c r="DX93" s="66"/>
      <c r="DY93" s="66"/>
      <c r="DZ93" s="66"/>
      <c r="EA93" s="66"/>
      <c r="EB93" s="66"/>
    </row>
    <row r="94" spans="2:132" hidden="1" x14ac:dyDescent="0.3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CF94" s="66"/>
      <c r="CG94" s="66"/>
      <c r="CH94" s="66" t="s">
        <v>120</v>
      </c>
      <c r="CI94" s="146">
        <f ca="1">DATE($CI$121,1,1)</f>
        <v>42736</v>
      </c>
      <c r="CJ94" s="146">
        <f ca="1">DATE($CI$121+1,1,1)</f>
        <v>43101</v>
      </c>
      <c r="CK94" s="146">
        <f ca="1">DATE($CI$121+2,1,1)</f>
        <v>43466</v>
      </c>
      <c r="CL94" s="146">
        <f ca="1">DATE($CI$121+3,1,1)</f>
        <v>43831</v>
      </c>
      <c r="CM94" s="146">
        <f ca="1">DATE($CI$121+4,1,1)</f>
        <v>44197</v>
      </c>
      <c r="CN94" s="146">
        <f ca="1">DATE($CI$121+5,1,1)</f>
        <v>44562</v>
      </c>
      <c r="CO94" s="146">
        <f ca="1">DATE($CI$121+6,1,1)</f>
        <v>44927</v>
      </c>
      <c r="CP94" s="146">
        <f ca="1">DATE($CI$121+7,1,1)</f>
        <v>45292</v>
      </c>
      <c r="CQ94" s="146">
        <f ca="1">DATE($CI$121+8,1,1)</f>
        <v>45658</v>
      </c>
      <c r="CR94" s="146">
        <f ca="1">DATE($CI$121+9,1,1)</f>
        <v>46023</v>
      </c>
      <c r="CS94" s="146">
        <f ca="1">DATE($CI$121+10,1,1)</f>
        <v>46388</v>
      </c>
      <c r="CT94" s="146">
        <f ca="1">DATE($CI$121+11,1,1)</f>
        <v>46753</v>
      </c>
      <c r="CU94" s="146">
        <f ca="1">DATE($CI$121+12,1,1)</f>
        <v>47119</v>
      </c>
      <c r="CV94" s="146">
        <f ca="1">DATE($CI$121+13,1,1)</f>
        <v>47484</v>
      </c>
      <c r="CW94" s="146">
        <f ca="1">DATE($CI$121+14,1,1)</f>
        <v>47849</v>
      </c>
      <c r="CX94" s="146">
        <f ca="1">DATE($CI$121+15,1,1)</f>
        <v>48214</v>
      </c>
      <c r="DA94" s="66"/>
      <c r="DB94" s="66"/>
      <c r="DC94" s="66"/>
      <c r="DD94" s="66"/>
      <c r="DE94" s="66"/>
      <c r="DF94" s="66"/>
      <c r="DG94" s="66"/>
      <c r="DH94" s="66"/>
      <c r="DI94" s="66"/>
      <c r="DJ94" s="66"/>
      <c r="DK94" s="66"/>
      <c r="DL94" s="66"/>
      <c r="DM94" s="66"/>
      <c r="DN94" s="66"/>
      <c r="DO94" s="66"/>
      <c r="DP94" s="66"/>
      <c r="DQ94" s="66"/>
      <c r="DR94" s="66"/>
      <c r="DS94" s="66"/>
      <c r="DT94" s="66"/>
      <c r="DU94" s="66"/>
      <c r="DV94" s="66"/>
      <c r="DW94" s="66"/>
      <c r="DX94" s="66"/>
      <c r="DY94" s="66"/>
      <c r="DZ94" s="66"/>
      <c r="EA94" s="66"/>
      <c r="EB94" s="66"/>
    </row>
    <row r="95" spans="2:132" hidden="1" x14ac:dyDescent="0.3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CF95" s="156"/>
      <c r="CG95" s="156"/>
      <c r="CH95" s="156" t="s">
        <v>121</v>
      </c>
      <c r="CI95" s="146">
        <f ca="1">IF(YEAR(CI94)=$DC$95,$DC$96,IF(YEAR(CI94)=$DD$95,$DD$96,IF(YEAR(CI94)=$DE$95,$DE$96,IF(YEAR(CI94)=$DF$95,$DF$96,IF(YEAR(CI94)=$DG$95,$DG$96,IF(YEAR(CI94)=$DH$95,$DH$96,IF(YEAR(CI94)=$DI$95,$DI$96,IF(YEAR(CI94)=$DJ$95,$DJ$96,IF(YEAR(CI94)=$DK$95,$DK$96,IF(YEAR(CI94)=$DL$95,$DL$96,IF(YEAR(CI94)=$DM$95,$DM$96,IF(YEAR(CI94)=$DN$95,$DN$96,IF(YEAR(CI94)=$DO$95,$DO$96,IF(YEAR(CI94)=$DP$95,$DP$96,IF(YEAR(CI94)=$DQ$95,$DQ$96,IF(YEAR(CI94)=$DR$95,$DR$96,IF(YEAR(CI94)=$DS$95,$DS$96,IF(YEAR(CI94)=$DT$95,$DT$96,IF(YEAR(CI94)=$DU$95,$DU$96,IF(YEAR(CI94)=$DV$95,$DV$96,IF(YEAR(CI94)=$DW$95,$DW$96,IF(YEAR(CI94)=$DX$95,$DX$96,IF(YEAR(CI94)=$DY$95,$DY$96,IF(YEAR(CI94)=$DZ$95,$DZ$96,IF(YEAR(CI94)=$EA$95,$EA$96,IF(YEAR(CI94)=$EB$95,$EB$96))))))))))))))))))))))))))</f>
        <v>42794</v>
      </c>
      <c r="CJ95" s="146">
        <f t="shared" ref="CJ95:CX95" ca="1" si="0">IF(YEAR(CJ94)=$DC$95,$DC$96,IF(YEAR(CJ94)=$DD$95,$DD$96,IF(YEAR(CJ94)=$DE$95,$DE$96,IF(YEAR(CJ94)=$DF$95,$DF$96,IF(YEAR(CJ94)=$DG$95,$DG$96,IF(YEAR(CJ94)=$DH$95,$DH$96,IF(YEAR(CJ94)=$DI$95,$DI$96,IF(YEAR(CJ94)=$DJ$95,$DJ$96,IF(YEAR(CJ94)=$DK$95,$DK$96,IF(YEAR(CJ94)=$DL$95,$DL$96,IF(YEAR(CJ94)=$DM$95,$DM$96,IF(YEAR(CJ94)=$DN$95,$DN$96,IF(YEAR(CJ94)=$DO$95,$DO$96,IF(YEAR(CJ94)=$DP$95,$DP$96,IF(YEAR(CJ94)=$DQ$95,$DQ$96,IF(YEAR(CJ94)=$DR$95,$DR$96,IF(YEAR(CJ94)=$DS$95,$DS$96,IF(YEAR(CJ94)=$DT$95,$DT$96,IF(YEAR(CJ94)=$DU$95,$DU$96,IF(YEAR(CJ94)=$DV$95,$DV$96,IF(YEAR(CJ94)=$DW$95,$DW$96,IF(YEAR(CJ94)=$DX$95,$DX$96,IF(YEAR(CJ94)=$DY$95,$DY$96,IF(YEAR(CJ94)=$DZ$95,$DZ$96,IF(YEAR(CJ94)=$EA$95,$EA$96,IF(YEAR(CJ94)=$EB$95,$EB$96))))))))))))))))))))))))))</f>
        <v>43144</v>
      </c>
      <c r="CK95" s="146">
        <f t="shared" ca="1" si="0"/>
        <v>43529</v>
      </c>
      <c r="CL95" s="146">
        <f t="shared" ca="1" si="0"/>
        <v>43886</v>
      </c>
      <c r="CM95" s="146">
        <f t="shared" ca="1" si="0"/>
        <v>44243</v>
      </c>
      <c r="CN95" s="146">
        <f t="shared" ca="1" si="0"/>
        <v>44621</v>
      </c>
      <c r="CO95" s="146">
        <f t="shared" ca="1" si="0"/>
        <v>44978</v>
      </c>
      <c r="CP95" s="146">
        <f t="shared" ca="1" si="0"/>
        <v>45335</v>
      </c>
      <c r="CQ95" s="146">
        <f t="shared" ca="1" si="0"/>
        <v>45720</v>
      </c>
      <c r="CR95" s="146">
        <f t="shared" ca="1" si="0"/>
        <v>46070</v>
      </c>
      <c r="CS95" s="146">
        <f t="shared" ca="1" si="0"/>
        <v>46427</v>
      </c>
      <c r="CT95" s="146">
        <f t="shared" ca="1" si="0"/>
        <v>46812</v>
      </c>
      <c r="CU95" s="146">
        <f t="shared" ca="1" si="0"/>
        <v>47162</v>
      </c>
      <c r="CV95" s="146">
        <f t="shared" ca="1" si="0"/>
        <v>47547</v>
      </c>
      <c r="CW95" s="146">
        <f t="shared" ca="1" si="0"/>
        <v>47904</v>
      </c>
      <c r="CX95" s="146">
        <f t="shared" ca="1" si="0"/>
        <v>48254</v>
      </c>
      <c r="DA95" s="66"/>
      <c r="DB95" s="66"/>
      <c r="DC95" s="66">
        <v>2015</v>
      </c>
      <c r="DD95" s="66">
        <v>2016</v>
      </c>
      <c r="DE95" s="66">
        <v>2017</v>
      </c>
      <c r="DF95" s="66">
        <v>2018</v>
      </c>
      <c r="DG95" s="66">
        <v>2019</v>
      </c>
      <c r="DH95" s="66">
        <v>2020</v>
      </c>
      <c r="DI95" s="66">
        <v>2021</v>
      </c>
      <c r="DJ95" s="66">
        <v>2022</v>
      </c>
      <c r="DK95" s="66">
        <v>2023</v>
      </c>
      <c r="DL95" s="66">
        <v>2024</v>
      </c>
      <c r="DM95" s="66">
        <v>2025</v>
      </c>
      <c r="DN95" s="66">
        <v>2026</v>
      </c>
      <c r="DO95" s="66">
        <v>2027</v>
      </c>
      <c r="DP95" s="66">
        <v>2028</v>
      </c>
      <c r="DQ95" s="66">
        <v>2029</v>
      </c>
      <c r="DR95" s="66">
        <v>2030</v>
      </c>
      <c r="DS95" s="66">
        <v>2031</v>
      </c>
      <c r="DT95" s="66">
        <v>2032</v>
      </c>
      <c r="DU95" s="66">
        <v>2033</v>
      </c>
      <c r="DV95" s="66">
        <v>2034</v>
      </c>
      <c r="DW95" s="66">
        <v>2035</v>
      </c>
      <c r="DX95" s="66">
        <v>2036</v>
      </c>
      <c r="DY95" s="66">
        <v>2037</v>
      </c>
      <c r="DZ95" s="66">
        <v>2038</v>
      </c>
      <c r="EA95" s="66">
        <v>2039</v>
      </c>
      <c r="EB95" s="66">
        <v>2040</v>
      </c>
    </row>
    <row r="96" spans="2:132" hidden="1" x14ac:dyDescent="0.3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CF96" s="156"/>
      <c r="CG96" s="156"/>
      <c r="CH96" s="156" t="s">
        <v>124</v>
      </c>
      <c r="CI96" s="146">
        <f ca="1">IF(YEAR(CI94)=$DC$95,$DC$97,IF(YEAR(CI94)=$DD$95,$DD$97,IF(YEAR(CI94)=$DE$95,$DE$97,IF(YEAR(CI94)=$DF$95,$DF$97,IF(YEAR(CI94)=$DG$95,$DG$97,IF(YEAR(CI94)=$DH$95,$DH$97,IF(YEAR(CI94)=$DI$95,$DI$97,IF(YEAR(CI94)=$DJ$95,$DJ$97,IF(YEAR(CI94)=$DK$95,$DK$97,IF(YEAR(CI94)=$DL$95,$DL$97,IF(YEAR(CI94)=$DM$95,$DM$97,IF(YEAR(CI94)=$DN$95,$DN$97,IF(YEAR(CI94)=$DO$95,$DO$97,IF(YEAR(CI94)=$DP$95,$DP$97,IF(YEAR(CI94)=$DQ$95,$DQ$97,IF(YEAR(CI94)=$DR$95,$DR$97,IF(YEAR(CI94)=$DS$95,$DS$97,IF(YEAR(CI94)=$DT$95,$DT$97,IF(YEAR(CI94)=$DU$95,$DU$97,IF(YEAR(CI94)=$DV$95,$DV$97,IF(YEAR(CI94)=$DW$95,$DW$97,IF(YEAR(CI94)=$DX$95,$DX$97,IF(YEAR(CI94)=$DY$95,$DY$97,IF(YEAR(CI94)=$DZ$95,$DZ$97,IF(YEAR(CI94)=$EA$95,$EA$97,IF(YEAR(CI94)=$EB$95,$EB$97))))))))))))))))))))))))))</f>
        <v>42839</v>
      </c>
      <c r="CJ96" s="146">
        <f t="shared" ref="CJ96:CX96" ca="1" si="1">IF(YEAR(CJ94)=$DC$95,$DC$97,IF(YEAR(CJ94)=$DD$95,$DD$97,IF(YEAR(CJ94)=$DE$95,$DE$97,IF(YEAR(CJ94)=$DF$95,$DF$97,IF(YEAR(CJ94)=$DG$95,$DG$97,IF(YEAR(CJ94)=$DH$95,$DH$97,IF(YEAR(CJ94)=$DI$95,$DI$97,IF(YEAR(CJ94)=$DJ$95,$DJ$97,IF(YEAR(CJ94)=$DK$95,$DK$97,IF(YEAR(CJ94)=$DL$95,$DL$97,IF(YEAR(CJ94)=$DM$95,$DM$97,IF(YEAR(CJ94)=$DN$95,$DN$97,IF(YEAR(CJ94)=$DO$95,$DO$97,IF(YEAR(CJ94)=$DP$95,$DP$97,IF(YEAR(CJ94)=$DQ$95,$DQ$97,IF(YEAR(CJ94)=$DR$95,$DR$97,IF(YEAR(CJ94)=$DS$95,$DS$97,IF(YEAR(CJ94)=$DT$95,$DT$97,IF(YEAR(CJ94)=$DU$95,$DU$97,IF(YEAR(CJ94)=$DV$95,$DV$97,IF(YEAR(CJ94)=$DW$95,$DW$97,IF(YEAR(CJ94)=$DX$95,$DX$97,IF(YEAR(CJ94)=$DY$95,$DY$97,IF(YEAR(CJ94)=$DZ$95,$DZ$97,IF(YEAR(CJ94)=$EA$95,$EA$97,IF(YEAR(CJ94)=$EB$95,$EB$97))))))))))))))))))))))))))</f>
        <v>43189</v>
      </c>
      <c r="CK96" s="146">
        <f t="shared" ca="1" si="1"/>
        <v>43574</v>
      </c>
      <c r="CL96" s="146">
        <f t="shared" ca="1" si="1"/>
        <v>43931</v>
      </c>
      <c r="CM96" s="146">
        <f t="shared" ca="1" si="1"/>
        <v>44288</v>
      </c>
      <c r="CN96" s="146">
        <f t="shared" ca="1" si="1"/>
        <v>44666</v>
      </c>
      <c r="CO96" s="146">
        <f t="shared" ca="1" si="1"/>
        <v>45023</v>
      </c>
      <c r="CP96" s="146">
        <f t="shared" ca="1" si="1"/>
        <v>45380</v>
      </c>
      <c r="CQ96" s="146">
        <f t="shared" ca="1" si="1"/>
        <v>45765</v>
      </c>
      <c r="CR96" s="146">
        <f t="shared" ca="1" si="1"/>
        <v>46115</v>
      </c>
      <c r="CS96" s="146">
        <f t="shared" ca="1" si="1"/>
        <v>46472</v>
      </c>
      <c r="CT96" s="146">
        <f t="shared" ca="1" si="1"/>
        <v>46857</v>
      </c>
      <c r="CU96" s="146">
        <f t="shared" ca="1" si="1"/>
        <v>47207</v>
      </c>
      <c r="CV96" s="146">
        <f t="shared" ca="1" si="1"/>
        <v>47561</v>
      </c>
      <c r="CW96" s="146">
        <f t="shared" ca="1" si="1"/>
        <v>47949</v>
      </c>
      <c r="CX96" s="146">
        <f t="shared" ca="1" si="1"/>
        <v>48299</v>
      </c>
      <c r="DA96" s="66"/>
      <c r="DB96" s="156" t="s">
        <v>121</v>
      </c>
      <c r="DC96" s="146">
        <v>42052</v>
      </c>
      <c r="DD96" s="146">
        <v>42409</v>
      </c>
      <c r="DE96" s="146">
        <v>42794</v>
      </c>
      <c r="DF96" s="146">
        <v>43144</v>
      </c>
      <c r="DG96" s="146">
        <v>43529</v>
      </c>
      <c r="DH96" s="146">
        <v>43886</v>
      </c>
      <c r="DI96" s="146">
        <v>44243</v>
      </c>
      <c r="DJ96" s="146">
        <v>44621</v>
      </c>
      <c r="DK96" s="146">
        <v>44978</v>
      </c>
      <c r="DL96" s="146">
        <v>45335</v>
      </c>
      <c r="DM96" s="146">
        <v>45720</v>
      </c>
      <c r="DN96" s="146">
        <v>46070</v>
      </c>
      <c r="DO96" s="146">
        <v>46427</v>
      </c>
      <c r="DP96" s="146">
        <v>46812</v>
      </c>
      <c r="DQ96" s="146">
        <v>47162</v>
      </c>
      <c r="DR96" s="146">
        <v>47547</v>
      </c>
      <c r="DS96" s="146">
        <v>47904</v>
      </c>
      <c r="DT96" s="146">
        <v>48254</v>
      </c>
      <c r="DU96" s="146">
        <v>48639</v>
      </c>
      <c r="DV96" s="146">
        <v>48996</v>
      </c>
      <c r="DW96" s="146">
        <v>49346</v>
      </c>
      <c r="DX96" s="146">
        <v>49731</v>
      </c>
      <c r="DY96" s="146">
        <v>50088</v>
      </c>
      <c r="DZ96" s="146">
        <v>50473</v>
      </c>
      <c r="EA96" s="146">
        <v>50823</v>
      </c>
      <c r="EB96" s="146">
        <v>51180</v>
      </c>
    </row>
    <row r="97" spans="2:132" hidden="1" x14ac:dyDescent="0.3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CF97" s="156"/>
      <c r="CG97" s="156"/>
      <c r="CH97" s="156" t="s">
        <v>125</v>
      </c>
      <c r="CI97" s="146">
        <f ca="1">DATE($CI$121,4,21)</f>
        <v>42846</v>
      </c>
      <c r="CJ97" s="146">
        <f ca="1">DATE($CI$121+1,4,21)</f>
        <v>43211</v>
      </c>
      <c r="CK97" s="146">
        <f ca="1">DATE($CI$121+2,4,21)</f>
        <v>43576</v>
      </c>
      <c r="CL97" s="146">
        <f ca="1">DATE($CI$121+3,4,21)</f>
        <v>43942</v>
      </c>
      <c r="CM97" s="146">
        <f ca="1">DATE($CI$121+4,4,21)</f>
        <v>44307</v>
      </c>
      <c r="CN97" s="146">
        <f ca="1">DATE($CI$121+5,4,21)</f>
        <v>44672</v>
      </c>
      <c r="CO97" s="146">
        <f ca="1">DATE($CI$121+6,4,21)</f>
        <v>45037</v>
      </c>
      <c r="CP97" s="146">
        <f ca="1">DATE($CI$121+7,4,21)</f>
        <v>45403</v>
      </c>
      <c r="CQ97" s="146">
        <f ca="1">DATE($CI$121+8,4,21)</f>
        <v>45768</v>
      </c>
      <c r="CR97" s="146">
        <f ca="1">DATE($CI$121+9,4,21)</f>
        <v>46133</v>
      </c>
      <c r="CS97" s="146">
        <f ca="1">DATE($CI$121+10,4,21)</f>
        <v>46498</v>
      </c>
      <c r="CT97" s="146">
        <f ca="1">DATE($CI$121+11,4,21)</f>
        <v>46864</v>
      </c>
      <c r="CU97" s="146">
        <f ca="1">DATE($CI$121+12,4,21)</f>
        <v>47229</v>
      </c>
      <c r="CV97" s="146">
        <f ca="1">DATE($CI$121+13,4,21)</f>
        <v>47594</v>
      </c>
      <c r="CW97" s="146">
        <f ca="1">DATE($CI$121+14,4,21)</f>
        <v>47959</v>
      </c>
      <c r="CX97" s="146">
        <f ca="1">DATE($CI$121+15,4,21)</f>
        <v>48325</v>
      </c>
      <c r="DA97" s="66"/>
      <c r="DB97" s="156" t="s">
        <v>124</v>
      </c>
      <c r="DC97" s="146">
        <v>42097</v>
      </c>
      <c r="DD97" s="146">
        <v>42454</v>
      </c>
      <c r="DE97" s="146">
        <v>42839</v>
      </c>
      <c r="DF97" s="146">
        <v>43189</v>
      </c>
      <c r="DG97" s="146">
        <v>43574</v>
      </c>
      <c r="DH97" s="146">
        <v>43931</v>
      </c>
      <c r="DI97" s="146">
        <v>44288</v>
      </c>
      <c r="DJ97" s="146">
        <v>44666</v>
      </c>
      <c r="DK97" s="146">
        <v>45023</v>
      </c>
      <c r="DL97" s="146">
        <v>45380</v>
      </c>
      <c r="DM97" s="146">
        <v>45765</v>
      </c>
      <c r="DN97" s="146">
        <v>46115</v>
      </c>
      <c r="DO97" s="146">
        <v>46472</v>
      </c>
      <c r="DP97" s="146">
        <v>46857</v>
      </c>
      <c r="DQ97" s="146">
        <v>47207</v>
      </c>
      <c r="DR97" s="146">
        <v>47561</v>
      </c>
      <c r="DS97" s="146">
        <v>47949</v>
      </c>
      <c r="DT97" s="146">
        <v>48299</v>
      </c>
      <c r="DU97" s="146">
        <v>48684</v>
      </c>
      <c r="DV97" s="146">
        <v>49041</v>
      </c>
      <c r="DW97" s="146">
        <v>49391</v>
      </c>
      <c r="DX97" s="146">
        <v>49776</v>
      </c>
      <c r="DY97" s="146">
        <v>50133</v>
      </c>
      <c r="DZ97" s="146">
        <v>50518</v>
      </c>
      <c r="EA97" s="146">
        <v>50868</v>
      </c>
      <c r="EB97" s="146">
        <v>51225</v>
      </c>
    </row>
    <row r="98" spans="2:132" hidden="1" x14ac:dyDescent="0.3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CF98" s="156"/>
      <c r="CG98" s="156"/>
      <c r="CH98" s="156" t="s">
        <v>127</v>
      </c>
      <c r="CI98" s="146">
        <f ca="1">DATE($CI$121,5,1)</f>
        <v>42856</v>
      </c>
      <c r="CJ98" s="146">
        <f ca="1">DATE($CI$121+1,5,1)</f>
        <v>43221</v>
      </c>
      <c r="CK98" s="146">
        <f ca="1">DATE($CI$121+2,5,1)</f>
        <v>43586</v>
      </c>
      <c r="CL98" s="146">
        <f ca="1">DATE($CI$121+3,5,1)</f>
        <v>43952</v>
      </c>
      <c r="CM98" s="146">
        <f ca="1">DATE($CI$121+4,5,1)</f>
        <v>44317</v>
      </c>
      <c r="CN98" s="146">
        <f ca="1">DATE($CI$121+5,5,1)</f>
        <v>44682</v>
      </c>
      <c r="CO98" s="146">
        <f ca="1">DATE($CI$121+6,5,1)</f>
        <v>45047</v>
      </c>
      <c r="CP98" s="146">
        <f ca="1">DATE($CI$121+7,5,1)</f>
        <v>45413</v>
      </c>
      <c r="CQ98" s="146">
        <f ca="1">DATE($CI$121+8,5,1)</f>
        <v>45778</v>
      </c>
      <c r="CR98" s="146">
        <f ca="1">DATE($CI$121+9,5,1)</f>
        <v>46143</v>
      </c>
      <c r="CS98" s="146">
        <f ca="1">DATE($CI$121+10,5,1)</f>
        <v>46508</v>
      </c>
      <c r="CT98" s="146">
        <f ca="1">DATE($CI$121+11,5,1)</f>
        <v>46874</v>
      </c>
      <c r="CU98" s="146">
        <f ca="1">DATE($CI$121+12,5,1)</f>
        <v>47239</v>
      </c>
      <c r="CV98" s="146">
        <f ca="1">DATE($CI$121+13,5,1)</f>
        <v>47604</v>
      </c>
      <c r="CW98" s="146">
        <f ca="1">DATE($CI$121+14,5,1)</f>
        <v>47969</v>
      </c>
      <c r="CX98" s="146">
        <f ca="1">DATE($CI$121+15,5,1)</f>
        <v>48335</v>
      </c>
      <c r="DA98" s="66"/>
      <c r="DB98" s="159"/>
      <c r="DC98" s="66"/>
      <c r="DD98" s="66"/>
      <c r="DE98" s="66"/>
      <c r="DF98" s="66"/>
      <c r="DG98" s="66"/>
      <c r="DH98" s="66"/>
      <c r="DI98" s="66"/>
      <c r="DJ98" s="66"/>
      <c r="DK98" s="66"/>
      <c r="DL98" s="66"/>
      <c r="DM98" s="66"/>
      <c r="DN98" s="66"/>
      <c r="DO98" s="66"/>
      <c r="DP98" s="66"/>
      <c r="DQ98" s="66"/>
      <c r="DR98" s="66"/>
      <c r="DS98" s="66"/>
      <c r="DT98" s="66"/>
      <c r="DU98" s="66"/>
      <c r="DV98" s="66"/>
      <c r="DW98" s="66"/>
      <c r="DX98" s="66"/>
      <c r="DY98" s="66"/>
      <c r="DZ98" s="66"/>
      <c r="EA98" s="66"/>
      <c r="EB98" s="66"/>
    </row>
    <row r="99" spans="2:132" hidden="1" x14ac:dyDescent="0.3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CF99" s="66"/>
      <c r="CG99" s="159"/>
      <c r="CH99" s="159" t="s">
        <v>128</v>
      </c>
      <c r="CI99" s="146">
        <f t="shared" ref="CI99:CX99" ca="1" si="2">IF(YEAR(CI94)=$DC$95,$DC$100,IF(YEAR(CI94)=$DD$95,$DD$100,IF(YEAR(CI94)=$DE$95,$DE$100,IF(YEAR(CI94)=$DF$95,$DF$100,IF(YEAR(CI94)=$DG$95,$DG$100,IF(YEAR(CI94)=$DH$95,$DH$100,IF(YEAR(CI94)=$DI$95,$DI$100,IF(YEAR(CI94)=$DJ$95,$DJ$100,IF(YEAR(CI94)=$DK$95,$DK$100,IF(YEAR(CI94)=$DL$95,$DL$100,IF(YEAR(CI94)=$DM$95,$DM$100,IF(YEAR(CI94)=$DN$95,$DN$100,IF(YEAR(CI94)=$DO$95,$DO$100,IF(YEAR(CI94)=$DP$95,$DP$100,IF(YEAR(CI94)=$DQ$95,$DQ$100,IF(YEAR(CI94)=$DR$95,$DR$100,IF(YEAR(CI94)=$DS$95,$DS$100,IF(YEAR(CI94)=$DT$95,$DT$100,IF(YEAR(CI94)=$DU$95,$DU$100,IF(YEAR(CI94)=$DV$95,$DV$100,IF(YEAR(CI94)=$DW$95,$DW$100,IF(YEAR(CI94)=$DX$95,$DX$100,IF(YEAR(CI94)=$DY$95,$DY$100,IF(YEAR(CI94)=$DZ$95,$DZ$100,IF(YEAR(CI94)=$EA$95,$EA$100,IF(YEAR(CI94)=$EB$95,$EB$100))))))))))))))))))))))))))</f>
        <v>42901</v>
      </c>
      <c r="CJ99" s="146">
        <f t="shared" ca="1" si="2"/>
        <v>43251</v>
      </c>
      <c r="CK99" s="146">
        <f t="shared" ca="1" si="2"/>
        <v>43636</v>
      </c>
      <c r="CL99" s="146">
        <f t="shared" ca="1" si="2"/>
        <v>43993</v>
      </c>
      <c r="CM99" s="146">
        <f t="shared" ca="1" si="2"/>
        <v>44350</v>
      </c>
      <c r="CN99" s="146">
        <f t="shared" ca="1" si="2"/>
        <v>44728</v>
      </c>
      <c r="CO99" s="146">
        <f t="shared" ca="1" si="2"/>
        <v>45085</v>
      </c>
      <c r="CP99" s="146">
        <f t="shared" ca="1" si="2"/>
        <v>45442</v>
      </c>
      <c r="CQ99" s="146">
        <f t="shared" ca="1" si="2"/>
        <v>45827</v>
      </c>
      <c r="CR99" s="146">
        <f t="shared" ca="1" si="2"/>
        <v>46177</v>
      </c>
      <c r="CS99" s="146">
        <f t="shared" ca="1" si="2"/>
        <v>46534</v>
      </c>
      <c r="CT99" s="146">
        <f t="shared" ca="1" si="2"/>
        <v>46919</v>
      </c>
      <c r="CU99" s="146">
        <f t="shared" ca="1" si="2"/>
        <v>47269</v>
      </c>
      <c r="CV99" s="146">
        <f t="shared" ca="1" si="2"/>
        <v>47654</v>
      </c>
      <c r="CW99" s="146">
        <f t="shared" ca="1" si="2"/>
        <v>48011</v>
      </c>
      <c r="CX99" s="146">
        <f t="shared" ca="1" si="2"/>
        <v>48361</v>
      </c>
      <c r="DA99" s="66"/>
      <c r="DB99" s="66"/>
      <c r="DC99" s="66"/>
      <c r="DD99" s="66"/>
      <c r="DE99" s="66"/>
      <c r="DF99" s="66"/>
      <c r="DG99" s="66"/>
      <c r="DH99" s="66"/>
      <c r="DI99" s="66"/>
      <c r="DJ99" s="66"/>
      <c r="DK99" s="66"/>
      <c r="DL99" s="66"/>
      <c r="DM99" s="66"/>
      <c r="DN99" s="66"/>
      <c r="DO99" s="66"/>
      <c r="DP99" s="66"/>
      <c r="DQ99" s="66"/>
      <c r="DR99" s="66"/>
      <c r="DS99" s="66"/>
      <c r="DT99" s="66"/>
      <c r="DU99" s="66"/>
      <c r="DV99" s="66"/>
      <c r="DW99" s="66"/>
      <c r="DX99" s="66"/>
      <c r="DY99" s="66"/>
      <c r="DZ99" s="66"/>
      <c r="EA99" s="66"/>
      <c r="EB99" s="66"/>
    </row>
    <row r="100" spans="2:132" hidden="1" x14ac:dyDescent="0.3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CF100" s="66"/>
      <c r="CG100" s="66"/>
      <c r="CH100" s="66" t="s">
        <v>130</v>
      </c>
      <c r="CI100" s="146">
        <f ca="1">DATE($CI$121,9,7)</f>
        <v>42985</v>
      </c>
      <c r="CJ100" s="146">
        <f ca="1">DATE($CI$121+1,9,7)</f>
        <v>43350</v>
      </c>
      <c r="CK100" s="146">
        <f ca="1">DATE($CI$121+2,9,7)</f>
        <v>43715</v>
      </c>
      <c r="CL100" s="146">
        <f ca="1">DATE($CI$121+3,9,7)</f>
        <v>44081</v>
      </c>
      <c r="CM100" s="146">
        <f ca="1">DATE($CI$121+4,9,7)</f>
        <v>44446</v>
      </c>
      <c r="CN100" s="146">
        <f ca="1">DATE($CI$121+5,9,7)</f>
        <v>44811</v>
      </c>
      <c r="CO100" s="146">
        <f ca="1">DATE($CI$121+6,9,7)</f>
        <v>45176</v>
      </c>
      <c r="CP100" s="146">
        <f ca="1">DATE($CI$121+7,9,7)</f>
        <v>45542</v>
      </c>
      <c r="CQ100" s="146">
        <f ca="1">DATE($CI$121+8,9,7)</f>
        <v>45907</v>
      </c>
      <c r="CR100" s="146">
        <f ca="1">DATE($CI$121+9,9,7)</f>
        <v>46272</v>
      </c>
      <c r="CS100" s="146">
        <f ca="1">DATE($CI$121+10,9,7)</f>
        <v>46637</v>
      </c>
      <c r="CT100" s="146">
        <f ca="1">DATE($CI$121+11,9,7)</f>
        <v>47003</v>
      </c>
      <c r="CU100" s="146">
        <f ca="1">DATE($CI$121+12,9,7)</f>
        <v>47368</v>
      </c>
      <c r="CV100" s="146">
        <f ca="1">DATE($CI$121+13,9,7)</f>
        <v>47733</v>
      </c>
      <c r="CW100" s="146">
        <f ca="1">DATE($CI$121+14,9,7)</f>
        <v>48098</v>
      </c>
      <c r="CX100" s="146">
        <f ca="1">DATE($CI$121+15,9,7)</f>
        <v>48464</v>
      </c>
      <c r="DA100" s="66"/>
      <c r="DB100" s="159" t="s">
        <v>128</v>
      </c>
      <c r="DC100" s="146">
        <v>42159</v>
      </c>
      <c r="DD100" s="146">
        <v>42516</v>
      </c>
      <c r="DE100" s="146">
        <v>42901</v>
      </c>
      <c r="DF100" s="146">
        <v>43251</v>
      </c>
      <c r="DG100" s="146">
        <v>43636</v>
      </c>
      <c r="DH100" s="146">
        <v>43993</v>
      </c>
      <c r="DI100" s="146">
        <v>44350</v>
      </c>
      <c r="DJ100" s="146">
        <v>44728</v>
      </c>
      <c r="DK100" s="146">
        <v>45085</v>
      </c>
      <c r="DL100" s="146">
        <v>45442</v>
      </c>
      <c r="DM100" s="146">
        <v>45827</v>
      </c>
      <c r="DN100" s="146">
        <v>46177</v>
      </c>
      <c r="DO100" s="146">
        <v>46534</v>
      </c>
      <c r="DP100" s="146">
        <v>46919</v>
      </c>
      <c r="DQ100" s="146">
        <v>47269</v>
      </c>
      <c r="DR100" s="146">
        <v>47654</v>
      </c>
      <c r="DS100" s="146">
        <v>48011</v>
      </c>
      <c r="DT100" s="146">
        <v>48361</v>
      </c>
      <c r="DU100" s="146">
        <v>48746</v>
      </c>
      <c r="DV100" s="146">
        <v>49103</v>
      </c>
      <c r="DW100" s="146">
        <v>49453</v>
      </c>
      <c r="DX100" s="146">
        <v>49838</v>
      </c>
      <c r="DY100" s="146">
        <v>50195</v>
      </c>
      <c r="DZ100" s="146">
        <v>50580</v>
      </c>
      <c r="EA100" s="146">
        <v>50930</v>
      </c>
      <c r="EB100" s="146">
        <v>51287</v>
      </c>
    </row>
    <row r="101" spans="2:132" hidden="1" x14ac:dyDescent="0.3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CF101" s="66"/>
      <c r="CG101" s="66"/>
      <c r="CH101" s="66" t="s">
        <v>131</v>
      </c>
      <c r="CI101" s="146">
        <f ca="1">DATE($CI$121,10,12)</f>
        <v>43020</v>
      </c>
      <c r="CJ101" s="146">
        <f ca="1">DATE($CI$121+1,10,12)</f>
        <v>43385</v>
      </c>
      <c r="CK101" s="146">
        <f ca="1">DATE($CI$121+2,10,12)</f>
        <v>43750</v>
      </c>
      <c r="CL101" s="146">
        <f ca="1">DATE($CI$121+3,10,12)</f>
        <v>44116</v>
      </c>
      <c r="CM101" s="146">
        <f ca="1">DATE($CI$121+4,10,12)</f>
        <v>44481</v>
      </c>
      <c r="CN101" s="146">
        <f ca="1">DATE($CI$121+5,10,12)</f>
        <v>44846</v>
      </c>
      <c r="CO101" s="146">
        <f ca="1">DATE($CI$121+6,10,12)</f>
        <v>45211</v>
      </c>
      <c r="CP101" s="146">
        <f ca="1">DATE($CI$121+7,10,12)</f>
        <v>45577</v>
      </c>
      <c r="CQ101" s="146">
        <f ca="1">DATE($CI$121+8,10,12)</f>
        <v>45942</v>
      </c>
      <c r="CR101" s="146">
        <f ca="1">DATE($CI$121+9,10,12)</f>
        <v>46307</v>
      </c>
      <c r="CS101" s="146">
        <f ca="1">DATE($CI$121+10,10,12)</f>
        <v>46672</v>
      </c>
      <c r="CT101" s="146">
        <f ca="1">DATE($CI$121+11,10,12)</f>
        <v>47038</v>
      </c>
      <c r="CU101" s="146">
        <f ca="1">DATE($CI$121+12,10,12)</f>
        <v>47403</v>
      </c>
      <c r="CV101" s="146">
        <f ca="1">DATE($CI$121+13,10,12)</f>
        <v>47768</v>
      </c>
      <c r="CW101" s="146">
        <f ca="1">DATE($CI$121+14,10,12)</f>
        <v>48133</v>
      </c>
      <c r="CX101" s="146">
        <f ca="1">DATE($CI$121+15,10,12)</f>
        <v>48499</v>
      </c>
      <c r="DA101" s="66"/>
      <c r="DB101" s="66"/>
      <c r="DC101" s="66"/>
      <c r="DD101" s="66"/>
      <c r="DE101" s="66"/>
      <c r="DF101" s="66"/>
      <c r="DG101" s="66"/>
      <c r="DH101" s="66"/>
      <c r="DI101" s="66"/>
      <c r="DJ101" s="66"/>
      <c r="DK101" s="66"/>
      <c r="DL101" s="66"/>
      <c r="DM101" s="66"/>
      <c r="DN101" s="66"/>
      <c r="DO101" s="66"/>
      <c r="DP101" s="66"/>
      <c r="DQ101" s="66"/>
      <c r="DR101" s="66"/>
      <c r="DS101" s="66"/>
      <c r="DT101" s="66"/>
      <c r="DU101" s="66"/>
      <c r="DV101" s="66"/>
      <c r="DW101" s="66"/>
      <c r="DX101" s="66"/>
      <c r="DY101" s="66"/>
      <c r="DZ101" s="66"/>
      <c r="EA101" s="66"/>
      <c r="EB101" s="66"/>
    </row>
    <row r="102" spans="2:132" hidden="1" x14ac:dyDescent="0.3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CF102" s="66"/>
      <c r="CG102" s="66"/>
      <c r="CH102" s="66" t="s">
        <v>132</v>
      </c>
      <c r="CI102" s="146">
        <f ca="1">DATE($CI$121,11,2)</f>
        <v>43041</v>
      </c>
      <c r="CJ102" s="146">
        <f ca="1">DATE($CI$121+1,11,2)</f>
        <v>43406</v>
      </c>
      <c r="CK102" s="146">
        <f ca="1">DATE($CI$121+2,11,2)</f>
        <v>43771</v>
      </c>
      <c r="CL102" s="146">
        <f ca="1">DATE($CI$121+3,11,2)</f>
        <v>44137</v>
      </c>
      <c r="CM102" s="146">
        <f ca="1">DATE($CI$121+4,11,2)</f>
        <v>44502</v>
      </c>
      <c r="CN102" s="146">
        <f ca="1">DATE($CI$121+5,11,2)</f>
        <v>44867</v>
      </c>
      <c r="CO102" s="146">
        <f ca="1">DATE($CI$121+6,11,2)</f>
        <v>45232</v>
      </c>
      <c r="CP102" s="146">
        <f ca="1">DATE($CI$121+7,11,2)</f>
        <v>45598</v>
      </c>
      <c r="CQ102" s="146">
        <f ca="1">DATE($CI$121+8,11,2)</f>
        <v>45963</v>
      </c>
      <c r="CR102" s="146">
        <f ca="1">DATE($CI$121+9,11,2)</f>
        <v>46328</v>
      </c>
      <c r="CS102" s="146">
        <f ca="1">DATE($CI$121+10,11,2)</f>
        <v>46693</v>
      </c>
      <c r="CT102" s="146">
        <f ca="1">DATE($CI$121+11,11,2)</f>
        <v>47059</v>
      </c>
      <c r="CU102" s="146">
        <f ca="1">DATE($CI$121+12,11,2)</f>
        <v>47424</v>
      </c>
      <c r="CV102" s="146">
        <f ca="1">DATE($CI$121+13,11,2)</f>
        <v>47789</v>
      </c>
      <c r="CW102" s="146">
        <f ca="1">DATE($CI$121+14,11,2)</f>
        <v>48154</v>
      </c>
      <c r="CX102" s="146">
        <f ca="1">DATE($CI$121+15,11,2)</f>
        <v>48520</v>
      </c>
      <c r="DA102" s="66"/>
      <c r="DB102" s="66"/>
      <c r="DC102" s="66"/>
      <c r="DD102" s="66"/>
      <c r="DE102" s="66"/>
      <c r="DF102" s="66"/>
      <c r="DG102" s="66"/>
      <c r="DH102" s="66"/>
      <c r="DI102" s="66"/>
      <c r="DJ102" s="66"/>
      <c r="DK102" s="66"/>
      <c r="DL102" s="66"/>
      <c r="DM102" s="66"/>
      <c r="DN102" s="66"/>
      <c r="DO102" s="66"/>
      <c r="DP102" s="66"/>
      <c r="DQ102" s="66"/>
      <c r="DR102" s="66"/>
      <c r="DS102" s="66"/>
      <c r="DT102" s="66"/>
      <c r="DU102" s="66"/>
      <c r="DV102" s="66"/>
      <c r="DW102" s="66"/>
      <c r="DX102" s="66"/>
      <c r="DY102" s="66"/>
      <c r="DZ102" s="66"/>
      <c r="EA102" s="66"/>
      <c r="EB102" s="66"/>
    </row>
    <row r="103" spans="2:132" hidden="1" x14ac:dyDescent="0.3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CF103" s="66"/>
      <c r="CG103" s="66"/>
      <c r="CH103" s="66" t="s">
        <v>133</v>
      </c>
      <c r="CI103" s="146">
        <f ca="1">DATE($CI$121,11,15)</f>
        <v>43054</v>
      </c>
      <c r="CJ103" s="146">
        <f ca="1">DATE($CI$121+1,11,15)</f>
        <v>43419</v>
      </c>
      <c r="CK103" s="146">
        <f ca="1">DATE($CI$121+2,11,15)</f>
        <v>43784</v>
      </c>
      <c r="CL103" s="146">
        <f ca="1">DATE($CI$121+3,11,15)</f>
        <v>44150</v>
      </c>
      <c r="CM103" s="146">
        <f ca="1">DATE($CI$121+4,11,15)</f>
        <v>44515</v>
      </c>
      <c r="CN103" s="146">
        <f ca="1">DATE($CI$121+5,11,15)</f>
        <v>44880</v>
      </c>
      <c r="CO103" s="146">
        <f ca="1">DATE($CI$121+6,11,15)</f>
        <v>45245</v>
      </c>
      <c r="CP103" s="146">
        <f ca="1">DATE($CI$121+7,11,15)</f>
        <v>45611</v>
      </c>
      <c r="CQ103" s="146">
        <f ca="1">DATE($CI$121+8,11,15)</f>
        <v>45976</v>
      </c>
      <c r="CR103" s="146">
        <f ca="1">DATE($CI$121+9,11,15)</f>
        <v>46341</v>
      </c>
      <c r="CS103" s="146">
        <f ca="1">DATE($CI$121+10,11,15)</f>
        <v>46706</v>
      </c>
      <c r="CT103" s="146">
        <f ca="1">DATE($CI$121+11,11,15)</f>
        <v>47072</v>
      </c>
      <c r="CU103" s="146">
        <f ca="1">DATE($CI$121+12,11,15)</f>
        <v>47437</v>
      </c>
      <c r="CV103" s="146">
        <f ca="1">DATE($CI$121+13,11,15)</f>
        <v>47802</v>
      </c>
      <c r="CW103" s="146">
        <f ca="1">DATE($CI$121+14,11,15)</f>
        <v>48167</v>
      </c>
      <c r="CX103" s="146">
        <f ca="1">DATE($CI$121+15,11,15)</f>
        <v>48533</v>
      </c>
      <c r="DA103" s="66"/>
      <c r="DB103" s="66"/>
      <c r="DC103" s="66"/>
      <c r="DD103" s="66"/>
      <c r="DE103" s="66"/>
      <c r="DF103" s="66"/>
      <c r="DG103" s="66"/>
      <c r="DH103" s="66"/>
      <c r="DI103" s="66"/>
      <c r="DJ103" s="66"/>
      <c r="DK103" s="66"/>
      <c r="DL103" s="66"/>
      <c r="DM103" s="66"/>
      <c r="DN103" s="66"/>
      <c r="DO103" s="66"/>
      <c r="DP103" s="66"/>
      <c r="DQ103" s="66"/>
      <c r="DR103" s="66"/>
      <c r="DS103" s="66"/>
      <c r="DT103" s="66"/>
      <c r="DU103" s="66"/>
      <c r="DV103" s="66"/>
      <c r="DW103" s="66"/>
      <c r="DX103" s="66"/>
      <c r="DY103" s="66"/>
      <c r="DZ103" s="66"/>
      <c r="EA103" s="66"/>
      <c r="EB103" s="66"/>
    </row>
    <row r="104" spans="2:132" hidden="1" x14ac:dyDescent="0.3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CF104" s="66"/>
      <c r="CG104" s="66"/>
      <c r="CH104" s="66" t="s">
        <v>134</v>
      </c>
      <c r="CI104" s="146">
        <f ca="1">DATE($CI$121,12,25)</f>
        <v>43094</v>
      </c>
      <c r="CJ104" s="146">
        <f ca="1">DATE($CI$121+1,12,25)</f>
        <v>43459</v>
      </c>
      <c r="CK104" s="146">
        <f ca="1">DATE($CI$121+2,12,25)</f>
        <v>43824</v>
      </c>
      <c r="CL104" s="146">
        <f ca="1">DATE($CI$121+3,12,25)</f>
        <v>44190</v>
      </c>
      <c r="CM104" s="146">
        <f ca="1">DATE($CI$121+4,12,25)</f>
        <v>44555</v>
      </c>
      <c r="CN104" s="146">
        <f ca="1">DATE($CI$121+5,12,25)</f>
        <v>44920</v>
      </c>
      <c r="CO104" s="146">
        <f ca="1">DATE($CI$121+6,12,25)</f>
        <v>45285</v>
      </c>
      <c r="CP104" s="146">
        <f ca="1">DATE($CI$121+7,12,25)</f>
        <v>45651</v>
      </c>
      <c r="CQ104" s="146">
        <f ca="1">DATE($CI$121+8,12,25)</f>
        <v>46016</v>
      </c>
      <c r="CR104" s="146">
        <f ca="1">DATE($CI$121+9,12,25)</f>
        <v>46381</v>
      </c>
      <c r="CS104" s="146">
        <f ca="1">DATE($CI$121+10,12,25)</f>
        <v>46746</v>
      </c>
      <c r="CT104" s="146">
        <f ca="1">DATE($CI$121+11,12,25)</f>
        <v>47112</v>
      </c>
      <c r="CU104" s="146">
        <f ca="1">DATE($CI$121+12,12,25)</f>
        <v>47477</v>
      </c>
      <c r="CV104" s="146">
        <f ca="1">DATE($CI$121+13,12,25)</f>
        <v>47842</v>
      </c>
      <c r="CW104" s="146">
        <f ca="1">DATE($CI$121+14,12,25)</f>
        <v>48207</v>
      </c>
      <c r="CX104" s="146">
        <f ca="1">DATE($CI$121+15,12,25)</f>
        <v>48573</v>
      </c>
      <c r="DA104" s="66"/>
      <c r="DB104" s="66"/>
      <c r="DC104" s="66"/>
      <c r="DD104" s="66"/>
      <c r="DE104" s="66"/>
      <c r="DF104" s="66"/>
      <c r="DG104" s="66"/>
      <c r="DH104" s="66"/>
      <c r="DI104" s="66"/>
      <c r="DJ104" s="66"/>
      <c r="DK104" s="66"/>
      <c r="DL104" s="66"/>
      <c r="DM104" s="66"/>
      <c r="DN104" s="66"/>
      <c r="DO104" s="66"/>
      <c r="DP104" s="66"/>
      <c r="DQ104" s="66"/>
      <c r="DR104" s="66"/>
      <c r="DS104" s="66"/>
      <c r="DT104" s="66"/>
      <c r="DU104" s="66"/>
      <c r="DV104" s="66"/>
      <c r="DW104" s="66"/>
      <c r="DX104" s="66"/>
      <c r="DY104" s="66"/>
      <c r="DZ104" s="66"/>
      <c r="EA104" s="66"/>
      <c r="EB104" s="66"/>
    </row>
    <row r="105" spans="2:132" hidden="1" x14ac:dyDescent="0.3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CF105" s="80" t="s">
        <v>136</v>
      </c>
      <c r="CG105" s="80" t="s">
        <v>137</v>
      </c>
      <c r="CH105" s="80" t="s">
        <v>73</v>
      </c>
      <c r="CI105" s="382" t="s">
        <v>138</v>
      </c>
      <c r="CJ105" s="382"/>
      <c r="CK105" s="382"/>
      <c r="CL105" s="382"/>
      <c r="CM105" s="382"/>
      <c r="CN105" s="382"/>
      <c r="CO105" s="382"/>
      <c r="CP105" s="382"/>
      <c r="CQ105" s="382"/>
      <c r="CR105" s="382"/>
      <c r="CS105" s="382"/>
      <c r="CT105" s="382"/>
      <c r="CU105" s="382"/>
      <c r="CV105" s="382"/>
      <c r="CW105" s="382"/>
      <c r="CX105" s="382"/>
      <c r="DA105" s="66"/>
      <c r="DB105" s="66"/>
      <c r="DC105" s="66"/>
      <c r="DD105" s="66"/>
      <c r="DE105" s="66"/>
      <c r="DF105" s="66"/>
      <c r="DG105" s="66"/>
      <c r="DH105" s="66"/>
      <c r="DI105" s="66"/>
      <c r="DJ105" s="66"/>
      <c r="DK105" s="66"/>
      <c r="DL105" s="66"/>
      <c r="DM105" s="66"/>
      <c r="DN105" s="66"/>
      <c r="DO105" s="66"/>
      <c r="DP105" s="66"/>
      <c r="DQ105" s="66"/>
      <c r="DR105" s="66"/>
      <c r="DS105" s="66"/>
      <c r="DT105" s="66"/>
      <c r="DU105" s="66"/>
      <c r="DV105" s="66"/>
      <c r="DW105" s="66"/>
      <c r="DX105" s="66"/>
      <c r="DY105" s="66"/>
      <c r="DZ105" s="66"/>
      <c r="EA105" s="66"/>
      <c r="EB105" s="66"/>
    </row>
    <row r="106" spans="2:132" hidden="1" x14ac:dyDescent="0.3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CF106" s="164" t="str">
        <f>IF(OR(CF93=0,CG93=0,CH93=0),"",IF(DATE(CH93,CG93,CF93)&lt;=DATE(I8,G8,10),DATE(I8,G8,11),IF(AND(DATE(CH93,CG93,CF93)&gt;DATE(I8,G8,10),DATE(CH93,CG93,CF93)&lt;=DATE(CH93,CG93,20)),DATE(CH93,CG93,21),IF(AND(DATE(CH93,CG93,CF93)&gt;DATE(I8,G8,20),DATE(CH93,CG93,CF93)&lt;=DATE(CH93,CG93,29),CG93=2),DATE(CH93,CG93+1,1),IF(AND(DATE(CH93,CG93,CF93)&gt;DATE(I8,G8,20),DATE(CH93,CG93,CF93)&lt;=DATE(CH93,CG93,30),OR(CG93=4,CG93=6,CG93=9,CG93=11)),DATE(CH93,CG93+1,1),IF(AND(DATE(CH93,CG93,CF93)&gt;DATE(I8,G8,20),DATE(CH93,CG93,CF93)&lt;=DATE(CH93,CG93,31),OR(CG93=1,CG93=3,CG93=5,CG93=7,CG93=8,CG93=10,CG93=12)),DATE(CH93,CG93+1,1)))))))</f>
        <v/>
      </c>
      <c r="CG106" s="80" t="str">
        <f>TEXT(CF106,"DDDD")</f>
        <v/>
      </c>
      <c r="CH106" s="147" t="str">
        <f t="shared" ref="CH106:CH113" ca="1" si="3">IF(AND(OR(CG106="Segunda-Feira",CG106="Terça-Feira",CG106="Quarta-Feira",CG106="Quinta-feira",CG106="Sexta-Feira"),CI106="não",CJ106="Não",CK106="não",CK106="não",CL106="não",CM106="não",CN106="não",CO106="não",CP106="não",CQ106="não",CR106="não",CS106="não",CT106="não",CU106="não",CV106="não",CW106="não",CX106="Não"),"Dia útil","Final de Semana/Feriado")</f>
        <v>Final de Semana/Feriado</v>
      </c>
      <c r="CI106" s="66" t="str">
        <f t="shared" ref="CI106:CI113" ca="1" si="4">IF(OR(CF106=$CI$94,CF106=$CI$95,CF106=$CI$96,CF106=$CI$97,CF106=$CI$98,CF106=$CI$99,CF106=$CI$100,CF106=$CI$101,CF106=$CI$102,CF106=$CI$103,CF106=$CI$104),"Sim","Não")</f>
        <v>Não</v>
      </c>
      <c r="CJ106" s="66" t="str">
        <f t="shared" ref="CJ106:CJ113" ca="1" si="5">IF(OR(CF106=$CJ$94,CF106=$CJ$95,CF106=$CJ$96,CF106=$CJ$97,CF106=$CJ$98,CF106=$CJ$99,CF106=$CJ$100,CF106=$CJ$101,CF106=$CJ$102,CF106=$CJ$103,CF106=$CJ$104),"Sim","Não")</f>
        <v>Não</v>
      </c>
      <c r="CK106" s="66" t="str">
        <f t="shared" ref="CK106:CK113" ca="1" si="6">IF(OR(CF106=$CK$94,CF106=$CK$95,CF106=$CK$96,CF106=$CK$97,CF106=$CK$98,CF106=$CK$99,CF106=$CK$100,CF106=$CK$101,CF106=$CK$102,CF106=$CK$103,CF106=$CK$104),"Sim","Não")</f>
        <v>Não</v>
      </c>
      <c r="CL106" s="66" t="str">
        <f t="shared" ref="CL106:CL113" ca="1" si="7">IF(OR(CF106=$CL$94,CF106=$CL$95,CF106=$CL$96,CF106=$CL$97,CF106=$CL$98,CF106=$CL$99,CF106=$CL$100,CF106=$CL$101,CF106=$CL$102,CF106=$CL$103,CF106=$CL$104),"Sim","Não")</f>
        <v>Não</v>
      </c>
      <c r="CM106" s="66" t="str">
        <f t="shared" ref="CM106:CM113" ca="1" si="8">IF(OR(CF106=$CM$94,CF106=$CM$95,CF106=$CM$96,CF106=$CM$97,CF106=$CM$98,CF106=$CM$99,CF106=$CM$100,CF106=$CM$101,CF106=$CM$102,CF106=$CM$103,CF106=$CM$104),"Sim","Não")</f>
        <v>Não</v>
      </c>
      <c r="CN106" s="66" t="str">
        <f t="shared" ref="CN106:CN113" ca="1" si="9">IF(OR(CF106=$CN$94,CF106=$CN$95,CF106=$CN$96,CF106=$CN$97,CF106=$CN$98,CF106=$CN$99,CF106=$CN$100,CF106=$CN$101,CF106=$CN$102,CF106=$CN$103,CF106=$CN$104),"Sim","Não")</f>
        <v>Não</v>
      </c>
      <c r="CO106" s="66" t="str">
        <f t="shared" ref="CO106:CO113" ca="1" si="10">IF(OR(CF106=$CO$94,CF106=$CO$95,CF106=$CO$96,CF106=$CO$97,CF106=$CO$98,CF106=$CO$99,CF106=$CO$100,CF106=$CO$101,CF106=$CO$102,CF106=$CO$103,CF106=$CO$104),"Sim","Não")</f>
        <v>Não</v>
      </c>
      <c r="CP106" s="66" t="str">
        <f t="shared" ref="CP106:CP113" ca="1" si="11">IF(OR(CF106=$CP$94,CF106=$CP$95,CF106=$CP$96,CF106=$CP$97,CF106=$CP$98,CF106=$CP$99,CF106=$CP$100,CF106=$CP$101,CF106=$CP$102,CF106=$CP$103,CF106=$CP$104),"Sim","Não")</f>
        <v>Não</v>
      </c>
      <c r="CQ106" s="66" t="str">
        <f t="shared" ref="CQ106:CQ113" ca="1" si="12">IF(OR(CF106=$CQ$94,CF106=$CQ$95,CF106=$CQ$96,CF106=$CQ$97,CF106=$CQ$98,CF106=$CQ$99,CF106=$CQ$100,CF106=$CQ$101,CF106=$CQ$102,CF106=$CQ$103,CF106=$CQ$104),"Sim","Não")</f>
        <v>Não</v>
      </c>
      <c r="CR106" s="66" t="str">
        <f t="shared" ref="CR106:CR113" ca="1" si="13">IF(OR(CF106=$CR$94,CF106=$CR$95,CF106=$CR$96,CF106=$CR$97,CF106=$CR$98,CF106=$CR$99,CF106=$CR$100,CF106=$CR$101,CF106=$CR$102,CF106=$CR$103,CF106=$CR$104),"Sim","Não")</f>
        <v>Não</v>
      </c>
      <c r="CS106" s="66" t="str">
        <f t="shared" ref="CS106:CS113" ca="1" si="14">IF(OR(CF106=$CS$94,CF106=$CS$95,CF106=$CS$96,CF106=$CS$97,CF106=$CS$98,CF106=$CS$99,CF106=$CS$100,CF106=$CS$101,CF106=$CS$102,CF106=$CS$103,CF106=$CS$104),"Sim","Não")</f>
        <v>Não</v>
      </c>
      <c r="CT106" s="66" t="str">
        <f t="shared" ref="CT106:CT113" ca="1" si="15">IF(OR(CF106=$CT$94,CF106=$CT$95,CF106=$CT$96,CF106=$CT$97,CF106=$CT$98,CF106=$CT$99,CF106=$CT$100,CF106=$CT$101,CF106=$CT$102,CF106=$CT$103,CF106=$CT$104),"Sim","Não")</f>
        <v>Não</v>
      </c>
      <c r="CU106" s="66" t="str">
        <f t="shared" ref="CU106:CU113" ca="1" si="16">IF(OR(CF106=$CU$94,CF106=$CU$95,CF106=$CU$96,CF106=$CU$97,CF106=$CU$98,CF106=$CU$99,CF106=$CU$100,CF106=$CU$101,CF106=$CU$102,CF106=$CU$103,CF106=$CU$104),"Sim","Não")</f>
        <v>Não</v>
      </c>
      <c r="CV106" s="66" t="str">
        <f t="shared" ref="CV106:CV113" ca="1" si="17">IF(OR(CF106=$CV$94,CF106=$CV$95,CF106=$CV$96,CF106=$CV$97,CF106=$CV$98,CF106=$CV$99,CF106=$CV$100,CF106=$CV$101,CF106=$CV$102,CF106=$CV$103,CF106=$CV$104),"Sim","Não")</f>
        <v>Não</v>
      </c>
      <c r="CW106" s="66" t="str">
        <f t="shared" ref="CW106:CW113" ca="1" si="18">IF(OR(CF106=$CW$94,CF106=$CW$95,CF106=$CW$96,CF106=$CW$97,CF106=$CW$98,CF106=$CW$99,CF106=$CW$100,CF106=$CW$101,CF106=$CW$102,CF106=$CW$103,CF106=$CW$104),"Sim","Não")</f>
        <v>Não</v>
      </c>
      <c r="CX106" s="66" t="str">
        <f t="shared" ref="CX106:CX113" ca="1" si="19">IF(OR(CF106=$CX$94,CF106=$CX$95,CF106=$CX$96,CF106=$CX$97,CF106=$CX$98,CF106=$CX$99,CF106=$CX$100,CF106=$CX$101,CF106=$CX$102,CF106=$CX$103,CF106=$CX$104),"Sim","Não")</f>
        <v>Não</v>
      </c>
    </row>
    <row r="107" spans="2:132" hidden="1" x14ac:dyDescent="0.3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CF107" s="164" t="e">
        <f>CF106+1</f>
        <v>#VALUE!</v>
      </c>
      <c r="CG107" s="80" t="e">
        <f>TEXT(CF107,"DDDD")</f>
        <v>#VALUE!</v>
      </c>
      <c r="CH107" s="147" t="e">
        <f t="shared" ca="1" si="3"/>
        <v>#VALUE!</v>
      </c>
      <c r="CI107" s="66" t="e">
        <f t="shared" ca="1" si="4"/>
        <v>#VALUE!</v>
      </c>
      <c r="CJ107" s="66" t="e">
        <f t="shared" ca="1" si="5"/>
        <v>#VALUE!</v>
      </c>
      <c r="CK107" s="66" t="e">
        <f t="shared" ca="1" si="6"/>
        <v>#VALUE!</v>
      </c>
      <c r="CL107" s="66" t="e">
        <f t="shared" ca="1" si="7"/>
        <v>#VALUE!</v>
      </c>
      <c r="CM107" s="66" t="e">
        <f t="shared" ca="1" si="8"/>
        <v>#VALUE!</v>
      </c>
      <c r="CN107" s="66" t="e">
        <f t="shared" ca="1" si="9"/>
        <v>#VALUE!</v>
      </c>
      <c r="CO107" s="66" t="e">
        <f t="shared" ca="1" si="10"/>
        <v>#VALUE!</v>
      </c>
      <c r="CP107" s="66" t="e">
        <f t="shared" ca="1" si="11"/>
        <v>#VALUE!</v>
      </c>
      <c r="CQ107" s="66" t="e">
        <f t="shared" ca="1" si="12"/>
        <v>#VALUE!</v>
      </c>
      <c r="CR107" s="66" t="e">
        <f t="shared" ca="1" si="13"/>
        <v>#VALUE!</v>
      </c>
      <c r="CS107" s="66" t="e">
        <f t="shared" ca="1" si="14"/>
        <v>#VALUE!</v>
      </c>
      <c r="CT107" s="66" t="e">
        <f t="shared" ca="1" si="15"/>
        <v>#VALUE!</v>
      </c>
      <c r="CU107" s="66" t="e">
        <f t="shared" ca="1" si="16"/>
        <v>#VALUE!</v>
      </c>
      <c r="CV107" s="66" t="e">
        <f t="shared" ca="1" si="17"/>
        <v>#VALUE!</v>
      </c>
      <c r="CW107" s="66" t="e">
        <f t="shared" ca="1" si="18"/>
        <v>#VALUE!</v>
      </c>
      <c r="CX107" s="66" t="e">
        <f t="shared" ca="1" si="19"/>
        <v>#VALUE!</v>
      </c>
    </row>
    <row r="108" spans="2:132" hidden="1" x14ac:dyDescent="0.3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CF108" s="164" t="e">
        <f t="shared" ref="CF108:CF113" si="20">CF107+1</f>
        <v>#VALUE!</v>
      </c>
      <c r="CG108" s="80" t="e">
        <f t="shared" ref="CG108:CG113" si="21">TEXT(CF108,"DDDD")</f>
        <v>#VALUE!</v>
      </c>
      <c r="CH108" s="147" t="e">
        <f t="shared" ca="1" si="3"/>
        <v>#VALUE!</v>
      </c>
      <c r="CI108" s="66" t="e">
        <f t="shared" ca="1" si="4"/>
        <v>#VALUE!</v>
      </c>
      <c r="CJ108" s="66" t="e">
        <f t="shared" ca="1" si="5"/>
        <v>#VALUE!</v>
      </c>
      <c r="CK108" s="66" t="e">
        <f t="shared" ca="1" si="6"/>
        <v>#VALUE!</v>
      </c>
      <c r="CL108" s="66" t="e">
        <f t="shared" ca="1" si="7"/>
        <v>#VALUE!</v>
      </c>
      <c r="CM108" s="66" t="e">
        <f t="shared" ca="1" si="8"/>
        <v>#VALUE!</v>
      </c>
      <c r="CN108" s="66" t="e">
        <f t="shared" ca="1" si="9"/>
        <v>#VALUE!</v>
      </c>
      <c r="CO108" s="66" t="e">
        <f t="shared" ca="1" si="10"/>
        <v>#VALUE!</v>
      </c>
      <c r="CP108" s="66" t="e">
        <f t="shared" ca="1" si="11"/>
        <v>#VALUE!</v>
      </c>
      <c r="CQ108" s="66" t="e">
        <f t="shared" ca="1" si="12"/>
        <v>#VALUE!</v>
      </c>
      <c r="CR108" s="66" t="e">
        <f t="shared" ca="1" si="13"/>
        <v>#VALUE!</v>
      </c>
      <c r="CS108" s="66" t="e">
        <f t="shared" ca="1" si="14"/>
        <v>#VALUE!</v>
      </c>
      <c r="CT108" s="66" t="e">
        <f t="shared" ca="1" si="15"/>
        <v>#VALUE!</v>
      </c>
      <c r="CU108" s="66" t="e">
        <f t="shared" ca="1" si="16"/>
        <v>#VALUE!</v>
      </c>
      <c r="CV108" s="66" t="e">
        <f t="shared" ca="1" si="17"/>
        <v>#VALUE!</v>
      </c>
      <c r="CW108" s="66" t="e">
        <f t="shared" ca="1" si="18"/>
        <v>#VALUE!</v>
      </c>
      <c r="CX108" s="66" t="e">
        <f t="shared" ca="1" si="19"/>
        <v>#VALUE!</v>
      </c>
    </row>
    <row r="109" spans="2:132" hidden="1" x14ac:dyDescent="0.3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CF109" s="164" t="e">
        <f t="shared" si="20"/>
        <v>#VALUE!</v>
      </c>
      <c r="CG109" s="80" t="e">
        <f t="shared" si="21"/>
        <v>#VALUE!</v>
      </c>
      <c r="CH109" s="147" t="e">
        <f t="shared" ca="1" si="3"/>
        <v>#VALUE!</v>
      </c>
      <c r="CI109" s="66" t="e">
        <f t="shared" ca="1" si="4"/>
        <v>#VALUE!</v>
      </c>
      <c r="CJ109" s="66" t="e">
        <f t="shared" ca="1" si="5"/>
        <v>#VALUE!</v>
      </c>
      <c r="CK109" s="66" t="e">
        <f t="shared" ca="1" si="6"/>
        <v>#VALUE!</v>
      </c>
      <c r="CL109" s="66" t="e">
        <f t="shared" ca="1" si="7"/>
        <v>#VALUE!</v>
      </c>
      <c r="CM109" s="66" t="e">
        <f t="shared" ca="1" si="8"/>
        <v>#VALUE!</v>
      </c>
      <c r="CN109" s="66" t="e">
        <f t="shared" ca="1" si="9"/>
        <v>#VALUE!</v>
      </c>
      <c r="CO109" s="66" t="e">
        <f t="shared" ca="1" si="10"/>
        <v>#VALUE!</v>
      </c>
      <c r="CP109" s="66" t="e">
        <f t="shared" ca="1" si="11"/>
        <v>#VALUE!</v>
      </c>
      <c r="CQ109" s="66" t="e">
        <f t="shared" ca="1" si="12"/>
        <v>#VALUE!</v>
      </c>
      <c r="CR109" s="66" t="e">
        <f t="shared" ca="1" si="13"/>
        <v>#VALUE!</v>
      </c>
      <c r="CS109" s="66" t="e">
        <f t="shared" ca="1" si="14"/>
        <v>#VALUE!</v>
      </c>
      <c r="CT109" s="66" t="e">
        <f t="shared" ca="1" si="15"/>
        <v>#VALUE!</v>
      </c>
      <c r="CU109" s="66" t="e">
        <f t="shared" ca="1" si="16"/>
        <v>#VALUE!</v>
      </c>
      <c r="CV109" s="66" t="e">
        <f t="shared" ca="1" si="17"/>
        <v>#VALUE!</v>
      </c>
      <c r="CW109" s="66" t="e">
        <f t="shared" ca="1" si="18"/>
        <v>#VALUE!</v>
      </c>
      <c r="CX109" s="66" t="e">
        <f t="shared" ca="1" si="19"/>
        <v>#VALUE!</v>
      </c>
    </row>
    <row r="110" spans="2:132" hidden="1" x14ac:dyDescent="0.3"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CF110" s="164" t="e">
        <f t="shared" si="20"/>
        <v>#VALUE!</v>
      </c>
      <c r="CG110" s="80" t="e">
        <f t="shared" si="21"/>
        <v>#VALUE!</v>
      </c>
      <c r="CH110" s="147" t="e">
        <f t="shared" ca="1" si="3"/>
        <v>#VALUE!</v>
      </c>
      <c r="CI110" s="66" t="e">
        <f t="shared" ca="1" si="4"/>
        <v>#VALUE!</v>
      </c>
      <c r="CJ110" s="66" t="e">
        <f t="shared" ca="1" si="5"/>
        <v>#VALUE!</v>
      </c>
      <c r="CK110" s="66" t="e">
        <f t="shared" ca="1" si="6"/>
        <v>#VALUE!</v>
      </c>
      <c r="CL110" s="66" t="e">
        <f t="shared" ca="1" si="7"/>
        <v>#VALUE!</v>
      </c>
      <c r="CM110" s="66" t="e">
        <f t="shared" ca="1" si="8"/>
        <v>#VALUE!</v>
      </c>
      <c r="CN110" s="66" t="e">
        <f t="shared" ca="1" si="9"/>
        <v>#VALUE!</v>
      </c>
      <c r="CO110" s="66" t="e">
        <f t="shared" ca="1" si="10"/>
        <v>#VALUE!</v>
      </c>
      <c r="CP110" s="66" t="e">
        <f t="shared" ca="1" si="11"/>
        <v>#VALUE!</v>
      </c>
      <c r="CQ110" s="66" t="e">
        <f t="shared" ca="1" si="12"/>
        <v>#VALUE!</v>
      </c>
      <c r="CR110" s="66" t="e">
        <f t="shared" ca="1" si="13"/>
        <v>#VALUE!</v>
      </c>
      <c r="CS110" s="66" t="e">
        <f t="shared" ca="1" si="14"/>
        <v>#VALUE!</v>
      </c>
      <c r="CT110" s="66" t="e">
        <f t="shared" ca="1" si="15"/>
        <v>#VALUE!</v>
      </c>
      <c r="CU110" s="66" t="e">
        <f t="shared" ca="1" si="16"/>
        <v>#VALUE!</v>
      </c>
      <c r="CV110" s="66" t="e">
        <f t="shared" ca="1" si="17"/>
        <v>#VALUE!</v>
      </c>
      <c r="CW110" s="66" t="e">
        <f t="shared" ca="1" si="18"/>
        <v>#VALUE!</v>
      </c>
      <c r="CX110" s="66" t="e">
        <f t="shared" ca="1" si="19"/>
        <v>#VALUE!</v>
      </c>
    </row>
    <row r="111" spans="2:132" hidden="1" x14ac:dyDescent="0.3"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CF111" s="164" t="e">
        <f t="shared" si="20"/>
        <v>#VALUE!</v>
      </c>
      <c r="CG111" s="80" t="e">
        <f t="shared" si="21"/>
        <v>#VALUE!</v>
      </c>
      <c r="CH111" s="147" t="e">
        <f t="shared" ca="1" si="3"/>
        <v>#VALUE!</v>
      </c>
      <c r="CI111" s="66" t="e">
        <f t="shared" ca="1" si="4"/>
        <v>#VALUE!</v>
      </c>
      <c r="CJ111" s="66" t="e">
        <f t="shared" ca="1" si="5"/>
        <v>#VALUE!</v>
      </c>
      <c r="CK111" s="66" t="e">
        <f t="shared" ca="1" si="6"/>
        <v>#VALUE!</v>
      </c>
      <c r="CL111" s="66" t="e">
        <f t="shared" ca="1" si="7"/>
        <v>#VALUE!</v>
      </c>
      <c r="CM111" s="66" t="e">
        <f t="shared" ca="1" si="8"/>
        <v>#VALUE!</v>
      </c>
      <c r="CN111" s="66" t="e">
        <f t="shared" ca="1" si="9"/>
        <v>#VALUE!</v>
      </c>
      <c r="CO111" s="66" t="e">
        <f t="shared" ca="1" si="10"/>
        <v>#VALUE!</v>
      </c>
      <c r="CP111" s="66" t="e">
        <f t="shared" ca="1" si="11"/>
        <v>#VALUE!</v>
      </c>
      <c r="CQ111" s="66" t="e">
        <f t="shared" ca="1" si="12"/>
        <v>#VALUE!</v>
      </c>
      <c r="CR111" s="66" t="e">
        <f t="shared" ca="1" si="13"/>
        <v>#VALUE!</v>
      </c>
      <c r="CS111" s="66" t="e">
        <f t="shared" ca="1" si="14"/>
        <v>#VALUE!</v>
      </c>
      <c r="CT111" s="66" t="e">
        <f t="shared" ca="1" si="15"/>
        <v>#VALUE!</v>
      </c>
      <c r="CU111" s="66" t="e">
        <f t="shared" ca="1" si="16"/>
        <v>#VALUE!</v>
      </c>
      <c r="CV111" s="66" t="e">
        <f t="shared" ca="1" si="17"/>
        <v>#VALUE!</v>
      </c>
      <c r="CW111" s="66" t="e">
        <f t="shared" ca="1" si="18"/>
        <v>#VALUE!</v>
      </c>
      <c r="CX111" s="66" t="e">
        <f t="shared" ca="1" si="19"/>
        <v>#VALUE!</v>
      </c>
    </row>
    <row r="112" spans="2:132" hidden="1" x14ac:dyDescent="0.3"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CF112" s="164" t="e">
        <f t="shared" si="20"/>
        <v>#VALUE!</v>
      </c>
      <c r="CG112" s="80" t="e">
        <f t="shared" si="21"/>
        <v>#VALUE!</v>
      </c>
      <c r="CH112" s="147" t="e">
        <f t="shared" ca="1" si="3"/>
        <v>#VALUE!</v>
      </c>
      <c r="CI112" s="66" t="e">
        <f t="shared" ca="1" si="4"/>
        <v>#VALUE!</v>
      </c>
      <c r="CJ112" s="66" t="e">
        <f t="shared" ca="1" si="5"/>
        <v>#VALUE!</v>
      </c>
      <c r="CK112" s="66" t="e">
        <f t="shared" ca="1" si="6"/>
        <v>#VALUE!</v>
      </c>
      <c r="CL112" s="66" t="e">
        <f t="shared" ca="1" si="7"/>
        <v>#VALUE!</v>
      </c>
      <c r="CM112" s="66" t="e">
        <f t="shared" ca="1" si="8"/>
        <v>#VALUE!</v>
      </c>
      <c r="CN112" s="66" t="e">
        <f t="shared" ca="1" si="9"/>
        <v>#VALUE!</v>
      </c>
      <c r="CO112" s="66" t="e">
        <f t="shared" ca="1" si="10"/>
        <v>#VALUE!</v>
      </c>
      <c r="CP112" s="66" t="e">
        <f t="shared" ca="1" si="11"/>
        <v>#VALUE!</v>
      </c>
      <c r="CQ112" s="66" t="e">
        <f t="shared" ca="1" si="12"/>
        <v>#VALUE!</v>
      </c>
      <c r="CR112" s="66" t="e">
        <f t="shared" ca="1" si="13"/>
        <v>#VALUE!</v>
      </c>
      <c r="CS112" s="66" t="e">
        <f t="shared" ca="1" si="14"/>
        <v>#VALUE!</v>
      </c>
      <c r="CT112" s="66" t="e">
        <f t="shared" ca="1" si="15"/>
        <v>#VALUE!</v>
      </c>
      <c r="CU112" s="66" t="e">
        <f t="shared" ca="1" si="16"/>
        <v>#VALUE!</v>
      </c>
      <c r="CV112" s="66" t="e">
        <f t="shared" ca="1" si="17"/>
        <v>#VALUE!</v>
      </c>
      <c r="CW112" s="66" t="e">
        <f t="shared" ca="1" si="18"/>
        <v>#VALUE!</v>
      </c>
      <c r="CX112" s="66" t="e">
        <f t="shared" ca="1" si="19"/>
        <v>#VALUE!</v>
      </c>
    </row>
    <row r="113" spans="2:102" hidden="1" x14ac:dyDescent="0.3"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CF113" s="164" t="e">
        <f t="shared" si="20"/>
        <v>#VALUE!</v>
      </c>
      <c r="CG113" s="80" t="e">
        <f t="shared" si="21"/>
        <v>#VALUE!</v>
      </c>
      <c r="CH113" s="147" t="e">
        <f t="shared" ca="1" si="3"/>
        <v>#VALUE!</v>
      </c>
      <c r="CI113" s="66" t="e">
        <f t="shared" ca="1" si="4"/>
        <v>#VALUE!</v>
      </c>
      <c r="CJ113" s="66" t="e">
        <f t="shared" ca="1" si="5"/>
        <v>#VALUE!</v>
      </c>
      <c r="CK113" s="66" t="e">
        <f t="shared" ca="1" si="6"/>
        <v>#VALUE!</v>
      </c>
      <c r="CL113" s="66" t="e">
        <f t="shared" ca="1" si="7"/>
        <v>#VALUE!</v>
      </c>
      <c r="CM113" s="66" t="e">
        <f t="shared" ca="1" si="8"/>
        <v>#VALUE!</v>
      </c>
      <c r="CN113" s="66" t="e">
        <f t="shared" ca="1" si="9"/>
        <v>#VALUE!</v>
      </c>
      <c r="CO113" s="66" t="e">
        <f t="shared" ca="1" si="10"/>
        <v>#VALUE!</v>
      </c>
      <c r="CP113" s="66" t="e">
        <f t="shared" ca="1" si="11"/>
        <v>#VALUE!</v>
      </c>
      <c r="CQ113" s="66" t="e">
        <f t="shared" ca="1" si="12"/>
        <v>#VALUE!</v>
      </c>
      <c r="CR113" s="66" t="e">
        <f t="shared" ca="1" si="13"/>
        <v>#VALUE!</v>
      </c>
      <c r="CS113" s="66" t="e">
        <f t="shared" ca="1" si="14"/>
        <v>#VALUE!</v>
      </c>
      <c r="CT113" s="66" t="e">
        <f t="shared" ca="1" si="15"/>
        <v>#VALUE!</v>
      </c>
      <c r="CU113" s="66" t="e">
        <f t="shared" ca="1" si="16"/>
        <v>#VALUE!</v>
      </c>
      <c r="CV113" s="66" t="e">
        <f t="shared" ca="1" si="17"/>
        <v>#VALUE!</v>
      </c>
      <c r="CW113" s="66" t="e">
        <f t="shared" ca="1" si="18"/>
        <v>#VALUE!</v>
      </c>
      <c r="CX113" s="66" t="e">
        <f t="shared" ca="1" si="19"/>
        <v>#VALUE!</v>
      </c>
    </row>
    <row r="114" spans="2:102" hidden="1" x14ac:dyDescent="0.3"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CF114" s="66"/>
      <c r="CG114" s="66"/>
      <c r="CH114" s="66"/>
      <c r="CI114" s="66"/>
      <c r="CJ114" s="66"/>
      <c r="CK114" s="66"/>
      <c r="CL114" s="66"/>
      <c r="CM114" s="66"/>
      <c r="CN114" s="66"/>
      <c r="CO114" s="66"/>
      <c r="CP114" s="66"/>
      <c r="CQ114" s="66"/>
      <c r="CR114" s="66"/>
      <c r="CS114" s="66"/>
      <c r="CT114" s="66"/>
      <c r="CU114" s="66"/>
      <c r="CV114" s="66"/>
      <c r="CW114" s="66"/>
      <c r="CX114" s="66"/>
    </row>
    <row r="115" spans="2:102" hidden="1" x14ac:dyDescent="0.3"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CF115" s="66" t="s">
        <v>139</v>
      </c>
      <c r="CG115" s="66"/>
      <c r="CH115" s="66"/>
      <c r="CI115" s="66"/>
      <c r="CJ115" s="66"/>
      <c r="CK115" s="66"/>
      <c r="CL115" s="66"/>
      <c r="CM115" s="66"/>
      <c r="CN115" s="66"/>
      <c r="CO115" s="66"/>
      <c r="CP115" s="66"/>
      <c r="CQ115" s="66"/>
      <c r="CR115" s="66"/>
      <c r="CS115" s="66"/>
      <c r="CT115" s="66"/>
      <c r="CU115" s="66"/>
      <c r="CV115" s="66"/>
      <c r="CW115" s="66"/>
      <c r="CX115" s="66"/>
    </row>
    <row r="116" spans="2:102" hidden="1" x14ac:dyDescent="0.3"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CF116" s="146" t="e">
        <f ca="1">IF(AND(CH106="dia útil",CH107="dia útil",CH108="dia útil"),CF108,IF(OR(AND(CH106="Final de semana/feriado",CH107="dia útil",CH108="dia útil",CH109="dia útil"),AND(CH106="Dia útil",CH107="final de semana/feriado",CH108="dia útil",CH109="dia útil"),AND(CH106="dia útil",CH107="dia útil",CH108="final de semana/feriado",CH109="dia útil"),AND(CH106="dia útil",CH107="dia útil",CH108="dia útil",CH109="Final de semana/feriado")),CF109,IF(OR(AND(CH106="final de semana/feriado",CH107="final de semana/feriado",CH108="dia útil",CH109="dia útil",CH110="dia útil"),AND(CH106="dia útil",CH107="final de semana/feriado",CH108="final de semana/feriado",CH109="dia útil",CH110="dia útil"),AND(CH106="dia útil",CH107="dia útil",CH108="final de semana/feriado",CH109="final de semana/feriado",CH110="dia útil"),AND(CH106="Final de semana/feriado",CH107="dia útil",CH108="final de semana/feriado",CH109="dia útil",CH110="dia útil"),AND(CH106="Final de semana/feriado",CH107="dia útil",CH108="dia útil",CH109="final de semana/feriado",CH110="dia útil"),AND(CH106="dia útil",CH107="final de semana/feriado",CH108="dia útil",CH109="final de semana/feriado",CH110="dia útil")),CF110,IF(OR(AND(CH106="final de semana/feriado",CH107="final de semana/feriado",CH108="final de semana/feriado",CH109="dia útil",CH110="dia útil",CH111="dia útil"),AND(CH106="dia útil",CH107="final de semana/feriado",CH108="final de semana/feriado",CH109="final de semana/feriado",CH110="dia útil",CH111="dia útil"),AND(CH106="dia útil",CH107="dia útil",CH108="final de semana/feriado",CH109="final de semana/feriado",CH110="final de semana/feriado",CH111="dia útil"),AND(CH106="Final de semana/feriado",CH107="dia útil",CH108="final de semana/feriado",CH109="final de semana/feriado",CH110="dia útil",CH111="dia útil"),AND(CH106="Final de semana/feriado",CH107="dia útil",CH108="dia útil",CH109="final de semana/feriado",CH110="final de semana/feriado",CH111="dia útil"),AND(CH106="final de semana/feriado",CH107="dia útil",CH108="final de semana/feriado",CH109="dia útil",CH110="final de semana/feriado",CH111="dia útil")),CF111,IF(OR(AND(CH106="final de semana/feriado",CH107="final de semana/feriado",CH108="final de semana/feriado",CH109="final de semana/feriado",CH110="dia útil",CH111="dia útil",CH112="dia útil"),AND(CH106="dia útil",CH107="final de semana/feriado",CH108="final de semana/feriado",CH109="final de semana/feriado",CH110="final de semana/feriado",CH111="dia útil",CH112="dia útil"),AND(CH106="dia útil",CH107="dia útil",CH108="final de semana/feriado",CH109="final de semana/feriado",CH110="final de semana/feriado",CH111="final de semana/feriado",CH112="dia útil"),AND(CH106="Final de semana/feriado",CH107="dia útil",CH108="final de semana/feriado",CH109="final de semana/feriado",CH110="final de semana/feriado",CH111="dia útil",CH112="dia útil"),AND(CH106="Final de semana/feriado",CH107="dia útil",CH108="dia útil",CH109="final de semana/feriado",CH110="final de semana/feriado",CH111="final de semana/feriado",CH112="dia útil"),AND(CH106="final de semana/feriado",CH107="dia útil",CH108="final de semana/feriado",CH109="dia útil",CH110="final de semana/feriado",CH111="final de semana/feriado",CH112="dia útil"),AND(CH106="dia útil",CH107="final de semana/feriado",CH108="dia útil",CH109="final de semana/feriado",CH110="final de semana/feriado",CH111="final de semana/feriado",CH112="dia útil")),CF112)))))</f>
        <v>#VALUE!</v>
      </c>
      <c r="CG116" s="66"/>
      <c r="CH116" s="66"/>
      <c r="CI116" s="66"/>
      <c r="CJ116" s="66"/>
      <c r="CK116" s="66"/>
      <c r="CL116" s="66"/>
      <c r="CM116" s="66"/>
      <c r="CN116" s="66"/>
      <c r="CO116" s="66"/>
      <c r="CP116" s="66"/>
      <c r="CQ116" s="66"/>
      <c r="CR116" s="66"/>
      <c r="CS116" s="66"/>
      <c r="CT116" s="66"/>
      <c r="CU116" s="66"/>
      <c r="CV116" s="66"/>
      <c r="CW116" s="66"/>
      <c r="CX116" s="66"/>
    </row>
    <row r="117" spans="2:102" hidden="1" x14ac:dyDescent="0.3"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CF117" s="66"/>
      <c r="CG117" s="66"/>
      <c r="CH117" s="66"/>
      <c r="CI117" s="66"/>
      <c r="CJ117" s="66"/>
      <c r="CK117" s="66"/>
      <c r="CL117" s="66"/>
      <c r="CM117" s="66"/>
      <c r="CN117" s="66"/>
      <c r="CO117" s="66"/>
      <c r="CP117" s="66"/>
      <c r="CQ117" s="66"/>
      <c r="CR117" s="66"/>
      <c r="CS117" s="66"/>
      <c r="CT117" s="66"/>
      <c r="CU117" s="66"/>
      <c r="CV117" s="66"/>
      <c r="CW117" s="66"/>
      <c r="CX117" s="66"/>
    </row>
    <row r="118" spans="2:102" hidden="1" x14ac:dyDescent="0.3"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</row>
    <row r="119" spans="2:102" hidden="1" x14ac:dyDescent="0.3"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</row>
    <row r="120" spans="2:102" hidden="1" x14ac:dyDescent="0.3"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</row>
    <row r="121" spans="2:102" hidden="1" x14ac:dyDescent="0.3"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CI121" s="156">
        <f ca="1">YEAR(TODAY())</f>
        <v>2017</v>
      </c>
    </row>
    <row r="122" spans="2:102" hidden="1" x14ac:dyDescent="0.3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</row>
    <row r="123" spans="2:102" hidden="1" x14ac:dyDescent="0.3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</row>
    <row r="124" spans="2:102" hidden="1" x14ac:dyDescent="0.3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CI124" s="163"/>
    </row>
    <row r="125" spans="2:102" hidden="1" x14ac:dyDescent="0.3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</row>
    <row r="126" spans="2:102" hidden="1" x14ac:dyDescent="0.3"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</row>
    <row r="127" spans="2:102" hidden="1" x14ac:dyDescent="0.3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</row>
    <row r="128" spans="2:102" hidden="1" x14ac:dyDescent="0.3"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</row>
    <row r="129" spans="2:19" hidden="1" x14ac:dyDescent="0.3"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</row>
    <row r="130" spans="2:19" hidden="1" x14ac:dyDescent="0.3"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</row>
    <row r="131" spans="2:19" hidden="1" x14ac:dyDescent="0.3"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</row>
    <row r="132" spans="2:19" hidden="1" x14ac:dyDescent="0.3"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</row>
    <row r="133" spans="2:19" hidden="1" x14ac:dyDescent="0.3"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</row>
    <row r="134" spans="2:19" hidden="1" x14ac:dyDescent="0.3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</row>
    <row r="135" spans="2:19" hidden="1" x14ac:dyDescent="0.3"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</row>
    <row r="136" spans="2:19" hidden="1" x14ac:dyDescent="0.3"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</row>
    <row r="137" spans="2:19" hidden="1" x14ac:dyDescent="0.3"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</row>
    <row r="138" spans="2:19" hidden="1" x14ac:dyDescent="0.3"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</row>
    <row r="139" spans="2:19" hidden="1" x14ac:dyDescent="0.3"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</row>
    <row r="140" spans="2:19" hidden="1" x14ac:dyDescent="0.3"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</row>
    <row r="141" spans="2:19" hidden="1" x14ac:dyDescent="0.3"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</row>
    <row r="142" spans="2:19" hidden="1" x14ac:dyDescent="0.3"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</row>
    <row r="143" spans="2:19" hidden="1" x14ac:dyDescent="0.3"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</row>
    <row r="144" spans="2:19" hidden="1" x14ac:dyDescent="0.3"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</row>
    <row r="145" spans="2:19" hidden="1" x14ac:dyDescent="0.3"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</row>
    <row r="146" spans="2:19" hidden="1" x14ac:dyDescent="0.3"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</row>
    <row r="147" spans="2:19" hidden="1" x14ac:dyDescent="0.3"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</row>
    <row r="148" spans="2:19" hidden="1" x14ac:dyDescent="0.3"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</row>
    <row r="149" spans="2:19" hidden="1" x14ac:dyDescent="0.3"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</row>
    <row r="150" spans="2:19" hidden="1" x14ac:dyDescent="0.3"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</row>
    <row r="151" spans="2:19" hidden="1" x14ac:dyDescent="0.3"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</row>
    <row r="152" spans="2:19" hidden="1" x14ac:dyDescent="0.3"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</row>
    <row r="153" spans="2:19" hidden="1" x14ac:dyDescent="0.3"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</row>
    <row r="154" spans="2:19" hidden="1" x14ac:dyDescent="0.3"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</row>
    <row r="155" spans="2:19" hidden="1" x14ac:dyDescent="0.3"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</row>
    <row r="156" spans="2:19" hidden="1" x14ac:dyDescent="0.3"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</row>
    <row r="157" spans="2:19" hidden="1" x14ac:dyDescent="0.3"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</row>
    <row r="158" spans="2:19" hidden="1" x14ac:dyDescent="0.3"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</row>
    <row r="159" spans="2:19" hidden="1" x14ac:dyDescent="0.3"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</row>
    <row r="160" spans="2:19" hidden="1" x14ac:dyDescent="0.3"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</row>
    <row r="161" spans="2:19" hidden="1" x14ac:dyDescent="0.3"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</row>
    <row r="162" spans="2:19" hidden="1" x14ac:dyDescent="0.3"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</row>
    <row r="163" spans="2:19" hidden="1" x14ac:dyDescent="0.3"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</row>
    <row r="164" spans="2:19" hidden="1" x14ac:dyDescent="0.3"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</row>
    <row r="165" spans="2:19" hidden="1" x14ac:dyDescent="0.3"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</row>
    <row r="166" spans="2:19" hidden="1" x14ac:dyDescent="0.3"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</row>
    <row r="167" spans="2:19" hidden="1" x14ac:dyDescent="0.3"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</row>
    <row r="168" spans="2:19" hidden="1" x14ac:dyDescent="0.3"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</row>
    <row r="169" spans="2:19" hidden="1" x14ac:dyDescent="0.3"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</row>
    <row r="170" spans="2:19" hidden="1" x14ac:dyDescent="0.3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</row>
    <row r="171" spans="2:19" hidden="1" x14ac:dyDescent="0.3"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</row>
    <row r="172" spans="2:19" hidden="1" x14ac:dyDescent="0.3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</row>
    <row r="173" spans="2:19" hidden="1" x14ac:dyDescent="0.3"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</row>
    <row r="174" spans="2:19" hidden="1" x14ac:dyDescent="0.3"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</row>
    <row r="175" spans="2:19" hidden="1" x14ac:dyDescent="0.3"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</row>
    <row r="176" spans="2:19" hidden="1" x14ac:dyDescent="0.3"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</row>
    <row r="177" spans="2:19" hidden="1" x14ac:dyDescent="0.3"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</row>
    <row r="178" spans="2:19" hidden="1" x14ac:dyDescent="0.3"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</row>
    <row r="179" spans="2:19" hidden="1" x14ac:dyDescent="0.3"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</row>
    <row r="180" spans="2:19" hidden="1" x14ac:dyDescent="0.3"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</row>
    <row r="181" spans="2:19" hidden="1" x14ac:dyDescent="0.3"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</row>
    <row r="182" spans="2:19" hidden="1" x14ac:dyDescent="0.3"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</row>
    <row r="183" spans="2:19" hidden="1" x14ac:dyDescent="0.3"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</row>
    <row r="184" spans="2:19" hidden="1" x14ac:dyDescent="0.3"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</row>
    <row r="185" spans="2:19" hidden="1" x14ac:dyDescent="0.3"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</row>
    <row r="186" spans="2:19" hidden="1" x14ac:dyDescent="0.3"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</row>
    <row r="187" spans="2:19" hidden="1" x14ac:dyDescent="0.3"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</row>
    <row r="188" spans="2:19" hidden="1" x14ac:dyDescent="0.3"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</row>
    <row r="189" spans="2:19" hidden="1" x14ac:dyDescent="0.3"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</row>
    <row r="190" spans="2:19" hidden="1" x14ac:dyDescent="0.3"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</row>
    <row r="191" spans="2:19" hidden="1" x14ac:dyDescent="0.3"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</row>
    <row r="192" spans="2:19" hidden="1" x14ac:dyDescent="0.3"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</row>
    <row r="193" spans="2:19" hidden="1" x14ac:dyDescent="0.3"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</row>
    <row r="194" spans="2:19" hidden="1" x14ac:dyDescent="0.3"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</row>
    <row r="195" spans="2:19" hidden="1" x14ac:dyDescent="0.3"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</row>
    <row r="196" spans="2:19" hidden="1" x14ac:dyDescent="0.3"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</row>
    <row r="197" spans="2:19" hidden="1" x14ac:dyDescent="0.3"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</row>
    <row r="198" spans="2:19" hidden="1" x14ac:dyDescent="0.3"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</row>
    <row r="199" spans="2:19" hidden="1" x14ac:dyDescent="0.3"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</row>
    <row r="200" spans="2:19" hidden="1" x14ac:dyDescent="0.3"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</row>
    <row r="201" spans="2:19" hidden="1" x14ac:dyDescent="0.3"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</row>
    <row r="202" spans="2:19" hidden="1" x14ac:dyDescent="0.3"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</row>
    <row r="203" spans="2:19" hidden="1" x14ac:dyDescent="0.3"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</row>
    <row r="204" spans="2:19" hidden="1" x14ac:dyDescent="0.3"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</row>
    <row r="205" spans="2:19" hidden="1" x14ac:dyDescent="0.3"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</row>
    <row r="206" spans="2:19" hidden="1" x14ac:dyDescent="0.3"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</row>
    <row r="207" spans="2:19" hidden="1" x14ac:dyDescent="0.3"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</row>
    <row r="208" spans="2:19" hidden="1" x14ac:dyDescent="0.3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</row>
    <row r="209" spans="2:19" hidden="1" x14ac:dyDescent="0.3"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</row>
    <row r="210" spans="2:19" hidden="1" x14ac:dyDescent="0.3"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</row>
    <row r="211" spans="2:19" hidden="1" x14ac:dyDescent="0.3"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</row>
    <row r="212" spans="2:19" hidden="1" x14ac:dyDescent="0.3"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</row>
    <row r="213" spans="2:19" hidden="1" x14ac:dyDescent="0.3"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</row>
    <row r="214" spans="2:19" hidden="1" x14ac:dyDescent="0.3"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</row>
    <row r="215" spans="2:19" hidden="1" x14ac:dyDescent="0.3"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</row>
    <row r="216" spans="2:19" hidden="1" x14ac:dyDescent="0.3"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</row>
    <row r="217" spans="2:19" hidden="1" x14ac:dyDescent="0.3"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</row>
    <row r="218" spans="2:19" hidden="1" x14ac:dyDescent="0.3"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</row>
    <row r="219" spans="2:19" hidden="1" x14ac:dyDescent="0.3"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</row>
    <row r="220" spans="2:19" hidden="1" x14ac:dyDescent="0.3"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</row>
    <row r="221" spans="2:19" hidden="1" x14ac:dyDescent="0.3"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</row>
    <row r="222" spans="2:19" hidden="1" x14ac:dyDescent="0.3"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</row>
    <row r="223" spans="2:19" hidden="1" x14ac:dyDescent="0.3"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</row>
    <row r="224" spans="2:19" hidden="1" x14ac:dyDescent="0.3"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</row>
    <row r="225" spans="2:19" hidden="1" x14ac:dyDescent="0.3"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</row>
    <row r="226" spans="2:19" hidden="1" x14ac:dyDescent="0.3"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</row>
    <row r="227" spans="2:19" hidden="1" x14ac:dyDescent="0.3"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</row>
    <row r="228" spans="2:19" hidden="1" x14ac:dyDescent="0.3"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</row>
    <row r="229" spans="2:19" hidden="1" x14ac:dyDescent="0.3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</row>
    <row r="230" spans="2:19" hidden="1" x14ac:dyDescent="0.3"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</row>
    <row r="231" spans="2:19" hidden="1" x14ac:dyDescent="0.3"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</row>
    <row r="232" spans="2:19" hidden="1" x14ac:dyDescent="0.3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</row>
    <row r="233" spans="2:19" hidden="1" x14ac:dyDescent="0.3"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</row>
    <row r="234" spans="2:19" hidden="1" x14ac:dyDescent="0.3"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</row>
    <row r="235" spans="2:19" hidden="1" x14ac:dyDescent="0.3"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</row>
    <row r="236" spans="2:19" hidden="1" x14ac:dyDescent="0.3"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</row>
    <row r="237" spans="2:19" hidden="1" x14ac:dyDescent="0.3"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</row>
    <row r="238" spans="2:19" hidden="1" x14ac:dyDescent="0.3"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</row>
    <row r="239" spans="2:19" hidden="1" x14ac:dyDescent="0.3"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</row>
    <row r="240" spans="2:19" hidden="1" x14ac:dyDescent="0.3"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</row>
    <row r="241" spans="2:19" hidden="1" x14ac:dyDescent="0.3"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</row>
    <row r="242" spans="2:19" hidden="1" x14ac:dyDescent="0.3"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</row>
    <row r="243" spans="2:19" hidden="1" x14ac:dyDescent="0.3"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</row>
    <row r="244" spans="2:19" hidden="1" x14ac:dyDescent="0.3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</row>
    <row r="245" spans="2:19" hidden="1" x14ac:dyDescent="0.3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</row>
    <row r="246" spans="2:19" hidden="1" x14ac:dyDescent="0.3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</row>
    <row r="247" spans="2:19" hidden="1" x14ac:dyDescent="0.3"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</row>
    <row r="248" spans="2:19" hidden="1" x14ac:dyDescent="0.3"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</row>
    <row r="249" spans="2:19" hidden="1" x14ac:dyDescent="0.3"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</row>
    <row r="250" spans="2:19" hidden="1" x14ac:dyDescent="0.3"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</row>
    <row r="251" spans="2:19" hidden="1" x14ac:dyDescent="0.3"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</row>
    <row r="252" spans="2:19" hidden="1" x14ac:dyDescent="0.3"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</row>
    <row r="253" spans="2:19" hidden="1" x14ac:dyDescent="0.3"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</row>
    <row r="254" spans="2:19" hidden="1" x14ac:dyDescent="0.3"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</row>
    <row r="255" spans="2:19" hidden="1" x14ac:dyDescent="0.3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</row>
    <row r="256" spans="2:19" hidden="1" x14ac:dyDescent="0.3"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</row>
    <row r="257" spans="2:19" hidden="1" x14ac:dyDescent="0.3"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</row>
    <row r="258" spans="2:19" hidden="1" x14ac:dyDescent="0.3"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</row>
    <row r="259" spans="2:19" hidden="1" x14ac:dyDescent="0.3"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</row>
    <row r="260" spans="2:19" hidden="1" x14ac:dyDescent="0.3"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</row>
    <row r="261" spans="2:19" hidden="1" x14ac:dyDescent="0.3"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</row>
    <row r="262" spans="2:19" hidden="1" x14ac:dyDescent="0.3"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</row>
    <row r="263" spans="2:19" hidden="1" x14ac:dyDescent="0.3"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</row>
    <row r="264" spans="2:19" hidden="1" x14ac:dyDescent="0.3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</row>
    <row r="265" spans="2:19" hidden="1" x14ac:dyDescent="0.3"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</row>
    <row r="266" spans="2:19" hidden="1" x14ac:dyDescent="0.3"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</row>
    <row r="267" spans="2:19" hidden="1" x14ac:dyDescent="0.3"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</row>
    <row r="268" spans="2:19" hidden="1" x14ac:dyDescent="0.3"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</row>
    <row r="269" spans="2:19" hidden="1" x14ac:dyDescent="0.3"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</row>
    <row r="270" spans="2:19" hidden="1" x14ac:dyDescent="0.3"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</row>
    <row r="271" spans="2:19" hidden="1" x14ac:dyDescent="0.3"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</row>
    <row r="272" spans="2:19" hidden="1" x14ac:dyDescent="0.3"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</row>
    <row r="273" spans="2:19" hidden="1" x14ac:dyDescent="0.3"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</row>
    <row r="274" spans="2:19" hidden="1" x14ac:dyDescent="0.3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</row>
    <row r="275" spans="2:19" hidden="1" x14ac:dyDescent="0.3"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</row>
    <row r="276" spans="2:19" hidden="1" x14ac:dyDescent="0.3"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</row>
    <row r="277" spans="2:19" hidden="1" x14ac:dyDescent="0.3"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</row>
    <row r="278" spans="2:19" hidden="1" x14ac:dyDescent="0.3"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</row>
    <row r="279" spans="2:19" hidden="1" x14ac:dyDescent="0.3"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</row>
    <row r="280" spans="2:19" hidden="1" x14ac:dyDescent="0.3"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</row>
    <row r="281" spans="2:19" hidden="1" x14ac:dyDescent="0.3"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</row>
    <row r="282" spans="2:19" hidden="1" x14ac:dyDescent="0.3"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</row>
    <row r="283" spans="2:19" hidden="1" x14ac:dyDescent="0.3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</row>
    <row r="284" spans="2:19" hidden="1" x14ac:dyDescent="0.3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</row>
    <row r="285" spans="2:19" hidden="1" x14ac:dyDescent="0.3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</row>
    <row r="286" spans="2:19" hidden="1" x14ac:dyDescent="0.3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</row>
    <row r="287" spans="2:19" hidden="1" x14ac:dyDescent="0.3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</row>
    <row r="288" spans="2:19" hidden="1" x14ac:dyDescent="0.3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</row>
    <row r="289" spans="2:19" hidden="1" x14ac:dyDescent="0.3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</row>
    <row r="290" spans="2:19" hidden="1" x14ac:dyDescent="0.3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</row>
    <row r="291" spans="2:19" hidden="1" x14ac:dyDescent="0.3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</row>
    <row r="292" spans="2:19" hidden="1" x14ac:dyDescent="0.3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</row>
    <row r="293" spans="2:19" hidden="1" x14ac:dyDescent="0.3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</row>
    <row r="294" spans="2:19" hidden="1" x14ac:dyDescent="0.3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</row>
    <row r="295" spans="2:19" hidden="1" x14ac:dyDescent="0.3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</row>
    <row r="296" spans="2:19" hidden="1" x14ac:dyDescent="0.3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</row>
    <row r="297" spans="2:19" hidden="1" x14ac:dyDescent="0.3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</row>
    <row r="298" spans="2:19" hidden="1" x14ac:dyDescent="0.3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</row>
    <row r="299" spans="2:19" hidden="1" x14ac:dyDescent="0.3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</row>
    <row r="300" spans="2:19" hidden="1" x14ac:dyDescent="0.3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</row>
    <row r="301" spans="2:19" hidden="1" x14ac:dyDescent="0.3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</row>
    <row r="302" spans="2:19" hidden="1" x14ac:dyDescent="0.3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</row>
    <row r="303" spans="2:19" hidden="1" x14ac:dyDescent="0.3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</row>
    <row r="304" spans="2:19" hidden="1" x14ac:dyDescent="0.3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</row>
    <row r="305" spans="2:19" hidden="1" x14ac:dyDescent="0.3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</row>
    <row r="306" spans="2:19" hidden="1" x14ac:dyDescent="0.3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</row>
    <row r="307" spans="2:19" hidden="1" x14ac:dyDescent="0.3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</row>
    <row r="308" spans="2:19" hidden="1" x14ac:dyDescent="0.3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</row>
    <row r="309" spans="2:19" hidden="1" x14ac:dyDescent="0.3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</row>
    <row r="310" spans="2:19" hidden="1" x14ac:dyDescent="0.3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</row>
    <row r="311" spans="2:19" hidden="1" x14ac:dyDescent="0.3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</row>
    <row r="312" spans="2:19" hidden="1" x14ac:dyDescent="0.3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</row>
    <row r="313" spans="2:19" hidden="1" x14ac:dyDescent="0.3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</row>
    <row r="314" spans="2:19" hidden="1" x14ac:dyDescent="0.3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</row>
    <row r="315" spans="2:19" hidden="1" x14ac:dyDescent="0.3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</row>
    <row r="316" spans="2:19" hidden="1" x14ac:dyDescent="0.3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</row>
    <row r="317" spans="2:19" hidden="1" x14ac:dyDescent="0.3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</row>
    <row r="318" spans="2:19" hidden="1" x14ac:dyDescent="0.3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</row>
    <row r="319" spans="2:19" hidden="1" x14ac:dyDescent="0.3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</row>
    <row r="320" spans="2:19" hidden="1" x14ac:dyDescent="0.3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</row>
    <row r="321" spans="2:19" hidden="1" x14ac:dyDescent="0.3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</row>
    <row r="322" spans="2:19" hidden="1" x14ac:dyDescent="0.3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</row>
    <row r="323" spans="2:19" hidden="1" x14ac:dyDescent="0.3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</row>
    <row r="324" spans="2:19" hidden="1" x14ac:dyDescent="0.3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</row>
    <row r="325" spans="2:19" hidden="1" x14ac:dyDescent="0.3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</row>
    <row r="326" spans="2:19" hidden="1" x14ac:dyDescent="0.3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</row>
    <row r="327" spans="2:19" hidden="1" x14ac:dyDescent="0.3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</row>
    <row r="328" spans="2:19" hidden="1" x14ac:dyDescent="0.3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</row>
    <row r="329" spans="2:19" hidden="1" x14ac:dyDescent="0.3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</row>
    <row r="330" spans="2:19" hidden="1" x14ac:dyDescent="0.3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</row>
    <row r="331" spans="2:19" hidden="1" x14ac:dyDescent="0.3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</row>
    <row r="332" spans="2:19" hidden="1" x14ac:dyDescent="0.3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</row>
    <row r="333" spans="2:19" hidden="1" x14ac:dyDescent="0.3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</row>
    <row r="334" spans="2:19" hidden="1" x14ac:dyDescent="0.3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</row>
    <row r="335" spans="2:19" hidden="1" x14ac:dyDescent="0.3"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</row>
    <row r="336" spans="2:19" hidden="1" x14ac:dyDescent="0.3"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</row>
    <row r="337" spans="2:19" hidden="1" x14ac:dyDescent="0.3"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</row>
    <row r="338" spans="2:19" hidden="1" x14ac:dyDescent="0.3"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</row>
    <row r="339" spans="2:19" hidden="1" x14ac:dyDescent="0.3"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</row>
    <row r="340" spans="2:19" hidden="1" x14ac:dyDescent="0.3"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</row>
    <row r="341" spans="2:19" hidden="1" x14ac:dyDescent="0.3"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</row>
    <row r="342" spans="2:19" hidden="1" x14ac:dyDescent="0.3"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</row>
    <row r="343" spans="2:19" hidden="1" x14ac:dyDescent="0.3"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</row>
    <row r="344" spans="2:19" hidden="1" x14ac:dyDescent="0.3"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</row>
    <row r="345" spans="2:19" hidden="1" x14ac:dyDescent="0.3"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</row>
    <row r="346" spans="2:19" hidden="1" x14ac:dyDescent="0.3"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</row>
    <row r="347" spans="2:19" hidden="1" x14ac:dyDescent="0.3"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</row>
    <row r="348" spans="2:19" hidden="1" x14ac:dyDescent="0.3"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</row>
    <row r="349" spans="2:19" hidden="1" x14ac:dyDescent="0.3"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</row>
    <row r="350" spans="2:19" hidden="1" x14ac:dyDescent="0.3"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</row>
    <row r="351" spans="2:19" hidden="1" x14ac:dyDescent="0.3"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</row>
    <row r="352" spans="2:19" hidden="1" x14ac:dyDescent="0.3"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</row>
    <row r="353" spans="2:19" hidden="1" x14ac:dyDescent="0.3"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</row>
    <row r="354" spans="2:19" hidden="1" x14ac:dyDescent="0.3"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</row>
    <row r="355" spans="2:19" hidden="1" x14ac:dyDescent="0.3"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</row>
    <row r="356" spans="2:19" hidden="1" x14ac:dyDescent="0.3"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</row>
    <row r="357" spans="2:19" hidden="1" x14ac:dyDescent="0.3"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</row>
    <row r="358" spans="2:19" hidden="1" x14ac:dyDescent="0.3"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</row>
    <row r="359" spans="2:19" hidden="1" x14ac:dyDescent="0.3"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</row>
    <row r="360" spans="2:19" hidden="1" x14ac:dyDescent="0.3"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</row>
    <row r="361" spans="2:19" hidden="1" x14ac:dyDescent="0.3"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</row>
    <row r="362" spans="2:19" hidden="1" x14ac:dyDescent="0.3"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</row>
    <row r="363" spans="2:19" hidden="1" x14ac:dyDescent="0.3"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</row>
    <row r="364" spans="2:19" hidden="1" x14ac:dyDescent="0.3"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</row>
    <row r="365" spans="2:19" hidden="1" x14ac:dyDescent="0.3"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</row>
    <row r="366" spans="2:19" hidden="1" x14ac:dyDescent="0.3"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</row>
    <row r="367" spans="2:19" hidden="1" x14ac:dyDescent="0.3"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</row>
    <row r="368" spans="2:19" hidden="1" x14ac:dyDescent="0.3"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</row>
    <row r="369" spans="2:19" hidden="1" x14ac:dyDescent="0.3"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</row>
    <row r="370" spans="2:19" hidden="1" x14ac:dyDescent="0.3"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</row>
    <row r="371" spans="2:19" hidden="1" x14ac:dyDescent="0.3"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</row>
    <row r="372" spans="2:19" hidden="1" x14ac:dyDescent="0.3"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</row>
    <row r="373" spans="2:19" hidden="1" x14ac:dyDescent="0.3"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</row>
    <row r="374" spans="2:19" hidden="1" x14ac:dyDescent="0.3"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</row>
    <row r="375" spans="2:19" hidden="1" x14ac:dyDescent="0.3"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</row>
    <row r="376" spans="2:19" hidden="1" x14ac:dyDescent="0.3"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</row>
    <row r="377" spans="2:19" hidden="1" x14ac:dyDescent="0.3"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</row>
    <row r="378" spans="2:19" hidden="1" x14ac:dyDescent="0.3"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</row>
    <row r="379" spans="2:19" hidden="1" x14ac:dyDescent="0.3"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</row>
    <row r="380" spans="2:19" hidden="1" x14ac:dyDescent="0.3"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</row>
    <row r="381" spans="2:19" hidden="1" x14ac:dyDescent="0.3"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</row>
    <row r="382" spans="2:19" hidden="1" x14ac:dyDescent="0.3"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</row>
    <row r="383" spans="2:19" hidden="1" x14ac:dyDescent="0.3"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</row>
    <row r="384" spans="2:19" hidden="1" x14ac:dyDescent="0.3"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</row>
    <row r="385" spans="2:19" hidden="1" x14ac:dyDescent="0.3"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</row>
    <row r="386" spans="2:19" hidden="1" x14ac:dyDescent="0.3"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</row>
    <row r="387" spans="2:19" hidden="1" x14ac:dyDescent="0.3"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</row>
    <row r="388" spans="2:19" hidden="1" x14ac:dyDescent="0.3"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</row>
    <row r="389" spans="2:19" hidden="1" x14ac:dyDescent="0.3"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</row>
    <row r="390" spans="2:19" hidden="1" x14ac:dyDescent="0.3"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</row>
    <row r="391" spans="2:19" hidden="1" x14ac:dyDescent="0.3"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</row>
    <row r="392" spans="2:19" hidden="1" x14ac:dyDescent="0.3"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</row>
    <row r="393" spans="2:19" hidden="1" x14ac:dyDescent="0.3"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</row>
    <row r="394" spans="2:19" hidden="1" x14ac:dyDescent="0.3"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</row>
    <row r="395" spans="2:19" hidden="1" x14ac:dyDescent="0.3"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</row>
    <row r="396" spans="2:19" hidden="1" x14ac:dyDescent="0.3"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</row>
    <row r="397" spans="2:19" hidden="1" x14ac:dyDescent="0.3"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</row>
    <row r="398" spans="2:19" hidden="1" x14ac:dyDescent="0.3"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</row>
    <row r="399" spans="2:19" hidden="1" x14ac:dyDescent="0.3"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</row>
    <row r="400" spans="2:19" hidden="1" x14ac:dyDescent="0.3"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</row>
    <row r="401" spans="2:19" hidden="1" x14ac:dyDescent="0.3"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</row>
    <row r="402" spans="2:19" hidden="1" x14ac:dyDescent="0.3"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</row>
    <row r="403" spans="2:19" hidden="1" x14ac:dyDescent="0.3"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</row>
    <row r="404" spans="2:19" hidden="1" x14ac:dyDescent="0.3"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</row>
    <row r="405" spans="2:19" hidden="1" x14ac:dyDescent="0.3"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</row>
    <row r="406" spans="2:19" hidden="1" x14ac:dyDescent="0.3"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</row>
    <row r="407" spans="2:19" hidden="1" x14ac:dyDescent="0.3"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</row>
    <row r="408" spans="2:19" hidden="1" x14ac:dyDescent="0.3"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</row>
    <row r="409" spans="2:19" hidden="1" x14ac:dyDescent="0.3"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</row>
    <row r="410" spans="2:19" hidden="1" x14ac:dyDescent="0.3"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</row>
    <row r="411" spans="2:19" hidden="1" x14ac:dyDescent="0.3"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</row>
    <row r="412" spans="2:19" hidden="1" x14ac:dyDescent="0.3"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</row>
    <row r="413" spans="2:19" hidden="1" x14ac:dyDescent="0.3"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</row>
    <row r="414" spans="2:19" hidden="1" x14ac:dyDescent="0.3"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</row>
    <row r="415" spans="2:19" hidden="1" x14ac:dyDescent="0.3"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</row>
    <row r="416" spans="2:19" hidden="1" x14ac:dyDescent="0.3"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</row>
    <row r="417" spans="2:19" hidden="1" x14ac:dyDescent="0.3"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</row>
    <row r="418" spans="2:19" hidden="1" x14ac:dyDescent="0.3"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</row>
    <row r="419" spans="2:19" hidden="1" x14ac:dyDescent="0.3"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</row>
    <row r="420" spans="2:19" hidden="1" x14ac:dyDescent="0.3"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</row>
    <row r="421" spans="2:19" hidden="1" x14ac:dyDescent="0.3"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</row>
    <row r="422" spans="2:19" hidden="1" x14ac:dyDescent="0.3"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</row>
    <row r="423" spans="2:19" hidden="1" x14ac:dyDescent="0.3"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</row>
    <row r="424" spans="2:19" hidden="1" x14ac:dyDescent="0.3"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</row>
    <row r="425" spans="2:19" hidden="1" x14ac:dyDescent="0.3"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</row>
    <row r="426" spans="2:19" hidden="1" x14ac:dyDescent="0.3"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</row>
    <row r="427" spans="2:19" hidden="1" x14ac:dyDescent="0.3"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</row>
    <row r="428" spans="2:19" hidden="1" x14ac:dyDescent="0.3"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</row>
    <row r="429" spans="2:19" hidden="1" x14ac:dyDescent="0.3"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</row>
    <row r="430" spans="2:19" hidden="1" x14ac:dyDescent="0.3"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</row>
    <row r="431" spans="2:19" hidden="1" x14ac:dyDescent="0.3"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</row>
    <row r="432" spans="2:19" hidden="1" x14ac:dyDescent="0.3"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</row>
    <row r="433" spans="2:19" hidden="1" x14ac:dyDescent="0.3"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</row>
    <row r="434" spans="2:19" hidden="1" x14ac:dyDescent="0.3"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</row>
    <row r="435" spans="2:19" hidden="1" x14ac:dyDescent="0.3"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</row>
    <row r="436" spans="2:19" hidden="1" x14ac:dyDescent="0.3"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</row>
    <row r="437" spans="2:19" hidden="1" x14ac:dyDescent="0.3"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</row>
    <row r="438" spans="2:19" hidden="1" x14ac:dyDescent="0.3"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</row>
    <row r="439" spans="2:19" hidden="1" x14ac:dyDescent="0.3"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</row>
    <row r="440" spans="2:19" hidden="1" x14ac:dyDescent="0.3"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</row>
    <row r="441" spans="2:19" hidden="1" x14ac:dyDescent="0.3"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</row>
    <row r="442" spans="2:19" hidden="1" x14ac:dyDescent="0.3"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</row>
    <row r="443" spans="2:19" hidden="1" x14ac:dyDescent="0.3"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</row>
    <row r="444" spans="2:19" hidden="1" x14ac:dyDescent="0.3"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</row>
    <row r="445" spans="2:19" hidden="1" x14ac:dyDescent="0.3"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</row>
    <row r="446" spans="2:19" hidden="1" x14ac:dyDescent="0.3"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</row>
    <row r="447" spans="2:19" hidden="1" x14ac:dyDescent="0.3"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</row>
    <row r="448" spans="2:19" hidden="1" x14ac:dyDescent="0.3"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</row>
    <row r="449" spans="2:19" hidden="1" x14ac:dyDescent="0.3"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</row>
    <row r="450" spans="2:19" hidden="1" x14ac:dyDescent="0.3"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</row>
    <row r="451" spans="2:19" hidden="1" x14ac:dyDescent="0.3"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</row>
    <row r="452" spans="2:19" hidden="1" x14ac:dyDescent="0.3"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</row>
    <row r="453" spans="2:19" hidden="1" x14ac:dyDescent="0.3"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</row>
    <row r="454" spans="2:19" hidden="1" x14ac:dyDescent="0.3"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</row>
    <row r="455" spans="2:19" hidden="1" x14ac:dyDescent="0.3"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</row>
  </sheetData>
  <sheetProtection password="D924" sheet="1" formatCells="0" formatColumns="0" formatRows="0" insertColumns="0" insertRows="0" insertHyperlinks="0" sort="0" autoFilter="0" pivotTables="0"/>
  <mergeCells count="20">
    <mergeCell ref="CI105:CX105"/>
    <mergeCell ref="E19:I19"/>
    <mergeCell ref="J19:N19"/>
    <mergeCell ref="E20:N20"/>
    <mergeCell ref="E21:I21"/>
    <mergeCell ref="J21:N21"/>
    <mergeCell ref="D24:O29"/>
    <mergeCell ref="E18:N18"/>
    <mergeCell ref="B2:S2"/>
    <mergeCell ref="C3:R3"/>
    <mergeCell ref="C5:M5"/>
    <mergeCell ref="N5:R5"/>
    <mergeCell ref="C11:Q11"/>
    <mergeCell ref="C13:L13"/>
    <mergeCell ref="M13:N13"/>
    <mergeCell ref="C14:R14"/>
    <mergeCell ref="E16:I16"/>
    <mergeCell ref="J16:N16"/>
    <mergeCell ref="E17:I17"/>
    <mergeCell ref="J17:N17"/>
  </mergeCells>
  <conditionalFormatting sqref="R26:R29">
    <cfRule type="cellIs" dxfId="4" priority="5" operator="equal">
      <formula>"*Lembramos que é vedado a utilização de documento de arrecadação de receitas federais (DARF) para o pagamento de tributos e contribuições de valor inferior a R$ 10,00, conforme descrito no art. 68 da Lei nº 9.430, de 27 de dezembro de 1996"</formula>
    </cfRule>
  </conditionalFormatting>
  <conditionalFormatting sqref="D20:E20">
    <cfRule type="cellIs" dxfId="3" priority="4" operator="equal">
      <formula>"IOF a Pagar*"</formula>
    </cfRule>
  </conditionalFormatting>
  <conditionalFormatting sqref="E19:I19">
    <cfRule type="cellIs" dxfId="2" priority="3" operator="equal">
      <formula>"IRRF a Pagar*:"</formula>
    </cfRule>
  </conditionalFormatting>
  <conditionalFormatting sqref="J19:N19">
    <cfRule type="cellIs" dxfId="1" priority="2" operator="lessThan">
      <formula>10</formula>
    </cfRule>
  </conditionalFormatting>
  <conditionalFormatting sqref="D24:O29">
    <cfRule type="cellIs" dxfId="0" priority="1" operator="equal">
      <formula>"*Lembramos que é vedado a utilização de documento de arrecadação de receitas federais (DARF) para o pagamento de tributos e contribuições de valor inferior a R$ 10,00, conforme descrito no art. 68 da Lei nº 9.430, de 27 de dezembro de 1996."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98" orientation="portrait" horizontalDpi="30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16</xdr:col>
                    <xdr:colOff>403860</xdr:colOff>
                    <xdr:row>10</xdr:row>
                    <xdr:rowOff>0</xdr:rowOff>
                  </from>
                  <to>
                    <xdr:col>17</xdr:col>
                    <xdr:colOff>411480</xdr:colOff>
                    <xdr:row>11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>
    <tabColor rgb="FF990000"/>
  </sheetPr>
  <dimension ref="A1:Q64"/>
  <sheetViews>
    <sheetView workbookViewId="0"/>
  </sheetViews>
  <sheetFormatPr defaultColWidth="9.109375" defaultRowHeight="14.4" x14ac:dyDescent="0.3"/>
  <cols>
    <col min="1" max="1" width="1.44140625" style="2" customWidth="1"/>
    <col min="2" max="2" width="27.5546875" style="2" bestFit="1" customWidth="1"/>
    <col min="3" max="3" width="11.44140625" style="2" customWidth="1"/>
    <col min="4" max="4" width="12.109375" style="2" customWidth="1"/>
    <col min="5" max="5" width="11.88671875" style="2" customWidth="1"/>
    <col min="6" max="6" width="11.109375" style="2" customWidth="1"/>
    <col min="7" max="7" width="11.33203125" style="2" customWidth="1"/>
    <col min="8" max="8" width="14.109375" style="2" hidden="1" customWidth="1"/>
    <col min="9" max="9" width="13.109375" style="2" hidden="1" customWidth="1"/>
    <col min="10" max="10" width="10.6640625" style="2" hidden="1" customWidth="1"/>
    <col min="11" max="11" width="13.5546875" style="2" hidden="1" customWidth="1"/>
    <col min="12" max="12" width="12.5546875" style="2" hidden="1" customWidth="1"/>
    <col min="13" max="13" width="13.6640625" style="2" hidden="1" customWidth="1"/>
    <col min="14" max="14" width="13.109375" style="2" hidden="1" customWidth="1"/>
    <col min="15" max="15" width="13.5546875" style="2" hidden="1" customWidth="1"/>
    <col min="16" max="16" width="2.33203125" style="2" hidden="1" customWidth="1"/>
    <col min="17" max="17" width="13.6640625" style="2" customWidth="1"/>
    <col min="18" max="16384" width="9.109375" style="2"/>
  </cols>
  <sheetData>
    <row r="1" spans="1:17" ht="15" thickBot="1" x14ac:dyDescent="0.35"/>
    <row r="2" spans="1:17" x14ac:dyDescent="0.3">
      <c r="B2" s="429" t="s">
        <v>44</v>
      </c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1"/>
    </row>
    <row r="3" spans="1:17" ht="6.75" customHeight="1" thickBot="1" x14ac:dyDescent="0.35">
      <c r="B3" s="432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4"/>
    </row>
    <row r="4" spans="1:17" x14ac:dyDescent="0.3">
      <c r="B4" s="2" t="s">
        <v>61</v>
      </c>
    </row>
    <row r="5" spans="1:17" ht="6" customHeight="1" thickBot="1" x14ac:dyDescent="0.35"/>
    <row r="6" spans="1:17" ht="15" thickBot="1" x14ac:dyDescent="0.35">
      <c r="B6" s="5" t="s">
        <v>60</v>
      </c>
      <c r="C6" s="6" t="s">
        <v>21</v>
      </c>
      <c r="D6" s="6" t="s">
        <v>22</v>
      </c>
      <c r="E6" s="16" t="s">
        <v>23</v>
      </c>
      <c r="F6" s="7" t="s">
        <v>24</v>
      </c>
      <c r="G6" s="16" t="s">
        <v>25</v>
      </c>
      <c r="H6" s="6" t="s">
        <v>26</v>
      </c>
      <c r="I6" s="16" t="s">
        <v>27</v>
      </c>
      <c r="J6" s="6" t="s">
        <v>28</v>
      </c>
      <c r="K6" s="16" t="s">
        <v>29</v>
      </c>
      <c r="L6" s="6" t="s">
        <v>30</v>
      </c>
      <c r="M6" s="16" t="s">
        <v>31</v>
      </c>
      <c r="N6" s="7" t="s">
        <v>32</v>
      </c>
      <c r="O6" s="7" t="s">
        <v>62</v>
      </c>
      <c r="Q6" s="51" t="s">
        <v>69</v>
      </c>
    </row>
    <row r="7" spans="1:17" x14ac:dyDescent="0.3">
      <c r="A7" s="1"/>
      <c r="B7" s="8" t="s">
        <v>0</v>
      </c>
      <c r="C7" s="17"/>
      <c r="D7" s="18"/>
      <c r="E7" s="18"/>
      <c r="F7" s="21"/>
      <c r="G7" s="20"/>
      <c r="H7" s="19"/>
      <c r="I7" s="20"/>
      <c r="J7" s="19"/>
      <c r="K7" s="20"/>
      <c r="L7" s="19"/>
      <c r="M7" s="20"/>
      <c r="N7" s="21"/>
      <c r="O7" s="20"/>
      <c r="Q7" s="25"/>
    </row>
    <row r="8" spans="1:17" x14ac:dyDescent="0.3">
      <c r="A8" s="1"/>
      <c r="B8" s="32" t="s">
        <v>4</v>
      </c>
      <c r="C8" s="33" t="e">
        <f>+#REF!</f>
        <v>#REF!</v>
      </c>
      <c r="D8" s="33" t="e">
        <f>+#REF!</f>
        <v>#REF!</v>
      </c>
      <c r="E8" s="34" t="e">
        <f>+#REF!</f>
        <v>#REF!</v>
      </c>
      <c r="F8" s="34" t="e">
        <f>+#REF!</f>
        <v>#REF!</v>
      </c>
      <c r="G8" s="34" t="e">
        <f>#REF!</f>
        <v>#REF!</v>
      </c>
      <c r="H8" s="35"/>
      <c r="I8" s="36"/>
      <c r="J8" s="35"/>
      <c r="K8" s="36"/>
      <c r="L8" s="35"/>
      <c r="M8" s="36"/>
      <c r="N8" s="37"/>
      <c r="O8" s="43" t="e">
        <f t="shared" ref="O8:O20" si="0">SUM(C8:N8)</f>
        <v>#REF!</v>
      </c>
      <c r="Q8" s="54" t="e">
        <f>AVERAGE(C8:G8)</f>
        <v>#REF!</v>
      </c>
    </row>
    <row r="9" spans="1:17" x14ac:dyDescent="0.3">
      <c r="A9" s="1"/>
      <c r="B9" s="9" t="s">
        <v>2</v>
      </c>
      <c r="C9" s="22" t="e">
        <f>+#REF!</f>
        <v>#REF!</v>
      </c>
      <c r="D9" s="22" t="e">
        <f>+#REF!</f>
        <v>#REF!</v>
      </c>
      <c r="E9" s="23" t="e">
        <f>+#REF!</f>
        <v>#REF!</v>
      </c>
      <c r="F9" s="23" t="e">
        <f>+#REF!</f>
        <v>#REF!</v>
      </c>
      <c r="G9" s="23" t="e">
        <f>#REF!</f>
        <v>#REF!</v>
      </c>
      <c r="H9" s="24"/>
      <c r="I9" s="25"/>
      <c r="J9" s="24"/>
      <c r="K9" s="25"/>
      <c r="L9" s="24"/>
      <c r="M9" s="25"/>
      <c r="N9" s="26"/>
      <c r="O9" s="44" t="e">
        <f t="shared" si="0"/>
        <v>#REF!</v>
      </c>
      <c r="Q9" s="55" t="e">
        <f t="shared" ref="Q9:Q20" si="1">AVERAGE(C9:G9)</f>
        <v>#REF!</v>
      </c>
    </row>
    <row r="10" spans="1:17" x14ac:dyDescent="0.3">
      <c r="A10" s="1"/>
      <c r="B10" s="32" t="s">
        <v>1</v>
      </c>
      <c r="C10" s="33" t="e">
        <f>+#REF!</f>
        <v>#REF!</v>
      </c>
      <c r="D10" s="33" t="e">
        <f>+#REF!</f>
        <v>#REF!</v>
      </c>
      <c r="E10" s="34" t="e">
        <f>+#REF!</f>
        <v>#REF!</v>
      </c>
      <c r="F10" s="34" t="e">
        <f>+#REF!</f>
        <v>#REF!</v>
      </c>
      <c r="G10" s="34" t="e">
        <f>#REF!</f>
        <v>#REF!</v>
      </c>
      <c r="H10" s="35"/>
      <c r="I10" s="36"/>
      <c r="J10" s="35"/>
      <c r="K10" s="36"/>
      <c r="L10" s="35"/>
      <c r="M10" s="36"/>
      <c r="N10" s="37"/>
      <c r="O10" s="43" t="e">
        <f t="shared" si="0"/>
        <v>#REF!</v>
      </c>
      <c r="Q10" s="54" t="e">
        <f t="shared" si="1"/>
        <v>#REF!</v>
      </c>
    </row>
    <row r="11" spans="1:17" x14ac:dyDescent="0.3">
      <c r="A11" s="1"/>
      <c r="B11" s="9" t="s">
        <v>51</v>
      </c>
      <c r="C11" s="22" t="e">
        <f>+#REF!</f>
        <v>#REF!</v>
      </c>
      <c r="D11" s="22" t="e">
        <f>+#REF!</f>
        <v>#REF!</v>
      </c>
      <c r="E11" s="23" t="e">
        <f>+#REF!</f>
        <v>#REF!</v>
      </c>
      <c r="F11" s="23" t="e">
        <f>+#REF!</f>
        <v>#REF!</v>
      </c>
      <c r="G11" s="23" t="e">
        <f>#REF!</f>
        <v>#REF!</v>
      </c>
      <c r="H11" s="24"/>
      <c r="I11" s="25"/>
      <c r="J11" s="24"/>
      <c r="K11" s="25"/>
      <c r="L11" s="24"/>
      <c r="M11" s="25"/>
      <c r="N11" s="26"/>
      <c r="O11" s="44" t="e">
        <f t="shared" si="0"/>
        <v>#REF!</v>
      </c>
      <c r="Q11" s="55" t="e">
        <f t="shared" si="1"/>
        <v>#REF!</v>
      </c>
    </row>
    <row r="12" spans="1:17" x14ac:dyDescent="0.3">
      <c r="A12" s="1"/>
      <c r="B12" s="32" t="s">
        <v>50</v>
      </c>
      <c r="C12" s="33" t="e">
        <f>+#REF!</f>
        <v>#REF!</v>
      </c>
      <c r="D12" s="33" t="e">
        <f>+#REF!</f>
        <v>#REF!</v>
      </c>
      <c r="E12" s="34" t="e">
        <f>+#REF!</f>
        <v>#REF!</v>
      </c>
      <c r="F12" s="34" t="e">
        <f>+#REF!</f>
        <v>#REF!</v>
      </c>
      <c r="G12" s="34" t="e">
        <f>#REF!</f>
        <v>#REF!</v>
      </c>
      <c r="H12" s="35"/>
      <c r="I12" s="36"/>
      <c r="J12" s="35"/>
      <c r="K12" s="36"/>
      <c r="L12" s="35"/>
      <c r="M12" s="36"/>
      <c r="N12" s="37"/>
      <c r="O12" s="43" t="e">
        <f t="shared" si="0"/>
        <v>#REF!</v>
      </c>
      <c r="Q12" s="54" t="e">
        <f t="shared" si="1"/>
        <v>#REF!</v>
      </c>
    </row>
    <row r="13" spans="1:17" x14ac:dyDescent="0.3">
      <c r="A13" s="1"/>
      <c r="B13" s="32" t="s">
        <v>9</v>
      </c>
      <c r="C13" s="33" t="e">
        <f>+#REF!</f>
        <v>#REF!</v>
      </c>
      <c r="D13" s="33" t="e">
        <f>+#REF!</f>
        <v>#REF!</v>
      </c>
      <c r="E13" s="34" t="e">
        <f>+#REF!</f>
        <v>#REF!</v>
      </c>
      <c r="F13" s="34" t="e">
        <f>+#REF!</f>
        <v>#REF!</v>
      </c>
      <c r="G13" s="34" t="e">
        <f>#REF!</f>
        <v>#REF!</v>
      </c>
      <c r="H13" s="35"/>
      <c r="I13" s="36"/>
      <c r="J13" s="35"/>
      <c r="K13" s="36"/>
      <c r="L13" s="35"/>
      <c r="M13" s="36"/>
      <c r="N13" s="37"/>
      <c r="O13" s="43" t="e">
        <f t="shared" si="0"/>
        <v>#REF!</v>
      </c>
      <c r="Q13" s="54" t="e">
        <f t="shared" si="1"/>
        <v>#REF!</v>
      </c>
    </row>
    <row r="14" spans="1:17" x14ac:dyDescent="0.3">
      <c r="A14" s="1"/>
      <c r="B14" s="9" t="s">
        <v>3</v>
      </c>
      <c r="C14" s="22" t="e">
        <f>+#REF!</f>
        <v>#REF!</v>
      </c>
      <c r="D14" s="22" t="e">
        <f>+#REF!</f>
        <v>#REF!</v>
      </c>
      <c r="E14" s="23" t="e">
        <f>+#REF!</f>
        <v>#REF!</v>
      </c>
      <c r="F14" s="23" t="e">
        <f>+#REF!</f>
        <v>#REF!</v>
      </c>
      <c r="G14" s="23" t="e">
        <f>#REF!</f>
        <v>#REF!</v>
      </c>
      <c r="H14" s="24"/>
      <c r="I14" s="25"/>
      <c r="J14" s="24"/>
      <c r="K14" s="25"/>
      <c r="L14" s="24"/>
      <c r="M14" s="25"/>
      <c r="N14" s="26"/>
      <c r="O14" s="44" t="e">
        <f t="shared" si="0"/>
        <v>#REF!</v>
      </c>
      <c r="Q14" s="55" t="e">
        <f t="shared" si="1"/>
        <v>#REF!</v>
      </c>
    </row>
    <row r="15" spans="1:17" x14ac:dyDescent="0.3">
      <c r="A15" s="1"/>
      <c r="B15" s="32" t="s">
        <v>53</v>
      </c>
      <c r="C15" s="33" t="e">
        <f>+#REF!</f>
        <v>#REF!</v>
      </c>
      <c r="D15" s="33" t="e">
        <f>+#REF!</f>
        <v>#REF!</v>
      </c>
      <c r="E15" s="34" t="e">
        <f>+#REF!</f>
        <v>#REF!</v>
      </c>
      <c r="F15" s="34" t="e">
        <f>+#REF!</f>
        <v>#REF!</v>
      </c>
      <c r="G15" s="34" t="e">
        <f>#REF!</f>
        <v>#REF!</v>
      </c>
      <c r="H15" s="35"/>
      <c r="I15" s="36"/>
      <c r="J15" s="35"/>
      <c r="K15" s="36"/>
      <c r="L15" s="35"/>
      <c r="M15" s="36"/>
      <c r="N15" s="37"/>
      <c r="O15" s="43" t="e">
        <f t="shared" si="0"/>
        <v>#REF!</v>
      </c>
      <c r="Q15" s="54" t="e">
        <f t="shared" si="1"/>
        <v>#REF!</v>
      </c>
    </row>
    <row r="16" spans="1:17" x14ac:dyDescent="0.3">
      <c r="A16" s="1"/>
      <c r="B16" s="9" t="s">
        <v>20</v>
      </c>
      <c r="C16" s="22" t="e">
        <f>+#REF!</f>
        <v>#REF!</v>
      </c>
      <c r="D16" s="22" t="e">
        <f>+#REF!</f>
        <v>#REF!</v>
      </c>
      <c r="E16" s="23" t="e">
        <f>+#REF!</f>
        <v>#REF!</v>
      </c>
      <c r="F16" s="23" t="e">
        <f>+#REF!</f>
        <v>#REF!</v>
      </c>
      <c r="G16" s="23" t="e">
        <f>#REF!</f>
        <v>#REF!</v>
      </c>
      <c r="H16" s="24"/>
      <c r="I16" s="25"/>
      <c r="J16" s="24"/>
      <c r="K16" s="25"/>
      <c r="L16" s="24"/>
      <c r="M16" s="25"/>
      <c r="N16" s="26"/>
      <c r="O16" s="44" t="e">
        <f t="shared" si="0"/>
        <v>#REF!</v>
      </c>
      <c r="Q16" s="55" t="e">
        <f t="shared" si="1"/>
        <v>#REF!</v>
      </c>
    </row>
    <row r="17" spans="1:17" ht="15.6" x14ac:dyDescent="0.3">
      <c r="A17" s="1"/>
      <c r="B17" s="40" t="s">
        <v>5</v>
      </c>
      <c r="C17" s="33" t="e">
        <f>+#REF!</f>
        <v>#REF!</v>
      </c>
      <c r="D17" s="33" t="e">
        <f>+#REF!</f>
        <v>#REF!</v>
      </c>
      <c r="E17" s="34" t="e">
        <f>+#REF!</f>
        <v>#REF!</v>
      </c>
      <c r="F17" s="34" t="e">
        <f>+#REF!</f>
        <v>#REF!</v>
      </c>
      <c r="G17" s="34" t="e">
        <f>#REF!</f>
        <v>#REF!</v>
      </c>
      <c r="H17" s="35"/>
      <c r="I17" s="36"/>
      <c r="J17" s="35"/>
      <c r="K17" s="36"/>
      <c r="L17" s="35"/>
      <c r="M17" s="36"/>
      <c r="N17" s="37"/>
      <c r="O17" s="43" t="e">
        <f t="shared" si="0"/>
        <v>#REF!</v>
      </c>
      <c r="P17" s="53" t="s">
        <v>70</v>
      </c>
      <c r="Q17" s="54" t="e">
        <f t="shared" si="1"/>
        <v>#REF!</v>
      </c>
    </row>
    <row r="18" spans="1:17" x14ac:dyDescent="0.3">
      <c r="A18" s="1"/>
      <c r="B18" s="11" t="s">
        <v>47</v>
      </c>
      <c r="C18" s="22" t="e">
        <f>+#REF!</f>
        <v>#REF!</v>
      </c>
      <c r="D18" s="22" t="e">
        <f>+#REF!</f>
        <v>#REF!</v>
      </c>
      <c r="E18" s="23" t="e">
        <f>+#REF!</f>
        <v>#REF!</v>
      </c>
      <c r="F18" s="23" t="e">
        <f>+#REF!</f>
        <v>#REF!</v>
      </c>
      <c r="G18" s="23" t="e">
        <f>#REF!</f>
        <v>#REF!</v>
      </c>
      <c r="H18" s="24"/>
      <c r="I18" s="25"/>
      <c r="J18" s="24"/>
      <c r="K18" s="25"/>
      <c r="L18" s="24"/>
      <c r="M18" s="25"/>
      <c r="N18" s="26"/>
      <c r="O18" s="44" t="e">
        <f t="shared" si="0"/>
        <v>#REF!</v>
      </c>
      <c r="Q18" s="55" t="e">
        <f t="shared" si="1"/>
        <v>#REF!</v>
      </c>
    </row>
    <row r="19" spans="1:17" x14ac:dyDescent="0.3">
      <c r="A19" s="1"/>
      <c r="B19" s="41" t="s">
        <v>54</v>
      </c>
      <c r="C19" s="33" t="e">
        <f>+#REF!</f>
        <v>#REF!</v>
      </c>
      <c r="D19" s="33" t="e">
        <f>+#REF!</f>
        <v>#REF!</v>
      </c>
      <c r="E19" s="34" t="e">
        <f>+#REF!</f>
        <v>#REF!</v>
      </c>
      <c r="F19" s="34" t="e">
        <f>+#REF!</f>
        <v>#REF!</v>
      </c>
      <c r="G19" s="34" t="e">
        <f>#REF!</f>
        <v>#REF!</v>
      </c>
      <c r="H19" s="35"/>
      <c r="I19" s="36"/>
      <c r="J19" s="35"/>
      <c r="K19" s="36"/>
      <c r="L19" s="35"/>
      <c r="M19" s="36"/>
      <c r="N19" s="37"/>
      <c r="O19" s="43" t="e">
        <f t="shared" si="0"/>
        <v>#REF!</v>
      </c>
      <c r="Q19" s="54" t="e">
        <f t="shared" si="1"/>
        <v>#REF!</v>
      </c>
    </row>
    <row r="20" spans="1:17" x14ac:dyDescent="0.3">
      <c r="A20" s="1"/>
      <c r="B20" s="11" t="s">
        <v>63</v>
      </c>
      <c r="C20" s="22" t="e">
        <f>+#REF!</f>
        <v>#REF!</v>
      </c>
      <c r="D20" s="22" t="e">
        <f>+#REF!</f>
        <v>#REF!</v>
      </c>
      <c r="E20" s="23" t="e">
        <f>+#REF!</f>
        <v>#REF!</v>
      </c>
      <c r="F20" s="23" t="e">
        <f>+#REF!</f>
        <v>#REF!</v>
      </c>
      <c r="G20" s="23" t="e">
        <f>#REF!</f>
        <v>#REF!</v>
      </c>
      <c r="H20" s="24"/>
      <c r="I20" s="25"/>
      <c r="J20" s="24"/>
      <c r="K20" s="25"/>
      <c r="L20" s="24"/>
      <c r="M20" s="25"/>
      <c r="N20" s="26"/>
      <c r="O20" s="44" t="e">
        <f t="shared" si="0"/>
        <v>#REF!</v>
      </c>
      <c r="Q20" s="55" t="e">
        <f t="shared" si="1"/>
        <v>#REF!</v>
      </c>
    </row>
    <row r="21" spans="1:17" x14ac:dyDescent="0.3">
      <c r="A21" s="1"/>
      <c r="B21" s="12"/>
      <c r="C21" s="27"/>
      <c r="D21" s="23"/>
      <c r="E21" s="23"/>
      <c r="F21" s="23"/>
      <c r="G21" s="23"/>
      <c r="H21" s="24"/>
      <c r="I21" s="25"/>
      <c r="J21" s="24"/>
      <c r="K21" s="25"/>
      <c r="L21" s="24"/>
      <c r="M21" s="25"/>
      <c r="N21" s="26"/>
      <c r="O21" s="44"/>
      <c r="Q21" s="44"/>
    </row>
    <row r="22" spans="1:17" x14ac:dyDescent="0.3">
      <c r="A22" s="1"/>
      <c r="B22" s="12" t="s">
        <v>45</v>
      </c>
      <c r="C22" s="27"/>
      <c r="D22" s="23"/>
      <c r="E22" s="23"/>
      <c r="F22" s="23"/>
      <c r="G22" s="23"/>
      <c r="H22" s="24"/>
      <c r="I22" s="25"/>
      <c r="J22" s="24"/>
      <c r="K22" s="25"/>
      <c r="L22" s="24"/>
      <c r="M22" s="25"/>
      <c r="N22" s="26"/>
      <c r="O22" s="44"/>
      <c r="Q22" s="44"/>
    </row>
    <row r="23" spans="1:17" x14ac:dyDescent="0.3">
      <c r="A23" s="1"/>
      <c r="B23" s="32" t="s">
        <v>7</v>
      </c>
      <c r="C23" s="42" t="e">
        <f>+#REF!</f>
        <v>#REF!</v>
      </c>
      <c r="D23" s="34" t="e">
        <f>+#REF!</f>
        <v>#REF!</v>
      </c>
      <c r="E23" s="34" t="e">
        <f>+#REF!</f>
        <v>#REF!</v>
      </c>
      <c r="F23" s="34" t="e">
        <f>+#REF!</f>
        <v>#REF!</v>
      </c>
      <c r="G23" s="34" t="e">
        <f>#REF!</f>
        <v>#REF!</v>
      </c>
      <c r="H23" s="35"/>
      <c r="I23" s="36"/>
      <c r="J23" s="35"/>
      <c r="K23" s="36"/>
      <c r="L23" s="35"/>
      <c r="M23" s="36"/>
      <c r="N23" s="37"/>
      <c r="O23" s="43" t="e">
        <f t="shared" ref="O23:O28" si="2">SUM(C23:N23)</f>
        <v>#REF!</v>
      </c>
      <c r="Q23" s="54" t="e">
        <f t="shared" ref="Q23:Q28" si="3">AVERAGE(C23:G23)</f>
        <v>#REF!</v>
      </c>
    </row>
    <row r="24" spans="1:17" x14ac:dyDescent="0.3">
      <c r="A24" s="1"/>
      <c r="B24" s="9" t="s">
        <v>55</v>
      </c>
      <c r="C24" s="27" t="e">
        <f>+#REF!</f>
        <v>#REF!</v>
      </c>
      <c r="D24" s="23" t="e">
        <f>+#REF!</f>
        <v>#REF!</v>
      </c>
      <c r="E24" s="23" t="e">
        <f>+#REF!</f>
        <v>#REF!</v>
      </c>
      <c r="F24" s="23" t="e">
        <f>+#REF!</f>
        <v>#REF!</v>
      </c>
      <c r="G24" s="23" t="e">
        <f>#REF!</f>
        <v>#REF!</v>
      </c>
      <c r="H24" s="24"/>
      <c r="I24" s="25"/>
      <c r="J24" s="24"/>
      <c r="K24" s="25"/>
      <c r="L24" s="24"/>
      <c r="M24" s="25"/>
      <c r="N24" s="26"/>
      <c r="O24" s="44" t="e">
        <f t="shared" si="2"/>
        <v>#REF!</v>
      </c>
      <c r="Q24" s="55" t="e">
        <f t="shared" si="3"/>
        <v>#REF!</v>
      </c>
    </row>
    <row r="25" spans="1:17" x14ac:dyDescent="0.3">
      <c r="A25" s="1"/>
      <c r="B25" s="32" t="s">
        <v>33</v>
      </c>
      <c r="C25" s="42" t="e">
        <f>+#REF!</f>
        <v>#REF!</v>
      </c>
      <c r="D25" s="34" t="e">
        <f>+#REF!</f>
        <v>#REF!</v>
      </c>
      <c r="E25" s="34" t="e">
        <f>+#REF!</f>
        <v>#REF!</v>
      </c>
      <c r="F25" s="34" t="e">
        <f>+#REF!</f>
        <v>#REF!</v>
      </c>
      <c r="G25" s="34" t="e">
        <f>#REF!</f>
        <v>#REF!</v>
      </c>
      <c r="H25" s="35"/>
      <c r="I25" s="36"/>
      <c r="J25" s="35"/>
      <c r="K25" s="36"/>
      <c r="L25" s="35"/>
      <c r="M25" s="36"/>
      <c r="N25" s="37"/>
      <c r="O25" s="43" t="e">
        <f t="shared" si="2"/>
        <v>#REF!</v>
      </c>
      <c r="Q25" s="54" t="e">
        <f t="shared" si="3"/>
        <v>#REF!</v>
      </c>
    </row>
    <row r="26" spans="1:17" x14ac:dyDescent="0.3">
      <c r="A26" s="1"/>
      <c r="B26" s="9" t="s">
        <v>34</v>
      </c>
      <c r="C26" s="27" t="e">
        <f>+#REF!</f>
        <v>#REF!</v>
      </c>
      <c r="D26" s="23" t="e">
        <f>+#REF!</f>
        <v>#REF!</v>
      </c>
      <c r="E26" s="23" t="e">
        <f>+#REF!</f>
        <v>#REF!</v>
      </c>
      <c r="F26" s="23" t="e">
        <f>+#REF!</f>
        <v>#REF!</v>
      </c>
      <c r="G26" s="23" t="e">
        <f>#REF!</f>
        <v>#REF!</v>
      </c>
      <c r="H26" s="24"/>
      <c r="I26" s="25"/>
      <c r="J26" s="24"/>
      <c r="K26" s="25"/>
      <c r="L26" s="24"/>
      <c r="M26" s="25"/>
      <c r="N26" s="26"/>
      <c r="O26" s="44" t="e">
        <f t="shared" si="2"/>
        <v>#REF!</v>
      </c>
      <c r="Q26" s="55" t="e">
        <f t="shared" si="3"/>
        <v>#REF!</v>
      </c>
    </row>
    <row r="27" spans="1:17" x14ac:dyDescent="0.3">
      <c r="A27" s="1"/>
      <c r="B27" s="32" t="s">
        <v>35</v>
      </c>
      <c r="C27" s="42" t="e">
        <f>+#REF!</f>
        <v>#REF!</v>
      </c>
      <c r="D27" s="34" t="e">
        <f>+#REF!</f>
        <v>#REF!</v>
      </c>
      <c r="E27" s="34" t="e">
        <f>+#REF!</f>
        <v>#REF!</v>
      </c>
      <c r="F27" s="34" t="e">
        <f>+#REF!</f>
        <v>#REF!</v>
      </c>
      <c r="G27" s="34" t="e">
        <f>#REF!</f>
        <v>#REF!</v>
      </c>
      <c r="H27" s="35"/>
      <c r="I27" s="36"/>
      <c r="J27" s="35"/>
      <c r="K27" s="36"/>
      <c r="L27" s="35"/>
      <c r="M27" s="36"/>
      <c r="N27" s="37"/>
      <c r="O27" s="43" t="e">
        <f t="shared" si="2"/>
        <v>#REF!</v>
      </c>
      <c r="Q27" s="54" t="e">
        <f t="shared" si="3"/>
        <v>#REF!</v>
      </c>
    </row>
    <row r="28" spans="1:17" x14ac:dyDescent="0.3">
      <c r="A28" s="1"/>
      <c r="B28" s="9" t="s">
        <v>49</v>
      </c>
      <c r="C28" s="27" t="e">
        <f>+#REF!</f>
        <v>#REF!</v>
      </c>
      <c r="D28" s="23" t="e">
        <f>+#REF!</f>
        <v>#REF!</v>
      </c>
      <c r="E28" s="23" t="e">
        <f>+#REF!</f>
        <v>#REF!</v>
      </c>
      <c r="F28" s="23" t="e">
        <f>+#REF!</f>
        <v>#REF!</v>
      </c>
      <c r="G28" s="23" t="e">
        <f>#REF!</f>
        <v>#REF!</v>
      </c>
      <c r="H28" s="24"/>
      <c r="I28" s="25"/>
      <c r="J28" s="24"/>
      <c r="K28" s="25"/>
      <c r="L28" s="24"/>
      <c r="M28" s="25"/>
      <c r="N28" s="26"/>
      <c r="O28" s="44" t="e">
        <f t="shared" si="2"/>
        <v>#REF!</v>
      </c>
      <c r="Q28" s="55" t="e">
        <f t="shared" si="3"/>
        <v>#REF!</v>
      </c>
    </row>
    <row r="29" spans="1:17" ht="10.5" customHeight="1" x14ac:dyDescent="0.3">
      <c r="A29" s="1"/>
      <c r="B29" s="12"/>
      <c r="C29" s="27"/>
      <c r="D29" s="23"/>
      <c r="E29" s="23"/>
      <c r="F29" s="23"/>
      <c r="G29" s="23"/>
      <c r="H29" s="24"/>
      <c r="I29" s="25"/>
      <c r="J29" s="24"/>
      <c r="K29" s="25"/>
      <c r="L29" s="24"/>
      <c r="M29" s="25"/>
      <c r="N29" s="26"/>
      <c r="O29" s="44"/>
      <c r="Q29" s="44"/>
    </row>
    <row r="30" spans="1:17" x14ac:dyDescent="0.3">
      <c r="A30" s="4"/>
      <c r="B30" s="13" t="s">
        <v>6</v>
      </c>
      <c r="C30" s="27"/>
      <c r="D30" s="23"/>
      <c r="E30" s="23"/>
      <c r="F30" s="23"/>
      <c r="G30" s="23"/>
      <c r="H30" s="24"/>
      <c r="I30" s="25"/>
      <c r="J30" s="24"/>
      <c r="K30" s="25"/>
      <c r="L30" s="24"/>
      <c r="M30" s="25"/>
      <c r="N30" s="26"/>
      <c r="O30" s="44"/>
      <c r="Q30" s="44"/>
    </row>
    <row r="31" spans="1:17" ht="15.6" x14ac:dyDescent="0.3">
      <c r="A31" s="3"/>
      <c r="B31" s="32" t="s">
        <v>8</v>
      </c>
      <c r="C31" s="42" t="e">
        <f>+#REF!</f>
        <v>#REF!</v>
      </c>
      <c r="D31" s="34" t="e">
        <f>+#REF!</f>
        <v>#REF!</v>
      </c>
      <c r="E31" s="34" t="e">
        <f>+#REF!</f>
        <v>#REF!</v>
      </c>
      <c r="F31" s="34" t="e">
        <f>+#REF!</f>
        <v>#REF!</v>
      </c>
      <c r="G31" s="34" t="e">
        <f>#REF!</f>
        <v>#REF!</v>
      </c>
      <c r="H31" s="35"/>
      <c r="I31" s="36"/>
      <c r="J31" s="35"/>
      <c r="K31" s="36"/>
      <c r="L31" s="35"/>
      <c r="M31" s="36"/>
      <c r="N31" s="37"/>
      <c r="O31" s="43" t="e">
        <f t="shared" ref="O31:O42" si="4">SUM(C31:N31)</f>
        <v>#REF!</v>
      </c>
      <c r="P31" s="53" t="s">
        <v>71</v>
      </c>
      <c r="Q31" s="54" t="e">
        <f>AVERAGE(C31:G31)</f>
        <v>#REF!</v>
      </c>
    </row>
    <row r="32" spans="1:17" x14ac:dyDescent="0.3">
      <c r="A32" s="3"/>
      <c r="B32" s="9" t="s">
        <v>36</v>
      </c>
      <c r="C32" s="27" t="e">
        <f>+#REF!</f>
        <v>#REF!</v>
      </c>
      <c r="D32" s="23" t="e">
        <f>+#REF!</f>
        <v>#REF!</v>
      </c>
      <c r="E32" s="23" t="e">
        <f>+#REF!</f>
        <v>#REF!</v>
      </c>
      <c r="F32" s="23" t="e">
        <f>+#REF!</f>
        <v>#REF!</v>
      </c>
      <c r="G32" s="23" t="e">
        <f>#REF!</f>
        <v>#REF!</v>
      </c>
      <c r="H32" s="24"/>
      <c r="I32" s="25"/>
      <c r="J32" s="24"/>
      <c r="K32" s="25"/>
      <c r="L32" s="24"/>
      <c r="M32" s="25"/>
      <c r="N32" s="26"/>
      <c r="O32" s="44" t="e">
        <f t="shared" si="4"/>
        <v>#REF!</v>
      </c>
      <c r="Q32" s="55" t="e">
        <f t="shared" ref="Q32:Q41" si="5">AVERAGE(C32:G32)</f>
        <v>#REF!</v>
      </c>
    </row>
    <row r="33" spans="1:17" x14ac:dyDescent="0.3">
      <c r="A33" s="3"/>
      <c r="B33" s="32" t="s">
        <v>37</v>
      </c>
      <c r="C33" s="42" t="e">
        <f>+#REF!</f>
        <v>#REF!</v>
      </c>
      <c r="D33" s="34" t="e">
        <f>+#REF!</f>
        <v>#REF!</v>
      </c>
      <c r="E33" s="34" t="e">
        <f>+#REF!</f>
        <v>#REF!</v>
      </c>
      <c r="F33" s="34" t="e">
        <f>+#REF!</f>
        <v>#REF!</v>
      </c>
      <c r="G33" s="34" t="e">
        <f>#REF!</f>
        <v>#REF!</v>
      </c>
      <c r="H33" s="35"/>
      <c r="I33" s="36"/>
      <c r="J33" s="35"/>
      <c r="K33" s="36"/>
      <c r="L33" s="35"/>
      <c r="M33" s="36"/>
      <c r="N33" s="37"/>
      <c r="O33" s="43" t="e">
        <f t="shared" si="4"/>
        <v>#REF!</v>
      </c>
      <c r="Q33" s="54" t="e">
        <f t="shared" si="5"/>
        <v>#REF!</v>
      </c>
    </row>
    <row r="34" spans="1:17" x14ac:dyDescent="0.3">
      <c r="A34" s="3"/>
      <c r="B34" s="9" t="s">
        <v>38</v>
      </c>
      <c r="C34" s="27" t="e">
        <f>+#REF!</f>
        <v>#REF!</v>
      </c>
      <c r="D34" s="23" t="e">
        <f>+#REF!</f>
        <v>#REF!</v>
      </c>
      <c r="E34" s="23" t="e">
        <f>+#REF!</f>
        <v>#REF!</v>
      </c>
      <c r="F34" s="23" t="e">
        <f>+#REF!</f>
        <v>#REF!</v>
      </c>
      <c r="G34" s="23" t="e">
        <f>#REF!</f>
        <v>#REF!</v>
      </c>
      <c r="H34" s="24"/>
      <c r="I34" s="25"/>
      <c r="J34" s="24"/>
      <c r="K34" s="25"/>
      <c r="L34" s="24"/>
      <c r="M34" s="25"/>
      <c r="N34" s="26"/>
      <c r="O34" s="44" t="e">
        <f t="shared" si="4"/>
        <v>#REF!</v>
      </c>
      <c r="Q34" s="55" t="e">
        <f t="shared" si="5"/>
        <v>#REF!</v>
      </c>
    </row>
    <row r="35" spans="1:17" x14ac:dyDescent="0.3">
      <c r="A35" s="3"/>
      <c r="B35" s="32" t="s">
        <v>40</v>
      </c>
      <c r="C35" s="42" t="e">
        <f>+#REF!</f>
        <v>#REF!</v>
      </c>
      <c r="D35" s="34" t="e">
        <f>+#REF!</f>
        <v>#REF!</v>
      </c>
      <c r="E35" s="34" t="e">
        <f>+#REF!</f>
        <v>#REF!</v>
      </c>
      <c r="F35" s="34" t="e">
        <f>+#REF!</f>
        <v>#REF!</v>
      </c>
      <c r="G35" s="34" t="e">
        <f>#REF!</f>
        <v>#REF!</v>
      </c>
      <c r="H35" s="35"/>
      <c r="I35" s="36"/>
      <c r="J35" s="35"/>
      <c r="K35" s="36"/>
      <c r="L35" s="35"/>
      <c r="M35" s="36"/>
      <c r="N35" s="37"/>
      <c r="O35" s="43" t="e">
        <f t="shared" si="4"/>
        <v>#REF!</v>
      </c>
      <c r="Q35" s="54" t="e">
        <f t="shared" si="5"/>
        <v>#REF!</v>
      </c>
    </row>
    <row r="36" spans="1:17" x14ac:dyDescent="0.3">
      <c r="A36" s="3"/>
      <c r="B36" s="9" t="s">
        <v>39</v>
      </c>
      <c r="C36" s="27" t="e">
        <f>+#REF!</f>
        <v>#REF!</v>
      </c>
      <c r="D36" s="23" t="e">
        <f>+#REF!</f>
        <v>#REF!</v>
      </c>
      <c r="E36" s="23" t="e">
        <f>+#REF!</f>
        <v>#REF!</v>
      </c>
      <c r="F36" s="23" t="e">
        <f>+#REF!</f>
        <v>#REF!</v>
      </c>
      <c r="G36" s="23" t="e">
        <f>#REF!</f>
        <v>#REF!</v>
      </c>
      <c r="H36" s="24"/>
      <c r="I36" s="25"/>
      <c r="J36" s="24"/>
      <c r="K36" s="25"/>
      <c r="L36" s="24"/>
      <c r="M36" s="25"/>
      <c r="N36" s="26"/>
      <c r="O36" s="44" t="e">
        <f t="shared" si="4"/>
        <v>#REF!</v>
      </c>
      <c r="Q36" s="55" t="e">
        <f t="shared" si="5"/>
        <v>#REF!</v>
      </c>
    </row>
    <row r="37" spans="1:17" x14ac:dyDescent="0.3">
      <c r="A37" s="3"/>
      <c r="B37" s="32" t="s">
        <v>42</v>
      </c>
      <c r="C37" s="42" t="e">
        <f>+#REF!</f>
        <v>#REF!</v>
      </c>
      <c r="D37" s="34" t="e">
        <f>+#REF!</f>
        <v>#REF!</v>
      </c>
      <c r="E37" s="34" t="e">
        <f>+#REF!</f>
        <v>#REF!</v>
      </c>
      <c r="F37" s="34" t="e">
        <f>+#REF!</f>
        <v>#REF!</v>
      </c>
      <c r="G37" s="34" t="e">
        <f>#REF!</f>
        <v>#REF!</v>
      </c>
      <c r="H37" s="35"/>
      <c r="I37" s="36"/>
      <c r="J37" s="35"/>
      <c r="K37" s="36"/>
      <c r="L37" s="35"/>
      <c r="M37" s="36"/>
      <c r="N37" s="37"/>
      <c r="O37" s="43" t="e">
        <f t="shared" si="4"/>
        <v>#REF!</v>
      </c>
      <c r="Q37" s="54" t="e">
        <f t="shared" si="5"/>
        <v>#REF!</v>
      </c>
    </row>
    <row r="38" spans="1:17" x14ac:dyDescent="0.3">
      <c r="A38" s="3"/>
      <c r="B38" s="9" t="s">
        <v>41</v>
      </c>
      <c r="C38" s="27" t="e">
        <f>+#REF!</f>
        <v>#REF!</v>
      </c>
      <c r="D38" s="23" t="e">
        <f>+#REF!</f>
        <v>#REF!</v>
      </c>
      <c r="E38" s="23" t="e">
        <f>+#REF!</f>
        <v>#REF!</v>
      </c>
      <c r="F38" s="23" t="e">
        <f>+#REF!</f>
        <v>#REF!</v>
      </c>
      <c r="G38" s="23" t="e">
        <f>#REF!</f>
        <v>#REF!</v>
      </c>
      <c r="H38" s="24"/>
      <c r="I38" s="25"/>
      <c r="J38" s="24"/>
      <c r="K38" s="25"/>
      <c r="L38" s="24"/>
      <c r="M38" s="25"/>
      <c r="N38" s="26"/>
      <c r="O38" s="44" t="e">
        <f t="shared" si="4"/>
        <v>#REF!</v>
      </c>
      <c r="Q38" s="55" t="e">
        <f t="shared" si="5"/>
        <v>#REF!</v>
      </c>
    </row>
    <row r="39" spans="1:17" x14ac:dyDescent="0.3">
      <c r="A39" s="3"/>
      <c r="B39" s="32" t="s">
        <v>66</v>
      </c>
      <c r="C39" s="42" t="e">
        <f>+#REF!</f>
        <v>#REF!</v>
      </c>
      <c r="D39" s="34" t="e">
        <f>+#REF!</f>
        <v>#REF!</v>
      </c>
      <c r="E39" s="34" t="e">
        <f>+#REF!</f>
        <v>#REF!</v>
      </c>
      <c r="F39" s="34" t="e">
        <f>+#REF!</f>
        <v>#REF!</v>
      </c>
      <c r="G39" s="34" t="e">
        <f>#REF!</f>
        <v>#REF!</v>
      </c>
      <c r="H39" s="35"/>
      <c r="I39" s="36"/>
      <c r="J39" s="35"/>
      <c r="K39" s="36"/>
      <c r="L39" s="35"/>
      <c r="M39" s="36"/>
      <c r="N39" s="37"/>
      <c r="O39" s="43" t="e">
        <f t="shared" si="4"/>
        <v>#REF!</v>
      </c>
      <c r="Q39" s="54" t="e">
        <f t="shared" si="5"/>
        <v>#REF!</v>
      </c>
    </row>
    <row r="40" spans="1:17" x14ac:dyDescent="0.3">
      <c r="A40" s="3"/>
      <c r="B40" s="9" t="s">
        <v>43</v>
      </c>
      <c r="C40" s="27" t="e">
        <f>+#REF!</f>
        <v>#REF!</v>
      </c>
      <c r="D40" s="23">
        <v>0</v>
      </c>
      <c r="E40" s="23" t="e">
        <f>+#REF!</f>
        <v>#REF!</v>
      </c>
      <c r="F40" s="23" t="e">
        <f>+#REF!</f>
        <v>#REF!</v>
      </c>
      <c r="G40" s="23" t="e">
        <f>#REF!</f>
        <v>#REF!</v>
      </c>
      <c r="H40" s="24"/>
      <c r="I40" s="25"/>
      <c r="J40" s="24"/>
      <c r="K40" s="25"/>
      <c r="L40" s="24"/>
      <c r="M40" s="25"/>
      <c r="N40" s="26"/>
      <c r="O40" s="44" t="e">
        <f t="shared" si="4"/>
        <v>#REF!</v>
      </c>
      <c r="Q40" s="55" t="e">
        <f t="shared" si="5"/>
        <v>#REF!</v>
      </c>
    </row>
    <row r="41" spans="1:17" x14ac:dyDescent="0.3">
      <c r="A41" s="3"/>
      <c r="B41" s="32" t="s">
        <v>48</v>
      </c>
      <c r="C41" s="42" t="e">
        <f>+#REF!</f>
        <v>#REF!</v>
      </c>
      <c r="D41" s="34" t="e">
        <f>+#REF!</f>
        <v>#REF!</v>
      </c>
      <c r="E41" s="34" t="e">
        <f>+#REF!</f>
        <v>#REF!</v>
      </c>
      <c r="F41" s="34" t="e">
        <f>+#REF!</f>
        <v>#REF!</v>
      </c>
      <c r="G41" s="34" t="e">
        <f>#REF!</f>
        <v>#REF!</v>
      </c>
      <c r="H41" s="35"/>
      <c r="I41" s="36"/>
      <c r="J41" s="35"/>
      <c r="K41" s="36"/>
      <c r="L41" s="35"/>
      <c r="M41" s="36"/>
      <c r="N41" s="37"/>
      <c r="O41" s="43" t="e">
        <f t="shared" si="4"/>
        <v>#REF!</v>
      </c>
      <c r="Q41" s="54" t="e">
        <f t="shared" si="5"/>
        <v>#REF!</v>
      </c>
    </row>
    <row r="42" spans="1:17" x14ac:dyDescent="0.3">
      <c r="A42" s="1"/>
      <c r="B42" s="9" t="s">
        <v>67</v>
      </c>
      <c r="C42" s="27" t="e">
        <f>+#REF!</f>
        <v>#REF!</v>
      </c>
      <c r="D42" s="23" t="e">
        <f>+#REF!</f>
        <v>#REF!</v>
      </c>
      <c r="E42" s="23" t="e">
        <f>+#REF!</f>
        <v>#REF!</v>
      </c>
      <c r="F42" s="23" t="e">
        <f>+#REF!</f>
        <v>#REF!</v>
      </c>
      <c r="G42" s="23" t="e">
        <f>#REF!</f>
        <v>#REF!</v>
      </c>
      <c r="H42" s="24"/>
      <c r="I42" s="25"/>
      <c r="J42" s="24"/>
      <c r="K42" s="25"/>
      <c r="L42" s="24"/>
      <c r="M42" s="25"/>
      <c r="N42" s="26"/>
      <c r="O42" s="44" t="e">
        <f t="shared" si="4"/>
        <v>#REF!</v>
      </c>
      <c r="Q42" s="55" t="e">
        <f>AVERAGE(G42:G42)</f>
        <v>#REF!</v>
      </c>
    </row>
    <row r="43" spans="1:17" ht="13.5" customHeight="1" x14ac:dyDescent="0.3">
      <c r="A43" s="1"/>
      <c r="B43" s="12"/>
      <c r="C43" s="27"/>
      <c r="D43" s="23"/>
      <c r="E43" s="23"/>
      <c r="F43" s="23"/>
      <c r="G43" s="23"/>
      <c r="H43" s="24"/>
      <c r="I43" s="25"/>
      <c r="J43" s="24"/>
      <c r="K43" s="25"/>
      <c r="L43" s="24"/>
      <c r="M43" s="25"/>
      <c r="N43" s="26"/>
      <c r="O43" s="44"/>
      <c r="Q43" s="44"/>
    </row>
    <row r="44" spans="1:17" x14ac:dyDescent="0.3">
      <c r="A44" s="1"/>
      <c r="B44" s="12" t="s">
        <v>10</v>
      </c>
      <c r="C44" s="27"/>
      <c r="D44" s="23"/>
      <c r="E44" s="23"/>
      <c r="F44" s="23"/>
      <c r="G44" s="23"/>
      <c r="H44" s="24"/>
      <c r="I44" s="25"/>
      <c r="J44" s="24"/>
      <c r="K44" s="25"/>
      <c r="L44" s="24"/>
      <c r="M44" s="25"/>
      <c r="N44" s="26"/>
      <c r="O44" s="44"/>
      <c r="Q44" s="44"/>
    </row>
    <row r="45" spans="1:17" x14ac:dyDescent="0.3">
      <c r="A45" s="1"/>
      <c r="B45" s="40" t="s">
        <v>11</v>
      </c>
      <c r="C45" s="42" t="e">
        <f>+#REF!</f>
        <v>#REF!</v>
      </c>
      <c r="D45" s="34" t="e">
        <f>+#REF!</f>
        <v>#REF!</v>
      </c>
      <c r="E45" s="34" t="e">
        <f>+#REF!</f>
        <v>#REF!</v>
      </c>
      <c r="F45" s="34" t="e">
        <f>+#REF!</f>
        <v>#REF!</v>
      </c>
      <c r="G45" s="34" t="e">
        <f>#REF!</f>
        <v>#REF!</v>
      </c>
      <c r="H45" s="35"/>
      <c r="I45" s="36"/>
      <c r="J45" s="35"/>
      <c r="K45" s="36"/>
      <c r="L45" s="35"/>
      <c r="M45" s="36"/>
      <c r="N45" s="37"/>
      <c r="O45" s="43" t="e">
        <f t="shared" ref="O45:O55" si="6">SUM(C45:N45)</f>
        <v>#REF!</v>
      </c>
      <c r="Q45" s="54" t="e">
        <f>AVERAGE(C45:G45)</f>
        <v>#REF!</v>
      </c>
    </row>
    <row r="46" spans="1:17" x14ac:dyDescent="0.3">
      <c r="A46" s="1"/>
      <c r="B46" s="10" t="s">
        <v>12</v>
      </c>
      <c r="C46" s="27" t="e">
        <f>+#REF!</f>
        <v>#REF!</v>
      </c>
      <c r="D46" s="23" t="e">
        <f>+#REF!</f>
        <v>#REF!</v>
      </c>
      <c r="E46" s="23" t="e">
        <f>+#REF!</f>
        <v>#REF!</v>
      </c>
      <c r="F46" s="23" t="e">
        <f>+#REF!</f>
        <v>#REF!</v>
      </c>
      <c r="G46" s="23" t="e">
        <f>#REF!</f>
        <v>#REF!</v>
      </c>
      <c r="H46" s="24"/>
      <c r="I46" s="25"/>
      <c r="J46" s="24"/>
      <c r="K46" s="25"/>
      <c r="L46" s="24"/>
      <c r="M46" s="25"/>
      <c r="N46" s="26"/>
      <c r="O46" s="44" t="e">
        <f t="shared" si="6"/>
        <v>#REF!</v>
      </c>
      <c r="Q46" s="55" t="e">
        <f t="shared" ref="Q46:Q55" si="7">AVERAGE(C46:G46)</f>
        <v>#REF!</v>
      </c>
    </row>
    <row r="47" spans="1:17" x14ac:dyDescent="0.3">
      <c r="A47" s="1"/>
      <c r="B47" s="40" t="s">
        <v>13</v>
      </c>
      <c r="C47" s="42" t="e">
        <f>+#REF!</f>
        <v>#REF!</v>
      </c>
      <c r="D47" s="34" t="e">
        <f>+#REF!</f>
        <v>#REF!</v>
      </c>
      <c r="E47" s="34" t="e">
        <f>+#REF!</f>
        <v>#REF!</v>
      </c>
      <c r="F47" s="34" t="e">
        <f>+#REF!</f>
        <v>#REF!</v>
      </c>
      <c r="G47" s="34" t="e">
        <f>#REF!</f>
        <v>#REF!</v>
      </c>
      <c r="H47" s="35"/>
      <c r="I47" s="36"/>
      <c r="J47" s="35"/>
      <c r="K47" s="36"/>
      <c r="L47" s="35"/>
      <c r="M47" s="36"/>
      <c r="N47" s="37"/>
      <c r="O47" s="43" t="e">
        <f t="shared" si="6"/>
        <v>#REF!</v>
      </c>
      <c r="Q47" s="54" t="e">
        <f t="shared" si="7"/>
        <v>#REF!</v>
      </c>
    </row>
    <row r="48" spans="1:17" x14ac:dyDescent="0.3">
      <c r="A48" s="1"/>
      <c r="B48" s="10" t="s">
        <v>14</v>
      </c>
      <c r="C48" s="27" t="e">
        <f>+#REF!</f>
        <v>#REF!</v>
      </c>
      <c r="D48" s="23" t="e">
        <f>+#REF!</f>
        <v>#REF!</v>
      </c>
      <c r="E48" s="23" t="e">
        <f>+#REF!</f>
        <v>#REF!</v>
      </c>
      <c r="F48" s="23" t="e">
        <f>+#REF!</f>
        <v>#REF!</v>
      </c>
      <c r="G48" s="23" t="e">
        <f>#REF!</f>
        <v>#REF!</v>
      </c>
      <c r="H48" s="24"/>
      <c r="I48" s="25"/>
      <c r="J48" s="24"/>
      <c r="K48" s="25"/>
      <c r="L48" s="24"/>
      <c r="M48" s="25"/>
      <c r="N48" s="26"/>
      <c r="O48" s="44" t="e">
        <f t="shared" si="6"/>
        <v>#REF!</v>
      </c>
      <c r="Q48" s="55" t="e">
        <f t="shared" si="7"/>
        <v>#REF!</v>
      </c>
    </row>
    <row r="49" spans="1:17" x14ac:dyDescent="0.3">
      <c r="A49" s="1"/>
      <c r="B49" s="40" t="s">
        <v>16</v>
      </c>
      <c r="C49" s="42" t="e">
        <f>+#REF!</f>
        <v>#REF!</v>
      </c>
      <c r="D49" s="34" t="e">
        <f>+#REF!</f>
        <v>#REF!</v>
      </c>
      <c r="E49" s="34" t="e">
        <f>+#REF!</f>
        <v>#REF!</v>
      </c>
      <c r="F49" s="34" t="e">
        <f>+#REF!</f>
        <v>#REF!</v>
      </c>
      <c r="G49" s="34" t="e">
        <f>#REF!</f>
        <v>#REF!</v>
      </c>
      <c r="H49" s="35"/>
      <c r="I49" s="36"/>
      <c r="J49" s="35"/>
      <c r="K49" s="36"/>
      <c r="L49" s="35"/>
      <c r="M49" s="36"/>
      <c r="N49" s="37"/>
      <c r="O49" s="43" t="e">
        <f t="shared" si="6"/>
        <v>#REF!</v>
      </c>
      <c r="Q49" s="54" t="e">
        <f t="shared" si="7"/>
        <v>#REF!</v>
      </c>
    </row>
    <row r="50" spans="1:17" x14ac:dyDescent="0.3">
      <c r="A50" s="1"/>
      <c r="B50" s="10" t="s">
        <v>15</v>
      </c>
      <c r="C50" s="27" t="e">
        <f>+#REF!</f>
        <v>#REF!</v>
      </c>
      <c r="D50" s="23" t="e">
        <f>+#REF!</f>
        <v>#REF!</v>
      </c>
      <c r="E50" s="23" t="e">
        <f>+#REF!</f>
        <v>#REF!</v>
      </c>
      <c r="F50" s="23" t="e">
        <f>+#REF!</f>
        <v>#REF!</v>
      </c>
      <c r="G50" s="23" t="e">
        <f>#REF!</f>
        <v>#REF!</v>
      </c>
      <c r="H50" s="24"/>
      <c r="I50" s="25"/>
      <c r="J50" s="24"/>
      <c r="K50" s="25"/>
      <c r="L50" s="24"/>
      <c r="M50" s="25"/>
      <c r="N50" s="26"/>
      <c r="O50" s="44" t="e">
        <f t="shared" si="6"/>
        <v>#REF!</v>
      </c>
      <c r="Q50" s="55" t="e">
        <f t="shared" si="7"/>
        <v>#REF!</v>
      </c>
    </row>
    <row r="51" spans="1:17" x14ac:dyDescent="0.3">
      <c r="A51" s="1"/>
      <c r="B51" s="32" t="s">
        <v>17</v>
      </c>
      <c r="C51" s="42" t="e">
        <f>+#REF!</f>
        <v>#REF!</v>
      </c>
      <c r="D51" s="34" t="e">
        <f>+#REF!</f>
        <v>#REF!</v>
      </c>
      <c r="E51" s="34" t="e">
        <f>+#REF!</f>
        <v>#REF!</v>
      </c>
      <c r="F51" s="34" t="e">
        <f>+#REF!</f>
        <v>#REF!</v>
      </c>
      <c r="G51" s="34" t="e">
        <f>#REF!</f>
        <v>#REF!</v>
      </c>
      <c r="H51" s="35"/>
      <c r="I51" s="36"/>
      <c r="J51" s="35"/>
      <c r="K51" s="36"/>
      <c r="L51" s="35"/>
      <c r="M51" s="36"/>
      <c r="N51" s="37"/>
      <c r="O51" s="43" t="e">
        <f t="shared" si="6"/>
        <v>#REF!</v>
      </c>
      <c r="Q51" s="54" t="e">
        <f>AVERAGE(C51:G51)</f>
        <v>#REF!</v>
      </c>
    </row>
    <row r="52" spans="1:17" x14ac:dyDescent="0.3">
      <c r="A52" s="1"/>
      <c r="B52" s="10" t="s">
        <v>18</v>
      </c>
      <c r="C52" s="27" t="e">
        <f>+#REF!</f>
        <v>#REF!</v>
      </c>
      <c r="D52" s="23" t="e">
        <f>+#REF!</f>
        <v>#REF!</v>
      </c>
      <c r="E52" s="23" t="e">
        <f>+#REF!</f>
        <v>#REF!</v>
      </c>
      <c r="F52" s="23" t="e">
        <f>+#REF!</f>
        <v>#REF!</v>
      </c>
      <c r="G52" s="23" t="e">
        <f>#REF!</f>
        <v>#REF!</v>
      </c>
      <c r="H52" s="24"/>
      <c r="I52" s="25"/>
      <c r="J52" s="24"/>
      <c r="K52" s="25"/>
      <c r="L52" s="24"/>
      <c r="M52" s="25"/>
      <c r="N52" s="26"/>
      <c r="O52" s="44" t="e">
        <f t="shared" si="6"/>
        <v>#REF!</v>
      </c>
      <c r="Q52" s="55" t="e">
        <f t="shared" si="7"/>
        <v>#REF!</v>
      </c>
    </row>
    <row r="53" spans="1:17" x14ac:dyDescent="0.3">
      <c r="A53" s="1"/>
      <c r="B53" s="40" t="s">
        <v>64</v>
      </c>
      <c r="C53" s="42">
        <v>0</v>
      </c>
      <c r="D53" s="34" t="e">
        <f>+#REF!</f>
        <v>#REF!</v>
      </c>
      <c r="E53" s="34" t="e">
        <f>+#REF!</f>
        <v>#REF!</v>
      </c>
      <c r="F53" s="34" t="e">
        <f>+#REF!</f>
        <v>#REF!</v>
      </c>
      <c r="G53" s="34" t="e">
        <f>#REF!</f>
        <v>#REF!</v>
      </c>
      <c r="H53" s="35"/>
      <c r="I53" s="36"/>
      <c r="J53" s="35"/>
      <c r="K53" s="36"/>
      <c r="L53" s="35"/>
      <c r="M53" s="36"/>
      <c r="N53" s="37"/>
      <c r="O53" s="43" t="e">
        <f t="shared" si="6"/>
        <v>#REF!</v>
      </c>
      <c r="Q53" s="54" t="e">
        <f t="shared" si="7"/>
        <v>#REF!</v>
      </c>
    </row>
    <row r="54" spans="1:17" hidden="1" x14ac:dyDescent="0.3">
      <c r="A54" s="1"/>
      <c r="B54" s="10" t="s">
        <v>46</v>
      </c>
      <c r="C54" s="27"/>
      <c r="D54" s="23" t="e">
        <f>+#REF!</f>
        <v>#REF!</v>
      </c>
      <c r="E54" s="23" t="e">
        <f>+#REF!</f>
        <v>#REF!</v>
      </c>
      <c r="F54" s="23" t="e">
        <f>+#REF!</f>
        <v>#REF!</v>
      </c>
      <c r="G54" s="23" t="e">
        <f>#REF!</f>
        <v>#REF!</v>
      </c>
      <c r="H54" s="24"/>
      <c r="I54" s="25"/>
      <c r="J54" s="24"/>
      <c r="K54" s="25"/>
      <c r="L54" s="24"/>
      <c r="M54" s="25"/>
      <c r="N54" s="26"/>
      <c r="O54" s="44" t="e">
        <f t="shared" si="6"/>
        <v>#REF!</v>
      </c>
      <c r="Q54" s="55" t="e">
        <f t="shared" si="7"/>
        <v>#REF!</v>
      </c>
    </row>
    <row r="55" spans="1:17" x14ac:dyDescent="0.3">
      <c r="A55" s="1"/>
      <c r="B55" s="10" t="s">
        <v>52</v>
      </c>
      <c r="C55" s="27">
        <v>2110.31</v>
      </c>
      <c r="D55" s="23" t="e">
        <f>+#REF!</f>
        <v>#REF!</v>
      </c>
      <c r="E55" s="23" t="e">
        <f>+#REF!</f>
        <v>#REF!</v>
      </c>
      <c r="F55" s="23" t="e">
        <f>+#REF!</f>
        <v>#REF!</v>
      </c>
      <c r="G55" s="23" t="e">
        <f>#REF!</f>
        <v>#REF!</v>
      </c>
      <c r="H55" s="24"/>
      <c r="I55" s="25"/>
      <c r="J55" s="24"/>
      <c r="K55" s="25"/>
      <c r="L55" s="24"/>
      <c r="M55" s="25"/>
      <c r="N55" s="26"/>
      <c r="O55" s="44" t="e">
        <f t="shared" si="6"/>
        <v>#REF!</v>
      </c>
      <c r="Q55" s="55" t="e">
        <f t="shared" si="7"/>
        <v>#REF!</v>
      </c>
    </row>
    <row r="56" spans="1:17" ht="7.5" customHeight="1" x14ac:dyDescent="0.3">
      <c r="A56" s="1"/>
      <c r="B56" s="10"/>
      <c r="C56" s="27"/>
      <c r="D56" s="23"/>
      <c r="E56" s="23"/>
      <c r="F56" s="23"/>
      <c r="G56" s="23"/>
      <c r="H56" s="24"/>
      <c r="I56" s="25"/>
      <c r="J56" s="24"/>
      <c r="K56" s="25"/>
      <c r="L56" s="24"/>
      <c r="M56" s="25"/>
      <c r="N56" s="26"/>
      <c r="O56" s="44"/>
      <c r="Q56" s="44"/>
    </row>
    <row r="57" spans="1:17" x14ac:dyDescent="0.3">
      <c r="A57" s="1"/>
      <c r="B57" s="12" t="s">
        <v>58</v>
      </c>
      <c r="C57" s="27"/>
      <c r="D57" s="23"/>
      <c r="E57" s="23"/>
      <c r="F57" s="23"/>
      <c r="G57" s="23"/>
      <c r="H57" s="24"/>
      <c r="I57" s="25"/>
      <c r="J57" s="24"/>
      <c r="K57" s="25"/>
      <c r="L57" s="24"/>
      <c r="M57" s="25"/>
      <c r="N57" s="26"/>
      <c r="O57" s="44"/>
      <c r="Q57" s="44"/>
    </row>
    <row r="58" spans="1:17" x14ac:dyDescent="0.3">
      <c r="A58" s="1"/>
      <c r="B58" s="32" t="s">
        <v>56</v>
      </c>
      <c r="C58" s="42">
        <v>0</v>
      </c>
      <c r="D58" s="34" t="e">
        <f>+#REF!</f>
        <v>#REF!</v>
      </c>
      <c r="E58" s="34" t="e">
        <f>+#REF!</f>
        <v>#REF!</v>
      </c>
      <c r="F58" s="34" t="e">
        <f>+#REF!</f>
        <v>#REF!</v>
      </c>
      <c r="G58" s="34" t="e">
        <f>#REF!</f>
        <v>#REF!</v>
      </c>
      <c r="H58" s="35"/>
      <c r="I58" s="36"/>
      <c r="J58" s="35"/>
      <c r="K58" s="36"/>
      <c r="L58" s="35"/>
      <c r="M58" s="36"/>
      <c r="N58" s="37"/>
      <c r="O58" s="43" t="e">
        <f>SUM(C58:N58)</f>
        <v>#REF!</v>
      </c>
      <c r="Q58" s="54">
        <v>30000</v>
      </c>
    </row>
    <row r="59" spans="1:17" x14ac:dyDescent="0.3">
      <c r="A59" s="1"/>
      <c r="B59" s="9" t="s">
        <v>57</v>
      </c>
      <c r="C59" s="27">
        <v>0</v>
      </c>
      <c r="D59" s="23" t="e">
        <f>+#REF!</f>
        <v>#REF!</v>
      </c>
      <c r="E59" s="23" t="e">
        <f>+#REF!</f>
        <v>#REF!</v>
      </c>
      <c r="F59" s="23">
        <v>11106.56</v>
      </c>
      <c r="G59" s="23" t="e">
        <f>#REF!</f>
        <v>#REF!</v>
      </c>
      <c r="H59" s="24"/>
      <c r="I59" s="25"/>
      <c r="J59" s="24"/>
      <c r="K59" s="25"/>
      <c r="L59" s="24"/>
      <c r="M59" s="25"/>
      <c r="N59" s="26"/>
      <c r="O59" s="44" t="e">
        <f>SUM(C59:N59)</f>
        <v>#REF!</v>
      </c>
      <c r="Q59" s="44">
        <v>11200</v>
      </c>
    </row>
    <row r="60" spans="1:17" x14ac:dyDescent="0.3">
      <c r="A60" s="1"/>
      <c r="B60" s="32" t="s">
        <v>59</v>
      </c>
      <c r="C60" s="42">
        <v>0</v>
      </c>
      <c r="D60" s="34" t="e">
        <f>+#REF!</f>
        <v>#REF!</v>
      </c>
      <c r="E60" s="34" t="e">
        <f>+#REF!</f>
        <v>#REF!</v>
      </c>
      <c r="F60" s="34" t="e">
        <f>+#REF!</f>
        <v>#REF!</v>
      </c>
      <c r="G60" s="34">
        <v>0</v>
      </c>
      <c r="H60" s="35"/>
      <c r="I60" s="36"/>
      <c r="J60" s="35"/>
      <c r="K60" s="36"/>
      <c r="L60" s="35"/>
      <c r="M60" s="36"/>
      <c r="N60" s="37"/>
      <c r="O60" s="43" t="e">
        <f>SUM(C60:N60)</f>
        <v>#REF!</v>
      </c>
      <c r="Q60" s="43"/>
    </row>
    <row r="61" spans="1:17" ht="15" thickBot="1" x14ac:dyDescent="0.35">
      <c r="B61" s="14"/>
      <c r="C61" s="28"/>
      <c r="D61" s="25"/>
      <c r="E61" s="25"/>
      <c r="F61" s="25"/>
      <c r="G61" s="25"/>
      <c r="H61" s="24"/>
      <c r="I61" s="25"/>
      <c r="J61" s="24"/>
      <c r="K61" s="25"/>
      <c r="L61" s="24"/>
      <c r="M61" s="25"/>
      <c r="N61" s="26"/>
      <c r="O61" s="25"/>
      <c r="Q61" s="25"/>
    </row>
    <row r="62" spans="1:17" ht="15" thickBot="1" x14ac:dyDescent="0.35">
      <c r="B62" s="15" t="s">
        <v>19</v>
      </c>
      <c r="C62" s="38" t="e">
        <f>SUM(C8:C61)</f>
        <v>#REF!</v>
      </c>
      <c r="D62" s="38" t="e">
        <f>SUM(D8:D61)</f>
        <v>#REF!</v>
      </c>
      <c r="E62" s="38" t="e">
        <f>SUM(E8:E61)</f>
        <v>#REF!</v>
      </c>
      <c r="F62" s="39" t="e">
        <f>SUM(F8:F61)</f>
        <v>#REF!</v>
      </c>
      <c r="G62" s="38" t="e">
        <f>SUM(G8:G61)</f>
        <v>#REF!</v>
      </c>
      <c r="H62" s="30"/>
      <c r="I62" s="29"/>
      <c r="J62" s="30"/>
      <c r="K62" s="29"/>
      <c r="L62" s="30"/>
      <c r="M62" s="29"/>
      <c r="N62" s="31"/>
      <c r="O62" s="38" t="e">
        <f>SUM(O8:O61)</f>
        <v>#REF!</v>
      </c>
      <c r="Q62" s="39" t="e">
        <f>SUM(Q8:Q61)</f>
        <v>#REF!</v>
      </c>
    </row>
    <row r="64" spans="1:17" x14ac:dyDescent="0.3">
      <c r="F64" s="52"/>
    </row>
  </sheetData>
  <customSheetViews>
    <customSheetView guid="{D1028346-3542-4DBC-9192-DBBB4A8531AF}" hiddenRows="1" hiddenColumns="1" state="hidden">
      <pageMargins left="0.31496062992125984" right="0.31496062992125984" top="0.19685039370078741" bottom="0.78740157480314965" header="0.31496062992125984" footer="0.31496062992125984"/>
      <pageSetup paperSize="9" scale="76" orientation="portrait" r:id="rId1"/>
    </customSheetView>
  </customSheetViews>
  <mergeCells count="1">
    <mergeCell ref="B2:O3"/>
  </mergeCells>
  <pageMargins left="0.31496062992125984" right="0.31496062992125984" top="0.19685039370078741" bottom="0.78740157480314965" header="0.31496062992125984" footer="0.31496062992125984"/>
  <pageSetup paperSize="9" scale="76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theme="9" tint="-0.249977111117893"/>
  </sheetPr>
  <dimension ref="A1:Q49"/>
  <sheetViews>
    <sheetView workbookViewId="0"/>
  </sheetViews>
  <sheetFormatPr defaultColWidth="9.109375" defaultRowHeight="14.4" x14ac:dyDescent="0.3"/>
  <cols>
    <col min="1" max="1" width="1.44140625" style="2" customWidth="1"/>
    <col min="2" max="2" width="27.44140625" style="2" customWidth="1"/>
    <col min="3" max="3" width="10.88671875" style="2" customWidth="1"/>
    <col min="4" max="6" width="10.6640625" style="2" customWidth="1"/>
    <col min="7" max="7" width="11.109375" style="2" customWidth="1"/>
    <col min="8" max="8" width="14.109375" style="2" hidden="1" customWidth="1"/>
    <col min="9" max="9" width="13.109375" style="2" hidden="1" customWidth="1"/>
    <col min="10" max="10" width="10.6640625" style="2" hidden="1" customWidth="1"/>
    <col min="11" max="11" width="13.5546875" style="2" hidden="1" customWidth="1"/>
    <col min="12" max="12" width="12.5546875" style="2" hidden="1" customWidth="1"/>
    <col min="13" max="13" width="13.6640625" style="2" hidden="1" customWidth="1"/>
    <col min="14" max="14" width="13.109375" style="2" hidden="1" customWidth="1"/>
    <col min="15" max="15" width="13.5546875" style="2" hidden="1" customWidth="1"/>
    <col min="16" max="16" width="2.88671875" style="2" customWidth="1"/>
    <col min="17" max="17" width="13.88671875" style="2" bestFit="1" customWidth="1"/>
    <col min="18" max="16384" width="9.109375" style="2"/>
  </cols>
  <sheetData>
    <row r="1" spans="1:17" ht="15" thickBot="1" x14ac:dyDescent="0.35"/>
    <row r="2" spans="1:17" x14ac:dyDescent="0.3">
      <c r="B2" s="429" t="s">
        <v>44</v>
      </c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1"/>
    </row>
    <row r="3" spans="1:17" ht="10.5" customHeight="1" thickBot="1" x14ac:dyDescent="0.35">
      <c r="B3" s="432"/>
      <c r="C3" s="433"/>
      <c r="D3" s="433"/>
      <c r="E3" s="433"/>
      <c r="F3" s="433"/>
      <c r="G3" s="433"/>
      <c r="H3" s="433"/>
      <c r="I3" s="433"/>
      <c r="J3" s="433"/>
      <c r="K3" s="433"/>
      <c r="L3" s="433"/>
      <c r="M3" s="433"/>
      <c r="N3" s="433"/>
      <c r="O3" s="434"/>
    </row>
    <row r="4" spans="1:17" ht="16.5" customHeight="1" x14ac:dyDescent="0.3">
      <c r="B4" s="2" t="s">
        <v>65</v>
      </c>
    </row>
    <row r="5" spans="1:17" ht="6" customHeight="1" thickBot="1" x14ac:dyDescent="0.35"/>
    <row r="6" spans="1:17" ht="15" thickBot="1" x14ac:dyDescent="0.35">
      <c r="B6" s="45" t="s">
        <v>60</v>
      </c>
      <c r="C6" s="46" t="s">
        <v>21</v>
      </c>
      <c r="D6" s="46" t="s">
        <v>22</v>
      </c>
      <c r="E6" s="47" t="s">
        <v>23</v>
      </c>
      <c r="F6" s="48" t="s">
        <v>24</v>
      </c>
      <c r="G6" s="47" t="s">
        <v>25</v>
      </c>
      <c r="H6" s="46" t="s">
        <v>26</v>
      </c>
      <c r="I6" s="47" t="s">
        <v>27</v>
      </c>
      <c r="J6" s="46" t="s">
        <v>28</v>
      </c>
      <c r="K6" s="47" t="s">
        <v>29</v>
      </c>
      <c r="L6" s="46" t="s">
        <v>30</v>
      </c>
      <c r="M6" s="47" t="s">
        <v>31</v>
      </c>
      <c r="N6" s="48" t="s">
        <v>32</v>
      </c>
      <c r="O6" s="48" t="s">
        <v>62</v>
      </c>
      <c r="Q6" s="49" t="s">
        <v>69</v>
      </c>
    </row>
    <row r="7" spans="1:17" x14ac:dyDescent="0.3">
      <c r="A7" s="1"/>
      <c r="B7" s="8" t="s">
        <v>0</v>
      </c>
      <c r="C7" s="17"/>
      <c r="D7" s="18"/>
      <c r="E7" s="18"/>
      <c r="F7" s="21"/>
      <c r="G7" s="20"/>
      <c r="H7" s="19"/>
      <c r="I7" s="20"/>
      <c r="J7" s="19"/>
      <c r="K7" s="20"/>
      <c r="L7" s="19"/>
      <c r="M7" s="20"/>
      <c r="N7" s="21"/>
      <c r="O7" s="20"/>
      <c r="Q7" s="20"/>
    </row>
    <row r="8" spans="1:17" x14ac:dyDescent="0.3">
      <c r="A8" s="1"/>
      <c r="B8" s="32" t="s">
        <v>4</v>
      </c>
      <c r="C8" s="33" t="e">
        <f>+#REF!</f>
        <v>#REF!</v>
      </c>
      <c r="D8" s="33" t="e">
        <f>+#REF!</f>
        <v>#REF!</v>
      </c>
      <c r="E8" s="34" t="e">
        <f>+#REF!</f>
        <v>#REF!</v>
      </c>
      <c r="F8" s="34" t="e">
        <f>+#REF!</f>
        <v>#REF!</v>
      </c>
      <c r="G8" s="34" t="e">
        <f>#REF!</f>
        <v>#REF!</v>
      </c>
      <c r="H8" s="35"/>
      <c r="I8" s="36"/>
      <c r="J8" s="35"/>
      <c r="K8" s="36"/>
      <c r="L8" s="35"/>
      <c r="M8" s="36"/>
      <c r="N8" s="37"/>
      <c r="O8" s="43" t="e">
        <f t="shared" ref="O8:O15" si="0">SUM(C8:N8)</f>
        <v>#REF!</v>
      </c>
      <c r="Q8" s="54" t="e">
        <f>AVERAGE(C8:G8)</f>
        <v>#REF!</v>
      </c>
    </row>
    <row r="9" spans="1:17" x14ac:dyDescent="0.3">
      <c r="A9" s="1"/>
      <c r="B9" s="9" t="s">
        <v>2</v>
      </c>
      <c r="C9" s="22" t="e">
        <f>+#REF!</f>
        <v>#REF!</v>
      </c>
      <c r="D9" s="22" t="e">
        <f>+#REF!</f>
        <v>#REF!</v>
      </c>
      <c r="E9" s="23" t="e">
        <f>+#REF!</f>
        <v>#REF!</v>
      </c>
      <c r="F9" s="23" t="e">
        <f>+#REF!</f>
        <v>#REF!</v>
      </c>
      <c r="G9" s="23" t="e">
        <f>#REF!</f>
        <v>#REF!</v>
      </c>
      <c r="H9" s="24"/>
      <c r="I9" s="25"/>
      <c r="J9" s="24"/>
      <c r="K9" s="25"/>
      <c r="L9" s="24"/>
      <c r="M9" s="25"/>
      <c r="N9" s="26"/>
      <c r="O9" s="44" t="e">
        <f t="shared" si="0"/>
        <v>#REF!</v>
      </c>
      <c r="Q9" s="55" t="e">
        <f t="shared" ref="Q9:Q15" si="1">AVERAGE(C9:G9)</f>
        <v>#REF!</v>
      </c>
    </row>
    <row r="10" spans="1:17" x14ac:dyDescent="0.3">
      <c r="A10" s="1"/>
      <c r="B10" s="32" t="s">
        <v>1</v>
      </c>
      <c r="C10" s="33" t="e">
        <f>+#REF!</f>
        <v>#REF!</v>
      </c>
      <c r="D10" s="33" t="e">
        <f>+#REF!</f>
        <v>#REF!</v>
      </c>
      <c r="E10" s="34" t="e">
        <f>+#REF!</f>
        <v>#REF!</v>
      </c>
      <c r="F10" s="34" t="e">
        <f>+#REF!</f>
        <v>#REF!</v>
      </c>
      <c r="G10" s="34" t="e">
        <f>#REF!</f>
        <v>#REF!</v>
      </c>
      <c r="H10" s="35"/>
      <c r="I10" s="36"/>
      <c r="J10" s="35"/>
      <c r="K10" s="36"/>
      <c r="L10" s="35"/>
      <c r="M10" s="36"/>
      <c r="N10" s="37"/>
      <c r="O10" s="43" t="e">
        <f t="shared" si="0"/>
        <v>#REF!</v>
      </c>
      <c r="Q10" s="54" t="e">
        <f t="shared" si="1"/>
        <v>#REF!</v>
      </c>
    </row>
    <row r="11" spans="1:17" x14ac:dyDescent="0.3">
      <c r="A11" s="1"/>
      <c r="B11" s="9" t="s">
        <v>51</v>
      </c>
      <c r="C11" s="22" t="e">
        <f>+#REF!</f>
        <v>#REF!</v>
      </c>
      <c r="D11" s="22" t="e">
        <f>+#REF!</f>
        <v>#REF!</v>
      </c>
      <c r="E11" s="23" t="e">
        <f>+#REF!</f>
        <v>#REF!</v>
      </c>
      <c r="F11" s="23" t="e">
        <f>+#REF!</f>
        <v>#REF!</v>
      </c>
      <c r="G11" s="23" t="e">
        <f>#REF!</f>
        <v>#REF!</v>
      </c>
      <c r="H11" s="24"/>
      <c r="I11" s="25"/>
      <c r="J11" s="24"/>
      <c r="K11" s="25"/>
      <c r="L11" s="24"/>
      <c r="M11" s="25"/>
      <c r="N11" s="26"/>
      <c r="O11" s="44" t="e">
        <f t="shared" si="0"/>
        <v>#REF!</v>
      </c>
      <c r="Q11" s="55" t="e">
        <f t="shared" si="1"/>
        <v>#REF!</v>
      </c>
    </row>
    <row r="12" spans="1:17" x14ac:dyDescent="0.3">
      <c r="A12" s="1"/>
      <c r="B12" s="32" t="s">
        <v>50</v>
      </c>
      <c r="C12" s="33" t="e">
        <f>+#REF!</f>
        <v>#REF!</v>
      </c>
      <c r="D12" s="33" t="e">
        <f>+#REF!</f>
        <v>#REF!</v>
      </c>
      <c r="E12" s="34" t="e">
        <f>+#REF!</f>
        <v>#REF!</v>
      </c>
      <c r="F12" s="34" t="e">
        <f>+#REF!</f>
        <v>#REF!</v>
      </c>
      <c r="G12" s="34" t="e">
        <f>#REF!</f>
        <v>#REF!</v>
      </c>
      <c r="H12" s="35"/>
      <c r="I12" s="36"/>
      <c r="J12" s="35"/>
      <c r="K12" s="36"/>
      <c r="L12" s="35"/>
      <c r="M12" s="36"/>
      <c r="N12" s="37"/>
      <c r="O12" s="43" t="e">
        <f t="shared" si="0"/>
        <v>#REF!</v>
      </c>
      <c r="Q12" s="54" t="e">
        <f t="shared" si="1"/>
        <v>#REF!</v>
      </c>
    </row>
    <row r="13" spans="1:17" x14ac:dyDescent="0.3">
      <c r="A13" s="1"/>
      <c r="B13" s="11" t="s">
        <v>47</v>
      </c>
      <c r="C13" s="22" t="e">
        <f>+#REF!</f>
        <v>#REF!</v>
      </c>
      <c r="D13" s="22" t="e">
        <f>+#REF!</f>
        <v>#REF!</v>
      </c>
      <c r="E13" s="23" t="e">
        <f>+#REF!</f>
        <v>#REF!</v>
      </c>
      <c r="F13" s="23" t="e">
        <f>+#REF!</f>
        <v>#REF!</v>
      </c>
      <c r="G13" s="23" t="e">
        <f>#REF!</f>
        <v>#REF!</v>
      </c>
      <c r="H13" s="24"/>
      <c r="I13" s="25"/>
      <c r="J13" s="24"/>
      <c r="K13" s="25"/>
      <c r="L13" s="24"/>
      <c r="M13" s="25"/>
      <c r="N13" s="26"/>
      <c r="O13" s="44" t="e">
        <f t="shared" si="0"/>
        <v>#REF!</v>
      </c>
      <c r="Q13" s="55" t="e">
        <f t="shared" si="1"/>
        <v>#REF!</v>
      </c>
    </row>
    <row r="14" spans="1:17" x14ac:dyDescent="0.3">
      <c r="A14" s="1"/>
      <c r="B14" s="41" t="s">
        <v>54</v>
      </c>
      <c r="C14" s="33" t="e">
        <f>+#REF!</f>
        <v>#REF!</v>
      </c>
      <c r="D14" s="33" t="e">
        <f>+#REF!</f>
        <v>#REF!</v>
      </c>
      <c r="E14" s="34" t="e">
        <f>+#REF!</f>
        <v>#REF!</v>
      </c>
      <c r="F14" s="34" t="e">
        <f>+#REF!</f>
        <v>#REF!</v>
      </c>
      <c r="G14" s="34" t="e">
        <f>#REF!</f>
        <v>#REF!</v>
      </c>
      <c r="H14" s="35"/>
      <c r="I14" s="36"/>
      <c r="J14" s="35"/>
      <c r="K14" s="36"/>
      <c r="L14" s="35"/>
      <c r="M14" s="36"/>
      <c r="N14" s="37"/>
      <c r="O14" s="43" t="e">
        <f t="shared" si="0"/>
        <v>#REF!</v>
      </c>
      <c r="Q14" s="54" t="e">
        <f t="shared" si="1"/>
        <v>#REF!</v>
      </c>
    </row>
    <row r="15" spans="1:17" x14ac:dyDescent="0.3">
      <c r="A15" s="1"/>
      <c r="B15" s="11" t="s">
        <v>63</v>
      </c>
      <c r="C15" s="22" t="e">
        <f>+#REF!</f>
        <v>#REF!</v>
      </c>
      <c r="D15" s="22" t="e">
        <f>+#REF!</f>
        <v>#REF!</v>
      </c>
      <c r="E15" s="23" t="e">
        <f>+#REF!</f>
        <v>#REF!</v>
      </c>
      <c r="F15" s="23" t="e">
        <f>+#REF!</f>
        <v>#REF!</v>
      </c>
      <c r="G15" s="23" t="e">
        <f>#REF!</f>
        <v>#REF!</v>
      </c>
      <c r="H15" s="24"/>
      <c r="I15" s="25"/>
      <c r="J15" s="24"/>
      <c r="K15" s="25"/>
      <c r="L15" s="24"/>
      <c r="M15" s="25"/>
      <c r="N15" s="26"/>
      <c r="O15" s="44" t="e">
        <f t="shared" si="0"/>
        <v>#REF!</v>
      </c>
      <c r="Q15" s="55" t="e">
        <f t="shared" si="1"/>
        <v>#REF!</v>
      </c>
    </row>
    <row r="16" spans="1:17" x14ac:dyDescent="0.3">
      <c r="A16" s="1"/>
      <c r="B16" s="12"/>
      <c r="C16" s="27"/>
      <c r="D16" s="23"/>
      <c r="E16" s="23"/>
      <c r="F16" s="23"/>
      <c r="G16" s="23"/>
      <c r="H16" s="24"/>
      <c r="I16" s="25"/>
      <c r="J16" s="24"/>
      <c r="K16" s="25"/>
      <c r="L16" s="24"/>
      <c r="M16" s="25"/>
      <c r="N16" s="26"/>
      <c r="O16" s="44"/>
      <c r="Q16" s="44"/>
    </row>
    <row r="17" spans="1:17" x14ac:dyDescent="0.3">
      <c r="A17" s="1"/>
      <c r="B17" s="12" t="s">
        <v>45</v>
      </c>
      <c r="C17" s="27"/>
      <c r="D17" s="23"/>
      <c r="E17" s="23"/>
      <c r="F17" s="23"/>
      <c r="G17" s="23"/>
      <c r="H17" s="24"/>
      <c r="I17" s="25"/>
      <c r="J17" s="24"/>
      <c r="K17" s="25"/>
      <c r="L17" s="24"/>
      <c r="M17" s="25"/>
      <c r="N17" s="26"/>
      <c r="O17" s="44"/>
      <c r="Q17" s="44"/>
    </row>
    <row r="18" spans="1:17" x14ac:dyDescent="0.3">
      <c r="A18" s="1"/>
      <c r="B18" s="9" t="s">
        <v>55</v>
      </c>
      <c r="C18" s="27">
        <v>30000</v>
      </c>
      <c r="D18" s="23">
        <v>30000</v>
      </c>
      <c r="E18" s="23" t="e">
        <f>+#REF!</f>
        <v>#REF!</v>
      </c>
      <c r="F18" s="23" t="e">
        <f>+#REF!</f>
        <v>#REF!</v>
      </c>
      <c r="G18" s="23">
        <v>30000</v>
      </c>
      <c r="H18" s="24"/>
      <c r="I18" s="25"/>
      <c r="J18" s="24"/>
      <c r="K18" s="25"/>
      <c r="L18" s="24"/>
      <c r="M18" s="25"/>
      <c r="N18" s="26"/>
      <c r="O18" s="44" t="e">
        <f>SUM(C18:N18)</f>
        <v>#REF!</v>
      </c>
      <c r="Q18" s="55" t="e">
        <f>AVERAGE(C18:G18)</f>
        <v>#REF!</v>
      </c>
    </row>
    <row r="19" spans="1:17" x14ac:dyDescent="0.3">
      <c r="A19" s="1"/>
      <c r="B19" s="32" t="s">
        <v>33</v>
      </c>
      <c r="C19" s="42">
        <v>60000</v>
      </c>
      <c r="D19" s="34">
        <v>60000</v>
      </c>
      <c r="E19" s="34">
        <v>60000</v>
      </c>
      <c r="F19" s="34" t="e">
        <f>+#REF!</f>
        <v>#REF!</v>
      </c>
      <c r="G19" s="34">
        <v>60000</v>
      </c>
      <c r="H19" s="35"/>
      <c r="I19" s="36"/>
      <c r="J19" s="35"/>
      <c r="K19" s="36"/>
      <c r="L19" s="35"/>
      <c r="M19" s="36"/>
      <c r="N19" s="37"/>
      <c r="O19" s="43" t="e">
        <f>SUM(C19:N19)</f>
        <v>#REF!</v>
      </c>
      <c r="Q19" s="54" t="e">
        <f>AVERAGE(C19:G19)</f>
        <v>#REF!</v>
      </c>
    </row>
    <row r="20" spans="1:17" x14ac:dyDescent="0.3">
      <c r="A20" s="1"/>
      <c r="B20" s="9" t="s">
        <v>35</v>
      </c>
      <c r="C20" s="27" t="e">
        <f>+#REF!</f>
        <v>#REF!</v>
      </c>
      <c r="D20" s="23" t="e">
        <f>+#REF!</f>
        <v>#REF!</v>
      </c>
      <c r="E20" s="23" t="e">
        <f>+#REF!</f>
        <v>#REF!</v>
      </c>
      <c r="F20" s="23">
        <v>25000</v>
      </c>
      <c r="G20" s="23" t="e">
        <f>#REF!</f>
        <v>#REF!</v>
      </c>
      <c r="H20" s="24"/>
      <c r="I20" s="25"/>
      <c r="J20" s="24"/>
      <c r="K20" s="25"/>
      <c r="L20" s="24"/>
      <c r="M20" s="25"/>
      <c r="N20" s="26"/>
      <c r="O20" s="44" t="e">
        <f>SUM(C20:N20)</f>
        <v>#REF!</v>
      </c>
      <c r="Q20" s="55" t="e">
        <f>AVERAGE(C20:G20)</f>
        <v>#REF!</v>
      </c>
    </row>
    <row r="21" spans="1:17" ht="10.5" customHeight="1" x14ac:dyDescent="0.3">
      <c r="A21" s="1"/>
      <c r="B21" s="12"/>
      <c r="C21" s="27"/>
      <c r="D21" s="23"/>
      <c r="E21" s="23"/>
      <c r="F21" s="23"/>
      <c r="G21" s="23"/>
      <c r="H21" s="24"/>
      <c r="I21" s="25"/>
      <c r="J21" s="24"/>
      <c r="K21" s="25"/>
      <c r="L21" s="24"/>
      <c r="M21" s="25"/>
      <c r="N21" s="26"/>
      <c r="O21" s="44"/>
      <c r="Q21" s="44"/>
    </row>
    <row r="22" spans="1:17" x14ac:dyDescent="0.3">
      <c r="A22" s="4"/>
      <c r="B22" s="13" t="s">
        <v>6</v>
      </c>
      <c r="C22" s="27"/>
      <c r="D22" s="23"/>
      <c r="E22" s="23"/>
      <c r="F22" s="23"/>
      <c r="G22" s="23"/>
      <c r="H22" s="24"/>
      <c r="I22" s="25"/>
      <c r="J22" s="24"/>
      <c r="K22" s="25"/>
      <c r="L22" s="24"/>
      <c r="M22" s="25"/>
      <c r="N22" s="26"/>
      <c r="O22" s="44"/>
      <c r="Q22" s="44"/>
    </row>
    <row r="23" spans="1:17" x14ac:dyDescent="0.3">
      <c r="A23" s="3"/>
      <c r="B23" s="32" t="s">
        <v>8</v>
      </c>
      <c r="C23" s="42" t="e">
        <f>+#REF!</f>
        <v>#REF!</v>
      </c>
      <c r="D23" s="34" t="e">
        <f>+#REF!</f>
        <v>#REF!</v>
      </c>
      <c r="E23" s="34" t="e">
        <f>+#REF!</f>
        <v>#REF!</v>
      </c>
      <c r="F23" s="34" t="e">
        <f>+#REF!</f>
        <v>#REF!</v>
      </c>
      <c r="G23" s="34" t="e">
        <f>#REF!</f>
        <v>#REF!</v>
      </c>
      <c r="H23" s="35"/>
      <c r="I23" s="36"/>
      <c r="J23" s="35"/>
      <c r="K23" s="36"/>
      <c r="L23" s="35"/>
      <c r="M23" s="36"/>
      <c r="N23" s="37"/>
      <c r="O23" s="43" t="e">
        <f t="shared" ref="O23:O33" si="2">SUM(C23:N23)</f>
        <v>#REF!</v>
      </c>
      <c r="Q23" s="54" t="e">
        <f>AVERAGE(C23:G23)</f>
        <v>#REF!</v>
      </c>
    </row>
    <row r="24" spans="1:17" x14ac:dyDescent="0.3">
      <c r="A24" s="3"/>
      <c r="B24" s="9" t="s">
        <v>36</v>
      </c>
      <c r="C24" s="27" t="e">
        <f>+#REF!</f>
        <v>#REF!</v>
      </c>
      <c r="D24" s="23" t="e">
        <f>+#REF!</f>
        <v>#REF!</v>
      </c>
      <c r="E24" s="23" t="e">
        <f>+#REF!</f>
        <v>#REF!</v>
      </c>
      <c r="F24" s="23" t="e">
        <f>+#REF!</f>
        <v>#REF!</v>
      </c>
      <c r="G24" s="23" t="e">
        <f>#REF!</f>
        <v>#REF!</v>
      </c>
      <c r="H24" s="24"/>
      <c r="I24" s="25"/>
      <c r="J24" s="24"/>
      <c r="K24" s="25"/>
      <c r="L24" s="24"/>
      <c r="M24" s="25"/>
      <c r="N24" s="26"/>
      <c r="O24" s="44" t="e">
        <f t="shared" si="2"/>
        <v>#REF!</v>
      </c>
      <c r="Q24" s="55" t="e">
        <f t="shared" ref="Q24:Q32" si="3">AVERAGE(C24:G24)</f>
        <v>#REF!</v>
      </c>
    </row>
    <row r="25" spans="1:17" x14ac:dyDescent="0.3">
      <c r="A25" s="3"/>
      <c r="B25" s="32" t="s">
        <v>37</v>
      </c>
      <c r="C25" s="42" t="e">
        <f>+#REF!</f>
        <v>#REF!</v>
      </c>
      <c r="D25" s="34" t="e">
        <f>+#REF!</f>
        <v>#REF!</v>
      </c>
      <c r="E25" s="34" t="e">
        <f>+#REF!</f>
        <v>#REF!</v>
      </c>
      <c r="F25" s="34" t="e">
        <f>+#REF!</f>
        <v>#REF!</v>
      </c>
      <c r="G25" s="34" t="e">
        <f>#REF!</f>
        <v>#REF!</v>
      </c>
      <c r="H25" s="35"/>
      <c r="I25" s="36"/>
      <c r="J25" s="35"/>
      <c r="K25" s="36"/>
      <c r="L25" s="35"/>
      <c r="M25" s="36"/>
      <c r="N25" s="37"/>
      <c r="O25" s="43" t="e">
        <f t="shared" si="2"/>
        <v>#REF!</v>
      </c>
      <c r="Q25" s="54" t="e">
        <f t="shared" si="3"/>
        <v>#REF!</v>
      </c>
    </row>
    <row r="26" spans="1:17" x14ac:dyDescent="0.3">
      <c r="A26" s="3"/>
      <c r="B26" s="9" t="s">
        <v>38</v>
      </c>
      <c r="C26" s="27" t="e">
        <f>+#REF!</f>
        <v>#REF!</v>
      </c>
      <c r="D26" s="23" t="e">
        <f>+#REF!</f>
        <v>#REF!</v>
      </c>
      <c r="E26" s="23" t="e">
        <f>+#REF!</f>
        <v>#REF!</v>
      </c>
      <c r="F26" s="23" t="e">
        <f>+#REF!</f>
        <v>#REF!</v>
      </c>
      <c r="G26" s="23" t="e">
        <f>#REF!</f>
        <v>#REF!</v>
      </c>
      <c r="H26" s="24"/>
      <c r="I26" s="25"/>
      <c r="J26" s="24"/>
      <c r="K26" s="25"/>
      <c r="L26" s="24"/>
      <c r="M26" s="25"/>
      <c r="N26" s="26"/>
      <c r="O26" s="44" t="e">
        <f t="shared" si="2"/>
        <v>#REF!</v>
      </c>
      <c r="Q26" s="55" t="e">
        <f t="shared" si="3"/>
        <v>#REF!</v>
      </c>
    </row>
    <row r="27" spans="1:17" x14ac:dyDescent="0.3">
      <c r="A27" s="3"/>
      <c r="B27" s="32" t="s">
        <v>40</v>
      </c>
      <c r="C27" s="42" t="e">
        <f>+#REF!</f>
        <v>#REF!</v>
      </c>
      <c r="D27" s="34" t="e">
        <f>+#REF!</f>
        <v>#REF!</v>
      </c>
      <c r="E27" s="34" t="e">
        <f>+#REF!</f>
        <v>#REF!</v>
      </c>
      <c r="F27" s="34" t="e">
        <f>+#REF!</f>
        <v>#REF!</v>
      </c>
      <c r="G27" s="34" t="e">
        <f>#REF!</f>
        <v>#REF!</v>
      </c>
      <c r="H27" s="35"/>
      <c r="I27" s="36"/>
      <c r="J27" s="35"/>
      <c r="K27" s="36"/>
      <c r="L27" s="35"/>
      <c r="M27" s="36"/>
      <c r="N27" s="37"/>
      <c r="O27" s="43" t="e">
        <f t="shared" si="2"/>
        <v>#REF!</v>
      </c>
      <c r="Q27" s="54" t="e">
        <f t="shared" si="3"/>
        <v>#REF!</v>
      </c>
    </row>
    <row r="28" spans="1:17" x14ac:dyDescent="0.3">
      <c r="A28" s="3"/>
      <c r="B28" s="9" t="s">
        <v>39</v>
      </c>
      <c r="C28" s="27" t="e">
        <f>+#REF!</f>
        <v>#REF!</v>
      </c>
      <c r="D28" s="23" t="e">
        <f>+#REF!</f>
        <v>#REF!</v>
      </c>
      <c r="E28" s="23" t="e">
        <f>+#REF!</f>
        <v>#REF!</v>
      </c>
      <c r="F28" s="23" t="e">
        <f>+#REF!</f>
        <v>#REF!</v>
      </c>
      <c r="G28" s="23" t="e">
        <f>#REF!</f>
        <v>#REF!</v>
      </c>
      <c r="H28" s="24"/>
      <c r="I28" s="25"/>
      <c r="J28" s="24"/>
      <c r="K28" s="25"/>
      <c r="L28" s="24"/>
      <c r="M28" s="25"/>
      <c r="N28" s="26"/>
      <c r="O28" s="44" t="e">
        <f t="shared" si="2"/>
        <v>#REF!</v>
      </c>
      <c r="Q28" s="55" t="e">
        <f t="shared" si="3"/>
        <v>#REF!</v>
      </c>
    </row>
    <row r="29" spans="1:17" x14ac:dyDescent="0.3">
      <c r="A29" s="3"/>
      <c r="B29" s="32" t="s">
        <v>42</v>
      </c>
      <c r="C29" s="42" t="e">
        <f>+#REF!</f>
        <v>#REF!</v>
      </c>
      <c r="D29" s="34" t="e">
        <f>+#REF!</f>
        <v>#REF!</v>
      </c>
      <c r="E29" s="34" t="e">
        <f>+#REF!</f>
        <v>#REF!</v>
      </c>
      <c r="F29" s="34" t="e">
        <f>+#REF!</f>
        <v>#REF!</v>
      </c>
      <c r="G29" s="34" t="e">
        <f>#REF!</f>
        <v>#REF!</v>
      </c>
      <c r="H29" s="35"/>
      <c r="I29" s="36"/>
      <c r="J29" s="35"/>
      <c r="K29" s="36"/>
      <c r="L29" s="35"/>
      <c r="M29" s="36"/>
      <c r="N29" s="37"/>
      <c r="O29" s="43" t="e">
        <f t="shared" si="2"/>
        <v>#REF!</v>
      </c>
      <c r="Q29" s="54" t="e">
        <f t="shared" si="3"/>
        <v>#REF!</v>
      </c>
    </row>
    <row r="30" spans="1:17" x14ac:dyDescent="0.3">
      <c r="A30" s="3"/>
      <c r="B30" s="9" t="s">
        <v>41</v>
      </c>
      <c r="C30" s="27" t="e">
        <f>+#REF!</f>
        <v>#REF!</v>
      </c>
      <c r="D30" s="23" t="e">
        <f>+#REF!</f>
        <v>#REF!</v>
      </c>
      <c r="E30" s="23" t="e">
        <f>+#REF!</f>
        <v>#REF!</v>
      </c>
      <c r="F30" s="23" t="e">
        <f>+#REF!</f>
        <v>#REF!</v>
      </c>
      <c r="G30" s="23" t="e">
        <f>#REF!</f>
        <v>#REF!</v>
      </c>
      <c r="H30" s="24"/>
      <c r="I30" s="25"/>
      <c r="J30" s="24"/>
      <c r="K30" s="25"/>
      <c r="L30" s="24"/>
      <c r="M30" s="25"/>
      <c r="N30" s="26"/>
      <c r="O30" s="44" t="e">
        <f t="shared" si="2"/>
        <v>#REF!</v>
      </c>
      <c r="Q30" s="55" t="e">
        <f t="shared" si="3"/>
        <v>#REF!</v>
      </c>
    </row>
    <row r="31" spans="1:17" x14ac:dyDescent="0.3">
      <c r="A31" s="3"/>
      <c r="B31" s="32" t="s">
        <v>72</v>
      </c>
      <c r="C31" s="42" t="e">
        <f>+#REF!</f>
        <v>#REF!</v>
      </c>
      <c r="D31" s="34" t="e">
        <f>+#REF!</f>
        <v>#REF!</v>
      </c>
      <c r="E31" s="34" t="e">
        <f>+#REF!</f>
        <v>#REF!</v>
      </c>
      <c r="F31" s="34" t="e">
        <f>+#REF!</f>
        <v>#REF!</v>
      </c>
      <c r="G31" s="34" t="e">
        <f>#REF!</f>
        <v>#REF!</v>
      </c>
      <c r="H31" s="35"/>
      <c r="I31" s="36"/>
      <c r="J31" s="35"/>
      <c r="K31" s="36"/>
      <c r="L31" s="35"/>
      <c r="M31" s="36"/>
      <c r="N31" s="37"/>
      <c r="O31" s="43" t="e">
        <f t="shared" si="2"/>
        <v>#REF!</v>
      </c>
      <c r="Q31" s="54" t="e">
        <f t="shared" si="3"/>
        <v>#REF!</v>
      </c>
    </row>
    <row r="32" spans="1:17" x14ac:dyDescent="0.3">
      <c r="A32" s="3"/>
      <c r="B32" s="9" t="s">
        <v>48</v>
      </c>
      <c r="C32" s="27" t="e">
        <f>+#REF!</f>
        <v>#REF!</v>
      </c>
      <c r="D32" s="23" t="e">
        <f>+#REF!</f>
        <v>#REF!</v>
      </c>
      <c r="E32" s="23" t="e">
        <f>+#REF!</f>
        <v>#REF!</v>
      </c>
      <c r="F32" s="23" t="e">
        <f>+#REF!</f>
        <v>#REF!</v>
      </c>
      <c r="G32" s="23" t="e">
        <f>#REF!</f>
        <v>#REF!</v>
      </c>
      <c r="H32" s="24"/>
      <c r="I32" s="25"/>
      <c r="J32" s="24"/>
      <c r="K32" s="25"/>
      <c r="L32" s="24"/>
      <c r="M32" s="25"/>
      <c r="N32" s="26"/>
      <c r="O32" s="44" t="e">
        <f t="shared" si="2"/>
        <v>#REF!</v>
      </c>
      <c r="Q32" s="55" t="e">
        <f t="shared" si="3"/>
        <v>#REF!</v>
      </c>
    </row>
    <row r="33" spans="1:17" x14ac:dyDescent="0.3">
      <c r="A33" s="1"/>
      <c r="B33" s="32" t="s">
        <v>68</v>
      </c>
      <c r="C33" s="42" t="e">
        <f>+#REF!</f>
        <v>#REF!</v>
      </c>
      <c r="D33" s="34" t="e">
        <f>+#REF!</f>
        <v>#REF!</v>
      </c>
      <c r="E33" s="34" t="e">
        <f>+#REF!</f>
        <v>#REF!</v>
      </c>
      <c r="F33" s="34" t="e">
        <f>+#REF!</f>
        <v>#REF!</v>
      </c>
      <c r="G33" s="34" t="e">
        <f>#REF!</f>
        <v>#REF!</v>
      </c>
      <c r="H33" s="35"/>
      <c r="I33" s="36"/>
      <c r="J33" s="35"/>
      <c r="K33" s="36"/>
      <c r="L33" s="35"/>
      <c r="M33" s="36"/>
      <c r="N33" s="37"/>
      <c r="O33" s="43" t="e">
        <f t="shared" si="2"/>
        <v>#REF!</v>
      </c>
      <c r="P33" s="50"/>
      <c r="Q33" s="54" t="e">
        <f>AVERAGE(G33:G33)</f>
        <v>#REF!</v>
      </c>
    </row>
    <row r="34" spans="1:17" ht="12.75" customHeight="1" x14ac:dyDescent="0.3">
      <c r="A34" s="1"/>
      <c r="B34" s="12"/>
      <c r="C34" s="27"/>
      <c r="D34" s="23"/>
      <c r="E34" s="23"/>
      <c r="F34" s="23"/>
      <c r="G34" s="23"/>
      <c r="H34" s="24"/>
      <c r="I34" s="25"/>
      <c r="J34" s="24"/>
      <c r="K34" s="25"/>
      <c r="L34" s="24"/>
      <c r="M34" s="25"/>
      <c r="N34" s="26"/>
      <c r="O34" s="44"/>
      <c r="Q34" s="44"/>
    </row>
    <row r="35" spans="1:17" x14ac:dyDescent="0.3">
      <c r="A35" s="1"/>
      <c r="B35" s="12" t="s">
        <v>10</v>
      </c>
      <c r="C35" s="27"/>
      <c r="D35" s="23"/>
      <c r="E35" s="23"/>
      <c r="F35" s="23"/>
      <c r="G35" s="23"/>
      <c r="H35" s="24"/>
      <c r="I35" s="25"/>
      <c r="J35" s="24"/>
      <c r="K35" s="25"/>
      <c r="L35" s="24"/>
      <c r="M35" s="25"/>
      <c r="N35" s="26"/>
      <c r="O35" s="44"/>
      <c r="Q35" s="44"/>
    </row>
    <row r="36" spans="1:17" x14ac:dyDescent="0.3">
      <c r="A36" s="1"/>
      <c r="B36" s="40" t="s">
        <v>11</v>
      </c>
      <c r="C36" s="42" t="e">
        <f>+#REF!</f>
        <v>#REF!</v>
      </c>
      <c r="D36" s="34" t="e">
        <f>+#REF!</f>
        <v>#REF!</v>
      </c>
      <c r="E36" s="34" t="e">
        <f>+#REF!</f>
        <v>#REF!</v>
      </c>
      <c r="F36" s="34" t="e">
        <f>+#REF!</f>
        <v>#REF!</v>
      </c>
      <c r="G36" s="34" t="e">
        <f>#REF!</f>
        <v>#REF!</v>
      </c>
      <c r="H36" s="35"/>
      <c r="I36" s="36"/>
      <c r="J36" s="35"/>
      <c r="K36" s="36"/>
      <c r="L36" s="35"/>
      <c r="M36" s="36"/>
      <c r="N36" s="37"/>
      <c r="O36" s="43" t="e">
        <f t="shared" ref="O36:O42" si="4">SUM(C36:N36)</f>
        <v>#REF!</v>
      </c>
      <c r="Q36" s="54" t="e">
        <f>AVERAGE(C36:G36)</f>
        <v>#REF!</v>
      </c>
    </row>
    <row r="37" spans="1:17" x14ac:dyDescent="0.3">
      <c r="A37" s="1"/>
      <c r="B37" s="10" t="s">
        <v>12</v>
      </c>
      <c r="C37" s="27" t="e">
        <f>+#REF!</f>
        <v>#REF!</v>
      </c>
      <c r="D37" s="23" t="e">
        <f>+#REF!</f>
        <v>#REF!</v>
      </c>
      <c r="E37" s="23" t="e">
        <f>+#REF!</f>
        <v>#REF!</v>
      </c>
      <c r="F37" s="23" t="e">
        <f>+#REF!</f>
        <v>#REF!</v>
      </c>
      <c r="G37" s="23" t="e">
        <f>#REF!</f>
        <v>#REF!</v>
      </c>
      <c r="H37" s="24"/>
      <c r="I37" s="25"/>
      <c r="J37" s="24"/>
      <c r="K37" s="25"/>
      <c r="L37" s="24"/>
      <c r="M37" s="25"/>
      <c r="N37" s="26"/>
      <c r="O37" s="44" t="e">
        <f t="shared" si="4"/>
        <v>#REF!</v>
      </c>
      <c r="Q37" s="55" t="e">
        <f t="shared" ref="Q37:Q42" si="5">AVERAGE(C37:G37)</f>
        <v>#REF!</v>
      </c>
    </row>
    <row r="38" spans="1:17" x14ac:dyDescent="0.3">
      <c r="A38" s="1"/>
      <c r="B38" s="40" t="s">
        <v>13</v>
      </c>
      <c r="C38" s="42" t="e">
        <f>+#REF!</f>
        <v>#REF!</v>
      </c>
      <c r="D38" s="34" t="e">
        <f>+#REF!</f>
        <v>#REF!</v>
      </c>
      <c r="E38" s="34" t="e">
        <f>+#REF!</f>
        <v>#REF!</v>
      </c>
      <c r="F38" s="34" t="e">
        <f>+#REF!</f>
        <v>#REF!</v>
      </c>
      <c r="G38" s="34" t="e">
        <f>#REF!</f>
        <v>#REF!</v>
      </c>
      <c r="H38" s="35"/>
      <c r="I38" s="36"/>
      <c r="J38" s="35"/>
      <c r="K38" s="36"/>
      <c r="L38" s="35"/>
      <c r="M38" s="36"/>
      <c r="N38" s="37"/>
      <c r="O38" s="43" t="e">
        <f t="shared" si="4"/>
        <v>#REF!</v>
      </c>
      <c r="Q38" s="54" t="e">
        <f t="shared" si="5"/>
        <v>#REF!</v>
      </c>
    </row>
    <row r="39" spans="1:17" x14ac:dyDescent="0.3">
      <c r="A39" s="1"/>
      <c r="B39" s="10" t="s">
        <v>14</v>
      </c>
      <c r="C39" s="27" t="e">
        <f>+#REF!</f>
        <v>#REF!</v>
      </c>
      <c r="D39" s="23" t="e">
        <f>+#REF!</f>
        <v>#REF!</v>
      </c>
      <c r="E39" s="23" t="e">
        <f>+#REF!</f>
        <v>#REF!</v>
      </c>
      <c r="F39" s="23" t="e">
        <f>+#REF!</f>
        <v>#REF!</v>
      </c>
      <c r="G39" s="23" t="e">
        <f>#REF!</f>
        <v>#REF!</v>
      </c>
      <c r="H39" s="24"/>
      <c r="I39" s="25"/>
      <c r="J39" s="24"/>
      <c r="K39" s="25"/>
      <c r="L39" s="24"/>
      <c r="M39" s="25"/>
      <c r="N39" s="26"/>
      <c r="O39" s="44" t="e">
        <f t="shared" si="4"/>
        <v>#REF!</v>
      </c>
      <c r="Q39" s="55" t="e">
        <f t="shared" si="5"/>
        <v>#REF!</v>
      </c>
    </row>
    <row r="40" spans="1:17" x14ac:dyDescent="0.3">
      <c r="A40" s="1"/>
      <c r="B40" s="40" t="s">
        <v>16</v>
      </c>
      <c r="C40" s="42" t="e">
        <f>+#REF!</f>
        <v>#REF!</v>
      </c>
      <c r="D40" s="34" t="e">
        <f>+#REF!</f>
        <v>#REF!</v>
      </c>
      <c r="E40" s="34" t="e">
        <f>+#REF!</f>
        <v>#REF!</v>
      </c>
      <c r="F40" s="34" t="e">
        <f>+#REF!</f>
        <v>#REF!</v>
      </c>
      <c r="G40" s="34" t="e">
        <f>#REF!</f>
        <v>#REF!</v>
      </c>
      <c r="H40" s="35"/>
      <c r="I40" s="36"/>
      <c r="J40" s="35"/>
      <c r="K40" s="36"/>
      <c r="L40" s="35"/>
      <c r="M40" s="36"/>
      <c r="N40" s="37"/>
      <c r="O40" s="43" t="e">
        <f t="shared" si="4"/>
        <v>#REF!</v>
      </c>
      <c r="Q40" s="54" t="e">
        <f t="shared" si="5"/>
        <v>#REF!</v>
      </c>
    </row>
    <row r="41" spans="1:17" x14ac:dyDescent="0.3">
      <c r="A41" s="1"/>
      <c r="B41" s="10" t="s">
        <v>15</v>
      </c>
      <c r="C41" s="27" t="e">
        <f>+#REF!</f>
        <v>#REF!</v>
      </c>
      <c r="D41" s="23" t="e">
        <f>+#REF!</f>
        <v>#REF!</v>
      </c>
      <c r="E41" s="23" t="e">
        <f>+#REF!</f>
        <v>#REF!</v>
      </c>
      <c r="F41" s="23" t="e">
        <f>+#REF!</f>
        <v>#REF!</v>
      </c>
      <c r="G41" s="23" t="e">
        <f>#REF!</f>
        <v>#REF!</v>
      </c>
      <c r="H41" s="24"/>
      <c r="I41" s="25"/>
      <c r="J41" s="24"/>
      <c r="K41" s="25"/>
      <c r="L41" s="24"/>
      <c r="M41" s="25"/>
      <c r="N41" s="26"/>
      <c r="O41" s="44" t="e">
        <f t="shared" si="4"/>
        <v>#REF!</v>
      </c>
      <c r="Q41" s="55" t="e">
        <f t="shared" si="5"/>
        <v>#REF!</v>
      </c>
    </row>
    <row r="42" spans="1:17" x14ac:dyDescent="0.3">
      <c r="A42" s="1"/>
      <c r="B42" s="40" t="s">
        <v>52</v>
      </c>
      <c r="C42" s="42">
        <v>2110.31</v>
      </c>
      <c r="D42" s="34" t="e">
        <f>+#REF!</f>
        <v>#REF!</v>
      </c>
      <c r="E42" s="34" t="e">
        <f>+#REF!</f>
        <v>#REF!</v>
      </c>
      <c r="F42" s="34" t="e">
        <f>+#REF!</f>
        <v>#REF!</v>
      </c>
      <c r="G42" s="34" t="e">
        <f>#REF!</f>
        <v>#REF!</v>
      </c>
      <c r="H42" s="35"/>
      <c r="I42" s="36"/>
      <c r="J42" s="35"/>
      <c r="K42" s="36"/>
      <c r="L42" s="35"/>
      <c r="M42" s="36"/>
      <c r="N42" s="37"/>
      <c r="O42" s="43" t="e">
        <f t="shared" si="4"/>
        <v>#REF!</v>
      </c>
      <c r="Q42" s="54" t="e">
        <f t="shared" si="5"/>
        <v>#REF!</v>
      </c>
    </row>
    <row r="43" spans="1:17" ht="7.5" customHeight="1" x14ac:dyDescent="0.3">
      <c r="A43" s="1"/>
      <c r="B43" s="10"/>
      <c r="C43" s="27"/>
      <c r="D43" s="23"/>
      <c r="E43" s="23"/>
      <c r="F43" s="23"/>
      <c r="G43" s="23"/>
      <c r="H43" s="24"/>
      <c r="I43" s="25"/>
      <c r="J43" s="24"/>
      <c r="K43" s="25"/>
      <c r="L43" s="24"/>
      <c r="M43" s="25"/>
      <c r="N43" s="26"/>
      <c r="O43" s="44"/>
      <c r="Q43" s="44"/>
    </row>
    <row r="44" spans="1:17" x14ac:dyDescent="0.3">
      <c r="A44" s="1"/>
      <c r="B44" s="12" t="s">
        <v>58</v>
      </c>
      <c r="C44" s="27"/>
      <c r="D44" s="23"/>
      <c r="E44" s="23"/>
      <c r="F44" s="23"/>
      <c r="G44" s="23"/>
      <c r="H44" s="24"/>
      <c r="I44" s="25"/>
      <c r="J44" s="24"/>
      <c r="K44" s="25"/>
      <c r="L44" s="24"/>
      <c r="M44" s="25"/>
      <c r="N44" s="26"/>
      <c r="O44" s="44"/>
      <c r="Q44" s="44"/>
    </row>
    <row r="45" spans="1:17" x14ac:dyDescent="0.3">
      <c r="A45" s="1"/>
      <c r="B45" s="32" t="s">
        <v>56</v>
      </c>
      <c r="C45" s="42">
        <v>0</v>
      </c>
      <c r="D45" s="34" t="e">
        <f>+#REF!</f>
        <v>#REF!</v>
      </c>
      <c r="E45" s="34" t="e">
        <f>+#REF!</f>
        <v>#REF!</v>
      </c>
      <c r="F45" s="34" t="e">
        <f>+#REF!</f>
        <v>#REF!</v>
      </c>
      <c r="G45" s="34" t="e">
        <f>#REF!</f>
        <v>#REF!</v>
      </c>
      <c r="H45" s="35"/>
      <c r="I45" s="36"/>
      <c r="J45" s="35"/>
      <c r="K45" s="36"/>
      <c r="L45" s="35"/>
      <c r="M45" s="36"/>
      <c r="N45" s="37"/>
      <c r="O45" s="43" t="e">
        <f>SUM(C45:N45)</f>
        <v>#REF!</v>
      </c>
      <c r="Q45" s="43">
        <v>30000</v>
      </c>
    </row>
    <row r="46" spans="1:17" x14ac:dyDescent="0.3">
      <c r="A46" s="1"/>
      <c r="B46" s="9" t="s">
        <v>57</v>
      </c>
      <c r="C46" s="27">
        <v>0</v>
      </c>
      <c r="D46" s="23" t="e">
        <f>+#REF!</f>
        <v>#REF!</v>
      </c>
      <c r="E46" s="23" t="e">
        <f>+#REF!</f>
        <v>#REF!</v>
      </c>
      <c r="F46" s="23" t="e">
        <f>+#REF!</f>
        <v>#REF!</v>
      </c>
      <c r="G46" s="23" t="e">
        <f>#REF!</f>
        <v>#REF!</v>
      </c>
      <c r="H46" s="24"/>
      <c r="I46" s="25"/>
      <c r="J46" s="24"/>
      <c r="K46" s="25"/>
      <c r="L46" s="24"/>
      <c r="M46" s="25"/>
      <c r="N46" s="26"/>
      <c r="O46" s="44" t="e">
        <f>SUM(C46:N46)</f>
        <v>#REF!</v>
      </c>
      <c r="Q46" s="44">
        <v>11200</v>
      </c>
    </row>
    <row r="47" spans="1:17" x14ac:dyDescent="0.3">
      <c r="A47" s="1"/>
      <c r="B47" s="32" t="s">
        <v>59</v>
      </c>
      <c r="C47" s="42">
        <v>0</v>
      </c>
      <c r="D47" s="34" t="e">
        <f>+#REF!</f>
        <v>#REF!</v>
      </c>
      <c r="E47" s="34" t="e">
        <f>+#REF!</f>
        <v>#REF!</v>
      </c>
      <c r="F47" s="34" t="e">
        <f>+#REF!</f>
        <v>#REF!</v>
      </c>
      <c r="G47" s="34" t="e">
        <f>#REF!</f>
        <v>#REF!</v>
      </c>
      <c r="H47" s="35"/>
      <c r="I47" s="36"/>
      <c r="J47" s="35"/>
      <c r="K47" s="36"/>
      <c r="L47" s="35"/>
      <c r="M47" s="36"/>
      <c r="N47" s="37"/>
      <c r="O47" s="43" t="e">
        <f>SUM(C47:N47)</f>
        <v>#REF!</v>
      </c>
      <c r="Q47" s="43"/>
    </row>
    <row r="48" spans="1:17" ht="15" thickBot="1" x14ac:dyDescent="0.35">
      <c r="B48" s="14"/>
      <c r="C48" s="28"/>
      <c r="D48" s="25"/>
      <c r="E48" s="25"/>
      <c r="F48" s="25"/>
      <c r="G48" s="25"/>
      <c r="H48" s="24"/>
      <c r="I48" s="25"/>
      <c r="J48" s="24"/>
      <c r="K48" s="25"/>
      <c r="L48" s="24"/>
      <c r="M48" s="25"/>
      <c r="N48" s="26"/>
      <c r="O48" s="25"/>
      <c r="Q48" s="25"/>
    </row>
    <row r="49" spans="2:17" ht="15" thickBot="1" x14ac:dyDescent="0.35">
      <c r="B49" s="15" t="s">
        <v>19</v>
      </c>
      <c r="C49" s="38" t="e">
        <f>SUM(C8:C48)</f>
        <v>#REF!</v>
      </c>
      <c r="D49" s="38" t="e">
        <f>SUM(D8:D48)</f>
        <v>#REF!</v>
      </c>
      <c r="E49" s="38" t="e">
        <f>SUM(E8:E48)</f>
        <v>#REF!</v>
      </c>
      <c r="F49" s="38" t="e">
        <f>SUM(F8:F48)</f>
        <v>#REF!</v>
      </c>
      <c r="G49" s="38" t="e">
        <f>SUM(G8:G48)</f>
        <v>#REF!</v>
      </c>
      <c r="H49" s="30"/>
      <c r="I49" s="29"/>
      <c r="J49" s="30"/>
      <c r="K49" s="29"/>
      <c r="L49" s="30"/>
      <c r="M49" s="29"/>
      <c r="N49" s="31"/>
      <c r="O49" s="39" t="e">
        <f>SUM(C49:N49)</f>
        <v>#REF!</v>
      </c>
      <c r="P49" s="38"/>
      <c r="Q49" s="38" t="e">
        <f>SUM(Q8:Q48)</f>
        <v>#REF!</v>
      </c>
    </row>
  </sheetData>
  <customSheetViews>
    <customSheetView guid="{D1028346-3542-4DBC-9192-DBBB4A8531AF}" hiddenColumns="1" state="hidden">
      <pageMargins left="0.11811023622047245" right="0.11811023622047245" top="0.78740157480314965" bottom="0.78740157480314965" header="0.31496062992125984" footer="0.31496062992125984"/>
      <pageSetup paperSize="9" scale="84" orientation="portrait" r:id="rId1"/>
    </customSheetView>
  </customSheetViews>
  <mergeCells count="1">
    <mergeCell ref="B2:O3"/>
  </mergeCells>
  <pageMargins left="0.11811023622047245" right="0.11811023622047245" top="0.78740157480314965" bottom="0.78740157480314965" header="0.31496062992125984" footer="0.31496062992125984"/>
  <pageSetup paperSize="9" scale="84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1 - Cálculo do IOF S-Mútuo</vt:lpstr>
      <vt:lpstr>2 - Cálculo do IRRF S-Mútuo</vt:lpstr>
      <vt:lpstr>RESUMO DE DESPESAS</vt:lpstr>
      <vt:lpstr>DESPESAS FIXAS</vt:lpstr>
      <vt:lpstr>'1 - Cálculo do IOF S-Mútuo'!Area_de_impressao</vt:lpstr>
      <vt:lpstr>'2 - Cálculo do IRRF S-Mútuo'!Area_de_impressao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gfb01</dc:creator>
  <cp:lastModifiedBy>Ricardo Gonçalves de Oliveira</cp:lastModifiedBy>
  <cp:lastPrinted>2017-11-28T11:48:45Z</cp:lastPrinted>
  <dcterms:created xsi:type="dcterms:W3CDTF">2011-12-06T14:37:52Z</dcterms:created>
  <dcterms:modified xsi:type="dcterms:W3CDTF">2017-12-19T12:27:02Z</dcterms:modified>
</cp:coreProperties>
</file>