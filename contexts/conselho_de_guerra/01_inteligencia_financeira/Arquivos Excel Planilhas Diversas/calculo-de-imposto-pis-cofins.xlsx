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ABA9EC88-71F4-489A-A434-AFA94903E27B}" xr6:coauthVersionLast="41" xr6:coauthVersionMax="41" xr10:uidLastSave="{00000000-0000-0000-0000-000000000000}"/>
  <bookViews>
    <workbookView xWindow="-108" yWindow="-108" windowWidth="19416" windowHeight="10416" activeTab="2" xr2:uid="{00000000-000D-0000-FFFF-FFFF00000000}"/>
  </bookViews>
  <sheets>
    <sheet name="FATURAMENTO" sheetId="1" r:id="rId1"/>
    <sheet name="IR-CSLL 2016" sheetId="3" r:id="rId2"/>
    <sheet name="PIS - COFINS" sheetId="4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3" l="1"/>
  <c r="G19" i="3"/>
  <c r="K4" i="3"/>
  <c r="K6" i="3"/>
  <c r="K8" i="3"/>
  <c r="J4" i="3"/>
  <c r="J6" i="3"/>
  <c r="J8" i="3"/>
  <c r="D10" i="4"/>
  <c r="D5" i="4"/>
  <c r="D6" i="4"/>
  <c r="D7" i="4"/>
  <c r="D8" i="4"/>
  <c r="D9" i="4"/>
  <c r="D11" i="4"/>
  <c r="D12" i="4"/>
  <c r="D13" i="4"/>
  <c r="D14" i="4"/>
  <c r="D15" i="4"/>
  <c r="E5" i="4"/>
  <c r="E6" i="4"/>
  <c r="E7" i="4"/>
  <c r="E8" i="4"/>
  <c r="E9" i="4"/>
  <c r="E10" i="4"/>
  <c r="E11" i="4"/>
  <c r="E12" i="4"/>
  <c r="E13" i="4"/>
  <c r="E14" i="4"/>
  <c r="E15" i="4"/>
  <c r="E4" i="4"/>
  <c r="D4" i="4"/>
  <c r="G4" i="3"/>
  <c r="M4" i="3"/>
  <c r="M6" i="3"/>
  <c r="M8" i="3"/>
  <c r="L4" i="3"/>
  <c r="L6" i="3"/>
  <c r="L8" i="3"/>
  <c r="H4" i="3"/>
  <c r="H6" i="3"/>
  <c r="H11" i="3"/>
  <c r="F4" i="3"/>
  <c r="F19" i="3"/>
  <c r="E4" i="3"/>
  <c r="E6" i="3"/>
  <c r="E8" i="3"/>
  <c r="E11" i="3"/>
  <c r="E13" i="3"/>
  <c r="E15" i="3"/>
  <c r="E19" i="3"/>
  <c r="E17" i="3"/>
  <c r="E21" i="3"/>
  <c r="H8" i="3"/>
  <c r="H13" i="3"/>
  <c r="H15" i="3"/>
  <c r="F6" i="3"/>
  <c r="G6" i="3"/>
  <c r="G11" i="3"/>
  <c r="F8" i="3"/>
  <c r="F11" i="3"/>
  <c r="F13" i="3"/>
  <c r="F15" i="3"/>
  <c r="H17" i="3"/>
  <c r="H21" i="3"/>
  <c r="G13" i="3"/>
  <c r="G15" i="3"/>
  <c r="G8" i="3"/>
  <c r="F17" i="3"/>
  <c r="F21" i="3"/>
  <c r="G17" i="3"/>
  <c r="G21" i="3"/>
  <c r="D4" i="1"/>
  <c r="D5" i="1"/>
  <c r="D6" i="1"/>
  <c r="D7" i="1"/>
  <c r="D8" i="1"/>
  <c r="D9" i="1"/>
  <c r="D10" i="1"/>
  <c r="D11" i="1"/>
  <c r="D12" i="1"/>
  <c r="D13" i="1"/>
  <c r="D14" i="1"/>
  <c r="D3" i="1"/>
  <c r="C6" i="1"/>
  <c r="C7" i="1"/>
  <c r="C8" i="1"/>
  <c r="C9" i="1"/>
  <c r="C10" i="1"/>
  <c r="C11" i="1"/>
  <c r="C12" i="1"/>
  <c r="C13" i="1"/>
  <c r="C14" i="1"/>
  <c r="C4" i="1"/>
  <c r="C5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Icontex</author>
  </authors>
  <commentList>
    <comment ref="E19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CÁLCULO DO IRRF ESTÁ ERRADO. 
FAVOR CONFERIR</t>
        </r>
      </text>
    </comment>
    <comment ref="F19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CÁLCULO DO IRRF ESTÁ ERRADO. 
FAVOR CONFERIR</t>
        </r>
      </text>
    </comment>
  </commentList>
</comments>
</file>

<file path=xl/sharedStrings.xml><?xml version="1.0" encoding="utf-8"?>
<sst xmlns="http://schemas.openxmlformats.org/spreadsheetml/2006/main" count="58" uniqueCount="28">
  <si>
    <t>Faturamento</t>
  </si>
  <si>
    <t>Mês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</si>
  <si>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</si>
  <si>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</si>
  <si>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</si>
  <si>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</si>
  <si>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</si>
  <si>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</si>
  <si>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</si>
  <si>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</si>
  <si>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</si>
  <si>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</si>
  <si>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</si>
  <si>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Fevereiro</t>
  </si>
  <si>
    <t>PIS</t>
  </si>
  <si>
    <t>COFINS</t>
  </si>
  <si>
    <t>1o Trimestre</t>
  </si>
  <si>
    <t>Adicional</t>
  </si>
  <si>
    <t>2o Trimestre</t>
  </si>
  <si>
    <t>3o Trimestre</t>
  </si>
  <si>
    <t>4o Trimestre</t>
  </si>
  <si>
    <t xml:space="preserve">MÊS </t>
  </si>
  <si>
    <t>FATURAMENTO</t>
  </si>
  <si>
    <t>IRRF</t>
  </si>
  <si>
    <t>EMPRESA AABCDEFG</t>
  </si>
  <si>
    <t>EMPRESA ABCDEFG</t>
  </si>
  <si>
    <t>PIS  0,65%</t>
  </si>
  <si>
    <t>COFINS 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</si>
</sst>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2" fillId="0" borderId="7" xfId="0" applyFont="1" applyBorder="1" applyAlignment="1">
      <alignment horizontal="center"/>
    </xf>
    <xf numFmtId="43" fontId="2" fillId="0" borderId="7" xfId="1" applyFont="1" applyBorder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43" fontId="6" fillId="0" borderId="22" xfId="1" applyFont="1" applyBorder="1" applyAlignment="1">
      <alignment horizontal="center" vertical="center"/>
    </xf>
    <xf numFmtId="43" fontId="6" fillId="0" borderId="23" xfId="1" applyFont="1" applyBorder="1"/>
    <xf numFmtId="43" fontId="6" fillId="0" borderId="24" xfId="1" applyFont="1" applyBorder="1"/>
    <xf numFmtId="0" fontId="6" fillId="0" borderId="14" xfId="0" applyFont="1" applyBorder="1" applyAlignment="1">
      <alignment horizontal="center" vertical="center"/>
    </xf>
    <xf numFmtId="43" fontId="6" fillId="0" borderId="11" xfId="1" applyFont="1" applyBorder="1" applyAlignment="1">
      <alignment horizontal="center" vertical="center"/>
    </xf>
    <xf numFmtId="43" fontId="6" fillId="0" borderId="17" xfId="1" applyFont="1" applyBorder="1"/>
    <xf numFmtId="43" fontId="6" fillId="0" borderId="18" xfId="1" applyFont="1" applyBorder="1"/>
    <xf numFmtId="0" fontId="6" fillId="0" borderId="15" xfId="0" applyFont="1" applyBorder="1" applyAlignment="1">
      <alignment horizontal="center" vertical="center"/>
    </xf>
    <xf numFmtId="43" fontId="6" fillId="0" borderId="12" xfId="1" applyFont="1" applyBorder="1" applyAlignment="1">
      <alignment horizontal="center" vertical="center"/>
    </xf>
    <xf numFmtId="43" fontId="6" fillId="0" borderId="19" xfId="1" applyFont="1" applyBorder="1"/>
    <xf numFmtId="43" fontId="6" fillId="0" borderId="20" xfId="1" applyFont="1" applyBorder="1"/>
    <xf numFmtId="0" fontId="8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3" fontId="7" fillId="0" borderId="4" xfId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43" fontId="8" fillId="0" borderId="28" xfId="1" applyFont="1" applyBorder="1" applyAlignment="1">
      <alignment horizontal="center" vertical="center"/>
    </xf>
    <xf numFmtId="43" fontId="8" fillId="0" borderId="14" xfId="1" applyFont="1" applyBorder="1" applyAlignment="1">
      <alignment horizontal="center" vertical="center"/>
    </xf>
    <xf numFmtId="43" fontId="8" fillId="0" borderId="5" xfId="1" applyFont="1" applyBorder="1" applyAlignment="1">
      <alignment horizontal="center" vertical="center"/>
    </xf>
    <xf numFmtId="43" fontId="8" fillId="0" borderId="5" xfId="0" applyNumberFormat="1" applyFont="1" applyBorder="1" applyAlignment="1">
      <alignment horizontal="center" vertical="center"/>
    </xf>
    <xf numFmtId="43" fontId="8" fillId="0" borderId="3" xfId="0" applyNumberFormat="1" applyFont="1" applyBorder="1" applyAlignment="1">
      <alignment horizontal="center" vertical="center"/>
    </xf>
    <xf numFmtId="9" fontId="8" fillId="0" borderId="5" xfId="2" applyFont="1" applyBorder="1" applyAlignment="1">
      <alignment horizontal="center" vertical="center"/>
    </xf>
    <xf numFmtId="9" fontId="8" fillId="0" borderId="3" xfId="2" applyFont="1" applyBorder="1" applyAlignment="1">
      <alignment horizontal="center" vertical="center"/>
    </xf>
    <xf numFmtId="43" fontId="7" fillId="0" borderId="5" xfId="1" applyFont="1" applyBorder="1" applyAlignment="1">
      <alignment horizontal="center" vertical="center"/>
    </xf>
    <xf numFmtId="43" fontId="7" fillId="2" borderId="6" xfId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3" fontId="8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3" fontId="8" fillId="0" borderId="0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43" fontId="8" fillId="0" borderId="29" xfId="1" applyFont="1" applyBorder="1" applyAlignment="1">
      <alignment horizontal="center" vertical="center"/>
    </xf>
    <xf numFmtId="43" fontId="8" fillId="0" borderId="15" xfId="1" applyFont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8" fillId="0" borderId="0" xfId="1" applyFont="1" applyAlignment="1">
      <alignment horizontal="center" vertical="center"/>
    </xf>
    <xf numFmtId="43" fontId="8" fillId="3" borderId="1" xfId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26" xfId="0" applyFont="1" applyFill="1" applyBorder="1"/>
    <xf numFmtId="0" fontId="9" fillId="4" borderId="25" xfId="0" applyFont="1" applyFill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B9" sqref="B9"/>
    </sheetView>
  </sheetViews>
  <sheetFormatPr defaultColWidth="8.77734375" defaultRowHeight="14.4" x14ac:dyDescent="0.3"/>
  <cols>
    <col min="1" max="1" width="13.109375" customWidth="1"/>
    <col min="2" max="2" width="14" style="1" customWidth="1"/>
    <col min="3" max="5" width="12.6640625" style="1" customWidth="1"/>
    <col min="6" max="10" width="12.6640625" customWidth="1"/>
  </cols>
  <sheetData>
    <row r="1" spans="1:6" ht="15" thickBot="1" x14ac:dyDescent="0.35">
      <c r="A1" s="51">
        <v>2016</v>
      </c>
      <c r="B1" s="52"/>
      <c r="C1" s="52"/>
      <c r="D1" s="53"/>
    </row>
    <row r="2" spans="1:6" x14ac:dyDescent="0.3">
      <c r="A2" s="5" t="s">
        <v>1</v>
      </c>
      <c r="B2" s="6" t="s">
        <v>0</v>
      </c>
      <c r="C2" s="6" t="s">
        <v>14</v>
      </c>
      <c r="D2" s="6" t="s">
        <v>15</v>
      </c>
      <c r="E2" s="2"/>
    </row>
    <row r="3" spans="1:6" x14ac:dyDescent="0.3">
      <c r="A3" s="3" t="s">
        <v>2</v>
      </c>
      <c r="B3" s="4">
        <v>1028882.15</v>
      </c>
      <c r="C3" s="4">
        <f>B3*0.65%</f>
        <v>6687.733975000001</v>
      </c>
      <c r="D3" s="4">
        <f>B3*3%</f>
        <v>30866.464499999998</v>
      </c>
    </row>
    <row r="4" spans="1:6" x14ac:dyDescent="0.3">
      <c r="A4" s="3" t="s">
        <v>13</v>
      </c>
      <c r="B4" s="4">
        <v>721837.05</v>
      </c>
      <c r="C4" s="4">
        <f t="shared" ref="C4:C14" si="0">B4*0.65%</f>
        <v>4691.9408250000006</v>
      </c>
      <c r="D4" s="4">
        <f t="shared" ref="D4:D14" si="1">B4*3%</f>
        <v>21655.111499999999</v>
      </c>
    </row>
    <row r="5" spans="1:6" x14ac:dyDescent="0.3">
      <c r="A5" s="3" t="s">
        <v>3</v>
      </c>
      <c r="B5" s="4">
        <v>608105.14</v>
      </c>
      <c r="C5" s="4">
        <f t="shared" si="0"/>
        <v>3952.6834100000005</v>
      </c>
      <c r="D5" s="4">
        <f t="shared" si="1"/>
        <v>18243.154200000001</v>
      </c>
    </row>
    <row r="6" spans="1:6" x14ac:dyDescent="0.3">
      <c r="A6" s="3" t="s">
        <v>4</v>
      </c>
      <c r="B6" s="4">
        <v>497371.52</v>
      </c>
      <c r="C6" s="4">
        <f t="shared" si="0"/>
        <v>3232.9148800000003</v>
      </c>
      <c r="D6" s="4">
        <f t="shared" si="1"/>
        <v>14921.1456</v>
      </c>
    </row>
    <row r="7" spans="1:6" x14ac:dyDescent="0.3">
      <c r="A7" s="3" t="s">
        <v>5</v>
      </c>
      <c r="B7" s="4">
        <v>488432.13</v>
      </c>
      <c r="C7" s="4">
        <f t="shared" si="0"/>
        <v>3174.8088450000005</v>
      </c>
      <c r="D7" s="4">
        <f t="shared" si="1"/>
        <v>14652.963899999999</v>
      </c>
    </row>
    <row r="8" spans="1:6" x14ac:dyDescent="0.3">
      <c r="A8" s="3" t="s">
        <v>6</v>
      </c>
      <c r="B8" s="4">
        <v>459062.4</v>
      </c>
      <c r="C8" s="4">
        <f t="shared" si="0"/>
        <v>2983.9056000000005</v>
      </c>
      <c r="D8" s="4">
        <f t="shared" si="1"/>
        <v>13771.871999999999</v>
      </c>
      <c r="F8" s="7"/>
    </row>
    <row r="9" spans="1:6" x14ac:dyDescent="0.3">
      <c r="A9" s="3" t="s">
        <v>7</v>
      </c>
      <c r="B9" s="4">
        <v>413112.75</v>
      </c>
      <c r="C9" s="4">
        <f t="shared" si="0"/>
        <v>2685.2328750000001</v>
      </c>
      <c r="D9" s="4">
        <f t="shared" si="1"/>
        <v>12393.3825</v>
      </c>
    </row>
    <row r="10" spans="1:6" x14ac:dyDescent="0.3">
      <c r="A10" s="3" t="s">
        <v>8</v>
      </c>
      <c r="B10" s="4">
        <v>440389.97</v>
      </c>
      <c r="C10" s="4">
        <f t="shared" si="0"/>
        <v>2862.5348050000002</v>
      </c>
      <c r="D10" s="4">
        <f t="shared" si="1"/>
        <v>13211.699099999998</v>
      </c>
    </row>
    <row r="11" spans="1:6" x14ac:dyDescent="0.3">
      <c r="A11" s="3" t="s">
        <v>9</v>
      </c>
      <c r="B11" s="4">
        <v>510559.34</v>
      </c>
      <c r="C11" s="4">
        <f t="shared" si="0"/>
        <v>3318.6357100000005</v>
      </c>
      <c r="D11" s="4">
        <f t="shared" si="1"/>
        <v>15316.780200000001</v>
      </c>
    </row>
    <row r="12" spans="1:6" x14ac:dyDescent="0.3">
      <c r="A12" s="3" t="s">
        <v>10</v>
      </c>
      <c r="B12" s="4"/>
      <c r="C12" s="4">
        <f t="shared" si="0"/>
        <v>0</v>
      </c>
      <c r="D12" s="4">
        <f t="shared" si="1"/>
        <v>0</v>
      </c>
    </row>
    <row r="13" spans="1:6" x14ac:dyDescent="0.3">
      <c r="A13" s="3" t="s">
        <v>11</v>
      </c>
      <c r="B13" s="4"/>
      <c r="C13" s="4">
        <f t="shared" si="0"/>
        <v>0</v>
      </c>
      <c r="D13" s="4">
        <f t="shared" si="1"/>
        <v>0</v>
      </c>
    </row>
    <row r="14" spans="1:6" x14ac:dyDescent="0.3">
      <c r="A14" s="3" t="s">
        <v>12</v>
      </c>
      <c r="B14" s="4"/>
      <c r="C14" s="4">
        <f t="shared" si="0"/>
        <v>0</v>
      </c>
      <c r="D14" s="4">
        <f t="shared" si="1"/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1"/>
  <sheetViews>
    <sheetView workbookViewId="0">
      <selection activeCell="J20" sqref="J20"/>
    </sheetView>
  </sheetViews>
  <sheetFormatPr defaultColWidth="9.109375" defaultRowHeight="14.4" x14ac:dyDescent="0.3"/>
  <cols>
    <col min="1" max="1" width="20.44140625" style="8" bestFit="1" customWidth="1"/>
    <col min="2" max="2" width="16.77734375" style="8" customWidth="1"/>
    <col min="3" max="3" width="13.44140625" style="8" customWidth="1"/>
    <col min="4" max="4" width="9.109375" style="8"/>
    <col min="5" max="5" width="19" style="8" customWidth="1"/>
    <col min="6" max="6" width="18.44140625" style="8" customWidth="1"/>
    <col min="7" max="7" width="17.77734375" style="8" customWidth="1"/>
    <col min="8" max="8" width="16.6640625" style="8" customWidth="1"/>
    <col min="9" max="9" width="9.109375" style="8"/>
    <col min="10" max="10" width="18.109375" style="8" customWidth="1"/>
    <col min="11" max="11" width="17.6640625" style="8" customWidth="1"/>
    <col min="12" max="12" width="17.33203125" style="8" customWidth="1"/>
    <col min="13" max="13" width="16.44140625" style="8" customWidth="1"/>
    <col min="14" max="16384" width="9.109375" style="8"/>
  </cols>
  <sheetData>
    <row r="1" spans="1:13" ht="21" x14ac:dyDescent="0.3">
      <c r="A1" s="54" t="s">
        <v>25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21.6" thickBot="1" x14ac:dyDescent="0.3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21" x14ac:dyDescent="0.3">
      <c r="A3" s="25" t="s">
        <v>1</v>
      </c>
      <c r="B3" s="26" t="s">
        <v>0</v>
      </c>
      <c r="C3" s="25" t="s">
        <v>23</v>
      </c>
      <c r="D3" s="27"/>
      <c r="E3" s="28" t="s">
        <v>16</v>
      </c>
      <c r="F3" s="29" t="s">
        <v>18</v>
      </c>
      <c r="G3" s="29" t="s">
        <v>19</v>
      </c>
      <c r="H3" s="29" t="s">
        <v>20</v>
      </c>
      <c r="I3" s="27"/>
      <c r="J3" s="28" t="s">
        <v>16</v>
      </c>
      <c r="K3" s="29" t="s">
        <v>18</v>
      </c>
      <c r="L3" s="29" t="s">
        <v>19</v>
      </c>
      <c r="M3" s="30" t="s">
        <v>20</v>
      </c>
    </row>
    <row r="4" spans="1:13" ht="21" x14ac:dyDescent="0.3">
      <c r="A4" s="31" t="s">
        <v>2</v>
      </c>
      <c r="B4" s="32">
        <v>20000</v>
      </c>
      <c r="C4" s="33"/>
      <c r="D4" s="24"/>
      <c r="E4" s="34">
        <f>SUM(B4:B6)</f>
        <v>60000</v>
      </c>
      <c r="F4" s="35">
        <f>SUM(B7:B9)</f>
        <v>1444866.05</v>
      </c>
      <c r="G4" s="35">
        <f>SUM(B10:B12)</f>
        <v>1363926.1</v>
      </c>
      <c r="H4" s="35">
        <f>SUM(B13:B15)</f>
        <v>549657.97</v>
      </c>
      <c r="I4" s="24"/>
      <c r="J4" s="34">
        <f>SUM(B4:B6)</f>
        <v>60000</v>
      </c>
      <c r="K4" s="35">
        <f>SUM(B7:B9)</f>
        <v>1444866.05</v>
      </c>
      <c r="L4" s="35">
        <f>SUM(B10:B12)</f>
        <v>1363926.1</v>
      </c>
      <c r="M4" s="36">
        <f>SUM(B13:B15)</f>
        <v>549657.97</v>
      </c>
    </row>
    <row r="5" spans="1:13" ht="21" x14ac:dyDescent="0.3">
      <c r="A5" s="31" t="s">
        <v>13</v>
      </c>
      <c r="B5" s="32">
        <v>20000</v>
      </c>
      <c r="C5" s="33"/>
      <c r="D5" s="24"/>
      <c r="E5" s="34">
        <v>32</v>
      </c>
      <c r="F5" s="34">
        <v>32</v>
      </c>
      <c r="G5" s="34">
        <v>32</v>
      </c>
      <c r="H5" s="34">
        <v>32</v>
      </c>
      <c r="I5" s="24"/>
      <c r="J5" s="37">
        <v>0.32</v>
      </c>
      <c r="K5" s="37">
        <v>0.32</v>
      </c>
      <c r="L5" s="37">
        <v>0.32</v>
      </c>
      <c r="M5" s="38">
        <v>0.32</v>
      </c>
    </row>
    <row r="6" spans="1:13" ht="21" x14ac:dyDescent="0.3">
      <c r="A6" s="31" t="s">
        <v>3</v>
      </c>
      <c r="B6" s="32">
        <v>20000</v>
      </c>
      <c r="C6" s="33"/>
      <c r="D6" s="24"/>
      <c r="E6" s="34">
        <f>E4*E5%</f>
        <v>19200</v>
      </c>
      <c r="F6" s="34">
        <f t="shared" ref="F6:H6" si="0">F4*F5%</f>
        <v>462357.136</v>
      </c>
      <c r="G6" s="34">
        <f t="shared" si="0"/>
        <v>436456.35200000001</v>
      </c>
      <c r="H6" s="34">
        <f t="shared" si="0"/>
        <v>175890.55040000001</v>
      </c>
      <c r="I6" s="24"/>
      <c r="J6" s="34">
        <f>J4*J5</f>
        <v>19200</v>
      </c>
      <c r="K6" s="34">
        <f t="shared" ref="K6:M6" si="1">K4*K5</f>
        <v>462357.136</v>
      </c>
      <c r="L6" s="34">
        <f t="shared" si="1"/>
        <v>436456.35200000001</v>
      </c>
      <c r="M6" s="34">
        <f t="shared" si="1"/>
        <v>175890.55040000001</v>
      </c>
    </row>
    <row r="7" spans="1:13" ht="21" x14ac:dyDescent="0.3">
      <c r="A7" s="31" t="s">
        <v>4</v>
      </c>
      <c r="B7" s="32">
        <v>497371.52</v>
      </c>
      <c r="C7" s="33"/>
      <c r="D7" s="24"/>
      <c r="E7" s="34">
        <v>15</v>
      </c>
      <c r="F7" s="34">
        <v>15</v>
      </c>
      <c r="G7" s="34">
        <v>15</v>
      </c>
      <c r="H7" s="34">
        <v>15</v>
      </c>
      <c r="I7" s="24"/>
      <c r="J7" s="37">
        <v>0.09</v>
      </c>
      <c r="K7" s="37">
        <v>0.09</v>
      </c>
      <c r="L7" s="37">
        <v>0.09</v>
      </c>
      <c r="M7" s="38">
        <v>0.09</v>
      </c>
    </row>
    <row r="8" spans="1:13" ht="21.6" thickBot="1" x14ac:dyDescent="0.35">
      <c r="A8" s="31" t="s">
        <v>5</v>
      </c>
      <c r="B8" s="32">
        <v>488432.13</v>
      </c>
      <c r="C8" s="33"/>
      <c r="D8" s="24"/>
      <c r="E8" s="39">
        <f>E6*E7%</f>
        <v>2880</v>
      </c>
      <c r="F8" s="39">
        <f t="shared" ref="F8:H8" si="2">F6*F7%</f>
        <v>69353.570399999997</v>
      </c>
      <c r="G8" s="39">
        <f t="shared" si="2"/>
        <v>65468.452799999999</v>
      </c>
      <c r="H8" s="39">
        <f t="shared" si="2"/>
        <v>26383.582559999999</v>
      </c>
      <c r="I8" s="24"/>
      <c r="J8" s="40">
        <f>J6*J7</f>
        <v>1728</v>
      </c>
      <c r="K8" s="40">
        <f t="shared" ref="K8:M8" si="3">K6*K7</f>
        <v>41612.142240000001</v>
      </c>
      <c r="L8" s="40">
        <f t="shared" si="3"/>
        <v>39281.071680000001</v>
      </c>
      <c r="M8" s="40">
        <f t="shared" si="3"/>
        <v>15830.149536000001</v>
      </c>
    </row>
    <row r="9" spans="1:13" ht="21" x14ac:dyDescent="0.3">
      <c r="A9" s="31" t="s">
        <v>6</v>
      </c>
      <c r="B9" s="32">
        <v>459062.4</v>
      </c>
      <c r="C9" s="33"/>
      <c r="D9" s="24"/>
      <c r="E9" s="34"/>
      <c r="F9" s="41"/>
      <c r="G9" s="41"/>
      <c r="H9" s="41"/>
      <c r="I9" s="24"/>
      <c r="J9" s="42"/>
      <c r="K9" s="43"/>
      <c r="L9" s="43"/>
      <c r="M9" s="43"/>
    </row>
    <row r="10" spans="1:13" ht="21" x14ac:dyDescent="0.3">
      <c r="A10" s="31" t="s">
        <v>7</v>
      </c>
      <c r="B10" s="32">
        <v>413112.75</v>
      </c>
      <c r="C10" s="33">
        <v>6171.93</v>
      </c>
      <c r="D10" s="24"/>
      <c r="E10" s="34" t="s">
        <v>17</v>
      </c>
      <c r="F10" s="41"/>
      <c r="G10" s="41"/>
      <c r="H10" s="41"/>
      <c r="I10" s="24"/>
      <c r="J10" s="42"/>
      <c r="K10" s="43"/>
      <c r="L10" s="43"/>
      <c r="M10" s="43"/>
    </row>
    <row r="11" spans="1:13" ht="21" x14ac:dyDescent="0.3">
      <c r="A11" s="31" t="s">
        <v>8</v>
      </c>
      <c r="B11" s="32">
        <v>440389.97</v>
      </c>
      <c r="C11" s="33">
        <v>6573.87</v>
      </c>
      <c r="D11" s="24"/>
      <c r="E11" s="34">
        <f>+E6</f>
        <v>19200</v>
      </c>
      <c r="F11" s="34">
        <f>+F6</f>
        <v>462357.136</v>
      </c>
      <c r="G11" s="35">
        <f>+G6</f>
        <v>436456.35200000001</v>
      </c>
      <c r="H11" s="35">
        <f>+H6</f>
        <v>175890.55040000001</v>
      </c>
      <c r="I11" s="24"/>
      <c r="J11" s="42"/>
      <c r="K11" s="43"/>
      <c r="L11" s="43"/>
      <c r="M11" s="43"/>
    </row>
    <row r="12" spans="1:13" ht="21" x14ac:dyDescent="0.3">
      <c r="A12" s="31" t="s">
        <v>9</v>
      </c>
      <c r="B12" s="32">
        <v>510423.38</v>
      </c>
      <c r="C12" s="33">
        <v>7632.55</v>
      </c>
      <c r="D12" s="24"/>
      <c r="E12" s="34">
        <v>60000</v>
      </c>
      <c r="F12" s="34">
        <v>60000</v>
      </c>
      <c r="G12" s="34">
        <v>60000</v>
      </c>
      <c r="H12" s="34">
        <v>60000</v>
      </c>
      <c r="I12" s="24"/>
      <c r="J12" s="42"/>
      <c r="K12" s="43"/>
      <c r="L12" s="43"/>
      <c r="M12" s="43"/>
    </row>
    <row r="13" spans="1:13" ht="21" x14ac:dyDescent="0.3">
      <c r="A13" s="31" t="s">
        <v>10</v>
      </c>
      <c r="B13" s="32">
        <v>549657.97</v>
      </c>
      <c r="C13" s="33"/>
      <c r="D13" s="24"/>
      <c r="E13" s="34">
        <f>E11-E12</f>
        <v>-40800</v>
      </c>
      <c r="F13" s="34">
        <f t="shared" ref="F13:H13" si="4">F11-F12</f>
        <v>402357.136</v>
      </c>
      <c r="G13" s="34">
        <f t="shared" si="4"/>
        <v>376456.35200000001</v>
      </c>
      <c r="H13" s="34">
        <f t="shared" si="4"/>
        <v>115890.55040000001</v>
      </c>
      <c r="I13" s="24"/>
      <c r="J13" s="42"/>
      <c r="K13" s="43"/>
      <c r="L13" s="43"/>
      <c r="M13" s="43"/>
    </row>
    <row r="14" spans="1:13" ht="21" x14ac:dyDescent="0.3">
      <c r="A14" s="31" t="s">
        <v>11</v>
      </c>
      <c r="B14" s="32"/>
      <c r="C14" s="33"/>
      <c r="D14" s="24"/>
      <c r="E14" s="34">
        <v>10</v>
      </c>
      <c r="F14" s="34">
        <v>10</v>
      </c>
      <c r="G14" s="34">
        <v>10</v>
      </c>
      <c r="H14" s="34">
        <v>10</v>
      </c>
      <c r="I14" s="24"/>
      <c r="J14" s="42"/>
      <c r="K14" s="44"/>
      <c r="L14" s="43"/>
      <c r="M14" s="43"/>
    </row>
    <row r="15" spans="1:13" ht="21.6" thickBot="1" x14ac:dyDescent="0.35">
      <c r="A15" s="45" t="s">
        <v>12</v>
      </c>
      <c r="B15" s="46"/>
      <c r="C15" s="47"/>
      <c r="D15" s="24"/>
      <c r="E15" s="39">
        <f>E13*E14%</f>
        <v>-4080</v>
      </c>
      <c r="F15" s="39">
        <f t="shared" ref="F15:H15" si="5">F13*F14%</f>
        <v>40235.713600000003</v>
      </c>
      <c r="G15" s="39">
        <f t="shared" si="5"/>
        <v>37645.635200000004</v>
      </c>
      <c r="H15" s="39">
        <f t="shared" si="5"/>
        <v>11589.055040000001</v>
      </c>
      <c r="I15" s="24"/>
      <c r="J15" s="42"/>
      <c r="K15" s="44"/>
      <c r="L15" s="43"/>
      <c r="M15" s="43"/>
    </row>
    <row r="16" spans="1:13" ht="21" x14ac:dyDescent="0.3">
      <c r="A16" s="24"/>
      <c r="B16" s="24"/>
      <c r="C16" s="24"/>
      <c r="D16" s="24"/>
      <c r="E16" s="34"/>
      <c r="F16" s="41"/>
      <c r="G16" s="41"/>
      <c r="H16" s="41"/>
      <c r="I16" s="24"/>
      <c r="J16" s="42"/>
      <c r="K16" s="44"/>
      <c r="L16" s="43"/>
      <c r="M16" s="43"/>
    </row>
    <row r="17" spans="1:13" ht="21.6" thickBot="1" x14ac:dyDescent="0.35">
      <c r="A17" s="24"/>
      <c r="B17" s="24"/>
      <c r="C17" s="24"/>
      <c r="D17" s="24"/>
      <c r="E17" s="40">
        <f>E8+E15</f>
        <v>-1200</v>
      </c>
      <c r="F17" s="40">
        <f t="shared" ref="F17:H17" si="6">F8+F15</f>
        <v>109589.284</v>
      </c>
      <c r="G17" s="40">
        <f t="shared" si="6"/>
        <v>103114.088</v>
      </c>
      <c r="H17" s="40">
        <f t="shared" si="6"/>
        <v>37972.637600000002</v>
      </c>
      <c r="I17" s="24"/>
      <c r="J17" s="48"/>
      <c r="K17" s="44"/>
      <c r="L17" s="44"/>
      <c r="M17" s="43"/>
    </row>
    <row r="18" spans="1:13" ht="21" x14ac:dyDescent="0.3">
      <c r="A18" s="24"/>
      <c r="B18" s="24"/>
      <c r="C18" s="24"/>
      <c r="D18" s="24"/>
      <c r="E18" s="49"/>
      <c r="F18" s="24"/>
      <c r="G18" s="24"/>
      <c r="H18" s="24"/>
      <c r="I18" s="24"/>
      <c r="J18" s="24"/>
      <c r="K18" s="24"/>
      <c r="L18" s="24"/>
      <c r="M18" s="24"/>
    </row>
    <row r="19" spans="1:13" ht="21" x14ac:dyDescent="0.3">
      <c r="A19" s="24"/>
      <c r="B19" s="24"/>
      <c r="C19" s="24"/>
      <c r="D19" s="24"/>
      <c r="E19" s="49">
        <f>E4*1.5%</f>
        <v>900</v>
      </c>
      <c r="F19" s="49">
        <f t="shared" ref="F19" si="7">F4*1.5%</f>
        <v>21672.990750000001</v>
      </c>
      <c r="G19" s="49">
        <f>SUM(C10:C12)</f>
        <v>20378.349999999999</v>
      </c>
      <c r="H19" s="49">
        <f>SUM(C13:C15)</f>
        <v>0</v>
      </c>
      <c r="I19" s="24"/>
      <c r="J19" s="24"/>
      <c r="K19" s="24"/>
      <c r="L19" s="24"/>
      <c r="M19" s="24"/>
    </row>
    <row r="20" spans="1:13" ht="21" x14ac:dyDescent="0.3">
      <c r="A20" s="24"/>
      <c r="B20" s="24"/>
      <c r="C20" s="24"/>
      <c r="D20" s="24"/>
      <c r="E20" s="49"/>
      <c r="F20" s="24"/>
      <c r="G20" s="24"/>
      <c r="H20" s="24"/>
      <c r="I20" s="24"/>
      <c r="J20" s="24"/>
      <c r="K20" s="24"/>
      <c r="L20" s="24"/>
      <c r="M20" s="24"/>
    </row>
    <row r="21" spans="1:13" ht="21" x14ac:dyDescent="0.3">
      <c r="A21" s="24"/>
      <c r="B21" s="24"/>
      <c r="C21" s="24"/>
      <c r="D21" s="24"/>
      <c r="E21" s="50">
        <f>E17-E19</f>
        <v>-2100</v>
      </c>
      <c r="F21" s="50">
        <f t="shared" ref="F21:H21" si="8">F17-F19</f>
        <v>87916.293250000002</v>
      </c>
      <c r="G21" s="50">
        <f t="shared" si="8"/>
        <v>82735.738000000012</v>
      </c>
      <c r="H21" s="50">
        <f t="shared" si="8"/>
        <v>37972.637600000002</v>
      </c>
      <c r="I21" s="24"/>
      <c r="J21" s="24"/>
      <c r="K21" s="24"/>
      <c r="L21" s="24"/>
      <c r="M21" s="24"/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scale="76" fitToHeight="0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tabSelected="1" workbookViewId="0">
      <selection activeCell="D3" sqref="D3"/>
    </sheetView>
  </sheetViews>
  <sheetFormatPr defaultColWidth="8.77734375" defaultRowHeight="14.4" x14ac:dyDescent="0.3"/>
  <cols>
    <col min="1" max="1" width="18.109375" customWidth="1"/>
    <col min="2" max="2" width="30.44140625" customWidth="1"/>
    <col min="4" max="4" width="22.44140625" customWidth="1"/>
    <col min="5" max="5" width="22.6640625" customWidth="1"/>
  </cols>
  <sheetData>
    <row r="1" spans="1:12" ht="26.4" thickBot="1" x14ac:dyDescent="0.35">
      <c r="A1" s="55" t="s">
        <v>24</v>
      </c>
      <c r="B1" s="56"/>
      <c r="C1" s="56"/>
      <c r="D1" s="56"/>
      <c r="E1" s="57"/>
      <c r="F1" s="9"/>
      <c r="G1" s="9"/>
      <c r="H1" s="9"/>
      <c r="I1" s="9"/>
      <c r="J1" s="9"/>
      <c r="K1" s="9"/>
      <c r="L1" s="9"/>
    </row>
    <row r="2" spans="1:12" ht="26.4" thickBot="1" x14ac:dyDescent="0.55000000000000004">
      <c r="A2" s="10"/>
      <c r="B2" s="10"/>
      <c r="C2" s="10"/>
      <c r="D2" s="10"/>
      <c r="E2" s="10"/>
    </row>
    <row r="3" spans="1:12" ht="26.4" thickBot="1" x14ac:dyDescent="0.55000000000000004">
      <c r="A3" s="11" t="s">
        <v>21</v>
      </c>
      <c r="B3" s="58" t="s">
        <v>22</v>
      </c>
      <c r="C3" s="10"/>
      <c r="D3" s="60" t="s">
        <v>26</v>
      </c>
      <c r="E3" s="59" t="s">
        <v>27</v>
      </c>
    </row>
    <row r="4" spans="1:12" ht="25.8" x14ac:dyDescent="0.5">
      <c r="A4" s="12" t="s">
        <v>2</v>
      </c>
      <c r="B4" s="13">
        <v>1028882.15</v>
      </c>
      <c r="C4" s="10"/>
      <c r="D4" s="14">
        <f>B4*0.65%</f>
        <v>6687.733975000001</v>
      </c>
      <c r="E4" s="15">
        <f>B4*3%</f>
        <v>30866.464499999998</v>
      </c>
    </row>
    <row r="5" spans="1:12" ht="25.8" x14ac:dyDescent="0.5">
      <c r="A5" s="16" t="s">
        <v>13</v>
      </c>
      <c r="B5" s="17">
        <v>721837.05</v>
      </c>
      <c r="C5" s="10"/>
      <c r="D5" s="18">
        <f t="shared" ref="D5:D15" si="0">B5*0.65%</f>
        <v>4691.9408250000006</v>
      </c>
      <c r="E5" s="19">
        <f t="shared" ref="E5:E15" si="1">B5*3%</f>
        <v>21655.111499999999</v>
      </c>
    </row>
    <row r="6" spans="1:12" ht="25.8" x14ac:dyDescent="0.5">
      <c r="A6" s="16" t="s">
        <v>3</v>
      </c>
      <c r="B6" s="17">
        <v>608105.14</v>
      </c>
      <c r="C6" s="10"/>
      <c r="D6" s="18">
        <f t="shared" si="0"/>
        <v>3952.6834100000005</v>
      </c>
      <c r="E6" s="19">
        <f t="shared" si="1"/>
        <v>18243.154200000001</v>
      </c>
    </row>
    <row r="7" spans="1:12" ht="25.8" x14ac:dyDescent="0.5">
      <c r="A7" s="16" t="s">
        <v>4</v>
      </c>
      <c r="B7" s="17">
        <v>497371.52</v>
      </c>
      <c r="C7" s="10"/>
      <c r="D7" s="18">
        <f t="shared" si="0"/>
        <v>3232.9148800000003</v>
      </c>
      <c r="E7" s="19">
        <f t="shared" si="1"/>
        <v>14921.1456</v>
      </c>
    </row>
    <row r="8" spans="1:12" ht="25.8" x14ac:dyDescent="0.5">
      <c r="A8" s="16" t="s">
        <v>5</v>
      </c>
      <c r="B8" s="17">
        <v>488432.13</v>
      </c>
      <c r="C8" s="10"/>
      <c r="D8" s="18">
        <f t="shared" si="0"/>
        <v>3174.8088450000005</v>
      </c>
      <c r="E8" s="19">
        <f t="shared" si="1"/>
        <v>14652.963899999999</v>
      </c>
    </row>
    <row r="9" spans="1:12" ht="25.8" x14ac:dyDescent="0.5">
      <c r="A9" s="16" t="s">
        <v>6</v>
      </c>
      <c r="B9" s="17">
        <v>459062.4</v>
      </c>
      <c r="C9" s="10"/>
      <c r="D9" s="18">
        <f t="shared" si="0"/>
        <v>2983.9056000000005</v>
      </c>
      <c r="E9" s="19">
        <f t="shared" si="1"/>
        <v>13771.871999999999</v>
      </c>
    </row>
    <row r="10" spans="1:12" ht="25.8" x14ac:dyDescent="0.5">
      <c r="A10" s="16" t="s">
        <v>7</v>
      </c>
      <c r="B10" s="17">
        <v>413112.75</v>
      </c>
      <c r="C10" s="10"/>
      <c r="D10" s="18">
        <f>B10*0.65%</f>
        <v>2685.2328750000001</v>
      </c>
      <c r="E10" s="19">
        <f t="shared" si="1"/>
        <v>12393.3825</v>
      </c>
    </row>
    <row r="11" spans="1:12" ht="25.8" x14ac:dyDescent="0.5">
      <c r="A11" s="16" t="s">
        <v>8</v>
      </c>
      <c r="B11" s="17">
        <v>440389.97</v>
      </c>
      <c r="C11" s="10"/>
      <c r="D11" s="18">
        <f t="shared" si="0"/>
        <v>2862.5348050000002</v>
      </c>
      <c r="E11" s="19">
        <f t="shared" si="1"/>
        <v>13211.699099999998</v>
      </c>
    </row>
    <row r="12" spans="1:12" ht="25.8" x14ac:dyDescent="0.5">
      <c r="A12" s="16" t="s">
        <v>9</v>
      </c>
      <c r="B12" s="17">
        <v>510423.38</v>
      </c>
      <c r="C12" s="10"/>
      <c r="D12" s="18">
        <f t="shared" si="0"/>
        <v>3317.7519700000003</v>
      </c>
      <c r="E12" s="19">
        <f t="shared" si="1"/>
        <v>15312.7014</v>
      </c>
    </row>
    <row r="13" spans="1:12" ht="25.8" x14ac:dyDescent="0.5">
      <c r="A13" s="16" t="s">
        <v>10</v>
      </c>
      <c r="B13" s="17">
        <v>549657.97</v>
      </c>
      <c r="C13" s="10"/>
      <c r="D13" s="18">
        <f t="shared" si="0"/>
        <v>3572.776805</v>
      </c>
      <c r="E13" s="19">
        <f t="shared" si="1"/>
        <v>16489.739099999999</v>
      </c>
    </row>
    <row r="14" spans="1:12" ht="25.8" x14ac:dyDescent="0.5">
      <c r="A14" s="16" t="s">
        <v>11</v>
      </c>
      <c r="B14" s="17"/>
      <c r="C14" s="10"/>
      <c r="D14" s="18">
        <f t="shared" si="0"/>
        <v>0</v>
      </c>
      <c r="E14" s="19">
        <f t="shared" si="1"/>
        <v>0</v>
      </c>
    </row>
    <row r="15" spans="1:12" ht="26.4" thickBot="1" x14ac:dyDescent="0.55000000000000004">
      <c r="A15" s="20" t="s">
        <v>12</v>
      </c>
      <c r="B15" s="21"/>
      <c r="C15" s="10"/>
      <c r="D15" s="22">
        <f t="shared" si="0"/>
        <v>0</v>
      </c>
      <c r="E15" s="23">
        <f t="shared" si="1"/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FATURAMENTO</vt:lpstr>
      <vt:lpstr>IR-CSLL 2016</vt:lpstr>
      <vt:lpstr>PIS - COFINS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ICONTEX221</dc:creator>
  <cp:lastModifiedBy>milgoncalves120122</cp:lastModifiedBy>
  <cp:lastPrinted>2016-11-04T18:45:19Z</cp:lastPrinted>
  <dcterms:created xsi:type="dcterms:W3CDTF">2015-08-20T18:56:45Z</dcterms:created>
  <dcterms:modified xsi:type="dcterms:W3CDTF">2022-01-18T16:36:05Z</dcterms:modified>
</cp:coreProperties>
</file>